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2.xml" ContentType="application/vnd.openxmlformats-officedocument.spreadsheetml.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hidePivotFieldList="1"/>
  <xr:revisionPtr revIDLastSave="0" documentId="8_{6D11AC08-9572-4DC8-8287-537A58A7F4BA}" xr6:coauthVersionLast="47" xr6:coauthVersionMax="47" xr10:uidLastSave="{00000000-0000-0000-0000-000000000000}"/>
  <bookViews>
    <workbookView xWindow="0" yWindow="0" windowWidth="0" windowHeight="0" firstSheet="3" activeTab="1" xr2:uid="{00000000-000D-0000-FFFF-FFFF00000000}"/>
  </bookViews>
  <sheets>
    <sheet name="Data_Dictionary" sheetId="3" r:id="rId1"/>
    <sheet name="Data" sheetId="1" r:id="rId2"/>
    <sheet name="Sheet1" sheetId="4" r:id="rId3"/>
    <sheet name="KPI" sheetId="6" r:id="rId4"/>
    <sheet name="Dashboard" sheetId="5" r:id="rId5"/>
  </sheets>
  <calcPr calcId="191028"/>
  <pivotCaches>
    <pivotCache cacheId="155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6" l="1"/>
  <c r="F17" i="6" a="1"/>
  <c r="A16" i="6" a="1"/>
  <c r="E17" i="6" a="1"/>
  <c r="U5" i="5"/>
  <c r="A21" i="6"/>
  <c r="C2" i="6"/>
  <c r="A5" i="5"/>
  <c r="F5" i="5"/>
  <c r="C5" i="6"/>
  <c r="AA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674" i="1"/>
  <c r="AA1673" i="1"/>
  <c r="AA1672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671" i="1"/>
  <c r="AA1954" i="1"/>
  <c r="AA1953" i="1"/>
  <c r="AA1670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669" i="1"/>
  <c r="AA1668" i="1"/>
  <c r="AA1940" i="1"/>
  <c r="AA1667" i="1"/>
  <c r="AA1666" i="1"/>
  <c r="AA1939" i="1"/>
  <c r="AA1938" i="1"/>
  <c r="AA1937" i="1"/>
  <c r="AA1936" i="1"/>
  <c r="AA1935" i="1"/>
  <c r="AA1934" i="1"/>
  <c r="AA1665" i="1"/>
  <c r="AA1664" i="1"/>
  <c r="AA1933" i="1"/>
  <c r="AA1663" i="1"/>
  <c r="AA1932" i="1"/>
  <c r="AA1931" i="1"/>
  <c r="AA1662" i="1"/>
  <c r="AA1661" i="1"/>
  <c r="AA1660" i="1"/>
  <c r="AA1659" i="1"/>
  <c r="AA1930" i="1"/>
  <c r="AA1658" i="1"/>
  <c r="AA1657" i="1"/>
  <c r="AA1929" i="1"/>
  <c r="AA1928" i="1"/>
  <c r="AA1656" i="1"/>
  <c r="AA1927" i="1"/>
  <c r="AA1926" i="1"/>
  <c r="AA1655" i="1"/>
  <c r="AA1654" i="1"/>
  <c r="AA1925" i="1"/>
  <c r="AA1653" i="1"/>
  <c r="AA1924" i="1"/>
  <c r="AA1652" i="1"/>
  <c r="AA1923" i="1"/>
  <c r="AA1651" i="1"/>
  <c r="AA1650" i="1"/>
  <c r="AA1922" i="1"/>
  <c r="AA1649" i="1"/>
  <c r="AA1921" i="1"/>
  <c r="AA1648" i="1"/>
  <c r="AA1920" i="1"/>
  <c r="AA1919" i="1"/>
  <c r="AA1647" i="1"/>
  <c r="AA1646" i="1"/>
  <c r="AA1918" i="1"/>
  <c r="AA1917" i="1"/>
  <c r="AA1916" i="1"/>
  <c r="AA1645" i="1"/>
  <c r="AA1644" i="1"/>
  <c r="AA1643" i="1"/>
  <c r="AA1642" i="1"/>
  <c r="AA1915" i="1"/>
  <c r="AA1914" i="1"/>
  <c r="AA1913" i="1"/>
  <c r="AA1641" i="1"/>
  <c r="AA1640" i="1"/>
  <c r="AA1639" i="1"/>
  <c r="AA1638" i="1"/>
  <c r="AA1637" i="1"/>
  <c r="AA1636" i="1"/>
  <c r="AA1635" i="1"/>
  <c r="AA1912" i="1"/>
  <c r="AA1634" i="1"/>
  <c r="AA1633" i="1"/>
  <c r="AA1911" i="1"/>
  <c r="AA1910" i="1"/>
  <c r="AA1909" i="1"/>
  <c r="AA1632" i="1"/>
  <c r="AA1908" i="1"/>
  <c r="AA1631" i="1"/>
  <c r="AA1907" i="1"/>
  <c r="AA1630" i="1"/>
  <c r="AA1629" i="1"/>
  <c r="AA1628" i="1"/>
  <c r="AA1627" i="1"/>
  <c r="AA1906" i="1"/>
  <c r="AA1905" i="1"/>
  <c r="AA1626" i="1"/>
  <c r="AA1904" i="1"/>
  <c r="AA1903" i="1"/>
  <c r="AA1902" i="1"/>
  <c r="AA1625" i="1"/>
  <c r="AA1624" i="1"/>
  <c r="AA1901" i="1"/>
  <c r="AA1900" i="1"/>
  <c r="AA1623" i="1"/>
  <c r="AA1899" i="1"/>
  <c r="AA1622" i="1"/>
  <c r="AA1621" i="1"/>
  <c r="AA1620" i="1"/>
  <c r="AA1898" i="1"/>
  <c r="AA1897" i="1"/>
  <c r="AA1341" i="1"/>
  <c r="AA1619" i="1"/>
  <c r="AA1340" i="1"/>
  <c r="AA1339" i="1"/>
  <c r="AA1618" i="1"/>
  <c r="AA1617" i="1"/>
  <c r="AA1338" i="1"/>
  <c r="AA1616" i="1"/>
  <c r="AA1337" i="1"/>
  <c r="AA1336" i="1"/>
  <c r="AA1615" i="1"/>
  <c r="AA1335" i="1"/>
  <c r="AA998" i="1"/>
  <c r="AA1614" i="1"/>
  <c r="AA1334" i="1"/>
  <c r="AA1333" i="1"/>
  <c r="AA1332" i="1"/>
  <c r="AA1331" i="1"/>
  <c r="AA1613" i="1"/>
  <c r="AA1330" i="1"/>
  <c r="AA997" i="1"/>
  <c r="AA1329" i="1"/>
  <c r="AA1328" i="1"/>
  <c r="AA1327" i="1"/>
  <c r="AA1326" i="1"/>
  <c r="AA1325" i="1"/>
  <c r="AA1324" i="1"/>
  <c r="AA996" i="1"/>
  <c r="AA1323" i="1"/>
  <c r="AA995" i="1"/>
  <c r="AA1322" i="1"/>
  <c r="AA1321" i="1"/>
  <c r="AA1612" i="1"/>
  <c r="AA1320" i="1"/>
  <c r="AA1611" i="1"/>
  <c r="AA1319" i="1"/>
  <c r="AA1318" i="1"/>
  <c r="AA994" i="1"/>
  <c r="AA1610" i="1"/>
  <c r="AA1317" i="1"/>
  <c r="AA1316" i="1"/>
  <c r="AA1315" i="1"/>
  <c r="AA993" i="1"/>
  <c r="AA992" i="1"/>
  <c r="AA991" i="1"/>
  <c r="AA990" i="1"/>
  <c r="AA989" i="1"/>
  <c r="AA988" i="1"/>
  <c r="AA987" i="1"/>
  <c r="AA1896" i="1"/>
  <c r="AA986" i="1"/>
  <c r="AA1314" i="1"/>
  <c r="AA985" i="1"/>
  <c r="AA984" i="1"/>
  <c r="AA983" i="1"/>
  <c r="AA1895" i="1"/>
  <c r="AA982" i="1"/>
  <c r="AA981" i="1"/>
  <c r="AA1609" i="1"/>
  <c r="AA980" i="1"/>
  <c r="AA1608" i="1"/>
  <c r="AA979" i="1"/>
  <c r="AA1607" i="1"/>
  <c r="AA978" i="1"/>
  <c r="AA1606" i="1"/>
  <c r="AA1605" i="1"/>
  <c r="AA1604" i="1"/>
  <c r="AA1894" i="1"/>
  <c r="AA1893" i="1"/>
  <c r="AA977" i="1"/>
  <c r="AA1603" i="1"/>
  <c r="AA976" i="1"/>
  <c r="AA1602" i="1"/>
  <c r="AA664" i="1"/>
  <c r="AA1601" i="1"/>
  <c r="AA975" i="1"/>
  <c r="AA663" i="1"/>
  <c r="AA1600" i="1"/>
  <c r="AA662" i="1"/>
  <c r="AA974" i="1"/>
  <c r="AA661" i="1"/>
  <c r="AA973" i="1"/>
  <c r="AA660" i="1"/>
  <c r="AA1599" i="1"/>
  <c r="AA1598" i="1"/>
  <c r="AA659" i="1"/>
  <c r="AA1597" i="1"/>
  <c r="AA658" i="1"/>
  <c r="AA657" i="1"/>
  <c r="AA1596" i="1"/>
  <c r="AA656" i="1"/>
  <c r="AA655" i="1"/>
  <c r="AA1595" i="1"/>
  <c r="AA1594" i="1"/>
  <c r="AA972" i="1"/>
  <c r="AA654" i="1"/>
  <c r="AA1593" i="1"/>
  <c r="AA653" i="1"/>
  <c r="AA652" i="1"/>
  <c r="AA651" i="1"/>
  <c r="AA650" i="1"/>
  <c r="AA649" i="1"/>
  <c r="AA648" i="1"/>
  <c r="AA647" i="1"/>
  <c r="AA1592" i="1"/>
  <c r="AA646" i="1"/>
  <c r="AA1591" i="1"/>
  <c r="AA645" i="1"/>
  <c r="AA1590" i="1"/>
  <c r="AA1589" i="1"/>
  <c r="AA644" i="1"/>
  <c r="AA330" i="1"/>
  <c r="AA329" i="1"/>
  <c r="AA1588" i="1"/>
  <c r="AA328" i="1"/>
  <c r="AA327" i="1"/>
  <c r="AA1587" i="1"/>
  <c r="AA643" i="1"/>
  <c r="AA1586" i="1"/>
  <c r="AA326" i="1"/>
  <c r="AA325" i="1"/>
  <c r="AA324" i="1"/>
  <c r="AA642" i="1"/>
  <c r="AA323" i="1"/>
  <c r="AA322" i="1"/>
  <c r="AA641" i="1"/>
  <c r="AA321" i="1"/>
  <c r="AA320" i="1"/>
  <c r="AA1585" i="1"/>
  <c r="AA319" i="1"/>
  <c r="AA1313" i="1"/>
  <c r="AA318" i="1"/>
  <c r="AA317" i="1"/>
  <c r="AA1584" i="1"/>
  <c r="AA316" i="1"/>
  <c r="AA315" i="1"/>
  <c r="AA640" i="1"/>
  <c r="AA313" i="1"/>
  <c r="AA314" i="1"/>
  <c r="AA312" i="1"/>
  <c r="AA1583" i="1"/>
  <c r="AA311" i="1"/>
  <c r="AA310" i="1"/>
  <c r="AA309" i="1"/>
  <c r="AA639" i="1"/>
  <c r="AA308" i="1"/>
  <c r="AA638" i="1"/>
  <c r="AA307" i="1"/>
  <c r="AA306" i="1"/>
  <c r="AA305" i="1"/>
  <c r="AA304" i="1"/>
  <c r="AA637" i="1"/>
  <c r="AA303" i="1"/>
  <c r="AA1582" i="1"/>
  <c r="AA302" i="1"/>
  <c r="AA301" i="1"/>
  <c r="AA300" i="1"/>
  <c r="AA299" i="1"/>
  <c r="AA1581" i="1"/>
  <c r="AA1312" i="1"/>
  <c r="AA1580" i="1"/>
  <c r="AA298" i="1"/>
  <c r="AA636" i="1"/>
  <c r="AA1311" i="1"/>
  <c r="AA297" i="1"/>
  <c r="AA1310" i="1"/>
  <c r="AA1309" i="1"/>
  <c r="AA1308" i="1"/>
  <c r="AA1579" i="1"/>
  <c r="AA296" i="1"/>
  <c r="AA295" i="1"/>
  <c r="AA1578" i="1"/>
  <c r="AA294" i="1"/>
  <c r="AA293" i="1"/>
  <c r="AA292" i="1"/>
  <c r="AA291" i="1"/>
  <c r="AA1307" i="1"/>
  <c r="AA1577" i="1"/>
  <c r="AA1576" i="1"/>
  <c r="AA1575" i="1"/>
  <c r="AA1306" i="1"/>
  <c r="AA1574" i="1"/>
  <c r="AA1305" i="1"/>
  <c r="AA1304" i="1"/>
  <c r="AA290" i="1"/>
  <c r="AA971" i="1"/>
  <c r="AA1573" i="1"/>
  <c r="AA289" i="1"/>
  <c r="AA288" i="1"/>
  <c r="AA1303" i="1"/>
  <c r="AA1572" i="1"/>
  <c r="AA287" i="1"/>
  <c r="AA286" i="1"/>
  <c r="AA970" i="1"/>
  <c r="AA969" i="1"/>
  <c r="AA1571" i="1"/>
  <c r="AA1302" i="1"/>
  <c r="AA285" i="1"/>
  <c r="AA1570" i="1"/>
  <c r="AA284" i="1"/>
  <c r="AA968" i="1"/>
  <c r="AA283" i="1"/>
  <c r="AA1301" i="1"/>
  <c r="AA967" i="1"/>
  <c r="AA966" i="1"/>
  <c r="AA1300" i="1"/>
  <c r="AA1299" i="1"/>
  <c r="AA282" i="1"/>
  <c r="AA965" i="1"/>
  <c r="AA964" i="1"/>
  <c r="AA281" i="1"/>
  <c r="AA963" i="1"/>
  <c r="AA1298" i="1"/>
  <c r="AA280" i="1"/>
  <c r="AA1297" i="1"/>
  <c r="AA962" i="1"/>
  <c r="AA1296" i="1"/>
  <c r="AA961" i="1"/>
  <c r="AA1569" i="1"/>
  <c r="AA1295" i="1"/>
  <c r="AA1294" i="1"/>
  <c r="AA635" i="1"/>
  <c r="AA1293" i="1"/>
  <c r="AA1292" i="1"/>
  <c r="AA279" i="1"/>
  <c r="AA278" i="1"/>
  <c r="AA960" i="1"/>
  <c r="AA277" i="1"/>
  <c r="AA276" i="1"/>
  <c r="AA1291" i="1"/>
  <c r="AA1290" i="1"/>
  <c r="AA959" i="1"/>
  <c r="AA1568" i="1"/>
  <c r="AA275" i="1"/>
  <c r="AA958" i="1"/>
  <c r="AA1289" i="1"/>
  <c r="AA1288" i="1"/>
  <c r="AA274" i="1"/>
  <c r="AA1287" i="1"/>
  <c r="AA273" i="1"/>
  <c r="AA1286" i="1"/>
  <c r="AA272" i="1"/>
  <c r="AA271" i="1"/>
  <c r="AA634" i="1"/>
  <c r="AA270" i="1"/>
  <c r="AA1285" i="1"/>
  <c r="AA1892" i="1"/>
  <c r="AA633" i="1"/>
  <c r="AA269" i="1"/>
  <c r="AA268" i="1"/>
  <c r="AA1891" i="1"/>
  <c r="AA1284" i="1"/>
  <c r="AA1567" i="1"/>
  <c r="AA632" i="1"/>
  <c r="AA1566" i="1"/>
  <c r="AA1565" i="1"/>
  <c r="AA267" i="1"/>
  <c r="AA1283" i="1"/>
  <c r="AA1282" i="1"/>
  <c r="AA1281" i="1"/>
  <c r="AA631" i="1"/>
  <c r="AA1564" i="1"/>
  <c r="AA630" i="1"/>
  <c r="AA1280" i="1"/>
  <c r="AA1279" i="1"/>
  <c r="AA1890" i="1"/>
  <c r="AA629" i="1"/>
  <c r="AA628" i="1"/>
  <c r="AA627" i="1"/>
  <c r="AA266" i="1"/>
  <c r="AA265" i="1"/>
  <c r="AA1889" i="1"/>
  <c r="AA1278" i="1"/>
  <c r="AA1277" i="1"/>
  <c r="AA1888" i="1"/>
  <c r="AA626" i="1"/>
  <c r="AA625" i="1"/>
  <c r="AA263" i="1"/>
  <c r="AA264" i="1"/>
  <c r="AA624" i="1"/>
  <c r="AA623" i="1"/>
  <c r="AA1563" i="1"/>
  <c r="AA622" i="1"/>
  <c r="AA1887" i="1"/>
  <c r="AA621" i="1"/>
  <c r="AA1562" i="1"/>
  <c r="AA1276" i="1"/>
  <c r="AA620" i="1"/>
  <c r="AA1275" i="1"/>
  <c r="AA1561" i="1"/>
  <c r="AA1274" i="1"/>
  <c r="AA1886" i="1"/>
  <c r="AA619" i="1"/>
  <c r="AA1560" i="1"/>
  <c r="AA957" i="1"/>
  <c r="AA1885" i="1"/>
  <c r="AA262" i="1"/>
  <c r="AA1273" i="1"/>
  <c r="AA618" i="1"/>
  <c r="AA617" i="1"/>
  <c r="AA1559" i="1"/>
  <c r="AA1884" i="1"/>
  <c r="AA1272" i="1"/>
  <c r="AA1271" i="1"/>
  <c r="AA261" i="1"/>
  <c r="AA1883" i="1"/>
  <c r="AA616" i="1"/>
  <c r="AA1270" i="1"/>
  <c r="AA615" i="1"/>
  <c r="AA1269" i="1"/>
  <c r="AA956" i="1"/>
  <c r="AA260" i="1"/>
  <c r="AA1268" i="1"/>
  <c r="AA614" i="1"/>
  <c r="AA613" i="1"/>
  <c r="AA1558" i="1"/>
  <c r="AA612" i="1"/>
  <c r="AA955" i="1"/>
  <c r="AA954" i="1"/>
  <c r="AA1882" i="1"/>
  <c r="AA259" i="1"/>
  <c r="AA1881" i="1"/>
  <c r="AA1267" i="1"/>
  <c r="AA1266" i="1"/>
  <c r="AA611" i="1"/>
  <c r="AA610" i="1"/>
  <c r="AA1265" i="1"/>
  <c r="AA609" i="1"/>
  <c r="AA1557" i="1"/>
  <c r="AA1264" i="1"/>
  <c r="AA258" i="1"/>
  <c r="AA257" i="1"/>
  <c r="AA256" i="1"/>
  <c r="AA953" i="1"/>
  <c r="AA1880" i="1"/>
  <c r="AA608" i="1"/>
  <c r="AA952" i="1"/>
  <c r="AA1263" i="1"/>
  <c r="AA1556" i="1"/>
  <c r="AA1879" i="1"/>
  <c r="AA1878" i="1"/>
  <c r="AA1877" i="1"/>
  <c r="AA607" i="1"/>
  <c r="AA1876" i="1"/>
  <c r="AA255" i="1"/>
  <c r="AA1555" i="1"/>
  <c r="AA606" i="1"/>
  <c r="AA605" i="1"/>
  <c r="AA254" i="1"/>
  <c r="AA951" i="1"/>
  <c r="AA1262" i="1"/>
  <c r="AA604" i="1"/>
  <c r="AA1874" i="1"/>
  <c r="AA1875" i="1"/>
  <c r="AA1873" i="1"/>
  <c r="AA603" i="1"/>
  <c r="AA1872" i="1"/>
  <c r="AA253" i="1"/>
  <c r="AA602" i="1"/>
  <c r="AA1554" i="1"/>
  <c r="AA1261" i="1"/>
  <c r="AA252" i="1"/>
  <c r="AA1871" i="1"/>
  <c r="AA1260" i="1"/>
  <c r="AA601" i="1"/>
  <c r="AA600" i="1"/>
  <c r="AA1553" i="1"/>
  <c r="AA599" i="1"/>
  <c r="AA598" i="1"/>
  <c r="AA1552" i="1"/>
  <c r="AA251" i="1"/>
  <c r="AA250" i="1"/>
  <c r="AA249" i="1"/>
  <c r="AA597" i="1"/>
  <c r="AA950" i="1"/>
  <c r="AA248" i="1"/>
  <c r="AA1259" i="1"/>
  <c r="AA596" i="1"/>
  <c r="AA1870" i="1"/>
  <c r="AA1869" i="1"/>
  <c r="AA595" i="1"/>
  <c r="AA1551" i="1"/>
  <c r="AA1550" i="1"/>
  <c r="AA593" i="1"/>
  <c r="AA594" i="1"/>
  <c r="AA949" i="1"/>
  <c r="AA948" i="1"/>
  <c r="AA1258" i="1"/>
  <c r="AA592" i="1"/>
  <c r="AA247" i="1"/>
  <c r="AA591" i="1"/>
  <c r="AA1868" i="1"/>
  <c r="AA590" i="1"/>
  <c r="AA1549" i="1"/>
  <c r="AA1548" i="1"/>
  <c r="AA589" i="1"/>
  <c r="AA1547" i="1"/>
  <c r="AA246" i="1"/>
  <c r="AA588" i="1"/>
  <c r="AA587" i="1"/>
  <c r="AA1257" i="1"/>
  <c r="AA586" i="1"/>
  <c r="AA585" i="1"/>
  <c r="AA1256" i="1"/>
  <c r="AA947" i="1"/>
  <c r="AA245" i="1"/>
  <c r="AA946" i="1"/>
  <c r="AA1546" i="1"/>
  <c r="AA1255" i="1"/>
  <c r="AA584" i="1"/>
  <c r="AA244" i="1"/>
  <c r="AA243" i="1"/>
  <c r="AA242" i="1"/>
  <c r="AA945" i="1"/>
  <c r="AA583" i="1"/>
  <c r="AA944" i="1"/>
  <c r="AA1545" i="1"/>
  <c r="AA241" i="1"/>
  <c r="AA582" i="1"/>
  <c r="AA1544" i="1"/>
  <c r="AA581" i="1"/>
  <c r="AA1254" i="1"/>
  <c r="AA943" i="1"/>
  <c r="AA240" i="1"/>
  <c r="AA942" i="1"/>
  <c r="AA239" i="1"/>
  <c r="AA1253" i="1"/>
  <c r="AA941" i="1"/>
  <c r="AA940" i="1"/>
  <c r="AA238" i="1"/>
  <c r="AA1543" i="1"/>
  <c r="AA939" i="1"/>
  <c r="AA237" i="1"/>
  <c r="AA1542" i="1"/>
  <c r="AA1252" i="1"/>
  <c r="AA1541" i="1"/>
  <c r="AA1540" i="1"/>
  <c r="AA938" i="1"/>
  <c r="AA1251" i="1"/>
  <c r="AA580" i="1"/>
  <c r="AA236" i="1"/>
  <c r="AA235" i="1"/>
  <c r="AA579" i="1"/>
  <c r="AA1539" i="1"/>
  <c r="AA234" i="1"/>
  <c r="AA1538" i="1"/>
  <c r="AA578" i="1"/>
  <c r="AA1250" i="1"/>
  <c r="AA1537" i="1"/>
  <c r="AA577" i="1"/>
  <c r="AA576" i="1"/>
  <c r="AA1536" i="1"/>
  <c r="AA575" i="1"/>
  <c r="AA1249" i="1"/>
  <c r="AA1248" i="1"/>
  <c r="AA937" i="1"/>
  <c r="AA233" i="1"/>
  <c r="AA574" i="1"/>
  <c r="AA573" i="1"/>
  <c r="AA936" i="1"/>
  <c r="AA935" i="1"/>
  <c r="AA1247" i="1"/>
  <c r="AA572" i="1"/>
  <c r="AA571" i="1"/>
  <c r="AA570" i="1"/>
  <c r="AA934" i="1"/>
  <c r="AA569" i="1"/>
  <c r="AA933" i="1"/>
  <c r="AA568" i="1"/>
  <c r="AA1246" i="1"/>
  <c r="AA932" i="1"/>
  <c r="AA931" i="1"/>
  <c r="AA232" i="1"/>
  <c r="AA567" i="1"/>
  <c r="AA930" i="1"/>
  <c r="AA929" i="1"/>
  <c r="AA566" i="1"/>
  <c r="AA565" i="1"/>
  <c r="AA928" i="1"/>
  <c r="AA1245" i="1"/>
  <c r="AA927" i="1"/>
  <c r="AA926" i="1"/>
  <c r="AA925" i="1"/>
  <c r="AA231" i="1"/>
  <c r="AA230" i="1"/>
  <c r="AA1244" i="1"/>
  <c r="AA924" i="1"/>
  <c r="AA923" i="1"/>
  <c r="AA922" i="1"/>
  <c r="AA1243" i="1"/>
  <c r="AA921" i="1"/>
  <c r="AA920" i="1"/>
  <c r="AA919" i="1"/>
  <c r="AA229" i="1"/>
  <c r="AA918" i="1"/>
  <c r="AA917" i="1"/>
  <c r="AA228" i="1"/>
  <c r="AA226" i="1"/>
  <c r="AA227" i="1"/>
  <c r="AA1242" i="1"/>
  <c r="AA916" i="1"/>
  <c r="AA225" i="1"/>
  <c r="AA915" i="1"/>
  <c r="AA564" i="1"/>
  <c r="AA224" i="1"/>
  <c r="AA563" i="1"/>
  <c r="AA223" i="1"/>
  <c r="AA914" i="1"/>
  <c r="AA913" i="1"/>
  <c r="AA562" i="1"/>
  <c r="AA912" i="1"/>
  <c r="AA911" i="1"/>
  <c r="AA910" i="1"/>
  <c r="AA222" i="1"/>
  <c r="AA909" i="1"/>
  <c r="AA561" i="1"/>
  <c r="AA908" i="1"/>
  <c r="AA560" i="1"/>
  <c r="AA1241" i="1"/>
  <c r="AA907" i="1"/>
  <c r="AA221" i="1"/>
  <c r="AA220" i="1"/>
  <c r="AA1240" i="1"/>
  <c r="AA559" i="1"/>
  <c r="AA1239" i="1"/>
  <c r="AA1238" i="1"/>
  <c r="AA558" i="1"/>
  <c r="AA219" i="1"/>
  <c r="AA557" i="1"/>
  <c r="AA556" i="1"/>
  <c r="AA1237" i="1"/>
  <c r="AA218" i="1"/>
  <c r="AA555" i="1"/>
  <c r="AA906" i="1"/>
  <c r="AA905" i="1"/>
  <c r="AA217" i="1"/>
  <c r="AA216" i="1"/>
  <c r="AA1236" i="1"/>
  <c r="AA1235" i="1"/>
  <c r="AA1234" i="1"/>
  <c r="AA215" i="1"/>
  <c r="AA1233" i="1"/>
  <c r="AA214" i="1"/>
  <c r="AA213" i="1"/>
  <c r="AA904" i="1"/>
  <c r="AA554" i="1"/>
  <c r="AA903" i="1"/>
  <c r="AA902" i="1"/>
  <c r="AA553" i="1"/>
  <c r="AA212" i="1"/>
  <c r="AA211" i="1"/>
  <c r="AA901" i="1"/>
  <c r="AA210" i="1"/>
  <c r="AA900" i="1"/>
  <c r="AA209" i="1"/>
  <c r="AA899" i="1"/>
  <c r="AA1232" i="1"/>
  <c r="AA1231" i="1"/>
  <c r="AA208" i="1"/>
  <c r="AA207" i="1"/>
  <c r="AA1230" i="1"/>
  <c r="AA206" i="1"/>
  <c r="AA205" i="1"/>
  <c r="AA1229" i="1"/>
  <c r="AA204" i="1"/>
  <c r="AA203" i="1"/>
  <c r="AA202" i="1"/>
  <c r="AA201" i="1"/>
  <c r="AA1228" i="1"/>
  <c r="AA200" i="1"/>
  <c r="AA1227" i="1"/>
  <c r="AA1226" i="1"/>
  <c r="AA199" i="1"/>
  <c r="AA1225" i="1"/>
  <c r="AA198" i="1"/>
  <c r="AA552" i="1"/>
  <c r="AA197" i="1"/>
  <c r="AA1224" i="1"/>
  <c r="AA1223" i="1"/>
  <c r="AA898" i="1"/>
  <c r="AA196" i="1"/>
  <c r="AA897" i="1"/>
  <c r="AA195" i="1"/>
  <c r="AA896" i="1"/>
  <c r="AA1222" i="1"/>
  <c r="AA1221" i="1"/>
  <c r="AA1220" i="1"/>
  <c r="AA194" i="1"/>
  <c r="AA193" i="1"/>
  <c r="AA192" i="1"/>
  <c r="AA1219" i="1"/>
  <c r="AA191" i="1"/>
  <c r="AA1218" i="1"/>
  <c r="AA551" i="1"/>
  <c r="AA190" i="1"/>
  <c r="AA189" i="1"/>
  <c r="AA895" i="1"/>
  <c r="AA188" i="1"/>
  <c r="AA187" i="1"/>
  <c r="AA894" i="1"/>
  <c r="AA186" i="1"/>
  <c r="AA893" i="1"/>
  <c r="AA185" i="1"/>
  <c r="AA184" i="1"/>
  <c r="AA183" i="1"/>
  <c r="AA182" i="1"/>
  <c r="AA892" i="1"/>
  <c r="AA891" i="1"/>
  <c r="AA1217" i="1"/>
  <c r="AA890" i="1"/>
  <c r="AA181" i="1"/>
  <c r="AA550" i="1"/>
  <c r="AA180" i="1"/>
  <c r="AA1216" i="1"/>
  <c r="AA179" i="1"/>
  <c r="AA549" i="1"/>
  <c r="AA548" i="1"/>
  <c r="AA547" i="1"/>
  <c r="AA546" i="1"/>
  <c r="AA545" i="1"/>
  <c r="AA178" i="1"/>
  <c r="AA544" i="1"/>
  <c r="AA889" i="1"/>
  <c r="AA1215" i="1"/>
  <c r="AA177" i="1"/>
  <c r="AA543" i="1"/>
  <c r="AA1214" i="1"/>
  <c r="AA176" i="1"/>
  <c r="AA175" i="1"/>
  <c r="AA542" i="1"/>
  <c r="AA174" i="1"/>
  <c r="AA173" i="1"/>
  <c r="AA541" i="1"/>
  <c r="AA172" i="1"/>
  <c r="AA171" i="1"/>
  <c r="AA1213" i="1"/>
  <c r="AA1212" i="1"/>
  <c r="AA540" i="1"/>
  <c r="AA170" i="1"/>
  <c r="AA1211" i="1"/>
  <c r="AA169" i="1"/>
  <c r="AA539" i="1"/>
  <c r="AA1210" i="1"/>
  <c r="AA168" i="1"/>
  <c r="AA538" i="1"/>
  <c r="AA537" i="1"/>
  <c r="AA1209" i="1"/>
  <c r="AA536" i="1"/>
  <c r="AA535" i="1"/>
  <c r="AA167" i="1"/>
  <c r="AA166" i="1"/>
  <c r="AA888" i="1"/>
  <c r="AA534" i="1"/>
  <c r="AA165" i="1"/>
  <c r="AA533" i="1"/>
  <c r="AA164" i="1"/>
  <c r="AA1208" i="1"/>
  <c r="AA1207" i="1"/>
  <c r="AA1535" i="1"/>
  <c r="AA532" i="1"/>
  <c r="AA163" i="1"/>
  <c r="AA162" i="1"/>
  <c r="AA531" i="1"/>
  <c r="AA530" i="1"/>
  <c r="AA529" i="1"/>
  <c r="AA1206" i="1"/>
  <c r="AA1534" i="1"/>
  <c r="AA1205" i="1"/>
  <c r="AA161" i="1"/>
  <c r="AA160" i="1"/>
  <c r="AA1204" i="1"/>
  <c r="AA1203" i="1"/>
  <c r="AA528" i="1"/>
  <c r="AA159" i="1"/>
  <c r="AA1202" i="1"/>
  <c r="AA1533" i="1"/>
  <c r="AA887" i="1"/>
  <c r="AA1532" i="1"/>
  <c r="AA158" i="1"/>
  <c r="AA1201" i="1"/>
  <c r="AA156" i="1"/>
  <c r="AA157" i="1"/>
  <c r="AA1200" i="1"/>
  <c r="AA886" i="1"/>
  <c r="AA527" i="1"/>
  <c r="AA155" i="1"/>
  <c r="AA526" i="1"/>
  <c r="AA885" i="1"/>
  <c r="AA525" i="1"/>
  <c r="AA524" i="1"/>
  <c r="AA154" i="1"/>
  <c r="AA1199" i="1"/>
  <c r="AA153" i="1"/>
  <c r="AA152" i="1"/>
  <c r="AA523" i="1"/>
  <c r="AA1198" i="1"/>
  <c r="AA1197" i="1"/>
  <c r="AA150" i="1"/>
  <c r="AA151" i="1"/>
  <c r="AA522" i="1"/>
  <c r="AA884" i="1"/>
  <c r="AA1531" i="1"/>
  <c r="AA1196" i="1"/>
  <c r="AA521" i="1"/>
  <c r="AA520" i="1"/>
  <c r="AA149" i="1"/>
  <c r="AA148" i="1"/>
  <c r="AA883" i="1"/>
  <c r="AA1530" i="1"/>
  <c r="AA147" i="1"/>
  <c r="AA1529" i="1"/>
  <c r="AA1528" i="1"/>
  <c r="AA1195" i="1"/>
  <c r="AA519" i="1"/>
  <c r="AA146" i="1"/>
  <c r="AA1527" i="1"/>
  <c r="AA518" i="1"/>
  <c r="AA517" i="1"/>
  <c r="AA882" i="1"/>
  <c r="AA516" i="1"/>
  <c r="AA145" i="1"/>
  <c r="AA1526" i="1"/>
  <c r="AA515" i="1"/>
  <c r="AA514" i="1"/>
  <c r="AA513" i="1"/>
  <c r="AA1525" i="1"/>
  <c r="AA512" i="1"/>
  <c r="AA144" i="1"/>
  <c r="AA1194" i="1"/>
  <c r="AA511" i="1"/>
  <c r="AA510" i="1"/>
  <c r="AA1193" i="1"/>
  <c r="AA509" i="1"/>
  <c r="AA881" i="1"/>
  <c r="AA508" i="1"/>
  <c r="AA507" i="1"/>
  <c r="AA506" i="1"/>
  <c r="AA505" i="1"/>
  <c r="AA504" i="1"/>
  <c r="AA1192" i="1"/>
  <c r="AA143" i="1"/>
  <c r="AA502" i="1"/>
  <c r="AA503" i="1"/>
  <c r="AA1524" i="1"/>
  <c r="AA1523" i="1"/>
  <c r="AA142" i="1"/>
  <c r="AA880" i="1"/>
  <c r="AA1522" i="1"/>
  <c r="AA879" i="1"/>
  <c r="AA1191" i="1"/>
  <c r="AA141" i="1"/>
  <c r="AA501" i="1"/>
  <c r="AA140" i="1"/>
  <c r="AA1190" i="1"/>
  <c r="AA1521" i="1"/>
  <c r="AA139" i="1"/>
  <c r="AA500" i="1"/>
  <c r="AA878" i="1"/>
  <c r="AA499" i="1"/>
  <c r="AA138" i="1"/>
  <c r="AA137" i="1"/>
  <c r="AA877" i="1"/>
  <c r="AA876" i="1"/>
  <c r="AA875" i="1"/>
  <c r="AA498" i="1"/>
  <c r="AA1189" i="1"/>
  <c r="AA497" i="1"/>
  <c r="AA136" i="1"/>
  <c r="AA496" i="1"/>
  <c r="AA874" i="1"/>
  <c r="AA495" i="1"/>
  <c r="AA494" i="1"/>
  <c r="AA493" i="1"/>
  <c r="AA873" i="1"/>
  <c r="AA135" i="1"/>
  <c r="AA492" i="1"/>
  <c r="AA872" i="1"/>
  <c r="AA871" i="1"/>
  <c r="AA1520" i="1"/>
  <c r="AA870" i="1"/>
  <c r="AA134" i="1"/>
  <c r="AA133" i="1"/>
  <c r="AA1188" i="1"/>
  <c r="AA491" i="1"/>
  <c r="AA490" i="1"/>
  <c r="AA869" i="1"/>
  <c r="AA132" i="1"/>
  <c r="AA489" i="1"/>
  <c r="AA488" i="1"/>
  <c r="AA487" i="1"/>
  <c r="AA868" i="1"/>
  <c r="AA486" i="1"/>
  <c r="AA131" i="1"/>
  <c r="AA1519" i="1"/>
  <c r="AA485" i="1"/>
  <c r="AA484" i="1"/>
  <c r="AA1187" i="1"/>
  <c r="AA483" i="1"/>
  <c r="AA867" i="1"/>
  <c r="AA130" i="1"/>
  <c r="AA482" i="1"/>
  <c r="AA129" i="1"/>
  <c r="AA866" i="1"/>
  <c r="AA481" i="1"/>
  <c r="AA128" i="1"/>
  <c r="AA127" i="1"/>
  <c r="AA126" i="1"/>
  <c r="AA125" i="1"/>
  <c r="AA865" i="1"/>
  <c r="AA480" i="1"/>
  <c r="AA864" i="1"/>
  <c r="AA479" i="1"/>
  <c r="AA124" i="1"/>
  <c r="AA478" i="1"/>
  <c r="AA1186" i="1"/>
  <c r="AA123" i="1"/>
  <c r="AA122" i="1"/>
  <c r="AA121" i="1"/>
  <c r="AA477" i="1"/>
  <c r="AA476" i="1"/>
  <c r="AA1518" i="1"/>
  <c r="AA475" i="1"/>
  <c r="AA863" i="1"/>
  <c r="AA1517" i="1"/>
  <c r="AA474" i="1"/>
  <c r="AA862" i="1"/>
  <c r="AA861" i="1"/>
  <c r="AA473" i="1"/>
  <c r="AA120" i="1"/>
  <c r="AA860" i="1"/>
  <c r="AA472" i="1"/>
  <c r="AA119" i="1"/>
  <c r="AA471" i="1"/>
  <c r="AA118" i="1"/>
  <c r="AA470" i="1"/>
  <c r="AA117" i="1"/>
  <c r="AA116" i="1"/>
  <c r="AA115" i="1"/>
  <c r="AA469" i="1"/>
  <c r="AA114" i="1"/>
  <c r="AA859" i="1"/>
  <c r="AA113" i="1"/>
  <c r="AA112" i="1"/>
  <c r="AA468" i="1"/>
  <c r="AA111" i="1"/>
  <c r="AA858" i="1"/>
  <c r="AA1516" i="1"/>
  <c r="AA110" i="1"/>
  <c r="AA467" i="1"/>
  <c r="AA1867" i="1"/>
  <c r="AA466" i="1"/>
  <c r="AA109" i="1"/>
  <c r="AA108" i="1"/>
  <c r="AA465" i="1"/>
  <c r="AA107" i="1"/>
  <c r="AA106" i="1"/>
  <c r="AA857" i="1"/>
  <c r="AA105" i="1"/>
  <c r="AA104" i="1"/>
  <c r="AA103" i="1"/>
  <c r="AA856" i="1"/>
  <c r="AA102" i="1"/>
  <c r="AA101" i="1"/>
  <c r="AA464" i="1"/>
  <c r="AA100" i="1"/>
  <c r="AA855" i="1"/>
  <c r="AA99" i="1"/>
  <c r="AA98" i="1"/>
  <c r="AA97" i="1"/>
  <c r="AA854" i="1"/>
  <c r="AA463" i="1"/>
  <c r="AA462" i="1"/>
  <c r="AA853" i="1"/>
  <c r="AA461" i="1"/>
  <c r="AA96" i="1"/>
  <c r="AA460" i="1"/>
  <c r="AA95" i="1"/>
  <c r="AA459" i="1"/>
  <c r="AA458" i="1"/>
  <c r="AA852" i="1"/>
  <c r="AA851" i="1"/>
  <c r="AA850" i="1"/>
  <c r="AA94" i="1"/>
  <c r="AA457" i="1"/>
  <c r="AA93" i="1"/>
  <c r="AA849" i="1"/>
  <c r="AA456" i="1"/>
  <c r="AA91" i="1"/>
  <c r="AA92" i="1"/>
  <c r="AA90" i="1"/>
  <c r="AA848" i="1"/>
  <c r="AA89" i="1"/>
  <c r="AA88" i="1"/>
  <c r="AA455" i="1"/>
  <c r="AA454" i="1"/>
  <c r="AA847" i="1"/>
  <c r="AA453" i="1"/>
  <c r="AA87" i="1"/>
  <c r="AA452" i="1"/>
  <c r="AA451" i="1"/>
  <c r="AA86" i="1"/>
  <c r="AA846" i="1"/>
  <c r="AA845" i="1"/>
  <c r="AA450" i="1"/>
  <c r="AA85" i="1"/>
  <c r="AA449" i="1"/>
  <c r="AA1515" i="1"/>
  <c r="AA1514" i="1"/>
  <c r="AA844" i="1"/>
  <c r="AA843" i="1"/>
  <c r="AA84" i="1"/>
  <c r="AA1185" i="1"/>
  <c r="AA842" i="1"/>
  <c r="AA448" i="1"/>
  <c r="AA841" i="1"/>
  <c r="AA447" i="1"/>
  <c r="AA840" i="1"/>
  <c r="AA1866" i="1"/>
  <c r="AA83" i="1"/>
  <c r="AA82" i="1"/>
  <c r="AA1184" i="1"/>
  <c r="AA1865" i="1"/>
  <c r="AA446" i="1"/>
  <c r="AA81" i="1"/>
  <c r="AA80" i="1"/>
  <c r="AA1513" i="1"/>
  <c r="AA445" i="1"/>
  <c r="AA79" i="1"/>
  <c r="AA78" i="1"/>
  <c r="AA77" i="1"/>
  <c r="AA76" i="1"/>
  <c r="AA839" i="1"/>
  <c r="AA444" i="1"/>
  <c r="AA1512" i="1"/>
  <c r="AA1864" i="1"/>
  <c r="AA75" i="1"/>
  <c r="AA74" i="1"/>
  <c r="AA443" i="1"/>
  <c r="AA73" i="1"/>
  <c r="AA442" i="1"/>
  <c r="AA1863" i="1"/>
  <c r="AA72" i="1"/>
  <c r="AA71" i="1"/>
  <c r="AA70" i="1"/>
  <c r="AA1862" i="1"/>
  <c r="AA69" i="1"/>
  <c r="AA441" i="1"/>
  <c r="AA440" i="1"/>
  <c r="AA68" i="1"/>
  <c r="AA67" i="1"/>
  <c r="AA66" i="1"/>
  <c r="AA1511" i="1"/>
  <c r="AA65" i="1"/>
  <c r="AA838" i="1"/>
  <c r="AA439" i="1"/>
  <c r="AA1861" i="1"/>
  <c r="AA438" i="1"/>
  <c r="AA1860" i="1"/>
  <c r="AA1859" i="1"/>
  <c r="AA64" i="1"/>
  <c r="AA437" i="1"/>
  <c r="AA1183" i="1"/>
  <c r="AA436" i="1"/>
  <c r="AA63" i="1"/>
  <c r="AA1858" i="1"/>
  <c r="AA837" i="1"/>
  <c r="AA1857" i="1"/>
  <c r="AA435" i="1"/>
  <c r="AA434" i="1"/>
  <c r="AA1510" i="1"/>
  <c r="AA1182" i="1"/>
  <c r="AA433" i="1"/>
  <c r="AA62" i="1"/>
  <c r="AA61" i="1"/>
  <c r="AA836" i="1"/>
  <c r="AA835" i="1"/>
  <c r="AA60" i="1"/>
  <c r="AA1856" i="1"/>
  <c r="AA432" i="1"/>
  <c r="AA431" i="1"/>
  <c r="AA1509" i="1"/>
  <c r="AA1508" i="1"/>
  <c r="AA1855" i="1"/>
  <c r="AA59" i="1"/>
  <c r="AA430" i="1"/>
  <c r="AA58" i="1"/>
  <c r="AA57" i="1"/>
  <c r="AA1854" i="1"/>
  <c r="AA834" i="1"/>
  <c r="AA1853" i="1"/>
  <c r="AA1852" i="1"/>
  <c r="AA1851" i="1"/>
  <c r="AA1850" i="1"/>
  <c r="AA1849" i="1"/>
  <c r="AA1848" i="1"/>
  <c r="AA1507" i="1"/>
  <c r="AA56" i="1"/>
  <c r="AA429" i="1"/>
  <c r="AA1506" i="1"/>
  <c r="AA55" i="1"/>
  <c r="AA54" i="1"/>
  <c r="AA53" i="1"/>
  <c r="AA833" i="1"/>
  <c r="AA1847" i="1"/>
  <c r="AA52" i="1"/>
  <c r="AA51" i="1"/>
  <c r="AA1846" i="1"/>
  <c r="AA50" i="1"/>
  <c r="AA428" i="1"/>
  <c r="AA1845" i="1"/>
  <c r="AA1505" i="1"/>
  <c r="AA427" i="1"/>
  <c r="AA426" i="1"/>
  <c r="AA1844" i="1"/>
  <c r="AA425" i="1"/>
  <c r="AA49" i="1"/>
  <c r="AA424" i="1"/>
  <c r="AA48" i="1"/>
  <c r="AA832" i="1"/>
  <c r="AA47" i="1"/>
  <c r="AA1181" i="1"/>
  <c r="AA423" i="1"/>
  <c r="AA1843" i="1"/>
  <c r="AA46" i="1"/>
  <c r="AA1504" i="1"/>
  <c r="AA422" i="1"/>
  <c r="AA1180" i="1"/>
  <c r="AA45" i="1"/>
  <c r="AA1842" i="1"/>
  <c r="AA831" i="1"/>
  <c r="AA421" i="1"/>
  <c r="AA1503" i="1"/>
  <c r="AA44" i="1"/>
  <c r="AA1179" i="1"/>
  <c r="AA43" i="1"/>
  <c r="AA830" i="1"/>
  <c r="AA420" i="1"/>
  <c r="AA419" i="1"/>
  <c r="AA1502" i="1"/>
  <c r="AA418" i="1"/>
  <c r="AA417" i="1"/>
  <c r="AA416" i="1"/>
  <c r="AA415" i="1"/>
  <c r="AA1501" i="1"/>
  <c r="AA42" i="1"/>
  <c r="AA414" i="1"/>
  <c r="AA41" i="1"/>
  <c r="AA829" i="1"/>
  <c r="AA1178" i="1"/>
  <c r="AA1500" i="1"/>
  <c r="AA40" i="1"/>
  <c r="AA413" i="1"/>
  <c r="AA412" i="1"/>
  <c r="AA39" i="1"/>
  <c r="AA1499" i="1"/>
  <c r="AA1498" i="1"/>
  <c r="AA411" i="1"/>
  <c r="AA410" i="1"/>
  <c r="AA828" i="1"/>
  <c r="AA409" i="1"/>
  <c r="AA408" i="1"/>
  <c r="AA1177" i="1"/>
  <c r="AA407" i="1"/>
  <c r="AA406" i="1"/>
  <c r="AA405" i="1"/>
  <c r="AA1497" i="1"/>
  <c r="AA38" i="1"/>
  <c r="AA827" i="1"/>
  <c r="AA37" i="1"/>
  <c r="AA404" i="1"/>
  <c r="AA403" i="1"/>
  <c r="AA1176" i="1"/>
  <c r="AA1175" i="1"/>
  <c r="AA1496" i="1"/>
  <c r="AA402" i="1"/>
  <c r="AA36" i="1"/>
  <c r="AA1174" i="1"/>
  <c r="AA401" i="1"/>
  <c r="AA1495" i="1"/>
  <c r="AA1494" i="1"/>
  <c r="AA1173" i="1"/>
  <c r="AA826" i="1"/>
  <c r="AA1172" i="1"/>
  <c r="AA400" i="1"/>
  <c r="AA1841" i="1"/>
  <c r="AA825" i="1"/>
  <c r="AA1171" i="1"/>
  <c r="AA1840" i="1"/>
  <c r="AA399" i="1"/>
  <c r="AA1170" i="1"/>
  <c r="AA1169" i="1"/>
  <c r="AA1168" i="1"/>
  <c r="AA1167" i="1"/>
  <c r="AA398" i="1"/>
  <c r="AA397" i="1"/>
  <c r="AA1493" i="1"/>
  <c r="AA824" i="1"/>
  <c r="AA823" i="1"/>
  <c r="AA822" i="1"/>
  <c r="AA1166" i="1"/>
  <c r="AA396" i="1"/>
  <c r="AA1165" i="1"/>
  <c r="AA395" i="1"/>
  <c r="AA1164" i="1"/>
  <c r="AA394" i="1"/>
  <c r="AA393" i="1"/>
  <c r="AA821" i="1"/>
  <c r="AA35" i="1"/>
  <c r="AA392" i="1"/>
  <c r="AA34" i="1"/>
  <c r="AA1163" i="1"/>
  <c r="AA1162" i="1"/>
  <c r="AA391" i="1"/>
  <c r="AA1161" i="1"/>
  <c r="AA820" i="1"/>
  <c r="AA390" i="1"/>
  <c r="AA389" i="1"/>
  <c r="AA388" i="1"/>
  <c r="AA1160" i="1"/>
  <c r="AA1492" i="1"/>
  <c r="AA819" i="1"/>
  <c r="AA817" i="1"/>
  <c r="AA818" i="1"/>
  <c r="AA1159" i="1"/>
  <c r="AA816" i="1"/>
  <c r="AA33" i="1"/>
  <c r="AA1839" i="1"/>
  <c r="AA387" i="1"/>
  <c r="AA386" i="1"/>
  <c r="AA1158" i="1"/>
  <c r="AA815" i="1"/>
  <c r="AA1157" i="1"/>
  <c r="AA814" i="1"/>
  <c r="AA1491" i="1"/>
  <c r="AA385" i="1"/>
  <c r="AA384" i="1"/>
  <c r="AA383" i="1"/>
  <c r="AA1838" i="1"/>
  <c r="AA382" i="1"/>
  <c r="AA1156" i="1"/>
  <c r="AA813" i="1"/>
  <c r="AA1155" i="1"/>
  <c r="AA812" i="1"/>
  <c r="AA1490" i="1"/>
  <c r="AA1154" i="1"/>
  <c r="AA381" i="1"/>
  <c r="AA811" i="1"/>
  <c r="AA380" i="1"/>
  <c r="AA810" i="1"/>
  <c r="AA1489" i="1"/>
  <c r="AA379" i="1"/>
  <c r="AA1153" i="1"/>
  <c r="AA1152" i="1"/>
  <c r="AA1151" i="1"/>
  <c r="AA378" i="1"/>
  <c r="AA1150" i="1"/>
  <c r="AA809" i="1"/>
  <c r="AA377" i="1"/>
  <c r="AA1149" i="1"/>
  <c r="AA376" i="1"/>
  <c r="AA375" i="1"/>
  <c r="AA1148" i="1"/>
  <c r="AA374" i="1"/>
  <c r="AA373" i="1"/>
  <c r="AA372" i="1"/>
  <c r="AA1147" i="1"/>
  <c r="AA1146" i="1"/>
  <c r="AA808" i="1"/>
  <c r="AA1488" i="1"/>
  <c r="AA807" i="1"/>
  <c r="AA806" i="1"/>
  <c r="AA1145" i="1"/>
  <c r="AA371" i="1"/>
  <c r="AA370" i="1"/>
  <c r="AA805" i="1"/>
  <c r="AA1487" i="1"/>
  <c r="AA1837" i="1"/>
  <c r="AA1486" i="1"/>
  <c r="AA369" i="1"/>
  <c r="AA804" i="1"/>
  <c r="AA803" i="1"/>
  <c r="AA1144" i="1"/>
  <c r="AA1143" i="1"/>
  <c r="AA1836" i="1"/>
  <c r="AA1485" i="1"/>
  <c r="AA1835" i="1"/>
  <c r="AA1484" i="1"/>
  <c r="AA1483" i="1"/>
  <c r="AA1142" i="1"/>
  <c r="AA1482" i="1"/>
  <c r="AA1481" i="1"/>
  <c r="AA802" i="1"/>
  <c r="AA1141" i="1"/>
  <c r="AA1140" i="1"/>
  <c r="AA1139" i="1"/>
  <c r="AA1480" i="1"/>
  <c r="AA801" i="1"/>
  <c r="AA1834" i="1"/>
  <c r="AA1833" i="1"/>
  <c r="AA800" i="1"/>
  <c r="AA1138" i="1"/>
  <c r="AA368" i="1"/>
  <c r="AA1832" i="1"/>
  <c r="AA1479" i="1"/>
  <c r="AA1137" i="1"/>
  <c r="AA367" i="1"/>
  <c r="AA1831" i="1"/>
  <c r="AA1136" i="1"/>
  <c r="AA1478" i="1"/>
  <c r="AA799" i="1"/>
  <c r="AA1830" i="1"/>
  <c r="AA1477" i="1"/>
  <c r="AA366" i="1"/>
  <c r="AA365" i="1"/>
  <c r="AA364" i="1"/>
  <c r="AA1476" i="1"/>
  <c r="AA1829" i="1"/>
  <c r="AA1135" i="1"/>
  <c r="AA798" i="1"/>
  <c r="AA1475" i="1"/>
  <c r="AA1828" i="1"/>
  <c r="AA1827" i="1"/>
  <c r="AA1474" i="1"/>
  <c r="AA363" i="1"/>
  <c r="AA1473" i="1"/>
  <c r="AA1826" i="1"/>
  <c r="AA1134" i="1"/>
  <c r="AA1133" i="1"/>
  <c r="AA1825" i="1"/>
  <c r="AA1132" i="1"/>
  <c r="AA797" i="1"/>
  <c r="AA796" i="1"/>
  <c r="AA1824" i="1"/>
  <c r="AA1823" i="1"/>
  <c r="AA362" i="1"/>
  <c r="AA1131" i="1"/>
  <c r="AA1130" i="1"/>
  <c r="AA1129" i="1"/>
  <c r="AA1128" i="1"/>
  <c r="AA1127" i="1"/>
  <c r="AA1126" i="1"/>
  <c r="AA1822" i="1"/>
  <c r="AA795" i="1"/>
  <c r="AA1125" i="1"/>
  <c r="AA1124" i="1"/>
  <c r="AA1472" i="1"/>
  <c r="AA1821" i="1"/>
  <c r="AA361" i="1"/>
  <c r="AA794" i="1"/>
  <c r="AA1123" i="1"/>
  <c r="AA1471" i="1"/>
  <c r="AA1470" i="1"/>
  <c r="AA1122" i="1"/>
  <c r="AA1121" i="1"/>
  <c r="AA1469" i="1"/>
  <c r="AA793" i="1"/>
  <c r="AA1468" i="1"/>
  <c r="AA1120" i="1"/>
  <c r="AA1820" i="1"/>
  <c r="AA1467" i="1"/>
  <c r="AA1119" i="1"/>
  <c r="AA792" i="1"/>
  <c r="AA1466" i="1"/>
  <c r="AA791" i="1"/>
  <c r="AA790" i="1"/>
  <c r="AA1465" i="1"/>
  <c r="AA1118" i="1"/>
  <c r="AA1117" i="1"/>
  <c r="AA360" i="1"/>
  <c r="AA1116" i="1"/>
  <c r="AA1464" i="1"/>
  <c r="AA1115" i="1"/>
  <c r="AA789" i="1"/>
  <c r="AA1114" i="1"/>
  <c r="AA1819" i="1"/>
  <c r="AA359" i="1"/>
  <c r="AA1113" i="1"/>
  <c r="AA1112" i="1"/>
  <c r="AA788" i="1"/>
  <c r="AA1111" i="1"/>
  <c r="AA787" i="1"/>
  <c r="AA786" i="1"/>
  <c r="AA785" i="1"/>
  <c r="AA1463" i="1"/>
  <c r="AA1110" i="1"/>
  <c r="AA1109" i="1"/>
  <c r="AA1108" i="1"/>
  <c r="AA784" i="1"/>
  <c r="AA1818" i="1"/>
  <c r="AA1107" i="1"/>
  <c r="AA783" i="1"/>
  <c r="AA1462" i="1"/>
  <c r="AA1106" i="1"/>
  <c r="AA782" i="1"/>
  <c r="AA1817" i="1"/>
  <c r="AA781" i="1"/>
  <c r="AA1105" i="1"/>
  <c r="AA1104" i="1"/>
  <c r="AA1103" i="1"/>
  <c r="AA780" i="1"/>
  <c r="AA1102" i="1"/>
  <c r="AA1461" i="1"/>
  <c r="AA779" i="1"/>
  <c r="AA778" i="1"/>
  <c r="AA1101" i="1"/>
  <c r="AA777" i="1"/>
  <c r="AA1100" i="1"/>
  <c r="AA1099" i="1"/>
  <c r="AA1816" i="1"/>
  <c r="AA776" i="1"/>
  <c r="AA775" i="1"/>
  <c r="AA32" i="1"/>
  <c r="AA774" i="1"/>
  <c r="AA773" i="1"/>
  <c r="AA1098" i="1"/>
  <c r="AA1460" i="1"/>
  <c r="AA1097" i="1"/>
  <c r="AA1096" i="1"/>
  <c r="AA772" i="1"/>
  <c r="AA1095" i="1"/>
  <c r="AA1094" i="1"/>
  <c r="AA1459" i="1"/>
  <c r="AA771" i="1"/>
  <c r="AA770" i="1"/>
  <c r="AA769" i="1"/>
  <c r="AA768" i="1"/>
  <c r="AA31" i="1"/>
  <c r="AA1458" i="1"/>
  <c r="AA767" i="1"/>
  <c r="AA1093" i="1"/>
  <c r="AA766" i="1"/>
  <c r="AA1457" i="1"/>
  <c r="AA1092" i="1"/>
  <c r="AA1456" i="1"/>
  <c r="AA1815" i="1"/>
  <c r="AA1091" i="1"/>
  <c r="AA1455" i="1"/>
  <c r="AA765" i="1"/>
  <c r="AA30" i="1"/>
  <c r="AA1814" i="1"/>
  <c r="AA1454" i="1"/>
  <c r="AA1813" i="1"/>
  <c r="AA1090" i="1"/>
  <c r="AA29" i="1"/>
  <c r="AA28" i="1"/>
  <c r="AA764" i="1"/>
  <c r="AA1453" i="1"/>
  <c r="AA1089" i="1"/>
  <c r="AA1812" i="1"/>
  <c r="AA763" i="1"/>
  <c r="AA1452" i="1"/>
  <c r="AA1451" i="1"/>
  <c r="AA1450" i="1"/>
  <c r="AA27" i="1"/>
  <c r="AA358" i="1"/>
  <c r="AA762" i="1"/>
  <c r="AA761" i="1"/>
  <c r="AA1088" i="1"/>
  <c r="AA760" i="1"/>
  <c r="AA1087" i="1"/>
  <c r="AA26" i="1"/>
  <c r="AA25" i="1"/>
  <c r="AA1811" i="1"/>
  <c r="AA1449" i="1"/>
  <c r="AA24" i="1"/>
  <c r="AA759" i="1"/>
  <c r="AA1810" i="1"/>
  <c r="AA1809" i="1"/>
  <c r="AA758" i="1"/>
  <c r="AA1086" i="1"/>
  <c r="AA1808" i="1"/>
  <c r="AA23" i="1"/>
  <c r="AA1807" i="1"/>
  <c r="AA1085" i="1"/>
  <c r="AA1084" i="1"/>
  <c r="AA1083" i="1"/>
  <c r="AA1082" i="1"/>
  <c r="AA757" i="1"/>
  <c r="AA22" i="1"/>
  <c r="AA1081" i="1"/>
  <c r="AA756" i="1"/>
  <c r="AA755" i="1"/>
  <c r="AA1080" i="1"/>
  <c r="AA754" i="1"/>
  <c r="AA357" i="1"/>
  <c r="AA356" i="1"/>
  <c r="AA21" i="1"/>
  <c r="AA753" i="1"/>
  <c r="AA355" i="1"/>
  <c r="AA1806" i="1"/>
  <c r="AA354" i="1"/>
  <c r="AA1448" i="1"/>
  <c r="AA752" i="1"/>
  <c r="AA1079" i="1"/>
  <c r="AA751" i="1"/>
  <c r="AA20" i="1"/>
  <c r="AA1078" i="1"/>
  <c r="AA19" i="1"/>
  <c r="AA750" i="1"/>
  <c r="AA1077" i="1"/>
  <c r="AA749" i="1"/>
  <c r="AA748" i="1"/>
  <c r="AA18" i="1"/>
  <c r="AA1805" i="1"/>
  <c r="AA17" i="1"/>
  <c r="AA747" i="1"/>
  <c r="AA353" i="1"/>
  <c r="AA16" i="1"/>
  <c r="AA1076" i="1"/>
  <c r="AA1447" i="1"/>
  <c r="AA1075" i="1"/>
  <c r="AA1074" i="1"/>
  <c r="AA352" i="1"/>
  <c r="AA15" i="1"/>
  <c r="AA14" i="1"/>
  <c r="AA746" i="1"/>
  <c r="AA745" i="1"/>
  <c r="AA744" i="1"/>
  <c r="AA351" i="1"/>
  <c r="AA13" i="1"/>
  <c r="AA350" i="1"/>
  <c r="AA743" i="1"/>
  <c r="AA349" i="1"/>
  <c r="AA742" i="1"/>
  <c r="AA1446" i="1"/>
  <c r="AA1073" i="1"/>
  <c r="AA741" i="1"/>
  <c r="AA12" i="1"/>
  <c r="AA348" i="1"/>
  <c r="AA740" i="1"/>
  <c r="AA739" i="1"/>
  <c r="AA11" i="1"/>
  <c r="AA1072" i="1"/>
  <c r="AA1071" i="1"/>
  <c r="AA1070" i="1"/>
  <c r="AA738" i="1"/>
  <c r="AA10" i="1"/>
  <c r="AA737" i="1"/>
  <c r="AA1069" i="1"/>
  <c r="AA736" i="1"/>
  <c r="AA1068" i="1"/>
  <c r="AA9" i="1"/>
  <c r="AA735" i="1"/>
  <c r="AA1445" i="1"/>
  <c r="AA733" i="1"/>
  <c r="AA734" i="1"/>
  <c r="AA732" i="1"/>
  <c r="AA731" i="1"/>
  <c r="AA347" i="1"/>
  <c r="AA1067" i="1"/>
  <c r="AA1804" i="1"/>
  <c r="AA730" i="1"/>
  <c r="AA729" i="1"/>
  <c r="AA1066" i="1"/>
  <c r="AA728" i="1"/>
  <c r="AA1065" i="1"/>
  <c r="AA346" i="1"/>
  <c r="AA726" i="1"/>
  <c r="AA727" i="1"/>
  <c r="AA1064" i="1"/>
  <c r="AA1063" i="1"/>
  <c r="AA8" i="1"/>
  <c r="AA1062" i="1"/>
  <c r="AA345" i="1"/>
  <c r="AA725" i="1"/>
  <c r="AA1061" i="1"/>
  <c r="AA1060" i="1"/>
  <c r="AA1803" i="1"/>
  <c r="AA724" i="1"/>
  <c r="AA723" i="1"/>
  <c r="AA722" i="1"/>
  <c r="AA1802" i="1"/>
  <c r="AA721" i="1"/>
  <c r="AA1059" i="1"/>
  <c r="AA1801" i="1"/>
  <c r="AA720" i="1"/>
  <c r="AA7" i="1"/>
  <c r="AA1800" i="1"/>
  <c r="AA719" i="1"/>
  <c r="AA718" i="1"/>
  <c r="AA1799" i="1"/>
  <c r="AA1444" i="1"/>
  <c r="AA344" i="1"/>
  <c r="AA1058" i="1"/>
  <c r="AA6" i="1"/>
  <c r="AA717" i="1"/>
  <c r="AA343" i="1"/>
  <c r="AA716" i="1"/>
  <c r="AA715" i="1"/>
  <c r="AA5" i="1"/>
  <c r="AA342" i="1"/>
  <c r="AA4" i="1"/>
  <c r="AA1443" i="1"/>
  <c r="AA3" i="1"/>
  <c r="AA714" i="1"/>
  <c r="AA713" i="1"/>
  <c r="AA712" i="1"/>
  <c r="AA1442" i="1"/>
  <c r="AA711" i="1"/>
  <c r="AA1057" i="1"/>
  <c r="AA1441" i="1"/>
  <c r="AA710" i="1"/>
  <c r="AA709" i="1"/>
  <c r="AA1440" i="1"/>
  <c r="AA1798" i="1"/>
  <c r="AA341" i="1"/>
  <c r="AA1797" i="1"/>
  <c r="AA708" i="1"/>
  <c r="AA340" i="1"/>
  <c r="AA707" i="1"/>
  <c r="AA706" i="1"/>
  <c r="AA1796" i="1"/>
  <c r="AA705" i="1"/>
  <c r="AA1795" i="1"/>
  <c r="AA704" i="1"/>
  <c r="AA1439" i="1"/>
  <c r="AA1794" i="1"/>
  <c r="AA703" i="1"/>
  <c r="AA702" i="1"/>
  <c r="AA1793" i="1"/>
  <c r="AA701" i="1"/>
  <c r="AA700" i="1"/>
  <c r="AA1792" i="1"/>
  <c r="AA1791" i="1"/>
  <c r="AA1790" i="1"/>
  <c r="AA699" i="1"/>
  <c r="AA339" i="1"/>
  <c r="AA338" i="1"/>
  <c r="AA698" i="1"/>
  <c r="AA1438" i="1"/>
  <c r="AA697" i="1"/>
  <c r="AA1789" i="1"/>
  <c r="AA1788" i="1"/>
  <c r="AA1437" i="1"/>
  <c r="AA696" i="1"/>
  <c r="AA1787" i="1"/>
  <c r="AA1056" i="1"/>
  <c r="AA695" i="1"/>
  <c r="AA1786" i="1"/>
  <c r="AA1436" i="1"/>
  <c r="AA1785" i="1"/>
  <c r="AA1784" i="1"/>
  <c r="AA1055" i="1"/>
  <c r="AA1435" i="1"/>
  <c r="AA1434" i="1"/>
  <c r="AA337" i="1"/>
  <c r="AA694" i="1"/>
  <c r="AA336" i="1"/>
  <c r="AA335" i="1"/>
  <c r="AA1433" i="1"/>
  <c r="AA1432" i="1"/>
  <c r="AA1783" i="1"/>
  <c r="AA1782" i="1"/>
  <c r="AA693" i="1"/>
  <c r="AA334" i="1"/>
  <c r="AA1781" i="1"/>
  <c r="AA1780" i="1"/>
  <c r="AA333" i="1"/>
  <c r="AA1779" i="1"/>
  <c r="AA332" i="1"/>
  <c r="AA1054" i="1"/>
  <c r="AA1431" i="1"/>
  <c r="AA692" i="1"/>
  <c r="AA1430" i="1"/>
  <c r="AA1778" i="1"/>
  <c r="AA1429" i="1"/>
  <c r="AA691" i="1"/>
  <c r="AA1053" i="1"/>
  <c r="AA1777" i="1"/>
  <c r="AA1428" i="1"/>
  <c r="AA1427" i="1"/>
  <c r="AA1052" i="1"/>
  <c r="AA1776" i="1"/>
  <c r="AA1051" i="1"/>
  <c r="AA1775" i="1"/>
  <c r="AA690" i="1"/>
  <c r="AA1050" i="1"/>
  <c r="AA1774" i="1"/>
  <c r="AA1426" i="1"/>
  <c r="AA1773" i="1"/>
  <c r="AA1049" i="1"/>
  <c r="AA331" i="1"/>
  <c r="AA1425" i="1"/>
  <c r="AA689" i="1"/>
  <c r="AA1772" i="1"/>
  <c r="AA1771" i="1"/>
  <c r="AA1770" i="1"/>
  <c r="AA1769" i="1"/>
  <c r="AA1048" i="1"/>
  <c r="AA1047" i="1"/>
  <c r="AA1424" i="1"/>
  <c r="AA688" i="1"/>
  <c r="AA1423" i="1"/>
  <c r="AA1422" i="1"/>
  <c r="AA1768" i="1"/>
  <c r="AA687" i="1"/>
  <c r="AA1767" i="1"/>
  <c r="AA686" i="1"/>
  <c r="AA1046" i="1"/>
  <c r="AA1421" i="1"/>
  <c r="AA685" i="1"/>
  <c r="AA684" i="1"/>
  <c r="AA1420" i="1"/>
  <c r="AA1419" i="1"/>
  <c r="AA1045" i="1"/>
  <c r="AA683" i="1"/>
  <c r="AA1418" i="1"/>
  <c r="AA1417" i="1"/>
  <c r="AA1044" i="1"/>
  <c r="AA1766" i="1"/>
  <c r="AA1043" i="1"/>
  <c r="AA1042" i="1"/>
  <c r="AA1416" i="1"/>
  <c r="AA1765" i="1"/>
  <c r="AA1415" i="1"/>
  <c r="AA1764" i="1"/>
  <c r="AA682" i="1"/>
  <c r="AA1041" i="1"/>
  <c r="AA1414" i="1"/>
  <c r="AA1040" i="1"/>
  <c r="AA1763" i="1"/>
  <c r="AA1413" i="1"/>
  <c r="AA1412" i="1"/>
  <c r="AA681" i="1"/>
  <c r="AA1411" i="1"/>
  <c r="AA680" i="1"/>
  <c r="AA1410" i="1"/>
  <c r="AA679" i="1"/>
  <c r="AA1409" i="1"/>
  <c r="AA678" i="1"/>
  <c r="AA677" i="1"/>
  <c r="AA1408" i="1"/>
  <c r="AA676" i="1"/>
  <c r="AA675" i="1"/>
  <c r="AA674" i="1"/>
  <c r="AA1407" i="1"/>
  <c r="AA1406" i="1"/>
  <c r="AA673" i="1"/>
  <c r="AA672" i="1"/>
  <c r="AA1405" i="1"/>
  <c r="AA671" i="1"/>
  <c r="AA670" i="1"/>
  <c r="AA1039" i="1"/>
  <c r="AA1038" i="1"/>
  <c r="AA1404" i="1"/>
  <c r="AA1037" i="1"/>
  <c r="AA1036" i="1"/>
  <c r="AA669" i="1"/>
  <c r="AA668" i="1"/>
  <c r="AA667" i="1"/>
  <c r="AA1035" i="1"/>
  <c r="AA1403" i="1"/>
  <c r="AA1034" i="1"/>
  <c r="AA1033" i="1"/>
  <c r="AA1032" i="1"/>
  <c r="AA1402" i="1"/>
  <c r="AA666" i="1"/>
  <c r="AA1401" i="1"/>
  <c r="AA1400" i="1"/>
  <c r="AA1762" i="1"/>
  <c r="AA1399" i="1"/>
  <c r="AA1398" i="1"/>
  <c r="AA1031" i="1"/>
  <c r="AA1030" i="1"/>
  <c r="AA1029" i="1"/>
  <c r="AA1761" i="1"/>
  <c r="AA1760" i="1"/>
  <c r="AA1028" i="1"/>
  <c r="AA1027" i="1"/>
  <c r="AA665" i="1"/>
  <c r="AA1759" i="1"/>
  <c r="AA1397" i="1"/>
  <c r="AA1758" i="1"/>
  <c r="AA1757" i="1"/>
  <c r="AA1756" i="1"/>
  <c r="AA1026" i="1"/>
  <c r="AA1755" i="1"/>
  <c r="AA1025" i="1"/>
  <c r="AA1024" i="1"/>
  <c r="AA1023" i="1"/>
  <c r="AA1754" i="1"/>
  <c r="AA1396" i="1"/>
  <c r="AA1395" i="1"/>
  <c r="AA1394" i="1"/>
  <c r="AA1753" i="1"/>
  <c r="AA1393" i="1"/>
  <c r="AA1022" i="1"/>
  <c r="AA1021" i="1"/>
  <c r="AA1392" i="1"/>
  <c r="AA1020" i="1"/>
  <c r="AA1019" i="1"/>
  <c r="AA1752" i="1"/>
  <c r="AA1751" i="1"/>
  <c r="AA1750" i="1"/>
  <c r="AA1018" i="1"/>
  <c r="AA1391" i="1"/>
  <c r="AA1390" i="1"/>
  <c r="AA1389" i="1"/>
  <c r="AA1388" i="1"/>
  <c r="AA1387" i="1"/>
  <c r="AA1749" i="1"/>
  <c r="AA1386" i="1"/>
  <c r="AA1017" i="1"/>
  <c r="AA1748" i="1"/>
  <c r="AA1385" i="1"/>
  <c r="AA1747" i="1"/>
  <c r="AA1384" i="1"/>
  <c r="AA1016" i="1"/>
  <c r="AA1383" i="1"/>
  <c r="AA1382" i="1"/>
  <c r="AA1746" i="1"/>
  <c r="AA1381" i="1"/>
  <c r="AA1745" i="1"/>
  <c r="AA1380" i="1"/>
  <c r="AA1015" i="1"/>
  <c r="AA1379" i="1"/>
  <c r="AA1014" i="1"/>
  <c r="AA1378" i="1"/>
  <c r="AA1744" i="1"/>
  <c r="AA1377" i="1"/>
  <c r="AA1743" i="1"/>
  <c r="AA1013" i="1"/>
  <c r="AA1742" i="1"/>
  <c r="AA1741" i="1"/>
  <c r="AA1012" i="1"/>
  <c r="AA1011" i="1"/>
  <c r="AA1740" i="1"/>
  <c r="AA1739" i="1"/>
  <c r="AA1376" i="1"/>
  <c r="AA1738" i="1"/>
  <c r="AA1737" i="1"/>
  <c r="AA1736" i="1"/>
  <c r="AA1010" i="1"/>
  <c r="AA1735" i="1"/>
  <c r="AA1375" i="1"/>
  <c r="AA1374" i="1"/>
  <c r="AA1373" i="1"/>
  <c r="AA1009" i="1"/>
  <c r="AA1734" i="1"/>
  <c r="AA1372" i="1"/>
  <c r="AA1371" i="1"/>
  <c r="AA1370" i="1"/>
  <c r="AA1369" i="1"/>
  <c r="AA1733" i="1"/>
  <c r="AA1368" i="1"/>
  <c r="AA1367" i="1"/>
  <c r="AA1008" i="1"/>
  <c r="AA1007" i="1"/>
  <c r="AA1366" i="1"/>
  <c r="AA1006" i="1"/>
  <c r="AA1732" i="1"/>
  <c r="AA1365" i="1"/>
  <c r="AA1364" i="1"/>
  <c r="AA1363" i="1"/>
  <c r="AA1362" i="1"/>
  <c r="AA1361" i="1"/>
  <c r="AA1005" i="1"/>
  <c r="AA1004" i="1"/>
  <c r="AA1360" i="1"/>
  <c r="AA1003" i="1"/>
  <c r="AA1359" i="1"/>
  <c r="AA1358" i="1"/>
  <c r="AA1002" i="1"/>
  <c r="AA1357" i="1"/>
  <c r="AA1001" i="1"/>
  <c r="AA1000" i="1"/>
  <c r="AA1356" i="1"/>
  <c r="AA1355" i="1"/>
  <c r="AA1354" i="1"/>
  <c r="AA1353" i="1"/>
  <c r="AA1731" i="1"/>
  <c r="AA999" i="1"/>
  <c r="AA1352" i="1"/>
  <c r="AA1351" i="1"/>
  <c r="AA1350" i="1"/>
  <c r="AA1730" i="1"/>
  <c r="AA1349" i="1"/>
  <c r="AA1348" i="1"/>
  <c r="AA1347" i="1"/>
  <c r="AA1729" i="1"/>
  <c r="AA1346" i="1"/>
  <c r="AA1728" i="1"/>
  <c r="AA1345" i="1"/>
  <c r="AA1727" i="1"/>
  <c r="AA1726" i="1"/>
  <c r="AA1344" i="1"/>
  <c r="AA1725" i="1"/>
  <c r="AA1724" i="1"/>
  <c r="AA1343" i="1"/>
  <c r="AA1723" i="1"/>
  <c r="AA1342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B292" i="4" a="1"/>
  <c r="B291" i="4" a="1"/>
  <c r="B290" i="4" a="1"/>
  <c r="C292" i="4" a="1"/>
  <c r="C291" i="4" a="1"/>
  <c r="C290" i="4" a="1"/>
  <c r="A28" i="4" a="1"/>
  <c r="A22" i="4" a="1"/>
  <c r="A19" i="4" a="1"/>
  <c r="A234" i="1" a="1"/>
  <c r="A16" i="4" a="1"/>
  <c r="A229" i="1" a="1"/>
  <c r="A25" i="4" s="1" a="1"/>
  <c r="X59" i="1"/>
  <c r="X193" i="1"/>
  <c r="X262" i="1"/>
  <c r="X330" i="1"/>
  <c r="X120" i="1"/>
  <c r="X169" i="1"/>
  <c r="X102" i="1"/>
  <c r="X322" i="1"/>
  <c r="X233" i="1"/>
  <c r="X188" i="1"/>
  <c r="X105" i="1"/>
  <c r="X32" i="1"/>
  <c r="X100" i="1"/>
  <c r="X229" i="1"/>
  <c r="X263" i="1"/>
  <c r="X319" i="1"/>
  <c r="X234" i="1"/>
  <c r="X223" i="1"/>
  <c r="X215" i="1"/>
  <c r="X323" i="1"/>
  <c r="X88" i="1"/>
  <c r="X189" i="1"/>
  <c r="X112" i="1"/>
  <c r="X29" i="1"/>
  <c r="X82" i="1"/>
  <c r="X222" i="1"/>
  <c r="X197" i="1"/>
  <c r="X47" i="1"/>
  <c r="X235" i="1"/>
  <c r="X219" i="1"/>
  <c r="X116" i="1"/>
  <c r="X14" i="1"/>
  <c r="X94" i="1"/>
  <c r="X220" i="1"/>
  <c r="X123" i="1"/>
  <c r="X67" i="1"/>
  <c r="X239" i="1"/>
  <c r="X293" i="1"/>
  <c r="X173" i="1"/>
  <c r="X66" i="1"/>
  <c r="X85" i="1"/>
  <c r="X294" i="1"/>
  <c r="X115" i="1"/>
  <c r="X6" i="1"/>
  <c r="X98" i="1"/>
  <c r="X203" i="1"/>
  <c r="X261" i="1"/>
  <c r="X324" i="1"/>
  <c r="X91" i="1"/>
  <c r="X199" i="1"/>
  <c r="X329" i="1"/>
  <c r="X108" i="1"/>
  <c r="X327" i="1"/>
  <c r="X113" i="1"/>
  <c r="X185" i="1"/>
  <c r="X121" i="1"/>
  <c r="X76" i="1"/>
  <c r="X243" i="1"/>
  <c r="X214" i="1"/>
  <c r="X178" i="1"/>
  <c r="X69" i="1"/>
  <c r="X134" i="1"/>
  <c r="X301" i="1"/>
  <c r="X266" i="1"/>
  <c r="X17" i="1"/>
  <c r="X107" i="1"/>
  <c r="X307" i="1"/>
  <c r="X172" i="1"/>
  <c r="X326" i="1"/>
  <c r="X238" i="1"/>
  <c r="X182" i="1"/>
  <c r="X136" i="1"/>
  <c r="X30" i="1"/>
  <c r="X245" i="1"/>
  <c r="X295" i="1"/>
  <c r="X279" i="1"/>
  <c r="X63" i="1"/>
  <c r="X97" i="1"/>
  <c r="X228" i="1"/>
  <c r="X111" i="1"/>
  <c r="X320" i="1"/>
  <c r="X248" i="1"/>
  <c r="X226" i="1"/>
  <c r="X96" i="1"/>
  <c r="X23" i="1"/>
  <c r="X255" i="1"/>
  <c r="X230" i="1"/>
  <c r="X104" i="1"/>
  <c r="X84" i="1"/>
  <c r="X242" i="1"/>
  <c r="X232" i="1"/>
  <c r="X268" i="1"/>
  <c r="X316" i="1"/>
  <c r="X142" i="1"/>
  <c r="X170" i="1"/>
  <c r="X276" i="1"/>
  <c r="X24" i="1"/>
  <c r="X114" i="1"/>
  <c r="X171" i="1"/>
  <c r="X269" i="1"/>
  <c r="X51" i="1"/>
  <c r="X140" i="1"/>
  <c r="X291" i="1"/>
  <c r="X110" i="1"/>
  <c r="X34" i="1"/>
  <c r="X146" i="1"/>
  <c r="X167" i="1"/>
  <c r="X93" i="1"/>
  <c r="X33" i="1"/>
  <c r="X153" i="1"/>
  <c r="X296" i="1"/>
  <c r="X81" i="1"/>
  <c r="X305" i="1"/>
  <c r="X138" i="1"/>
  <c r="X175" i="1"/>
  <c r="X70" i="1"/>
  <c r="X303" i="1"/>
  <c r="X236" i="1"/>
  <c r="X231" i="1"/>
  <c r="X176" i="1"/>
  <c r="X310" i="1"/>
  <c r="X247" i="1"/>
  <c r="X225" i="1"/>
  <c r="X86" i="1"/>
  <c r="X312" i="1"/>
  <c r="X224" i="1"/>
  <c r="X92" i="1"/>
  <c r="X311" i="1"/>
  <c r="X267" i="1"/>
  <c r="X118" i="1"/>
  <c r="X297" i="1"/>
  <c r="X64" i="1"/>
  <c r="X25" i="1"/>
  <c r="X149" i="1"/>
  <c r="X179" i="1"/>
  <c r="X57" i="1"/>
  <c r="X10" i="1"/>
  <c r="X249" i="1"/>
  <c r="X191" i="1"/>
  <c r="X278" i="1"/>
  <c r="X37" i="1"/>
  <c r="X257" i="1"/>
  <c r="X208" i="1"/>
  <c r="X58" i="1"/>
  <c r="X26" i="1"/>
  <c r="X139" i="1"/>
  <c r="X194" i="1"/>
  <c r="X192" i="1"/>
  <c r="X308" i="1"/>
  <c r="X133" i="1"/>
  <c r="X227" i="1"/>
  <c r="X46" i="1"/>
  <c r="X22" i="1"/>
  <c r="X250" i="1"/>
  <c r="X292" i="1"/>
  <c r="X196" i="1"/>
  <c r="X306" i="1"/>
  <c r="X129" i="1"/>
  <c r="X221" i="1"/>
  <c r="X201" i="1"/>
  <c r="X28" i="1"/>
  <c r="X128" i="1"/>
  <c r="X290" i="1"/>
  <c r="X40" i="1"/>
  <c r="X300" i="1"/>
  <c r="X135" i="1"/>
  <c r="X212" i="1"/>
  <c r="X45" i="1"/>
  <c r="X31" i="1"/>
  <c r="X106" i="1"/>
  <c r="X287" i="1"/>
  <c r="X211" i="1"/>
  <c r="X304" i="1"/>
  <c r="X95" i="1"/>
  <c r="X289" i="1"/>
  <c r="X50" i="1"/>
  <c r="X298" i="1"/>
  <c r="X241" i="1"/>
  <c r="X217" i="1"/>
  <c r="X42" i="1"/>
  <c r="X19" i="1"/>
  <c r="X237" i="1"/>
  <c r="X284" i="1"/>
  <c r="X41" i="1"/>
  <c r="X302" i="1"/>
  <c r="X99" i="1"/>
  <c r="X180" i="1"/>
  <c r="X209" i="1"/>
  <c r="X315" i="1"/>
  <c r="X83" i="1"/>
  <c r="X168" i="1"/>
  <c r="X36" i="1"/>
  <c r="X27" i="1"/>
  <c r="X77" i="1"/>
  <c r="X154" i="1"/>
  <c r="X216" i="1"/>
  <c r="X309" i="1"/>
  <c r="X127" i="1"/>
  <c r="X288" i="1"/>
  <c r="X205" i="1"/>
  <c r="X35" i="1"/>
  <c r="X131" i="1"/>
  <c r="X213" i="1"/>
  <c r="X272" i="1"/>
  <c r="X286" i="1"/>
  <c r="X39" i="1"/>
  <c r="X244" i="1"/>
  <c r="X204" i="1"/>
  <c r="X206" i="1"/>
  <c r="X16" i="1"/>
  <c r="X161" i="1"/>
  <c r="X198" i="1"/>
  <c r="X210" i="1"/>
  <c r="X44" i="1"/>
  <c r="X240" i="1"/>
  <c r="X150" i="1"/>
  <c r="X49" i="1"/>
  <c r="X325" i="1"/>
  <c r="X122" i="1"/>
  <c r="X181" i="1"/>
  <c r="X274" i="1"/>
  <c r="X9" i="1"/>
  <c r="X246" i="1"/>
  <c r="X144" i="1"/>
  <c r="X218" i="1"/>
  <c r="X7" i="1"/>
  <c r="X256" i="1"/>
  <c r="X183" i="1"/>
  <c r="X270" i="1"/>
  <c r="X4" i="1"/>
  <c r="X251" i="1"/>
  <c r="X285" i="1"/>
  <c r="X207" i="1"/>
  <c r="X317" i="1"/>
  <c r="X260" i="1"/>
  <c r="X186" i="1"/>
  <c r="X72" i="1"/>
  <c r="X3" i="1"/>
  <c r="X124" i="1"/>
  <c r="X151" i="1"/>
  <c r="X79" i="1"/>
  <c r="X313" i="1"/>
  <c r="X259" i="1"/>
  <c r="X145" i="1"/>
  <c r="X75" i="1"/>
  <c r="X8" i="1"/>
  <c r="X126" i="1"/>
  <c r="X184" i="1"/>
  <c r="X195" i="1"/>
  <c r="X53" i="1"/>
  <c r="X264" i="1"/>
  <c r="X160" i="1"/>
  <c r="X80" i="1"/>
  <c r="X12" i="1"/>
  <c r="X103" i="1"/>
  <c r="X152" i="1"/>
  <c r="X200" i="1"/>
  <c r="X52" i="1"/>
  <c r="X119" i="1"/>
  <c r="X166" i="1"/>
  <c r="X101" i="1"/>
  <c r="X318" i="1"/>
  <c r="X137" i="1"/>
  <c r="X158" i="1"/>
  <c r="X90" i="1"/>
  <c r="X328" i="1"/>
  <c r="X109" i="1"/>
  <c r="X159" i="1"/>
  <c r="X202" i="1"/>
  <c r="X321" i="1"/>
  <c r="X125" i="1"/>
  <c r="X164" i="1"/>
  <c r="X190" i="1"/>
  <c r="X18" i="1"/>
  <c r="X89" i="1"/>
  <c r="X156" i="1"/>
  <c r="X271" i="1"/>
  <c r="X20" i="1"/>
  <c r="X187" i="1"/>
  <c r="X275" i="1"/>
  <c r="X68" i="1"/>
  <c r="X148" i="1"/>
  <c r="X273" i="1"/>
  <c r="X21" i="1"/>
  <c r="X60" i="1"/>
  <c r="X157" i="1"/>
  <c r="X78" i="1"/>
  <c r="X13" i="1"/>
  <c r="X132" i="1"/>
  <c r="X282" i="1"/>
  <c r="X277" i="1"/>
  <c r="X61" i="1"/>
  <c r="X71" i="1"/>
  <c r="X283" i="1"/>
  <c r="X165" i="1"/>
  <c r="X74" i="1"/>
  <c r="X130" i="1"/>
  <c r="X155" i="1"/>
  <c r="X87" i="1"/>
  <c r="X62" i="1"/>
  <c r="X252" i="1"/>
  <c r="X174" i="1"/>
  <c r="X265" i="1"/>
  <c r="X54" i="1"/>
  <c r="X117" i="1"/>
  <c r="X147" i="1"/>
  <c r="X73" i="1"/>
  <c r="X5" i="1"/>
  <c r="X56" i="1"/>
  <c r="X281" i="1"/>
  <c r="X65" i="1"/>
  <c r="X314" i="1"/>
  <c r="X253" i="1"/>
  <c r="X163" i="1"/>
  <c r="X258" i="1"/>
  <c r="X15" i="1"/>
  <c r="X43" i="1"/>
  <c r="X143" i="1"/>
  <c r="X162" i="1"/>
  <c r="X11" i="1"/>
  <c r="X55" i="1"/>
  <c r="X177" i="1"/>
  <c r="X48" i="1"/>
  <c r="X299" i="1"/>
  <c r="X141" i="1"/>
  <c r="X280" i="1"/>
  <c r="X254" i="1"/>
  <c r="X38" i="1"/>
  <c r="X587" i="1"/>
  <c r="X533" i="1"/>
  <c r="X611" i="1"/>
  <c r="X418" i="1"/>
  <c r="X419" i="1"/>
  <c r="X507" i="1"/>
  <c r="X526" i="1"/>
  <c r="X350" i="1"/>
  <c r="X593" i="1"/>
  <c r="X532" i="1"/>
  <c r="X422" i="1"/>
  <c r="X636" i="1"/>
  <c r="X597" i="1"/>
  <c r="X632" i="1"/>
  <c r="X612" i="1"/>
  <c r="X342" i="1"/>
  <c r="X583" i="1"/>
  <c r="X501" i="1"/>
  <c r="X417" i="1"/>
  <c r="X637" i="1"/>
  <c r="X485" i="1"/>
  <c r="X626" i="1"/>
  <c r="X521" i="1"/>
  <c r="X638" i="1"/>
  <c r="X484" i="1"/>
  <c r="X599" i="1"/>
  <c r="X416" i="1"/>
  <c r="X540" i="1"/>
  <c r="X424" i="1"/>
  <c r="X589" i="1"/>
  <c r="X543" i="1"/>
  <c r="X600" i="1"/>
  <c r="X343" i="1"/>
  <c r="X415" i="1"/>
  <c r="X524" i="1"/>
  <c r="X591" i="1"/>
  <c r="X402" i="1"/>
  <c r="X514" i="1"/>
  <c r="X629" i="1"/>
  <c r="X586" i="1"/>
  <c r="X336" i="1"/>
  <c r="X386" i="1"/>
  <c r="X627" i="1"/>
  <c r="X493" i="1"/>
  <c r="X640" i="1"/>
  <c r="X595" i="1"/>
  <c r="X479" i="1"/>
  <c r="X585" i="1"/>
  <c r="X639" i="1"/>
  <c r="X582" i="1"/>
  <c r="X480" i="1"/>
  <c r="X502" i="1"/>
  <c r="X641" i="1"/>
  <c r="X478" i="1"/>
  <c r="X508" i="1"/>
  <c r="X388" i="1"/>
  <c r="X642" i="1"/>
  <c r="X378" i="1"/>
  <c r="X491" i="1"/>
  <c r="X390" i="1"/>
  <c r="X344" i="1"/>
  <c r="X574" i="1"/>
  <c r="X505" i="1"/>
  <c r="X584" i="1"/>
  <c r="X391" i="1"/>
  <c r="X577" i="1"/>
  <c r="X630" i="1"/>
  <c r="X581" i="1"/>
  <c r="X396" i="1"/>
  <c r="X576" i="1"/>
  <c r="X621" i="1"/>
  <c r="X406" i="1"/>
  <c r="X644" i="1"/>
  <c r="X579" i="1"/>
  <c r="X477" i="1"/>
  <c r="X517" i="1"/>
  <c r="X346" i="1"/>
  <c r="X401" i="1"/>
  <c r="X503" i="1"/>
  <c r="X413" i="1"/>
  <c r="X347" i="1"/>
  <c r="X575" i="1"/>
  <c r="X516" i="1"/>
  <c r="X504" i="1"/>
  <c r="X643" i="1"/>
  <c r="X511" i="1"/>
  <c r="X608" i="1"/>
  <c r="X429" i="1"/>
  <c r="X345" i="1"/>
  <c r="X492" i="1"/>
  <c r="X622" i="1"/>
  <c r="X510" i="1"/>
  <c r="X645" i="1"/>
  <c r="X567" i="1"/>
  <c r="X607" i="1"/>
  <c r="X598" i="1"/>
  <c r="X373" i="1"/>
  <c r="X408" i="1"/>
  <c r="X523" i="1"/>
  <c r="X601" i="1"/>
  <c r="X357" i="1"/>
  <c r="X349" i="1"/>
  <c r="X498" i="1"/>
  <c r="X606" i="1"/>
  <c r="X519" i="1"/>
  <c r="X489" i="1"/>
  <c r="X603" i="1"/>
  <c r="X512" i="1"/>
  <c r="X646" i="1"/>
  <c r="X490" i="1"/>
  <c r="X616" i="1"/>
  <c r="X509" i="1"/>
  <c r="X354" i="1"/>
  <c r="X500" i="1"/>
  <c r="X520" i="1"/>
  <c r="X497" i="1"/>
  <c r="X358" i="1"/>
  <c r="X421" i="1"/>
  <c r="X469" i="1"/>
  <c r="X403" i="1"/>
  <c r="X361" i="1"/>
  <c r="X573" i="1"/>
  <c r="X518" i="1"/>
  <c r="X588" i="1"/>
  <c r="X363" i="1"/>
  <c r="X572" i="1"/>
  <c r="X525" i="1"/>
  <c r="X407" i="1"/>
  <c r="X650" i="1"/>
  <c r="X377" i="1"/>
  <c r="X474" i="1"/>
  <c r="X387" i="1"/>
  <c r="X651" i="1"/>
  <c r="X580" i="1"/>
  <c r="X537" i="1"/>
  <c r="X594" i="1"/>
  <c r="X351" i="1"/>
  <c r="X392" i="1"/>
  <c r="X628" i="1"/>
  <c r="X590" i="1"/>
  <c r="X370" i="1"/>
  <c r="X483" i="1"/>
  <c r="X467" i="1"/>
  <c r="X592" i="1"/>
  <c r="X356" i="1"/>
  <c r="X420" i="1"/>
  <c r="X471" i="1"/>
  <c r="X499" i="1"/>
  <c r="X366" i="1"/>
  <c r="X476" i="1"/>
  <c r="X461" i="1"/>
  <c r="X623" i="1"/>
  <c r="X374" i="1"/>
  <c r="X570" i="1"/>
  <c r="X618" i="1"/>
  <c r="X619" i="1"/>
  <c r="X383" i="1"/>
  <c r="X565" i="1"/>
  <c r="X457" i="1"/>
  <c r="X515" i="1"/>
  <c r="X355" i="1"/>
  <c r="X470" i="1"/>
  <c r="X448" i="1"/>
  <c r="X397" i="1"/>
  <c r="X394" i="1"/>
  <c r="X566" i="1"/>
  <c r="X431" i="1"/>
  <c r="X486" i="1"/>
  <c r="X352" i="1"/>
  <c r="X578" i="1"/>
  <c r="X531" i="1"/>
  <c r="X602" i="1"/>
  <c r="X647" i="1"/>
  <c r="X379" i="1"/>
  <c r="X534" i="1"/>
  <c r="X487" i="1"/>
  <c r="X653" i="1"/>
  <c r="X367" i="1"/>
  <c r="X496" i="1"/>
  <c r="X405" i="1"/>
  <c r="X353" i="1"/>
  <c r="X568" i="1"/>
  <c r="X617" i="1"/>
  <c r="X613" i="1"/>
  <c r="X382" i="1"/>
  <c r="X571" i="1"/>
  <c r="X427" i="1"/>
  <c r="X488" i="1"/>
  <c r="X399" i="1"/>
  <c r="X472" i="1"/>
  <c r="X437" i="1"/>
  <c r="X400" i="1"/>
  <c r="X654" i="1"/>
  <c r="X569" i="1"/>
  <c r="X527" i="1"/>
  <c r="X614" i="1"/>
  <c r="X657" i="1"/>
  <c r="X398" i="1"/>
  <c r="X535" i="1"/>
  <c r="X389" i="1"/>
  <c r="X348" i="1"/>
  <c r="X482" i="1"/>
  <c r="X438" i="1"/>
  <c r="X620" i="1"/>
  <c r="X341" i="1"/>
  <c r="X384" i="1"/>
  <c r="X447" i="1"/>
  <c r="X372" i="1"/>
  <c r="X380" i="1"/>
  <c r="X564" i="1"/>
  <c r="X529" i="1"/>
  <c r="X494" i="1"/>
  <c r="X414" i="1"/>
  <c r="X381" i="1"/>
  <c r="X539" i="1"/>
  <c r="X376" i="1"/>
  <c r="X432" i="1"/>
  <c r="X563" i="1"/>
  <c r="X441" i="1"/>
  <c r="X495" i="1"/>
  <c r="X425" i="1"/>
  <c r="X513" i="1"/>
  <c r="X450" i="1"/>
  <c r="X605" i="1"/>
  <c r="X335" i="1"/>
  <c r="X562" i="1"/>
  <c r="X463" i="1"/>
  <c r="X610" i="1"/>
  <c r="X333" i="1"/>
  <c r="X506" i="1"/>
  <c r="X549" i="1"/>
  <c r="X375" i="1"/>
  <c r="X409" i="1"/>
  <c r="X404" i="1"/>
  <c r="X547" i="1"/>
  <c r="X475" i="1"/>
  <c r="X659" i="1"/>
  <c r="X558" i="1"/>
  <c r="X631" i="1"/>
  <c r="X481" i="1"/>
  <c r="X337" i="1"/>
  <c r="X412" i="1"/>
  <c r="X530" i="1"/>
  <c r="X473" i="1"/>
  <c r="X648" i="1"/>
  <c r="X555" i="1"/>
  <c r="X522" i="1"/>
  <c r="X371" i="1"/>
  <c r="X385" i="1"/>
  <c r="X428" i="1"/>
  <c r="X528" i="1"/>
  <c r="X459" i="1"/>
  <c r="X393" i="1"/>
  <c r="X445" i="1"/>
  <c r="X455" i="1"/>
  <c r="X339" i="1"/>
  <c r="X596" i="1"/>
  <c r="X410" i="1"/>
  <c r="X561" i="1"/>
  <c r="X536" i="1"/>
  <c r="X468" i="1"/>
  <c r="X332" i="1"/>
  <c r="X444" i="1"/>
  <c r="X633" i="1"/>
  <c r="X360" i="1"/>
  <c r="X649" i="1"/>
  <c r="X557" i="1"/>
  <c r="X544" i="1"/>
  <c r="X466" i="1"/>
  <c r="X655" i="1"/>
  <c r="X548" i="1"/>
  <c r="X449" i="1"/>
  <c r="X604" i="1"/>
  <c r="X411" i="1"/>
  <c r="X552" i="1"/>
  <c r="X462" i="1"/>
  <c r="X456" i="1"/>
  <c r="X652" i="1"/>
  <c r="X451" i="1"/>
  <c r="X453" i="1"/>
  <c r="X464" i="1"/>
  <c r="X656" i="1"/>
  <c r="X559" i="1"/>
  <c r="X624" i="1"/>
  <c r="X454" i="1"/>
  <c r="X368" i="1"/>
  <c r="X554" i="1"/>
  <c r="X435" i="1"/>
  <c r="X365" i="1"/>
  <c r="X658" i="1"/>
  <c r="X460" i="1"/>
  <c r="X625" i="1"/>
  <c r="X634" i="1"/>
  <c r="X340" i="1"/>
  <c r="X443" i="1"/>
  <c r="X423" i="1"/>
  <c r="X635" i="1"/>
  <c r="X338" i="1"/>
  <c r="X545" i="1"/>
  <c r="X426" i="1"/>
  <c r="X440" i="1"/>
  <c r="X661" i="1"/>
  <c r="X556" i="1"/>
  <c r="X615" i="1"/>
  <c r="X452" i="1"/>
  <c r="X660" i="1"/>
  <c r="X458" i="1"/>
  <c r="X395" i="1"/>
  <c r="X442" i="1"/>
  <c r="X364" i="1"/>
  <c r="X541" i="1"/>
  <c r="X538" i="1"/>
  <c r="X434" i="1"/>
  <c r="X331" i="1"/>
  <c r="X446" i="1"/>
  <c r="X550" i="1"/>
  <c r="X433" i="1"/>
  <c r="X664" i="1"/>
  <c r="X553" i="1"/>
  <c r="X551" i="1"/>
  <c r="X439" i="1"/>
  <c r="X362" i="1"/>
  <c r="X560" i="1"/>
  <c r="X369" i="1"/>
  <c r="X436" i="1"/>
  <c r="X663" i="1"/>
  <c r="X546" i="1"/>
  <c r="X609" i="1"/>
  <c r="X430" i="1"/>
  <c r="X662" i="1"/>
  <c r="X465" i="1"/>
  <c r="X359" i="1"/>
  <c r="X542" i="1"/>
  <c r="X334" i="1"/>
  <c r="X841" i="1"/>
  <c r="X806" i="1"/>
  <c r="X810" i="1"/>
  <c r="X974" i="1"/>
  <c r="X845" i="1"/>
  <c r="X900" i="1"/>
  <c r="X833" i="1"/>
  <c r="X695" i="1"/>
  <c r="X921" i="1"/>
  <c r="X956" i="1"/>
  <c r="X962" i="1"/>
  <c r="X972" i="1"/>
  <c r="X932" i="1"/>
  <c r="X812" i="1"/>
  <c r="X799" i="1"/>
  <c r="X973" i="1"/>
  <c r="X886" i="1"/>
  <c r="X949" i="1"/>
  <c r="X798" i="1"/>
  <c r="X975" i="1"/>
  <c r="X847" i="1"/>
  <c r="X906" i="1"/>
  <c r="X771" i="1"/>
  <c r="X796" i="1"/>
  <c r="X882" i="1"/>
  <c r="X801" i="1"/>
  <c r="X790" i="1"/>
  <c r="X684" i="1"/>
  <c r="X929" i="1"/>
  <c r="X947" i="1"/>
  <c r="X768" i="1"/>
  <c r="X786" i="1"/>
  <c r="X851" i="1"/>
  <c r="X946" i="1"/>
  <c r="X824" i="1"/>
  <c r="X977" i="1"/>
  <c r="X937" i="1"/>
  <c r="X896" i="1"/>
  <c r="X961" i="1"/>
  <c r="X758" i="1"/>
  <c r="X849" i="1"/>
  <c r="X945" i="1"/>
  <c r="X744" i="1"/>
  <c r="X978" i="1"/>
  <c r="X884" i="1"/>
  <c r="X941" i="1"/>
  <c r="X737" i="1"/>
  <c r="X981" i="1"/>
  <c r="X855" i="1"/>
  <c r="X938" i="1"/>
  <c r="X823" i="1"/>
  <c r="X976" i="1"/>
  <c r="X871" i="1"/>
  <c r="X889" i="1"/>
  <c r="X828" i="1"/>
  <c r="X690" i="1"/>
  <c r="X880" i="1"/>
  <c r="X890" i="1"/>
  <c r="X964" i="1"/>
  <c r="X759" i="1"/>
  <c r="X856" i="1"/>
  <c r="X808" i="1"/>
  <c r="X732" i="1"/>
  <c r="X688" i="1"/>
  <c r="X852" i="1"/>
  <c r="X943" i="1"/>
  <c r="X826" i="1"/>
  <c r="X979" i="1"/>
  <c r="X866" i="1"/>
  <c r="X898" i="1"/>
  <c r="X733" i="1"/>
  <c r="X692" i="1"/>
  <c r="X865" i="1"/>
  <c r="X872" i="1"/>
  <c r="X944" i="1"/>
  <c r="X750" i="1"/>
  <c r="X980" i="1"/>
  <c r="X857" i="1"/>
  <c r="X895" i="1"/>
  <c r="X815" i="1"/>
  <c r="X685" i="1"/>
  <c r="X859" i="1"/>
  <c r="X939" i="1"/>
  <c r="X965" i="1"/>
  <c r="X673" i="1"/>
  <c r="X861" i="1"/>
  <c r="X813" i="1"/>
  <c r="X960" i="1"/>
  <c r="X680" i="1"/>
  <c r="X867" i="1"/>
  <c r="X892" i="1"/>
  <c r="X807" i="1"/>
  <c r="X672" i="1"/>
  <c r="X870" i="1"/>
  <c r="X829" i="1"/>
  <c r="X966" i="1"/>
  <c r="X667" i="1"/>
  <c r="X933" i="1"/>
  <c r="X820" i="1"/>
  <c r="X817" i="1"/>
  <c r="X669" i="1"/>
  <c r="X926" i="1"/>
  <c r="X893" i="1"/>
  <c r="X731" i="1"/>
  <c r="X671" i="1"/>
  <c r="X858" i="1"/>
  <c r="X899" i="1"/>
  <c r="X814" i="1"/>
  <c r="X982" i="1"/>
  <c r="X863" i="1"/>
  <c r="X942" i="1"/>
  <c r="X754" i="1"/>
  <c r="X994" i="1"/>
  <c r="X911" i="1"/>
  <c r="X804" i="1"/>
  <c r="X811" i="1"/>
  <c r="X674" i="1"/>
  <c r="X878" i="1"/>
  <c r="X797" i="1"/>
  <c r="X816" i="1"/>
  <c r="X665" i="1"/>
  <c r="X923" i="1"/>
  <c r="X940" i="1"/>
  <c r="X968" i="1"/>
  <c r="X679" i="1"/>
  <c r="X846" i="1"/>
  <c r="X791" i="1"/>
  <c r="X805" i="1"/>
  <c r="X666" i="1"/>
  <c r="X844" i="1"/>
  <c r="X902" i="1"/>
  <c r="X719" i="1"/>
  <c r="X681" i="1"/>
  <c r="X843" i="1"/>
  <c r="X903" i="1"/>
  <c r="X825" i="1"/>
  <c r="X989" i="1"/>
  <c r="X842" i="1"/>
  <c r="X936" i="1"/>
  <c r="X967" i="1"/>
  <c r="X677" i="1"/>
  <c r="X920" i="1"/>
  <c r="X897" i="1"/>
  <c r="X717" i="1"/>
  <c r="X992" i="1"/>
  <c r="X839" i="1"/>
  <c r="X763" i="1"/>
  <c r="X822" i="1"/>
  <c r="X675" i="1"/>
  <c r="X767" i="1"/>
  <c r="X720" i="1"/>
  <c r="X770" i="1"/>
  <c r="X894" i="1"/>
  <c r="X827" i="1"/>
  <c r="X991" i="1"/>
  <c r="X830" i="1"/>
  <c r="X928" i="1"/>
  <c r="X752" i="1"/>
  <c r="X670" i="1"/>
  <c r="X809" i="1"/>
  <c r="X729" i="1"/>
  <c r="X761" i="1"/>
  <c r="X997" i="1"/>
  <c r="X881" i="1"/>
  <c r="X718" i="1"/>
  <c r="X970" i="1"/>
  <c r="X787" i="1"/>
  <c r="X931" i="1"/>
  <c r="X913" i="1"/>
  <c r="X751" i="1"/>
  <c r="X779" i="1"/>
  <c r="X876" i="1"/>
  <c r="X891" i="1"/>
  <c r="X736" i="1"/>
  <c r="X998" i="1"/>
  <c r="X803" i="1"/>
  <c r="X738" i="1"/>
  <c r="X730" i="1"/>
  <c r="X682" i="1"/>
  <c r="X922" i="1"/>
  <c r="X747" i="1"/>
  <c r="X971" i="1"/>
  <c r="X683" i="1"/>
  <c r="X783" i="1"/>
  <c r="X739" i="1"/>
  <c r="X969" i="1"/>
  <c r="X993" i="1"/>
  <c r="X924" i="1"/>
  <c r="X888" i="1"/>
  <c r="X821" i="1"/>
  <c r="X996" i="1"/>
  <c r="X874" i="1"/>
  <c r="X724" i="1"/>
  <c r="X963" i="1"/>
  <c r="X983" i="1"/>
  <c r="X869" i="1"/>
  <c r="X725" i="1"/>
  <c r="X959" i="1"/>
  <c r="X772" i="1"/>
  <c r="X853" i="1"/>
  <c r="X887" i="1"/>
  <c r="X819" i="1"/>
  <c r="X984" i="1"/>
  <c r="X760" i="1"/>
  <c r="X912" i="1"/>
  <c r="X958" i="1"/>
  <c r="X689" i="1"/>
  <c r="X765" i="1"/>
  <c r="X883" i="1"/>
  <c r="X734" i="1"/>
  <c r="X785" i="1"/>
  <c r="X742" i="1"/>
  <c r="X930" i="1"/>
  <c r="X802" i="1"/>
  <c r="X800" i="1"/>
  <c r="X712" i="1"/>
  <c r="X709" i="1"/>
  <c r="X957" i="1"/>
  <c r="X788" i="1"/>
  <c r="X850" i="1"/>
  <c r="X706" i="1"/>
  <c r="X748" i="1"/>
  <c r="X694" i="1"/>
  <c r="X935" i="1"/>
  <c r="X705" i="1"/>
  <c r="X755" i="1"/>
  <c r="X773" i="1"/>
  <c r="X934" i="1"/>
  <c r="X885" i="1"/>
  <c r="X780" i="1"/>
  <c r="X699" i="1"/>
  <c r="X955" i="1"/>
  <c r="X794" i="1"/>
  <c r="X925" i="1"/>
  <c r="X879" i="1"/>
  <c r="X756" i="1"/>
  <c r="X762" i="1"/>
  <c r="X840" i="1"/>
  <c r="X877" i="1"/>
  <c r="X795" i="1"/>
  <c r="X766" i="1"/>
  <c r="X838" i="1"/>
  <c r="X927" i="1"/>
  <c r="X782" i="1"/>
  <c r="X793" i="1"/>
  <c r="X713" i="1"/>
  <c r="X697" i="1"/>
  <c r="X777" i="1"/>
  <c r="X776" i="1"/>
  <c r="X836" i="1"/>
  <c r="X701" i="1"/>
  <c r="X757" i="1"/>
  <c r="X988" i="1"/>
  <c r="X848" i="1"/>
  <c r="X875" i="1"/>
  <c r="X753" i="1"/>
  <c r="X700" i="1"/>
  <c r="X707" i="1"/>
  <c r="X873" i="1"/>
  <c r="X743" i="1"/>
  <c r="X986" i="1"/>
  <c r="X698" i="1"/>
  <c r="X703" i="1"/>
  <c r="X721" i="1"/>
  <c r="X995" i="1"/>
  <c r="X919" i="1"/>
  <c r="X914" i="1"/>
  <c r="X711" i="1"/>
  <c r="X990" i="1"/>
  <c r="X687" i="1"/>
  <c r="X696" i="1"/>
  <c r="X749" i="1"/>
  <c r="X710" i="1"/>
  <c r="X917" i="1"/>
  <c r="X702" i="1"/>
  <c r="X953" i="1"/>
  <c r="X987" i="1"/>
  <c r="X910" i="1"/>
  <c r="X722" i="1"/>
  <c r="X950" i="1"/>
  <c r="X728" i="1"/>
  <c r="X686" i="1"/>
  <c r="X905" i="1"/>
  <c r="X715" i="1"/>
  <c r="X764" i="1"/>
  <c r="X904" i="1"/>
  <c r="X868" i="1"/>
  <c r="X746" i="1"/>
  <c r="X774" i="1"/>
  <c r="X854" i="1"/>
  <c r="X909" i="1"/>
  <c r="X740" i="1"/>
  <c r="X716" i="1"/>
  <c r="X668" i="1"/>
  <c r="X907" i="1"/>
  <c r="X954" i="1"/>
  <c r="X704" i="1"/>
  <c r="X837" i="1"/>
  <c r="X860" i="1"/>
  <c r="X769" i="1"/>
  <c r="X708" i="1"/>
  <c r="X835" i="1"/>
  <c r="X735" i="1"/>
  <c r="X784" i="1"/>
  <c r="X775" i="1"/>
  <c r="X908" i="1"/>
  <c r="X952" i="1"/>
  <c r="X714" i="1"/>
  <c r="X901" i="1"/>
  <c r="X864" i="1"/>
  <c r="X678" i="1"/>
  <c r="X862" i="1"/>
  <c r="X741" i="1"/>
  <c r="X693" i="1"/>
  <c r="X676" i="1"/>
  <c r="X726" i="1"/>
  <c r="X745" i="1"/>
  <c r="X781" i="1"/>
  <c r="X834" i="1"/>
  <c r="X918" i="1"/>
  <c r="X951" i="1"/>
  <c r="X789" i="1"/>
  <c r="X831" i="1"/>
  <c r="X723" i="1"/>
  <c r="X727" i="1"/>
  <c r="X985" i="1"/>
  <c r="X818" i="1"/>
  <c r="X916" i="1"/>
  <c r="X948" i="1"/>
  <c r="X691" i="1"/>
  <c r="X832" i="1"/>
  <c r="X915" i="1"/>
  <c r="X792" i="1"/>
  <c r="X778" i="1"/>
  <c r="X1162" i="1"/>
  <c r="X1186" i="1"/>
  <c r="X1063" i="1"/>
  <c r="X1045" i="1"/>
  <c r="X1237" i="1"/>
  <c r="X1190" i="1"/>
  <c r="X1062" i="1"/>
  <c r="X1041" i="1"/>
  <c r="X1235" i="1"/>
  <c r="X1244" i="1"/>
  <c r="X1263" i="1"/>
  <c r="X1113" i="1"/>
  <c r="X1142" i="1"/>
  <c r="X1076" i="1"/>
  <c r="X1106" i="1"/>
  <c r="X1320" i="1"/>
  <c r="X1236" i="1"/>
  <c r="X1189" i="1"/>
  <c r="X1081" i="1"/>
  <c r="X1319" i="1"/>
  <c r="X1040" i="1"/>
  <c r="X1245" i="1"/>
  <c r="X1085" i="1"/>
  <c r="X1326" i="1"/>
  <c r="X1233" i="1"/>
  <c r="X1073" i="1"/>
  <c r="X1091" i="1"/>
  <c r="X1330" i="1"/>
  <c r="X1238" i="1"/>
  <c r="X1071" i="1"/>
  <c r="X1083" i="1"/>
  <c r="X1117" i="1"/>
  <c r="X1036" i="1"/>
  <c r="X1249" i="1"/>
  <c r="X1097" i="1"/>
  <c r="X1318" i="1"/>
  <c r="X1153" i="1"/>
  <c r="X1188" i="1"/>
  <c r="X1100" i="1"/>
  <c r="X1037" i="1"/>
  <c r="X1234" i="1"/>
  <c r="X1191" i="1"/>
  <c r="X1265" i="1"/>
  <c r="X1161" i="1"/>
  <c r="X1170" i="1"/>
  <c r="X1089" i="1"/>
  <c r="X1273" i="1"/>
  <c r="X1333" i="1"/>
  <c r="X1248" i="1"/>
  <c r="X1029" i="1"/>
  <c r="X1035" i="1"/>
  <c r="X1247" i="1"/>
  <c r="X1145" i="1"/>
  <c r="X1094" i="1"/>
  <c r="X1088" i="1"/>
  <c r="X1321" i="1"/>
  <c r="X1140" i="1"/>
  <c r="X1099" i="1"/>
  <c r="X1069" i="1"/>
  <c r="X1173" i="1"/>
  <c r="X1034" i="1"/>
  <c r="X1253" i="1"/>
  <c r="X1271" i="1"/>
  <c r="X1014" i="1"/>
  <c r="X1144" i="1"/>
  <c r="X1192" i="1"/>
  <c r="X1262" i="1"/>
  <c r="X1328" i="1"/>
  <c r="X1230" i="1"/>
  <c r="X1252" i="1"/>
  <c r="X1256" i="1"/>
  <c r="X1169" i="1"/>
  <c r="X1149" i="1"/>
  <c r="X1193" i="1"/>
  <c r="X1258" i="1"/>
  <c r="X1010" i="1"/>
  <c r="X1019" i="1"/>
  <c r="X1254" i="1"/>
  <c r="X1060" i="1"/>
  <c r="X1006" i="1"/>
  <c r="X1118" i="1"/>
  <c r="X1251" i="1"/>
  <c r="X1272" i="1"/>
  <c r="X1164" i="1"/>
  <c r="X1112" i="1"/>
  <c r="X1257" i="1"/>
  <c r="X1078" i="1"/>
  <c r="X1325" i="1"/>
  <c r="X1026" i="1"/>
  <c r="X1261" i="1"/>
  <c r="X1059" i="1"/>
  <c r="X1174" i="1"/>
  <c r="X1226" i="1"/>
  <c r="X1204" i="1"/>
  <c r="X1259" i="1"/>
  <c r="X1179" i="1"/>
  <c r="X1229" i="1"/>
  <c r="X1110" i="1"/>
  <c r="X1082" i="1"/>
  <c r="X1002" i="1"/>
  <c r="X1232" i="1"/>
  <c r="X1210" i="1"/>
  <c r="X1074" i="1"/>
  <c r="X1001" i="1"/>
  <c r="X1223" i="1"/>
  <c r="X1270" i="1"/>
  <c r="X1267" i="1"/>
  <c r="X1171" i="1"/>
  <c r="X1231" i="1"/>
  <c r="X1138" i="1"/>
  <c r="X1072" i="1"/>
  <c r="X1180" i="1"/>
  <c r="X1102" i="1"/>
  <c r="X1154" i="1"/>
  <c r="X1260" i="1"/>
  <c r="X1314" i="1"/>
  <c r="X1228" i="1"/>
  <c r="X1286" i="1"/>
  <c r="X1064" i="1"/>
  <c r="X1003" i="1"/>
  <c r="X1218" i="1"/>
  <c r="X1222" i="1"/>
  <c r="X1066" i="1"/>
  <c r="X1007" i="1"/>
  <c r="X1268" i="1"/>
  <c r="X1009" i="1"/>
  <c r="X1098" i="1"/>
  <c r="X1219" i="1"/>
  <c r="X1068" i="1"/>
  <c r="X1025" i="1"/>
  <c r="X1137" i="1"/>
  <c r="X1276" i="1"/>
  <c r="X1176" i="1"/>
  <c r="X1221" i="1"/>
  <c r="X1216" i="1"/>
  <c r="X1070" i="1"/>
  <c r="X1177" i="1"/>
  <c r="X1224" i="1"/>
  <c r="X1227" i="1"/>
  <c r="X1067" i="1"/>
  <c r="X1141" i="1"/>
  <c r="X1020" i="1"/>
  <c r="X1225" i="1"/>
  <c r="X1065" i="1"/>
  <c r="X1130" i="1"/>
  <c r="X1024" i="1"/>
  <c r="X1293" i="1"/>
  <c r="X1090" i="1"/>
  <c r="X1101" i="1"/>
  <c r="X1121" i="1"/>
  <c r="X1239" i="1"/>
  <c r="X1096" i="1"/>
  <c r="X1092" i="1"/>
  <c r="X1125" i="1"/>
  <c r="X1151" i="1"/>
  <c r="X1058" i="1"/>
  <c r="X1315" i="1"/>
  <c r="X1146" i="1"/>
  <c r="X1241" i="1"/>
  <c r="X1119" i="1"/>
  <c r="X1331" i="1"/>
  <c r="X1128" i="1"/>
  <c r="X1157" i="1"/>
  <c r="X1057" i="1"/>
  <c r="X1011" i="1"/>
  <c r="X1027" i="1"/>
  <c r="X1181" i="1"/>
  <c r="X1056" i="1"/>
  <c r="X1327" i="1"/>
  <c r="X1152" i="1"/>
  <c r="X1182" i="1"/>
  <c r="X1051" i="1"/>
  <c r="X1086" i="1"/>
  <c r="X1132" i="1"/>
  <c r="X1243" i="1"/>
  <c r="X1274" i="1"/>
  <c r="X1323" i="1"/>
  <c r="X1126" i="1"/>
  <c r="X1294" i="1"/>
  <c r="X1053" i="1"/>
  <c r="X1079" i="1"/>
  <c r="X1212" i="1"/>
  <c r="X1246" i="1"/>
  <c r="X1269" i="1"/>
  <c r="X1077" i="1"/>
  <c r="X1213" i="1"/>
  <c r="X1255" i="1"/>
  <c r="X1047" i="1"/>
  <c r="X1015" i="1"/>
  <c r="X1018" i="1"/>
  <c r="X1301" i="1"/>
  <c r="X1275" i="1"/>
  <c r="X1075" i="1"/>
  <c r="X1017" i="1"/>
  <c r="X1302" i="1"/>
  <c r="X1122" i="1"/>
  <c r="X1335" i="1"/>
  <c r="X1131" i="1"/>
  <c r="X1183" i="1"/>
  <c r="X1289" i="1"/>
  <c r="X1338" i="1"/>
  <c r="X1139" i="1"/>
  <c r="X1184" i="1"/>
  <c r="X1281" i="1"/>
  <c r="X1339" i="1"/>
  <c r="X1016" i="1"/>
  <c r="X1277" i="1"/>
  <c r="X1166" i="1"/>
  <c r="X1185" i="1"/>
  <c r="X1135" i="1"/>
  <c r="X1340" i="1"/>
  <c r="X1214" i="1"/>
  <c r="X1303" i="1"/>
  <c r="X1148" i="1"/>
  <c r="X1080" i="1"/>
  <c r="X1136" i="1"/>
  <c r="X1187" i="1"/>
  <c r="X1044" i="1"/>
  <c r="X1087" i="1"/>
  <c r="X1107" i="1"/>
  <c r="X1307" i="1"/>
  <c r="X1042" i="1"/>
  <c r="X1341" i="1"/>
  <c r="X1202" i="1"/>
  <c r="X1306" i="1"/>
  <c r="X1147" i="1"/>
  <c r="X1334" i="1"/>
  <c r="X1022" i="1"/>
  <c r="X1194" i="1"/>
  <c r="X1291" i="1"/>
  <c r="X1061" i="1"/>
  <c r="X1030" i="1"/>
  <c r="X1266" i="1"/>
  <c r="X1150" i="1"/>
  <c r="X1332" i="1"/>
  <c r="X1208" i="1"/>
  <c r="X1311" i="1"/>
  <c r="X1299" i="1"/>
  <c r="X1084" i="1"/>
  <c r="X1115" i="1"/>
  <c r="X1198" i="1"/>
  <c r="X1167" i="1"/>
  <c r="X1322" i="1"/>
  <c r="X1201" i="1"/>
  <c r="X1200" i="1"/>
  <c r="X1043" i="1"/>
  <c r="X1336" i="1"/>
  <c r="X1105" i="1"/>
  <c r="X1211" i="1"/>
  <c r="X1298" i="1"/>
  <c r="X1013" i="1"/>
  <c r="X1124" i="1"/>
  <c r="X1264" i="1"/>
  <c r="X1048" i="1"/>
  <c r="X1337" i="1"/>
  <c r="X1205" i="1"/>
  <c r="X1312" i="1"/>
  <c r="X1178" i="1"/>
  <c r="X1012" i="1"/>
  <c r="X1021" i="1"/>
  <c r="X1310" i="1"/>
  <c r="X1163" i="1"/>
  <c r="X1008" i="1"/>
  <c r="X1196" i="1"/>
  <c r="X1278" i="1"/>
  <c r="X1049" i="1"/>
  <c r="X1114" i="1"/>
  <c r="X1023" i="1"/>
  <c r="X1215" i="1"/>
  <c r="X1296" i="1"/>
  <c r="X1116" i="1"/>
  <c r="X1028" i="1"/>
  <c r="X1305" i="1"/>
  <c r="X1172" i="1"/>
  <c r="X1123" i="1"/>
  <c r="X1108" i="1"/>
  <c r="X1292" i="1"/>
  <c r="X1050" i="1"/>
  <c r="X1111" i="1"/>
  <c r="X1217" i="1"/>
  <c r="X1195" i="1"/>
  <c r="X1220" i="1"/>
  <c r="X1004" i="1"/>
  <c r="X1199" i="1"/>
  <c r="X1295" i="1"/>
  <c r="X1280" i="1"/>
  <c r="X1129" i="1"/>
  <c r="X1031" i="1"/>
  <c r="X1288" i="1"/>
  <c r="X1279" i="1"/>
  <c r="X1133" i="1"/>
  <c r="X1033" i="1"/>
  <c r="X1240" i="1"/>
  <c r="X1046" i="1"/>
  <c r="X1329" i="1"/>
  <c r="X1197" i="1"/>
  <c r="X1300" i="1"/>
  <c r="X1155" i="1"/>
  <c r="X1316" i="1"/>
  <c r="X1038" i="1"/>
  <c r="X1242" i="1"/>
  <c r="X1052" i="1"/>
  <c r="X1095" i="1"/>
  <c r="X1203" i="1"/>
  <c r="X1309" i="1"/>
  <c r="X1158" i="1"/>
  <c r="X1093" i="1"/>
  <c r="X1103" i="1"/>
  <c r="X1304" i="1"/>
  <c r="X1168" i="1"/>
  <c r="X1005" i="1"/>
  <c r="X1039" i="1"/>
  <c r="X1290" i="1"/>
  <c r="X1284" i="1"/>
  <c r="X1120" i="1"/>
  <c r="X1104" i="1"/>
  <c r="X1287" i="1"/>
  <c r="X1054" i="1"/>
  <c r="X1317" i="1"/>
  <c r="X1109" i="1"/>
  <c r="X1250" i="1"/>
  <c r="X1282" i="1"/>
  <c r="X1127" i="1"/>
  <c r="X1134" i="1"/>
  <c r="X1283" i="1"/>
  <c r="X1055" i="1"/>
  <c r="X1324" i="1"/>
  <c r="X1032" i="1"/>
  <c r="X1308" i="1"/>
  <c r="X1160" i="1"/>
  <c r="X1156" i="1"/>
  <c r="X1209" i="1"/>
  <c r="X1297" i="1"/>
  <c r="X1143" i="1"/>
  <c r="X1000" i="1"/>
  <c r="X1207" i="1"/>
  <c r="X1285" i="1"/>
  <c r="X1175" i="1"/>
  <c r="X1165" i="1"/>
  <c r="X1206" i="1"/>
  <c r="X1313" i="1"/>
  <c r="X1159" i="1"/>
  <c r="X999" i="1"/>
  <c r="X1534" i="1"/>
  <c r="X1568" i="1"/>
  <c r="X1562" i="1"/>
  <c r="X1356" i="1"/>
  <c r="X1465" i="1"/>
  <c r="X1587" i="1"/>
  <c r="X1477" i="1"/>
  <c r="X1612" i="1"/>
  <c r="X1464" i="1"/>
  <c r="X1542" i="1"/>
  <c r="X1478" i="1"/>
  <c r="X1611" i="1"/>
  <c r="X1532" i="1"/>
  <c r="X1590" i="1"/>
  <c r="X1462" i="1"/>
  <c r="X1429" i="1"/>
  <c r="X1406" i="1"/>
  <c r="X1567" i="1"/>
  <c r="X1423" i="1"/>
  <c r="X1616" i="1"/>
  <c r="X1452" i="1"/>
  <c r="X1553" i="1"/>
  <c r="X1488" i="1"/>
  <c r="X1357" i="1"/>
  <c r="X1408" i="1"/>
  <c r="X1566" i="1"/>
  <c r="X1491" i="1"/>
  <c r="X1482" i="1"/>
  <c r="X1413" i="1"/>
  <c r="X1561" i="1"/>
  <c r="X1432" i="1"/>
  <c r="X1466" i="1"/>
  <c r="X1412" i="1"/>
  <c r="X1592" i="1"/>
  <c r="X1489" i="1"/>
  <c r="X1468" i="1"/>
  <c r="X1472" i="1"/>
  <c r="X1593" i="1"/>
  <c r="X1559" i="1"/>
  <c r="X1625" i="1"/>
  <c r="X1418" i="1"/>
  <c r="X1558" i="1"/>
  <c r="X1483" i="1"/>
  <c r="X1471" i="1"/>
  <c r="X1419" i="1"/>
  <c r="X1557" i="1"/>
  <c r="X1431" i="1"/>
  <c r="X1623" i="1"/>
  <c r="X1470" i="1"/>
  <c r="X1571" i="1"/>
  <c r="X1428" i="1"/>
  <c r="X1352" i="1"/>
  <c r="X1454" i="1"/>
  <c r="X1554" i="1"/>
  <c r="X1560" i="1"/>
  <c r="X1343" i="1"/>
  <c r="X1416" i="1"/>
  <c r="X1572" i="1"/>
  <c r="X1434" i="1"/>
  <c r="X1344" i="1"/>
  <c r="X1535" i="1"/>
  <c r="X1569" i="1"/>
  <c r="X1563" i="1"/>
  <c r="X1346" i="1"/>
  <c r="X1411" i="1"/>
  <c r="X1595" i="1"/>
  <c r="X1564" i="1"/>
  <c r="X1481" i="1"/>
  <c r="X1531" i="1"/>
  <c r="X1565" i="1"/>
  <c r="X1474" i="1"/>
  <c r="X1624" i="1"/>
  <c r="X1461" i="1"/>
  <c r="X1580" i="1"/>
  <c r="X1490" i="1"/>
  <c r="X1350" i="1"/>
  <c r="X1400" i="1"/>
  <c r="X1597" i="1"/>
  <c r="X1556" i="1"/>
  <c r="X1484" i="1"/>
  <c r="X1453" i="1"/>
  <c r="X1603" i="1"/>
  <c r="X1435" i="1"/>
  <c r="X1353" i="1"/>
  <c r="X1533" i="1"/>
  <c r="X1570" i="1"/>
  <c r="X1500" i="1"/>
  <c r="X1630" i="1"/>
  <c r="X1529" i="1"/>
  <c r="X1607" i="1"/>
  <c r="X1497" i="1"/>
  <c r="X1634" i="1"/>
  <c r="X1581" i="1"/>
  <c r="X1496" i="1"/>
  <c r="X1485" i="1"/>
  <c r="X1398" i="1"/>
  <c r="X1574" i="1"/>
  <c r="X1552" i="1"/>
  <c r="X1476" i="1"/>
  <c r="X1519" i="1"/>
  <c r="X1606" i="1"/>
  <c r="X1550" i="1"/>
  <c r="X1347" i="1"/>
  <c r="X1399" i="1"/>
  <c r="X1583" i="1"/>
  <c r="X1426" i="1"/>
  <c r="X1631" i="1"/>
  <c r="X1390" i="1"/>
  <c r="X1579" i="1"/>
  <c r="X1498" i="1"/>
  <c r="X1342" i="1"/>
  <c r="X1446" i="1"/>
  <c r="X1573" i="1"/>
  <c r="X1424" i="1"/>
  <c r="X1643" i="1"/>
  <c r="X1384" i="1"/>
  <c r="X1609" i="1"/>
  <c r="X1430" i="1"/>
  <c r="X1345" i="1"/>
  <c r="X1385" i="1"/>
  <c r="X1601" i="1"/>
  <c r="X1422" i="1"/>
  <c r="X1475" i="1"/>
  <c r="X1520" i="1"/>
  <c r="X1575" i="1"/>
  <c r="X1502" i="1"/>
  <c r="X1632" i="1"/>
  <c r="X1444" i="1"/>
  <c r="X1608" i="1"/>
  <c r="X1504" i="1"/>
  <c r="X1642" i="1"/>
  <c r="X1443" i="1"/>
  <c r="X1605" i="1"/>
  <c r="X1420" i="1"/>
  <c r="X1479" i="1"/>
  <c r="X1524" i="1"/>
  <c r="X1604" i="1"/>
  <c r="X1494" i="1"/>
  <c r="X1641" i="1"/>
  <c r="X1445" i="1"/>
  <c r="X1613" i="1"/>
  <c r="X1503" i="1"/>
  <c r="X1463" i="1"/>
  <c r="X1523" i="1"/>
  <c r="X1610" i="1"/>
  <c r="X1417" i="1"/>
  <c r="X1469" i="1"/>
  <c r="X1530" i="1"/>
  <c r="X1577" i="1"/>
  <c r="X1547" i="1"/>
  <c r="X1640" i="1"/>
  <c r="X1440" i="1"/>
  <c r="X1578" i="1"/>
  <c r="X1415" i="1"/>
  <c r="X1455" i="1"/>
  <c r="X1388" i="1"/>
  <c r="X1615" i="1"/>
  <c r="X1548" i="1"/>
  <c r="X1348" i="1"/>
  <c r="X1439" i="1"/>
  <c r="X1588" i="1"/>
  <c r="X1501" i="1"/>
  <c r="X1639" i="1"/>
  <c r="X1526" i="1"/>
  <c r="X1626" i="1"/>
  <c r="X1555" i="1"/>
  <c r="X1635" i="1"/>
  <c r="X1383" i="1"/>
  <c r="X1628" i="1"/>
  <c r="X1442" i="1"/>
  <c r="X1576" i="1"/>
  <c r="X1505" i="1"/>
  <c r="X1638" i="1"/>
  <c r="X1379" i="1"/>
  <c r="X1600" i="1"/>
  <c r="X1507" i="1"/>
  <c r="X1448" i="1"/>
  <c r="X1438" i="1"/>
  <c r="X1617" i="1"/>
  <c r="X1551" i="1"/>
  <c r="X1355" i="1"/>
  <c r="X1527" i="1"/>
  <c r="X1629" i="1"/>
  <c r="X1508" i="1"/>
  <c r="X1637" i="1"/>
  <c r="X1368" i="1"/>
  <c r="X1619" i="1"/>
  <c r="X1549" i="1"/>
  <c r="X1449" i="1"/>
  <c r="X1366" i="1"/>
  <c r="X1651" i="1"/>
  <c r="X1506" i="1"/>
  <c r="X1458" i="1"/>
  <c r="X1528" i="1"/>
  <c r="X1644" i="1"/>
  <c r="X1546" i="1"/>
  <c r="X1645" i="1"/>
  <c r="X1522" i="1"/>
  <c r="X1622" i="1"/>
  <c r="X1414" i="1"/>
  <c r="X1450" i="1"/>
  <c r="X1389" i="1"/>
  <c r="X1582" i="1"/>
  <c r="X1511" i="1"/>
  <c r="X1648" i="1"/>
  <c r="X1525" i="1"/>
  <c r="X1659" i="1"/>
  <c r="X1495" i="1"/>
  <c r="X1647" i="1"/>
  <c r="X1521" i="1"/>
  <c r="X1586" i="1"/>
  <c r="X1544" i="1"/>
  <c r="X1650" i="1"/>
  <c r="X1518" i="1"/>
  <c r="X1668" i="1"/>
  <c r="X1492" i="1"/>
  <c r="X1656" i="1"/>
  <c r="X1441" i="1"/>
  <c r="X1614" i="1"/>
  <c r="X1541" i="1"/>
  <c r="X1349" i="1"/>
  <c r="X1367" i="1"/>
  <c r="X1618" i="1"/>
  <c r="X1410" i="1"/>
  <c r="X1351" i="1"/>
  <c r="X1391" i="1"/>
  <c r="X1621" i="1"/>
  <c r="X1543" i="1"/>
  <c r="X1447" i="1"/>
  <c r="X1386" i="1"/>
  <c r="X1620" i="1"/>
  <c r="X1409" i="1"/>
  <c r="X1655" i="1"/>
  <c r="X1381" i="1"/>
  <c r="X1627" i="1"/>
  <c r="X1405" i="1"/>
  <c r="X1358" i="1"/>
  <c r="X1517" i="1"/>
  <c r="X1633" i="1"/>
  <c r="X1407" i="1"/>
  <c r="X1362" i="1"/>
  <c r="X1373" i="1"/>
  <c r="X1667" i="1"/>
  <c r="X1649" i="1"/>
  <c r="X1536" i="1"/>
  <c r="X1516" i="1"/>
  <c r="X1585" i="1"/>
  <c r="X1499" i="1"/>
  <c r="X1657" i="1"/>
  <c r="X1436" i="1"/>
  <c r="X1584" i="1"/>
  <c r="X1493" i="1"/>
  <c r="X1658" i="1"/>
  <c r="X1437" i="1"/>
  <c r="X1591" i="1"/>
  <c r="X1538" i="1"/>
  <c r="X1457" i="1"/>
  <c r="X1433" i="1"/>
  <c r="X1589" i="1"/>
  <c r="X1404" i="1"/>
  <c r="X1370" i="1"/>
  <c r="X1375" i="1"/>
  <c r="X1666" i="1"/>
  <c r="X1403" i="1"/>
  <c r="X1382" i="1"/>
  <c r="X1380" i="1"/>
  <c r="X1654" i="1"/>
  <c r="X1537" i="1"/>
  <c r="X1663" i="1"/>
  <c r="X1369" i="1"/>
  <c r="X1646" i="1"/>
  <c r="X1402" i="1"/>
  <c r="X1660" i="1"/>
  <c r="X1376" i="1"/>
  <c r="X1669" i="1"/>
  <c r="X1487" i="1"/>
  <c r="X1372" i="1"/>
  <c r="X1374" i="1"/>
  <c r="X1598" i="1"/>
  <c r="X1486" i="1"/>
  <c r="X1664" i="1"/>
  <c r="X1515" i="1"/>
  <c r="X1594" i="1"/>
  <c r="X1473" i="1"/>
  <c r="X1387" i="1"/>
  <c r="X1421" i="1"/>
  <c r="X1636" i="1"/>
  <c r="X1401" i="1"/>
  <c r="X1662" i="1"/>
  <c r="X1512" i="1"/>
  <c r="X1599" i="1"/>
  <c r="X1396" i="1"/>
  <c r="X1377" i="1"/>
  <c r="X1363" i="1"/>
  <c r="X1670" i="1"/>
  <c r="X1392" i="1"/>
  <c r="X1378" i="1"/>
  <c r="X1425" i="1"/>
  <c r="X1671" i="1"/>
  <c r="X1393" i="1"/>
  <c r="X1371" i="1"/>
  <c r="X1514" i="1"/>
  <c r="X1652" i="1"/>
  <c r="X1539" i="1"/>
  <c r="X1365" i="1"/>
  <c r="X1513" i="1"/>
  <c r="X1602" i="1"/>
  <c r="X1467" i="1"/>
  <c r="X1661" i="1"/>
  <c r="X1364" i="1"/>
  <c r="X1653" i="1"/>
  <c r="X1394" i="1"/>
  <c r="X1451" i="1"/>
  <c r="X1510" i="1"/>
  <c r="X1673" i="1"/>
  <c r="X1395" i="1"/>
  <c r="X1359" i="1"/>
  <c r="X1360" i="1"/>
  <c r="X1540" i="1"/>
  <c r="X1456" i="1"/>
  <c r="X1460" i="1"/>
  <c r="X1354" i="1"/>
  <c r="X1672" i="1"/>
  <c r="X1397" i="1"/>
  <c r="X1665" i="1"/>
  <c r="X1509" i="1"/>
  <c r="X1596" i="1"/>
  <c r="X1480" i="1"/>
  <c r="X1459" i="1"/>
  <c r="X1427" i="1"/>
  <c r="X1674" i="1"/>
  <c r="X1545" i="1"/>
  <c r="X1361" i="1"/>
  <c r="X1728" i="1"/>
  <c r="X1893" i="1"/>
  <c r="X1828" i="1"/>
  <c r="X1731" i="1"/>
  <c r="X1726" i="1"/>
  <c r="X1894" i="1"/>
  <c r="X1758" i="1"/>
  <c r="X1818" i="1"/>
  <c r="X1769" i="1"/>
  <c r="X1925" i="1"/>
  <c r="X1871" i="1"/>
  <c r="X1817" i="1"/>
  <c r="X1717" i="1"/>
  <c r="X1895" i="1"/>
  <c r="X1753" i="1"/>
  <c r="X1930" i="1"/>
  <c r="X1705" i="1"/>
  <c r="X1937" i="1"/>
  <c r="X1813" i="1"/>
  <c r="X1928" i="1"/>
  <c r="X1722" i="1"/>
  <c r="X1896" i="1"/>
  <c r="X1757" i="1"/>
  <c r="X1826" i="1"/>
  <c r="X1864" i="1"/>
  <c r="X1962" i="1"/>
  <c r="X1808" i="1"/>
  <c r="X1924" i="1"/>
  <c r="X1721" i="1"/>
  <c r="X1929" i="1"/>
  <c r="X1754" i="1"/>
  <c r="X1834" i="1"/>
  <c r="X1713" i="1"/>
  <c r="X1935" i="1"/>
  <c r="X1756" i="1"/>
  <c r="X1830" i="1"/>
  <c r="X1865" i="1"/>
  <c r="X1936" i="1"/>
  <c r="X1806" i="1"/>
  <c r="X1729" i="1"/>
  <c r="X1723" i="1"/>
  <c r="X1897" i="1"/>
  <c r="X1759" i="1"/>
  <c r="X1922" i="1"/>
  <c r="X1867" i="1"/>
  <c r="X1976" i="1"/>
  <c r="X1810" i="1"/>
  <c r="X1730" i="1"/>
  <c r="X1772" i="1"/>
  <c r="X2" i="1"/>
  <c r="X1877" i="1"/>
  <c r="X1727" i="1"/>
  <c r="X1768" i="1"/>
  <c r="X1983" i="1"/>
  <c r="X1762" i="1"/>
  <c r="X1918" i="1"/>
  <c r="X1776" i="1"/>
  <c r="X1939" i="1"/>
  <c r="X1815" i="1"/>
  <c r="X1838" i="1"/>
  <c r="X1979" i="1"/>
  <c r="X1883" i="1"/>
  <c r="X1921" i="1"/>
  <c r="X1795" i="1"/>
  <c r="X1938" i="1"/>
  <c r="X1873" i="1"/>
  <c r="X1927" i="1"/>
  <c r="X1714" i="1"/>
  <c r="X1910" i="1"/>
  <c r="X1761" i="1"/>
  <c r="X1716" i="1"/>
  <c r="X1707" i="1"/>
  <c r="X1984" i="1"/>
  <c r="X1825" i="1"/>
  <c r="X1720" i="1"/>
  <c r="X1866" i="1"/>
  <c r="X1913" i="1"/>
  <c r="X1831" i="1"/>
  <c r="X1933" i="1"/>
  <c r="X1710" i="1"/>
  <c r="X1985" i="1"/>
  <c r="X1887" i="1"/>
  <c r="X1931" i="1"/>
  <c r="X1712" i="1"/>
  <c r="X1940" i="1"/>
  <c r="X1833" i="1"/>
  <c r="X1701" i="1"/>
  <c r="X1787" i="1"/>
  <c r="X1986" i="1"/>
  <c r="X1835" i="1"/>
  <c r="X1926" i="1"/>
  <c r="X1783" i="1"/>
  <c r="X1975" i="1"/>
  <c r="X1820" i="1"/>
  <c r="X1708" i="1"/>
  <c r="X1862" i="1"/>
  <c r="X1942" i="1"/>
  <c r="X1881" i="1"/>
  <c r="X1823" i="1"/>
  <c r="X1854" i="1"/>
  <c r="X1919" i="1"/>
  <c r="X1819" i="1"/>
  <c r="X1719" i="1"/>
  <c r="X1843" i="1"/>
  <c r="X1923" i="1"/>
  <c r="X1880" i="1"/>
  <c r="X1704" i="1"/>
  <c r="X1709" i="1"/>
  <c r="X1917" i="1"/>
  <c r="X1814" i="1"/>
  <c r="X1703" i="1"/>
  <c r="X1718" i="1"/>
  <c r="X1987" i="1"/>
  <c r="X1760" i="1"/>
  <c r="X1829" i="1"/>
  <c r="X1711" i="1"/>
  <c r="X1988" i="1"/>
  <c r="X1870" i="1"/>
  <c r="X1724" i="1"/>
  <c r="X1700" i="1"/>
  <c r="X1949" i="1"/>
  <c r="X1869" i="1"/>
  <c r="X1715" i="1"/>
  <c r="X1790" i="1"/>
  <c r="X1912" i="1"/>
  <c r="X1755" i="1"/>
  <c r="X1920" i="1"/>
  <c r="X1698" i="1"/>
  <c r="X1947" i="1"/>
  <c r="X1751" i="1"/>
  <c r="X1702" i="1"/>
  <c r="X1858" i="1"/>
  <c r="X1932" i="1"/>
  <c r="X1874" i="1"/>
  <c r="X1824" i="1"/>
  <c r="X1811" i="1"/>
  <c r="X1786" i="1"/>
  <c r="X1989" i="1"/>
  <c r="X1782" i="1"/>
  <c r="X1934" i="1"/>
  <c r="X1750" i="1"/>
  <c r="X1914" i="1"/>
  <c r="X1855" i="1"/>
  <c r="X1943" i="1"/>
  <c r="X1749" i="1"/>
  <c r="X1832" i="1"/>
  <c r="X1784" i="1"/>
  <c r="X1941" i="1"/>
  <c r="X1746" i="1"/>
  <c r="X1907" i="1"/>
  <c r="X1860" i="1"/>
  <c r="X1945" i="1"/>
  <c r="X1868" i="1"/>
  <c r="X1906" i="1"/>
  <c r="X1690" i="1"/>
  <c r="X1990" i="1"/>
  <c r="X1812" i="1"/>
  <c r="X1725" i="1"/>
  <c r="X1859" i="1"/>
  <c r="X1951" i="1"/>
  <c r="X1876" i="1"/>
  <c r="X1908" i="1"/>
  <c r="X1789" i="1"/>
  <c r="X1952" i="1"/>
  <c r="X1736" i="1"/>
  <c r="X1821" i="1"/>
  <c r="X1850" i="1"/>
  <c r="X1991" i="1"/>
  <c r="X1744" i="1"/>
  <c r="X1904" i="1"/>
  <c r="X1797" i="1"/>
  <c r="X1948" i="1"/>
  <c r="X1809" i="1"/>
  <c r="X1822" i="1"/>
  <c r="X1852" i="1"/>
  <c r="X1992" i="1"/>
  <c r="X1743" i="1"/>
  <c r="X1900" i="1"/>
  <c r="X1803" i="1"/>
  <c r="X1954" i="1"/>
  <c r="X1805" i="1"/>
  <c r="X1706" i="1"/>
  <c r="X1844" i="1"/>
  <c r="X1946" i="1"/>
  <c r="X1804" i="1"/>
  <c r="X1899" i="1"/>
  <c r="X1846" i="1"/>
  <c r="X1944" i="1"/>
  <c r="X1745" i="1"/>
  <c r="X1898" i="1"/>
  <c r="X1691" i="1"/>
  <c r="X1950" i="1"/>
  <c r="X1879" i="1"/>
  <c r="X1901" i="1"/>
  <c r="X1851" i="1"/>
  <c r="X1993" i="1"/>
  <c r="X1801" i="1"/>
  <c r="X1836" i="1"/>
  <c r="X1847" i="1"/>
  <c r="X1994" i="1"/>
  <c r="X1738" i="1"/>
  <c r="X1840" i="1"/>
  <c r="X1697" i="1"/>
  <c r="X1995" i="1"/>
  <c r="X1734" i="1"/>
  <c r="X1848" i="1"/>
  <c r="X1792" i="1"/>
  <c r="X1956" i="1"/>
  <c r="X1878" i="1"/>
  <c r="X1905" i="1"/>
  <c r="X1693" i="1"/>
  <c r="X1996" i="1"/>
  <c r="X1796" i="1"/>
  <c r="X1955" i="1"/>
  <c r="X1794" i="1"/>
  <c r="X1903" i="1"/>
  <c r="X1849" i="1"/>
  <c r="X1997" i="1"/>
  <c r="X1740" i="1"/>
  <c r="X1699" i="1"/>
  <c r="X1781" i="1"/>
  <c r="X1982" i="1"/>
  <c r="X1739" i="1"/>
  <c r="X1853" i="1"/>
  <c r="X1780" i="1"/>
  <c r="X1959" i="1"/>
  <c r="X1748" i="1"/>
  <c r="X1694" i="1"/>
  <c r="X1856" i="1"/>
  <c r="X1953" i="1"/>
  <c r="X1798" i="1"/>
  <c r="X1841" i="1"/>
  <c r="X1778" i="1"/>
  <c r="X1965" i="1"/>
  <c r="X1888" i="1"/>
  <c r="X1837" i="1"/>
  <c r="X1779" i="1"/>
  <c r="X1977" i="1"/>
  <c r="X1885" i="1"/>
  <c r="X1687" i="1"/>
  <c r="X1696" i="1"/>
  <c r="X1966" i="1"/>
  <c r="X1752" i="1"/>
  <c r="X1685" i="1"/>
  <c r="X1771" i="1"/>
  <c r="X1972" i="1"/>
  <c r="X1889" i="1"/>
  <c r="X1839" i="1"/>
  <c r="X1774" i="1"/>
  <c r="X1967" i="1"/>
  <c r="X1890" i="1"/>
  <c r="X1684" i="1"/>
  <c r="X1861" i="1"/>
  <c r="X1973" i="1"/>
  <c r="X1886" i="1"/>
  <c r="X1827" i="1"/>
  <c r="X1785" i="1"/>
  <c r="X1968" i="1"/>
  <c r="X1747" i="1"/>
  <c r="X1816" i="1"/>
  <c r="X1863" i="1"/>
  <c r="X1980" i="1"/>
  <c r="X1875" i="1"/>
  <c r="X1807" i="1"/>
  <c r="X1695" i="1"/>
  <c r="X1961" i="1"/>
  <c r="X1884" i="1"/>
  <c r="X1802" i="1"/>
  <c r="X1689" i="1"/>
  <c r="X1960" i="1"/>
  <c r="X1872" i="1"/>
  <c r="X1682" i="1"/>
  <c r="X1692" i="1"/>
  <c r="X1974" i="1"/>
  <c r="X1882" i="1"/>
  <c r="X1681" i="1"/>
  <c r="X1791" i="1"/>
  <c r="X1958" i="1"/>
  <c r="X1788" i="1"/>
  <c r="X1902" i="1"/>
  <c r="X1686" i="1"/>
  <c r="X1978" i="1"/>
  <c r="X1737" i="1"/>
  <c r="X1911" i="1"/>
  <c r="X1770" i="1"/>
  <c r="X1998" i="1"/>
  <c r="X1892" i="1"/>
  <c r="X1683" i="1"/>
  <c r="X1688" i="1"/>
  <c r="X1999" i="1"/>
  <c r="X1793" i="1"/>
  <c r="X1741" i="1"/>
  <c r="X1680" i="1"/>
  <c r="X1971" i="1"/>
  <c r="X1742" i="1"/>
  <c r="X1909" i="1"/>
  <c r="X1765" i="1"/>
  <c r="X1969" i="1"/>
  <c r="X1891" i="1"/>
  <c r="X1676" i="1"/>
  <c r="X1857" i="1"/>
  <c r="X1963" i="1"/>
  <c r="X1773" i="1"/>
  <c r="X1916" i="1"/>
  <c r="X1845" i="1"/>
  <c r="X1970" i="1"/>
  <c r="X1777" i="1"/>
  <c r="X1799" i="1"/>
  <c r="X1678" i="1"/>
  <c r="X2000" i="1"/>
  <c r="X1735" i="1"/>
  <c r="X1675" i="1"/>
  <c r="X1766" i="1"/>
  <c r="X1981" i="1"/>
  <c r="X1733" i="1"/>
  <c r="X1679" i="1"/>
  <c r="X1764" i="1"/>
  <c r="X2001" i="1"/>
  <c r="X1767" i="1"/>
  <c r="X1800" i="1"/>
  <c r="X1763" i="1"/>
  <c r="X1964" i="1"/>
  <c r="X1775" i="1"/>
  <c r="X1915" i="1"/>
  <c r="X1842" i="1"/>
  <c r="X1957" i="1"/>
  <c r="X1732" i="1"/>
  <c r="X1677" i="1"/>
  <c r="U59" i="1"/>
  <c r="U193" i="1"/>
  <c r="U262" i="1"/>
  <c r="U330" i="1"/>
  <c r="U120" i="1"/>
  <c r="U169" i="1"/>
  <c r="U102" i="1"/>
  <c r="U322" i="1"/>
  <c r="U233" i="1"/>
  <c r="U188" i="1"/>
  <c r="U105" i="1"/>
  <c r="U32" i="1"/>
  <c r="U100" i="1"/>
  <c r="U229" i="1"/>
  <c r="U263" i="1"/>
  <c r="U319" i="1"/>
  <c r="U234" i="1"/>
  <c r="U223" i="1"/>
  <c r="U215" i="1"/>
  <c r="U323" i="1"/>
  <c r="U88" i="1"/>
  <c r="U189" i="1"/>
  <c r="U112" i="1"/>
  <c r="U29" i="1"/>
  <c r="U82" i="1"/>
  <c r="U222" i="1"/>
  <c r="U197" i="1"/>
  <c r="U47" i="1"/>
  <c r="U235" i="1"/>
  <c r="U219" i="1"/>
  <c r="U116" i="1"/>
  <c r="U14" i="1"/>
  <c r="U94" i="1"/>
  <c r="U220" i="1"/>
  <c r="U123" i="1"/>
  <c r="U67" i="1"/>
  <c r="U239" i="1"/>
  <c r="U293" i="1"/>
  <c r="U173" i="1"/>
  <c r="U66" i="1"/>
  <c r="U85" i="1"/>
  <c r="U294" i="1"/>
  <c r="U115" i="1"/>
  <c r="U6" i="1"/>
  <c r="U98" i="1"/>
  <c r="U203" i="1"/>
  <c r="U261" i="1"/>
  <c r="U324" i="1"/>
  <c r="U91" i="1"/>
  <c r="U199" i="1"/>
  <c r="U329" i="1"/>
  <c r="U108" i="1"/>
  <c r="U327" i="1"/>
  <c r="U113" i="1"/>
  <c r="U185" i="1"/>
  <c r="U121" i="1"/>
  <c r="U76" i="1"/>
  <c r="U243" i="1"/>
  <c r="U214" i="1"/>
  <c r="U178" i="1"/>
  <c r="U69" i="1"/>
  <c r="U134" i="1"/>
  <c r="U301" i="1"/>
  <c r="U266" i="1"/>
  <c r="U17" i="1"/>
  <c r="U107" i="1"/>
  <c r="U307" i="1"/>
  <c r="U172" i="1"/>
  <c r="U326" i="1"/>
  <c r="U238" i="1"/>
  <c r="U182" i="1"/>
  <c r="U136" i="1"/>
  <c r="U30" i="1"/>
  <c r="U245" i="1"/>
  <c r="U295" i="1"/>
  <c r="U279" i="1"/>
  <c r="U63" i="1"/>
  <c r="U97" i="1"/>
  <c r="U228" i="1"/>
  <c r="U111" i="1"/>
  <c r="U320" i="1"/>
  <c r="U248" i="1"/>
  <c r="U226" i="1"/>
  <c r="U96" i="1"/>
  <c r="U23" i="1"/>
  <c r="U255" i="1"/>
  <c r="U230" i="1"/>
  <c r="U104" i="1"/>
  <c r="U84" i="1"/>
  <c r="U242" i="1"/>
  <c r="U232" i="1"/>
  <c r="U268" i="1"/>
  <c r="U316" i="1"/>
  <c r="U142" i="1"/>
  <c r="U170" i="1"/>
  <c r="U276" i="1"/>
  <c r="U24" i="1"/>
  <c r="U114" i="1"/>
  <c r="U171" i="1"/>
  <c r="U269" i="1"/>
  <c r="U51" i="1"/>
  <c r="U140" i="1"/>
  <c r="U291" i="1"/>
  <c r="U110" i="1"/>
  <c r="U34" i="1"/>
  <c r="U146" i="1"/>
  <c r="U167" i="1"/>
  <c r="U93" i="1"/>
  <c r="U33" i="1"/>
  <c r="U153" i="1"/>
  <c r="U296" i="1"/>
  <c r="U81" i="1"/>
  <c r="U305" i="1"/>
  <c r="U138" i="1"/>
  <c r="U175" i="1"/>
  <c r="U70" i="1"/>
  <c r="U303" i="1"/>
  <c r="U236" i="1"/>
  <c r="U231" i="1"/>
  <c r="U176" i="1"/>
  <c r="U310" i="1"/>
  <c r="U247" i="1"/>
  <c r="U225" i="1"/>
  <c r="U86" i="1"/>
  <c r="U312" i="1"/>
  <c r="U224" i="1"/>
  <c r="U92" i="1"/>
  <c r="U311" i="1"/>
  <c r="U267" i="1"/>
  <c r="U118" i="1"/>
  <c r="U297" i="1"/>
  <c r="U64" i="1"/>
  <c r="U25" i="1"/>
  <c r="U149" i="1"/>
  <c r="U179" i="1"/>
  <c r="U57" i="1"/>
  <c r="U10" i="1"/>
  <c r="U249" i="1"/>
  <c r="U191" i="1"/>
  <c r="U278" i="1"/>
  <c r="U37" i="1"/>
  <c r="U257" i="1"/>
  <c r="U208" i="1"/>
  <c r="U58" i="1"/>
  <c r="U26" i="1"/>
  <c r="U139" i="1"/>
  <c r="U194" i="1"/>
  <c r="U192" i="1"/>
  <c r="U308" i="1"/>
  <c r="U133" i="1"/>
  <c r="U227" i="1"/>
  <c r="U46" i="1"/>
  <c r="U22" i="1"/>
  <c r="U250" i="1"/>
  <c r="U292" i="1"/>
  <c r="U196" i="1"/>
  <c r="U306" i="1"/>
  <c r="U129" i="1"/>
  <c r="U221" i="1"/>
  <c r="U201" i="1"/>
  <c r="U28" i="1"/>
  <c r="U128" i="1"/>
  <c r="U290" i="1"/>
  <c r="U40" i="1"/>
  <c r="U300" i="1"/>
  <c r="U135" i="1"/>
  <c r="U212" i="1"/>
  <c r="U45" i="1"/>
  <c r="U31" i="1"/>
  <c r="U106" i="1"/>
  <c r="U287" i="1"/>
  <c r="U211" i="1"/>
  <c r="U304" i="1"/>
  <c r="U95" i="1"/>
  <c r="U289" i="1"/>
  <c r="U50" i="1"/>
  <c r="U298" i="1"/>
  <c r="U241" i="1"/>
  <c r="U217" i="1"/>
  <c r="U42" i="1"/>
  <c r="U19" i="1"/>
  <c r="U237" i="1"/>
  <c r="U284" i="1"/>
  <c r="U41" i="1"/>
  <c r="U302" i="1"/>
  <c r="U99" i="1"/>
  <c r="U180" i="1"/>
  <c r="U209" i="1"/>
  <c r="U315" i="1"/>
  <c r="U83" i="1"/>
  <c r="U168" i="1"/>
  <c r="U36" i="1"/>
  <c r="U27" i="1"/>
  <c r="U77" i="1"/>
  <c r="U154" i="1"/>
  <c r="U216" i="1"/>
  <c r="U309" i="1"/>
  <c r="U127" i="1"/>
  <c r="U288" i="1"/>
  <c r="U205" i="1"/>
  <c r="U35" i="1"/>
  <c r="U131" i="1"/>
  <c r="U213" i="1"/>
  <c r="U272" i="1"/>
  <c r="U286" i="1"/>
  <c r="U39" i="1"/>
  <c r="U244" i="1"/>
  <c r="U204" i="1"/>
  <c r="U206" i="1"/>
  <c r="U16" i="1"/>
  <c r="U161" i="1"/>
  <c r="U198" i="1"/>
  <c r="U210" i="1"/>
  <c r="U44" i="1"/>
  <c r="U240" i="1"/>
  <c r="U150" i="1"/>
  <c r="U49" i="1"/>
  <c r="U325" i="1"/>
  <c r="U122" i="1"/>
  <c r="U181" i="1"/>
  <c r="U274" i="1"/>
  <c r="U9" i="1"/>
  <c r="U246" i="1"/>
  <c r="U144" i="1"/>
  <c r="U218" i="1"/>
  <c r="U7" i="1"/>
  <c r="U256" i="1"/>
  <c r="U183" i="1"/>
  <c r="U270" i="1"/>
  <c r="U4" i="1"/>
  <c r="U251" i="1"/>
  <c r="U285" i="1"/>
  <c r="U207" i="1"/>
  <c r="U317" i="1"/>
  <c r="U260" i="1"/>
  <c r="U186" i="1"/>
  <c r="U72" i="1"/>
  <c r="U3" i="1"/>
  <c r="U124" i="1"/>
  <c r="U151" i="1"/>
  <c r="U79" i="1"/>
  <c r="U313" i="1"/>
  <c r="U259" i="1"/>
  <c r="U145" i="1"/>
  <c r="U75" i="1"/>
  <c r="U8" i="1"/>
  <c r="U126" i="1"/>
  <c r="U184" i="1"/>
  <c r="U195" i="1"/>
  <c r="U53" i="1"/>
  <c r="U264" i="1"/>
  <c r="U160" i="1"/>
  <c r="U80" i="1"/>
  <c r="U12" i="1"/>
  <c r="U103" i="1"/>
  <c r="U152" i="1"/>
  <c r="U200" i="1"/>
  <c r="U52" i="1"/>
  <c r="U119" i="1"/>
  <c r="U166" i="1"/>
  <c r="U101" i="1"/>
  <c r="U318" i="1"/>
  <c r="U137" i="1"/>
  <c r="U158" i="1"/>
  <c r="U90" i="1"/>
  <c r="U328" i="1"/>
  <c r="U109" i="1"/>
  <c r="U159" i="1"/>
  <c r="U202" i="1"/>
  <c r="U321" i="1"/>
  <c r="U125" i="1"/>
  <c r="U164" i="1"/>
  <c r="U190" i="1"/>
  <c r="U18" i="1"/>
  <c r="U89" i="1"/>
  <c r="U156" i="1"/>
  <c r="U271" i="1"/>
  <c r="U20" i="1"/>
  <c r="U187" i="1"/>
  <c r="U275" i="1"/>
  <c r="U68" i="1"/>
  <c r="U148" i="1"/>
  <c r="U273" i="1"/>
  <c r="U21" i="1"/>
  <c r="U60" i="1"/>
  <c r="U157" i="1"/>
  <c r="U78" i="1"/>
  <c r="U13" i="1"/>
  <c r="U132" i="1"/>
  <c r="U282" i="1"/>
  <c r="U277" i="1"/>
  <c r="U61" i="1"/>
  <c r="U71" i="1"/>
  <c r="U283" i="1"/>
  <c r="U165" i="1"/>
  <c r="U74" i="1"/>
  <c r="U130" i="1"/>
  <c r="U155" i="1"/>
  <c r="U87" i="1"/>
  <c r="U62" i="1"/>
  <c r="U252" i="1"/>
  <c r="U174" i="1"/>
  <c r="U265" i="1"/>
  <c r="U54" i="1"/>
  <c r="U117" i="1"/>
  <c r="U147" i="1"/>
  <c r="U73" i="1"/>
  <c r="U5" i="1"/>
  <c r="U56" i="1"/>
  <c r="U281" i="1"/>
  <c r="U65" i="1"/>
  <c r="U314" i="1"/>
  <c r="U253" i="1"/>
  <c r="U163" i="1"/>
  <c r="U258" i="1"/>
  <c r="U15" i="1"/>
  <c r="U43" i="1"/>
  <c r="U143" i="1"/>
  <c r="U162" i="1"/>
  <c r="U11" i="1"/>
  <c r="U55" i="1"/>
  <c r="U177" i="1"/>
  <c r="U48" i="1"/>
  <c r="U299" i="1"/>
  <c r="U141" i="1"/>
  <c r="U280" i="1"/>
  <c r="U254" i="1"/>
  <c r="U38" i="1"/>
  <c r="U587" i="1"/>
  <c r="U533" i="1"/>
  <c r="U611" i="1"/>
  <c r="U418" i="1"/>
  <c r="U419" i="1"/>
  <c r="U507" i="1"/>
  <c r="U526" i="1"/>
  <c r="U350" i="1"/>
  <c r="U593" i="1"/>
  <c r="U532" i="1"/>
  <c r="U422" i="1"/>
  <c r="U636" i="1"/>
  <c r="U597" i="1"/>
  <c r="U632" i="1"/>
  <c r="U612" i="1"/>
  <c r="U342" i="1"/>
  <c r="U583" i="1"/>
  <c r="U501" i="1"/>
  <c r="U417" i="1"/>
  <c r="U637" i="1"/>
  <c r="U485" i="1"/>
  <c r="U626" i="1"/>
  <c r="U521" i="1"/>
  <c r="U638" i="1"/>
  <c r="U484" i="1"/>
  <c r="U599" i="1"/>
  <c r="U416" i="1"/>
  <c r="U540" i="1"/>
  <c r="U424" i="1"/>
  <c r="U589" i="1"/>
  <c r="U543" i="1"/>
  <c r="U600" i="1"/>
  <c r="U343" i="1"/>
  <c r="U415" i="1"/>
  <c r="U524" i="1"/>
  <c r="U591" i="1"/>
  <c r="U402" i="1"/>
  <c r="U514" i="1"/>
  <c r="U629" i="1"/>
  <c r="U586" i="1"/>
  <c r="U336" i="1"/>
  <c r="U386" i="1"/>
  <c r="U627" i="1"/>
  <c r="U493" i="1"/>
  <c r="U640" i="1"/>
  <c r="U595" i="1"/>
  <c r="U479" i="1"/>
  <c r="U585" i="1"/>
  <c r="U639" i="1"/>
  <c r="U582" i="1"/>
  <c r="U480" i="1"/>
  <c r="U502" i="1"/>
  <c r="U641" i="1"/>
  <c r="U478" i="1"/>
  <c r="U508" i="1"/>
  <c r="U388" i="1"/>
  <c r="U642" i="1"/>
  <c r="U378" i="1"/>
  <c r="U491" i="1"/>
  <c r="U390" i="1"/>
  <c r="U344" i="1"/>
  <c r="U574" i="1"/>
  <c r="U505" i="1"/>
  <c r="U584" i="1"/>
  <c r="U391" i="1"/>
  <c r="U577" i="1"/>
  <c r="U630" i="1"/>
  <c r="U581" i="1"/>
  <c r="U396" i="1"/>
  <c r="U576" i="1"/>
  <c r="U621" i="1"/>
  <c r="U406" i="1"/>
  <c r="U644" i="1"/>
  <c r="U579" i="1"/>
  <c r="U477" i="1"/>
  <c r="U517" i="1"/>
  <c r="U346" i="1"/>
  <c r="U401" i="1"/>
  <c r="U503" i="1"/>
  <c r="U413" i="1"/>
  <c r="U347" i="1"/>
  <c r="U575" i="1"/>
  <c r="U516" i="1"/>
  <c r="U504" i="1"/>
  <c r="U643" i="1"/>
  <c r="U511" i="1"/>
  <c r="U608" i="1"/>
  <c r="U429" i="1"/>
  <c r="U345" i="1"/>
  <c r="U492" i="1"/>
  <c r="U622" i="1"/>
  <c r="U510" i="1"/>
  <c r="U645" i="1"/>
  <c r="U567" i="1"/>
  <c r="U607" i="1"/>
  <c r="U598" i="1"/>
  <c r="U373" i="1"/>
  <c r="U408" i="1"/>
  <c r="U523" i="1"/>
  <c r="U601" i="1"/>
  <c r="U357" i="1"/>
  <c r="U349" i="1"/>
  <c r="U498" i="1"/>
  <c r="U606" i="1"/>
  <c r="U519" i="1"/>
  <c r="U489" i="1"/>
  <c r="U603" i="1"/>
  <c r="U512" i="1"/>
  <c r="U646" i="1"/>
  <c r="U490" i="1"/>
  <c r="U616" i="1"/>
  <c r="U509" i="1"/>
  <c r="U354" i="1"/>
  <c r="U500" i="1"/>
  <c r="U520" i="1"/>
  <c r="U497" i="1"/>
  <c r="U358" i="1"/>
  <c r="U421" i="1"/>
  <c r="U469" i="1"/>
  <c r="U403" i="1"/>
  <c r="U361" i="1"/>
  <c r="U573" i="1"/>
  <c r="U518" i="1"/>
  <c r="U588" i="1"/>
  <c r="U363" i="1"/>
  <c r="U572" i="1"/>
  <c r="U525" i="1"/>
  <c r="U407" i="1"/>
  <c r="U650" i="1"/>
  <c r="U377" i="1"/>
  <c r="U474" i="1"/>
  <c r="U387" i="1"/>
  <c r="U651" i="1"/>
  <c r="U580" i="1"/>
  <c r="U537" i="1"/>
  <c r="U594" i="1"/>
  <c r="U351" i="1"/>
  <c r="U392" i="1"/>
  <c r="U628" i="1"/>
  <c r="U590" i="1"/>
  <c r="U370" i="1"/>
  <c r="U483" i="1"/>
  <c r="U467" i="1"/>
  <c r="U592" i="1"/>
  <c r="U356" i="1"/>
  <c r="U420" i="1"/>
  <c r="U471" i="1"/>
  <c r="U499" i="1"/>
  <c r="U366" i="1"/>
  <c r="U476" i="1"/>
  <c r="U461" i="1"/>
  <c r="U623" i="1"/>
  <c r="U374" i="1"/>
  <c r="U570" i="1"/>
  <c r="U618" i="1"/>
  <c r="U619" i="1"/>
  <c r="U383" i="1"/>
  <c r="U565" i="1"/>
  <c r="U457" i="1"/>
  <c r="U515" i="1"/>
  <c r="U355" i="1"/>
  <c r="U470" i="1"/>
  <c r="U448" i="1"/>
  <c r="U397" i="1"/>
  <c r="U394" i="1"/>
  <c r="U566" i="1"/>
  <c r="U431" i="1"/>
  <c r="U486" i="1"/>
  <c r="U352" i="1"/>
  <c r="U578" i="1"/>
  <c r="U531" i="1"/>
  <c r="U602" i="1"/>
  <c r="U647" i="1"/>
  <c r="U379" i="1"/>
  <c r="U534" i="1"/>
  <c r="U487" i="1"/>
  <c r="U653" i="1"/>
  <c r="U367" i="1"/>
  <c r="U496" i="1"/>
  <c r="U405" i="1"/>
  <c r="U353" i="1"/>
  <c r="U568" i="1"/>
  <c r="U617" i="1"/>
  <c r="U613" i="1"/>
  <c r="U382" i="1"/>
  <c r="U571" i="1"/>
  <c r="U427" i="1"/>
  <c r="U488" i="1"/>
  <c r="U399" i="1"/>
  <c r="U472" i="1"/>
  <c r="U437" i="1"/>
  <c r="U400" i="1"/>
  <c r="U654" i="1"/>
  <c r="U569" i="1"/>
  <c r="U527" i="1"/>
  <c r="U614" i="1"/>
  <c r="U657" i="1"/>
  <c r="U398" i="1"/>
  <c r="U535" i="1"/>
  <c r="U389" i="1"/>
  <c r="U348" i="1"/>
  <c r="U482" i="1"/>
  <c r="U438" i="1"/>
  <c r="U620" i="1"/>
  <c r="U341" i="1"/>
  <c r="U384" i="1"/>
  <c r="U447" i="1"/>
  <c r="U372" i="1"/>
  <c r="U380" i="1"/>
  <c r="U564" i="1"/>
  <c r="U529" i="1"/>
  <c r="U494" i="1"/>
  <c r="U414" i="1"/>
  <c r="U381" i="1"/>
  <c r="U539" i="1"/>
  <c r="U376" i="1"/>
  <c r="U432" i="1"/>
  <c r="U563" i="1"/>
  <c r="U441" i="1"/>
  <c r="U495" i="1"/>
  <c r="U425" i="1"/>
  <c r="U513" i="1"/>
  <c r="U450" i="1"/>
  <c r="U605" i="1"/>
  <c r="U335" i="1"/>
  <c r="U562" i="1"/>
  <c r="U463" i="1"/>
  <c r="U610" i="1"/>
  <c r="U333" i="1"/>
  <c r="U506" i="1"/>
  <c r="U549" i="1"/>
  <c r="U375" i="1"/>
  <c r="U409" i="1"/>
  <c r="U404" i="1"/>
  <c r="U547" i="1"/>
  <c r="U475" i="1"/>
  <c r="U659" i="1"/>
  <c r="U558" i="1"/>
  <c r="U631" i="1"/>
  <c r="U481" i="1"/>
  <c r="U337" i="1"/>
  <c r="U412" i="1"/>
  <c r="U530" i="1"/>
  <c r="U473" i="1"/>
  <c r="U648" i="1"/>
  <c r="U555" i="1"/>
  <c r="U522" i="1"/>
  <c r="U371" i="1"/>
  <c r="U385" i="1"/>
  <c r="U428" i="1"/>
  <c r="U528" i="1"/>
  <c r="U459" i="1"/>
  <c r="U393" i="1"/>
  <c r="U445" i="1"/>
  <c r="U455" i="1"/>
  <c r="U339" i="1"/>
  <c r="U596" i="1"/>
  <c r="U410" i="1"/>
  <c r="U561" i="1"/>
  <c r="U536" i="1"/>
  <c r="U468" i="1"/>
  <c r="U332" i="1"/>
  <c r="U444" i="1"/>
  <c r="U633" i="1"/>
  <c r="U360" i="1"/>
  <c r="U649" i="1"/>
  <c r="U557" i="1"/>
  <c r="U544" i="1"/>
  <c r="U466" i="1"/>
  <c r="U655" i="1"/>
  <c r="U548" i="1"/>
  <c r="U449" i="1"/>
  <c r="U604" i="1"/>
  <c r="U411" i="1"/>
  <c r="U552" i="1"/>
  <c r="U462" i="1"/>
  <c r="U456" i="1"/>
  <c r="U652" i="1"/>
  <c r="U451" i="1"/>
  <c r="U453" i="1"/>
  <c r="U464" i="1"/>
  <c r="U656" i="1"/>
  <c r="U559" i="1"/>
  <c r="U624" i="1"/>
  <c r="U454" i="1"/>
  <c r="U368" i="1"/>
  <c r="U554" i="1"/>
  <c r="U435" i="1"/>
  <c r="U365" i="1"/>
  <c r="U658" i="1"/>
  <c r="U460" i="1"/>
  <c r="U625" i="1"/>
  <c r="U634" i="1"/>
  <c r="U340" i="1"/>
  <c r="U443" i="1"/>
  <c r="U423" i="1"/>
  <c r="U635" i="1"/>
  <c r="U338" i="1"/>
  <c r="U545" i="1"/>
  <c r="U426" i="1"/>
  <c r="U440" i="1"/>
  <c r="U661" i="1"/>
  <c r="U556" i="1"/>
  <c r="U615" i="1"/>
  <c r="U452" i="1"/>
  <c r="U660" i="1"/>
  <c r="U458" i="1"/>
  <c r="U395" i="1"/>
  <c r="U442" i="1"/>
  <c r="U364" i="1"/>
  <c r="U541" i="1"/>
  <c r="U538" i="1"/>
  <c r="U434" i="1"/>
  <c r="U331" i="1"/>
  <c r="U446" i="1"/>
  <c r="U550" i="1"/>
  <c r="U433" i="1"/>
  <c r="U664" i="1"/>
  <c r="U553" i="1"/>
  <c r="U551" i="1"/>
  <c r="U439" i="1"/>
  <c r="U362" i="1"/>
  <c r="U560" i="1"/>
  <c r="U369" i="1"/>
  <c r="U436" i="1"/>
  <c r="U663" i="1"/>
  <c r="U546" i="1"/>
  <c r="U609" i="1"/>
  <c r="U430" i="1"/>
  <c r="U662" i="1"/>
  <c r="U465" i="1"/>
  <c r="U359" i="1"/>
  <c r="U542" i="1"/>
  <c r="U334" i="1"/>
  <c r="U841" i="1"/>
  <c r="U806" i="1"/>
  <c r="U810" i="1"/>
  <c r="U974" i="1"/>
  <c r="U845" i="1"/>
  <c r="U900" i="1"/>
  <c r="U833" i="1"/>
  <c r="U695" i="1"/>
  <c r="U921" i="1"/>
  <c r="U956" i="1"/>
  <c r="U962" i="1"/>
  <c r="U972" i="1"/>
  <c r="U932" i="1"/>
  <c r="U812" i="1"/>
  <c r="U799" i="1"/>
  <c r="U973" i="1"/>
  <c r="U886" i="1"/>
  <c r="U949" i="1"/>
  <c r="U798" i="1"/>
  <c r="U975" i="1"/>
  <c r="U847" i="1"/>
  <c r="U906" i="1"/>
  <c r="U771" i="1"/>
  <c r="U796" i="1"/>
  <c r="U882" i="1"/>
  <c r="U801" i="1"/>
  <c r="U790" i="1"/>
  <c r="U684" i="1"/>
  <c r="U929" i="1"/>
  <c r="U947" i="1"/>
  <c r="U768" i="1"/>
  <c r="U786" i="1"/>
  <c r="U851" i="1"/>
  <c r="U946" i="1"/>
  <c r="U824" i="1"/>
  <c r="U977" i="1"/>
  <c r="U937" i="1"/>
  <c r="U896" i="1"/>
  <c r="U961" i="1"/>
  <c r="U758" i="1"/>
  <c r="U849" i="1"/>
  <c r="U945" i="1"/>
  <c r="U744" i="1"/>
  <c r="U978" i="1"/>
  <c r="U884" i="1"/>
  <c r="U941" i="1"/>
  <c r="U737" i="1"/>
  <c r="U981" i="1"/>
  <c r="U855" i="1"/>
  <c r="U938" i="1"/>
  <c r="U823" i="1"/>
  <c r="U976" i="1"/>
  <c r="U871" i="1"/>
  <c r="U889" i="1"/>
  <c r="U828" i="1"/>
  <c r="U690" i="1"/>
  <c r="U880" i="1"/>
  <c r="U890" i="1"/>
  <c r="U964" i="1"/>
  <c r="U759" i="1"/>
  <c r="U856" i="1"/>
  <c r="U808" i="1"/>
  <c r="U732" i="1"/>
  <c r="U688" i="1"/>
  <c r="U852" i="1"/>
  <c r="U943" i="1"/>
  <c r="U826" i="1"/>
  <c r="U979" i="1"/>
  <c r="U866" i="1"/>
  <c r="U898" i="1"/>
  <c r="U733" i="1"/>
  <c r="U692" i="1"/>
  <c r="U865" i="1"/>
  <c r="U872" i="1"/>
  <c r="U944" i="1"/>
  <c r="U750" i="1"/>
  <c r="U980" i="1"/>
  <c r="U857" i="1"/>
  <c r="U895" i="1"/>
  <c r="U815" i="1"/>
  <c r="U685" i="1"/>
  <c r="U859" i="1"/>
  <c r="U939" i="1"/>
  <c r="U965" i="1"/>
  <c r="U673" i="1"/>
  <c r="U861" i="1"/>
  <c r="U813" i="1"/>
  <c r="U960" i="1"/>
  <c r="U680" i="1"/>
  <c r="U867" i="1"/>
  <c r="U892" i="1"/>
  <c r="U807" i="1"/>
  <c r="U672" i="1"/>
  <c r="U870" i="1"/>
  <c r="U829" i="1"/>
  <c r="U966" i="1"/>
  <c r="U667" i="1"/>
  <c r="U933" i="1"/>
  <c r="U820" i="1"/>
  <c r="U817" i="1"/>
  <c r="U669" i="1"/>
  <c r="U926" i="1"/>
  <c r="U893" i="1"/>
  <c r="U731" i="1"/>
  <c r="U671" i="1"/>
  <c r="U858" i="1"/>
  <c r="U899" i="1"/>
  <c r="U814" i="1"/>
  <c r="U982" i="1"/>
  <c r="U863" i="1"/>
  <c r="U942" i="1"/>
  <c r="U754" i="1"/>
  <c r="U994" i="1"/>
  <c r="U911" i="1"/>
  <c r="U804" i="1"/>
  <c r="U811" i="1"/>
  <c r="U674" i="1"/>
  <c r="U878" i="1"/>
  <c r="U797" i="1"/>
  <c r="U816" i="1"/>
  <c r="U665" i="1"/>
  <c r="U923" i="1"/>
  <c r="U940" i="1"/>
  <c r="U968" i="1"/>
  <c r="U679" i="1"/>
  <c r="U846" i="1"/>
  <c r="U791" i="1"/>
  <c r="U805" i="1"/>
  <c r="U666" i="1"/>
  <c r="U844" i="1"/>
  <c r="U902" i="1"/>
  <c r="U719" i="1"/>
  <c r="U681" i="1"/>
  <c r="U843" i="1"/>
  <c r="U903" i="1"/>
  <c r="U825" i="1"/>
  <c r="U989" i="1"/>
  <c r="U842" i="1"/>
  <c r="U936" i="1"/>
  <c r="U967" i="1"/>
  <c r="U677" i="1"/>
  <c r="U920" i="1"/>
  <c r="U897" i="1"/>
  <c r="U717" i="1"/>
  <c r="U992" i="1"/>
  <c r="U839" i="1"/>
  <c r="U763" i="1"/>
  <c r="U822" i="1"/>
  <c r="U675" i="1"/>
  <c r="U767" i="1"/>
  <c r="U720" i="1"/>
  <c r="U770" i="1"/>
  <c r="U894" i="1"/>
  <c r="U827" i="1"/>
  <c r="U991" i="1"/>
  <c r="U830" i="1"/>
  <c r="U928" i="1"/>
  <c r="U752" i="1"/>
  <c r="U670" i="1"/>
  <c r="U809" i="1"/>
  <c r="U729" i="1"/>
  <c r="U761" i="1"/>
  <c r="U997" i="1"/>
  <c r="U881" i="1"/>
  <c r="U718" i="1"/>
  <c r="U970" i="1"/>
  <c r="U787" i="1"/>
  <c r="U931" i="1"/>
  <c r="U913" i="1"/>
  <c r="U751" i="1"/>
  <c r="U779" i="1"/>
  <c r="U876" i="1"/>
  <c r="U891" i="1"/>
  <c r="U736" i="1"/>
  <c r="U998" i="1"/>
  <c r="U803" i="1"/>
  <c r="U738" i="1"/>
  <c r="U730" i="1"/>
  <c r="U682" i="1"/>
  <c r="U922" i="1"/>
  <c r="U747" i="1"/>
  <c r="U971" i="1"/>
  <c r="U683" i="1"/>
  <c r="U783" i="1"/>
  <c r="U739" i="1"/>
  <c r="U969" i="1"/>
  <c r="U993" i="1"/>
  <c r="U924" i="1"/>
  <c r="U888" i="1"/>
  <c r="U821" i="1"/>
  <c r="U996" i="1"/>
  <c r="U874" i="1"/>
  <c r="U724" i="1"/>
  <c r="U963" i="1"/>
  <c r="U983" i="1"/>
  <c r="U869" i="1"/>
  <c r="U725" i="1"/>
  <c r="U959" i="1"/>
  <c r="U772" i="1"/>
  <c r="U853" i="1"/>
  <c r="U887" i="1"/>
  <c r="U819" i="1"/>
  <c r="U984" i="1"/>
  <c r="U760" i="1"/>
  <c r="U912" i="1"/>
  <c r="U958" i="1"/>
  <c r="U689" i="1"/>
  <c r="U765" i="1"/>
  <c r="U883" i="1"/>
  <c r="U734" i="1"/>
  <c r="U785" i="1"/>
  <c r="U742" i="1"/>
  <c r="U930" i="1"/>
  <c r="U802" i="1"/>
  <c r="U800" i="1"/>
  <c r="U712" i="1"/>
  <c r="U709" i="1"/>
  <c r="U957" i="1"/>
  <c r="U788" i="1"/>
  <c r="U850" i="1"/>
  <c r="U706" i="1"/>
  <c r="U748" i="1"/>
  <c r="U694" i="1"/>
  <c r="U935" i="1"/>
  <c r="U705" i="1"/>
  <c r="U755" i="1"/>
  <c r="U773" i="1"/>
  <c r="U934" i="1"/>
  <c r="U885" i="1"/>
  <c r="U780" i="1"/>
  <c r="U699" i="1"/>
  <c r="U955" i="1"/>
  <c r="U794" i="1"/>
  <c r="U925" i="1"/>
  <c r="U879" i="1"/>
  <c r="U756" i="1"/>
  <c r="U762" i="1"/>
  <c r="U840" i="1"/>
  <c r="U877" i="1"/>
  <c r="U795" i="1"/>
  <c r="U766" i="1"/>
  <c r="U838" i="1"/>
  <c r="U927" i="1"/>
  <c r="U782" i="1"/>
  <c r="U793" i="1"/>
  <c r="U713" i="1"/>
  <c r="U697" i="1"/>
  <c r="U777" i="1"/>
  <c r="U776" i="1"/>
  <c r="U836" i="1"/>
  <c r="U701" i="1"/>
  <c r="U757" i="1"/>
  <c r="U988" i="1"/>
  <c r="U848" i="1"/>
  <c r="U875" i="1"/>
  <c r="U753" i="1"/>
  <c r="U700" i="1"/>
  <c r="U707" i="1"/>
  <c r="U873" i="1"/>
  <c r="U743" i="1"/>
  <c r="U986" i="1"/>
  <c r="U698" i="1"/>
  <c r="U703" i="1"/>
  <c r="U721" i="1"/>
  <c r="U995" i="1"/>
  <c r="U919" i="1"/>
  <c r="U914" i="1"/>
  <c r="U711" i="1"/>
  <c r="U990" i="1"/>
  <c r="U687" i="1"/>
  <c r="U696" i="1"/>
  <c r="U749" i="1"/>
  <c r="U710" i="1"/>
  <c r="U917" i="1"/>
  <c r="U702" i="1"/>
  <c r="U953" i="1"/>
  <c r="U987" i="1"/>
  <c r="U910" i="1"/>
  <c r="U722" i="1"/>
  <c r="U950" i="1"/>
  <c r="U728" i="1"/>
  <c r="U686" i="1"/>
  <c r="U905" i="1"/>
  <c r="U715" i="1"/>
  <c r="U764" i="1"/>
  <c r="U904" i="1"/>
  <c r="U868" i="1"/>
  <c r="U746" i="1"/>
  <c r="U774" i="1"/>
  <c r="U854" i="1"/>
  <c r="U909" i="1"/>
  <c r="U740" i="1"/>
  <c r="U716" i="1"/>
  <c r="U668" i="1"/>
  <c r="U907" i="1"/>
  <c r="U954" i="1"/>
  <c r="U704" i="1"/>
  <c r="U837" i="1"/>
  <c r="U860" i="1"/>
  <c r="U769" i="1"/>
  <c r="U708" i="1"/>
  <c r="U835" i="1"/>
  <c r="U735" i="1"/>
  <c r="U784" i="1"/>
  <c r="U775" i="1"/>
  <c r="U908" i="1"/>
  <c r="U952" i="1"/>
  <c r="U714" i="1"/>
  <c r="U901" i="1"/>
  <c r="U864" i="1"/>
  <c r="U678" i="1"/>
  <c r="U862" i="1"/>
  <c r="U741" i="1"/>
  <c r="U693" i="1"/>
  <c r="U676" i="1"/>
  <c r="U726" i="1"/>
  <c r="U745" i="1"/>
  <c r="U781" i="1"/>
  <c r="U834" i="1"/>
  <c r="U918" i="1"/>
  <c r="U951" i="1"/>
  <c r="U789" i="1"/>
  <c r="U831" i="1"/>
  <c r="U723" i="1"/>
  <c r="U727" i="1"/>
  <c r="U985" i="1"/>
  <c r="U818" i="1"/>
  <c r="U916" i="1"/>
  <c r="U948" i="1"/>
  <c r="U691" i="1"/>
  <c r="U832" i="1"/>
  <c r="U915" i="1"/>
  <c r="U792" i="1"/>
  <c r="U778" i="1"/>
  <c r="U1162" i="1"/>
  <c r="U1186" i="1"/>
  <c r="U1063" i="1"/>
  <c r="U1045" i="1"/>
  <c r="U1237" i="1"/>
  <c r="U1190" i="1"/>
  <c r="U1062" i="1"/>
  <c r="U1041" i="1"/>
  <c r="U1235" i="1"/>
  <c r="U1244" i="1"/>
  <c r="U1263" i="1"/>
  <c r="U1113" i="1"/>
  <c r="U1142" i="1"/>
  <c r="U1076" i="1"/>
  <c r="U1106" i="1"/>
  <c r="U1320" i="1"/>
  <c r="U1236" i="1"/>
  <c r="U1189" i="1"/>
  <c r="U1081" i="1"/>
  <c r="U1319" i="1"/>
  <c r="U1040" i="1"/>
  <c r="U1245" i="1"/>
  <c r="U1085" i="1"/>
  <c r="U1326" i="1"/>
  <c r="U1233" i="1"/>
  <c r="U1073" i="1"/>
  <c r="U1091" i="1"/>
  <c r="U1330" i="1"/>
  <c r="U1238" i="1"/>
  <c r="U1071" i="1"/>
  <c r="U1083" i="1"/>
  <c r="U1117" i="1"/>
  <c r="U1036" i="1"/>
  <c r="U1249" i="1"/>
  <c r="U1097" i="1"/>
  <c r="U1318" i="1"/>
  <c r="U1153" i="1"/>
  <c r="U1188" i="1"/>
  <c r="U1100" i="1"/>
  <c r="U1037" i="1"/>
  <c r="U1234" i="1"/>
  <c r="U1191" i="1"/>
  <c r="U1265" i="1"/>
  <c r="U1161" i="1"/>
  <c r="U1170" i="1"/>
  <c r="U1089" i="1"/>
  <c r="U1273" i="1"/>
  <c r="U1333" i="1"/>
  <c r="U1248" i="1"/>
  <c r="U1029" i="1"/>
  <c r="U1035" i="1"/>
  <c r="U1247" i="1"/>
  <c r="U1145" i="1"/>
  <c r="U1094" i="1"/>
  <c r="U1088" i="1"/>
  <c r="U1321" i="1"/>
  <c r="U1140" i="1"/>
  <c r="U1099" i="1"/>
  <c r="U1069" i="1"/>
  <c r="U1173" i="1"/>
  <c r="U1034" i="1"/>
  <c r="U1253" i="1"/>
  <c r="U1271" i="1"/>
  <c r="U1014" i="1"/>
  <c r="U1144" i="1"/>
  <c r="U1192" i="1"/>
  <c r="U1262" i="1"/>
  <c r="U1328" i="1"/>
  <c r="U1230" i="1"/>
  <c r="U1252" i="1"/>
  <c r="U1256" i="1"/>
  <c r="U1169" i="1"/>
  <c r="U1149" i="1"/>
  <c r="U1193" i="1"/>
  <c r="U1258" i="1"/>
  <c r="U1010" i="1"/>
  <c r="U1019" i="1"/>
  <c r="U1254" i="1"/>
  <c r="U1060" i="1"/>
  <c r="U1006" i="1"/>
  <c r="U1118" i="1"/>
  <c r="U1251" i="1"/>
  <c r="U1272" i="1"/>
  <c r="U1164" i="1"/>
  <c r="U1112" i="1"/>
  <c r="U1257" i="1"/>
  <c r="U1078" i="1"/>
  <c r="U1325" i="1"/>
  <c r="U1026" i="1"/>
  <c r="U1261" i="1"/>
  <c r="U1059" i="1"/>
  <c r="U1174" i="1"/>
  <c r="U1226" i="1"/>
  <c r="U1204" i="1"/>
  <c r="U1259" i="1"/>
  <c r="U1179" i="1"/>
  <c r="U1229" i="1"/>
  <c r="U1110" i="1"/>
  <c r="U1082" i="1"/>
  <c r="U1002" i="1"/>
  <c r="U1232" i="1"/>
  <c r="U1210" i="1"/>
  <c r="U1074" i="1"/>
  <c r="U1001" i="1"/>
  <c r="U1223" i="1"/>
  <c r="U1270" i="1"/>
  <c r="U1267" i="1"/>
  <c r="U1171" i="1"/>
  <c r="U1231" i="1"/>
  <c r="U1138" i="1"/>
  <c r="U1072" i="1"/>
  <c r="U1180" i="1"/>
  <c r="U1102" i="1"/>
  <c r="U1154" i="1"/>
  <c r="U1260" i="1"/>
  <c r="U1314" i="1"/>
  <c r="U1228" i="1"/>
  <c r="U1286" i="1"/>
  <c r="U1064" i="1"/>
  <c r="U1003" i="1"/>
  <c r="U1218" i="1"/>
  <c r="U1222" i="1"/>
  <c r="U1066" i="1"/>
  <c r="U1007" i="1"/>
  <c r="U1268" i="1"/>
  <c r="U1009" i="1"/>
  <c r="U1098" i="1"/>
  <c r="U1219" i="1"/>
  <c r="U1068" i="1"/>
  <c r="U1025" i="1"/>
  <c r="U1137" i="1"/>
  <c r="U1276" i="1"/>
  <c r="U1176" i="1"/>
  <c r="U1221" i="1"/>
  <c r="U1216" i="1"/>
  <c r="U1070" i="1"/>
  <c r="U1177" i="1"/>
  <c r="U1224" i="1"/>
  <c r="U1227" i="1"/>
  <c r="U1067" i="1"/>
  <c r="U1141" i="1"/>
  <c r="U1020" i="1"/>
  <c r="U1225" i="1"/>
  <c r="U1065" i="1"/>
  <c r="U1130" i="1"/>
  <c r="U1024" i="1"/>
  <c r="U1293" i="1"/>
  <c r="U1090" i="1"/>
  <c r="U1101" i="1"/>
  <c r="U1121" i="1"/>
  <c r="U1239" i="1"/>
  <c r="U1096" i="1"/>
  <c r="U1092" i="1"/>
  <c r="U1125" i="1"/>
  <c r="U1151" i="1"/>
  <c r="U1058" i="1"/>
  <c r="U1315" i="1"/>
  <c r="U1146" i="1"/>
  <c r="U1241" i="1"/>
  <c r="U1119" i="1"/>
  <c r="U1331" i="1"/>
  <c r="U1128" i="1"/>
  <c r="U1157" i="1"/>
  <c r="U1057" i="1"/>
  <c r="U1011" i="1"/>
  <c r="U1027" i="1"/>
  <c r="U1181" i="1"/>
  <c r="U1056" i="1"/>
  <c r="U1327" i="1"/>
  <c r="U1152" i="1"/>
  <c r="U1182" i="1"/>
  <c r="U1051" i="1"/>
  <c r="U1086" i="1"/>
  <c r="U1132" i="1"/>
  <c r="U1243" i="1"/>
  <c r="U1274" i="1"/>
  <c r="U1323" i="1"/>
  <c r="U1126" i="1"/>
  <c r="U1294" i="1"/>
  <c r="U1053" i="1"/>
  <c r="U1079" i="1"/>
  <c r="U1212" i="1"/>
  <c r="U1246" i="1"/>
  <c r="U1269" i="1"/>
  <c r="U1077" i="1"/>
  <c r="U1213" i="1"/>
  <c r="U1255" i="1"/>
  <c r="U1047" i="1"/>
  <c r="U1015" i="1"/>
  <c r="U1018" i="1"/>
  <c r="U1301" i="1"/>
  <c r="U1275" i="1"/>
  <c r="U1075" i="1"/>
  <c r="U1017" i="1"/>
  <c r="U1302" i="1"/>
  <c r="U1122" i="1"/>
  <c r="U1335" i="1"/>
  <c r="U1131" i="1"/>
  <c r="U1183" i="1"/>
  <c r="U1289" i="1"/>
  <c r="U1338" i="1"/>
  <c r="U1139" i="1"/>
  <c r="U1184" i="1"/>
  <c r="U1281" i="1"/>
  <c r="U1339" i="1"/>
  <c r="U1016" i="1"/>
  <c r="U1277" i="1"/>
  <c r="U1166" i="1"/>
  <c r="U1185" i="1"/>
  <c r="U1135" i="1"/>
  <c r="U1340" i="1"/>
  <c r="U1214" i="1"/>
  <c r="U1303" i="1"/>
  <c r="U1148" i="1"/>
  <c r="U1080" i="1"/>
  <c r="U1136" i="1"/>
  <c r="U1187" i="1"/>
  <c r="U1044" i="1"/>
  <c r="U1087" i="1"/>
  <c r="U1107" i="1"/>
  <c r="U1307" i="1"/>
  <c r="U1042" i="1"/>
  <c r="U1341" i="1"/>
  <c r="U1202" i="1"/>
  <c r="U1306" i="1"/>
  <c r="U1147" i="1"/>
  <c r="U1334" i="1"/>
  <c r="U1022" i="1"/>
  <c r="U1194" i="1"/>
  <c r="U1291" i="1"/>
  <c r="U1061" i="1"/>
  <c r="U1030" i="1"/>
  <c r="U1266" i="1"/>
  <c r="U1150" i="1"/>
  <c r="U1332" i="1"/>
  <c r="U1208" i="1"/>
  <c r="U1311" i="1"/>
  <c r="U1299" i="1"/>
  <c r="U1084" i="1"/>
  <c r="U1115" i="1"/>
  <c r="U1198" i="1"/>
  <c r="U1167" i="1"/>
  <c r="U1322" i="1"/>
  <c r="U1201" i="1"/>
  <c r="U1200" i="1"/>
  <c r="U1043" i="1"/>
  <c r="U1336" i="1"/>
  <c r="U1105" i="1"/>
  <c r="U1211" i="1"/>
  <c r="U1298" i="1"/>
  <c r="U1013" i="1"/>
  <c r="U1124" i="1"/>
  <c r="U1264" i="1"/>
  <c r="U1048" i="1"/>
  <c r="U1337" i="1"/>
  <c r="U1205" i="1"/>
  <c r="U1312" i="1"/>
  <c r="U1178" i="1"/>
  <c r="U1012" i="1"/>
  <c r="U1021" i="1"/>
  <c r="U1310" i="1"/>
  <c r="U1163" i="1"/>
  <c r="U1008" i="1"/>
  <c r="U1196" i="1"/>
  <c r="U1278" i="1"/>
  <c r="U1049" i="1"/>
  <c r="U1114" i="1"/>
  <c r="U1023" i="1"/>
  <c r="U1215" i="1"/>
  <c r="U1296" i="1"/>
  <c r="U1116" i="1"/>
  <c r="U1028" i="1"/>
  <c r="U1305" i="1"/>
  <c r="U1172" i="1"/>
  <c r="U1123" i="1"/>
  <c r="U1108" i="1"/>
  <c r="U1292" i="1"/>
  <c r="U1050" i="1"/>
  <c r="U1111" i="1"/>
  <c r="U1217" i="1"/>
  <c r="U1195" i="1"/>
  <c r="U1220" i="1"/>
  <c r="U1004" i="1"/>
  <c r="U1199" i="1"/>
  <c r="U1295" i="1"/>
  <c r="U1280" i="1"/>
  <c r="U1129" i="1"/>
  <c r="U1031" i="1"/>
  <c r="U1288" i="1"/>
  <c r="U1279" i="1"/>
  <c r="U1133" i="1"/>
  <c r="U1033" i="1"/>
  <c r="U1240" i="1"/>
  <c r="U1046" i="1"/>
  <c r="U1329" i="1"/>
  <c r="U1197" i="1"/>
  <c r="U1300" i="1"/>
  <c r="U1155" i="1"/>
  <c r="U1316" i="1"/>
  <c r="U1038" i="1"/>
  <c r="U1242" i="1"/>
  <c r="U1052" i="1"/>
  <c r="U1095" i="1"/>
  <c r="U1203" i="1"/>
  <c r="U1309" i="1"/>
  <c r="U1158" i="1"/>
  <c r="U1093" i="1"/>
  <c r="U1103" i="1"/>
  <c r="U1304" i="1"/>
  <c r="U1168" i="1"/>
  <c r="U1005" i="1"/>
  <c r="U1039" i="1"/>
  <c r="U1290" i="1"/>
  <c r="U1284" i="1"/>
  <c r="U1120" i="1"/>
  <c r="U1104" i="1"/>
  <c r="U1287" i="1"/>
  <c r="U1054" i="1"/>
  <c r="U1317" i="1"/>
  <c r="U1109" i="1"/>
  <c r="U1250" i="1"/>
  <c r="U1282" i="1"/>
  <c r="U1127" i="1"/>
  <c r="U1134" i="1"/>
  <c r="U1283" i="1"/>
  <c r="U1055" i="1"/>
  <c r="U1324" i="1"/>
  <c r="U1032" i="1"/>
  <c r="U1308" i="1"/>
  <c r="U1160" i="1"/>
  <c r="U1156" i="1"/>
  <c r="U1209" i="1"/>
  <c r="U1297" i="1"/>
  <c r="U1143" i="1"/>
  <c r="U1000" i="1"/>
  <c r="U1207" i="1"/>
  <c r="U1285" i="1"/>
  <c r="U1175" i="1"/>
  <c r="U1165" i="1"/>
  <c r="U1206" i="1"/>
  <c r="U1313" i="1"/>
  <c r="U1159" i="1"/>
  <c r="U999" i="1"/>
  <c r="U1534" i="1"/>
  <c r="U1568" i="1"/>
  <c r="U1562" i="1"/>
  <c r="U1356" i="1"/>
  <c r="U1465" i="1"/>
  <c r="U1587" i="1"/>
  <c r="U1477" i="1"/>
  <c r="U1612" i="1"/>
  <c r="U1464" i="1"/>
  <c r="U1542" i="1"/>
  <c r="U1478" i="1"/>
  <c r="U1611" i="1"/>
  <c r="U1532" i="1"/>
  <c r="U1590" i="1"/>
  <c r="U1462" i="1"/>
  <c r="U1429" i="1"/>
  <c r="U1406" i="1"/>
  <c r="U1567" i="1"/>
  <c r="U1423" i="1"/>
  <c r="U1616" i="1"/>
  <c r="U1452" i="1"/>
  <c r="U1553" i="1"/>
  <c r="U1488" i="1"/>
  <c r="U1357" i="1"/>
  <c r="U1408" i="1"/>
  <c r="U1566" i="1"/>
  <c r="U1491" i="1"/>
  <c r="U1482" i="1"/>
  <c r="U1413" i="1"/>
  <c r="U1561" i="1"/>
  <c r="U1432" i="1"/>
  <c r="U1466" i="1"/>
  <c r="U1412" i="1"/>
  <c r="U1592" i="1"/>
  <c r="U1489" i="1"/>
  <c r="U1468" i="1"/>
  <c r="U1472" i="1"/>
  <c r="U1593" i="1"/>
  <c r="U1559" i="1"/>
  <c r="U1625" i="1"/>
  <c r="U1418" i="1"/>
  <c r="U1558" i="1"/>
  <c r="U1483" i="1"/>
  <c r="U1471" i="1"/>
  <c r="U1419" i="1"/>
  <c r="U1557" i="1"/>
  <c r="U1431" i="1"/>
  <c r="U1623" i="1"/>
  <c r="U1470" i="1"/>
  <c r="U1571" i="1"/>
  <c r="U1428" i="1"/>
  <c r="U1352" i="1"/>
  <c r="U1454" i="1"/>
  <c r="U1554" i="1"/>
  <c r="U1560" i="1"/>
  <c r="U1343" i="1"/>
  <c r="U1416" i="1"/>
  <c r="U1572" i="1"/>
  <c r="U1434" i="1"/>
  <c r="U1344" i="1"/>
  <c r="U1535" i="1"/>
  <c r="U1569" i="1"/>
  <c r="U1563" i="1"/>
  <c r="U1346" i="1"/>
  <c r="U1411" i="1"/>
  <c r="U1595" i="1"/>
  <c r="U1564" i="1"/>
  <c r="U1481" i="1"/>
  <c r="U1531" i="1"/>
  <c r="U1565" i="1"/>
  <c r="U1474" i="1"/>
  <c r="U1624" i="1"/>
  <c r="U1461" i="1"/>
  <c r="U1580" i="1"/>
  <c r="U1490" i="1"/>
  <c r="U1350" i="1"/>
  <c r="U1400" i="1"/>
  <c r="U1597" i="1"/>
  <c r="U1556" i="1"/>
  <c r="U1484" i="1"/>
  <c r="U1453" i="1"/>
  <c r="U1603" i="1"/>
  <c r="U1435" i="1"/>
  <c r="U1353" i="1"/>
  <c r="U1533" i="1"/>
  <c r="U1570" i="1"/>
  <c r="U1500" i="1"/>
  <c r="U1630" i="1"/>
  <c r="U1529" i="1"/>
  <c r="U1607" i="1"/>
  <c r="U1497" i="1"/>
  <c r="U1634" i="1"/>
  <c r="U1581" i="1"/>
  <c r="U1496" i="1"/>
  <c r="U1485" i="1"/>
  <c r="U1398" i="1"/>
  <c r="U1574" i="1"/>
  <c r="U1552" i="1"/>
  <c r="U1476" i="1"/>
  <c r="U1519" i="1"/>
  <c r="U1606" i="1"/>
  <c r="U1550" i="1"/>
  <c r="U1347" i="1"/>
  <c r="U1399" i="1"/>
  <c r="U1583" i="1"/>
  <c r="U1426" i="1"/>
  <c r="U1631" i="1"/>
  <c r="U1390" i="1"/>
  <c r="U1579" i="1"/>
  <c r="U1498" i="1"/>
  <c r="U1342" i="1"/>
  <c r="U1446" i="1"/>
  <c r="U1573" i="1"/>
  <c r="U1424" i="1"/>
  <c r="U1643" i="1"/>
  <c r="U1384" i="1"/>
  <c r="U1609" i="1"/>
  <c r="U1430" i="1"/>
  <c r="U1345" i="1"/>
  <c r="U1385" i="1"/>
  <c r="U1601" i="1"/>
  <c r="U1422" i="1"/>
  <c r="U1475" i="1"/>
  <c r="U1520" i="1"/>
  <c r="U1575" i="1"/>
  <c r="U1502" i="1"/>
  <c r="U1632" i="1"/>
  <c r="U1444" i="1"/>
  <c r="U1608" i="1"/>
  <c r="U1504" i="1"/>
  <c r="U1642" i="1"/>
  <c r="U1443" i="1"/>
  <c r="U1605" i="1"/>
  <c r="U1420" i="1"/>
  <c r="U1479" i="1"/>
  <c r="U1524" i="1"/>
  <c r="U1604" i="1"/>
  <c r="U1494" i="1"/>
  <c r="U1641" i="1"/>
  <c r="U1445" i="1"/>
  <c r="U1613" i="1"/>
  <c r="U1503" i="1"/>
  <c r="U1463" i="1"/>
  <c r="U1523" i="1"/>
  <c r="U1610" i="1"/>
  <c r="U1417" i="1"/>
  <c r="U1469" i="1"/>
  <c r="U1530" i="1"/>
  <c r="U1577" i="1"/>
  <c r="U1547" i="1"/>
  <c r="U1640" i="1"/>
  <c r="U1440" i="1"/>
  <c r="U1578" i="1"/>
  <c r="U1415" i="1"/>
  <c r="U1455" i="1"/>
  <c r="U1388" i="1"/>
  <c r="U1615" i="1"/>
  <c r="U1548" i="1"/>
  <c r="U1348" i="1"/>
  <c r="U1439" i="1"/>
  <c r="U1588" i="1"/>
  <c r="U1501" i="1"/>
  <c r="U1639" i="1"/>
  <c r="U1526" i="1"/>
  <c r="U1626" i="1"/>
  <c r="U1555" i="1"/>
  <c r="U1635" i="1"/>
  <c r="U1383" i="1"/>
  <c r="U1628" i="1"/>
  <c r="U1442" i="1"/>
  <c r="U1576" i="1"/>
  <c r="U1505" i="1"/>
  <c r="U1638" i="1"/>
  <c r="U1379" i="1"/>
  <c r="U1600" i="1"/>
  <c r="U1507" i="1"/>
  <c r="U1448" i="1"/>
  <c r="U1438" i="1"/>
  <c r="U1617" i="1"/>
  <c r="U1551" i="1"/>
  <c r="U1355" i="1"/>
  <c r="U1527" i="1"/>
  <c r="U1629" i="1"/>
  <c r="U1508" i="1"/>
  <c r="U1637" i="1"/>
  <c r="U1368" i="1"/>
  <c r="U1619" i="1"/>
  <c r="U1549" i="1"/>
  <c r="U1449" i="1"/>
  <c r="U1366" i="1"/>
  <c r="U1651" i="1"/>
  <c r="U1506" i="1"/>
  <c r="U1458" i="1"/>
  <c r="U1528" i="1"/>
  <c r="U1644" i="1"/>
  <c r="U1546" i="1"/>
  <c r="U1645" i="1"/>
  <c r="U1522" i="1"/>
  <c r="U1622" i="1"/>
  <c r="U1414" i="1"/>
  <c r="U1450" i="1"/>
  <c r="U1389" i="1"/>
  <c r="U1582" i="1"/>
  <c r="U1511" i="1"/>
  <c r="U1648" i="1"/>
  <c r="U1525" i="1"/>
  <c r="U1659" i="1"/>
  <c r="U1495" i="1"/>
  <c r="U1647" i="1"/>
  <c r="U1521" i="1"/>
  <c r="U1586" i="1"/>
  <c r="U1544" i="1"/>
  <c r="U1650" i="1"/>
  <c r="U1518" i="1"/>
  <c r="U1668" i="1"/>
  <c r="U1492" i="1"/>
  <c r="U1656" i="1"/>
  <c r="U1441" i="1"/>
  <c r="U1614" i="1"/>
  <c r="U1541" i="1"/>
  <c r="U1349" i="1"/>
  <c r="U1367" i="1"/>
  <c r="U1618" i="1"/>
  <c r="U1410" i="1"/>
  <c r="U1351" i="1"/>
  <c r="U1391" i="1"/>
  <c r="U1621" i="1"/>
  <c r="U1543" i="1"/>
  <c r="U1447" i="1"/>
  <c r="U1386" i="1"/>
  <c r="U1620" i="1"/>
  <c r="U1409" i="1"/>
  <c r="U1655" i="1"/>
  <c r="U1381" i="1"/>
  <c r="U1627" i="1"/>
  <c r="U1405" i="1"/>
  <c r="U1358" i="1"/>
  <c r="U1517" i="1"/>
  <c r="U1633" i="1"/>
  <c r="U1407" i="1"/>
  <c r="U1362" i="1"/>
  <c r="U1373" i="1"/>
  <c r="U1667" i="1"/>
  <c r="U1649" i="1"/>
  <c r="U1536" i="1"/>
  <c r="U1516" i="1"/>
  <c r="U1585" i="1"/>
  <c r="U1499" i="1"/>
  <c r="U1657" i="1"/>
  <c r="U1436" i="1"/>
  <c r="U1584" i="1"/>
  <c r="U1493" i="1"/>
  <c r="U1658" i="1"/>
  <c r="U1437" i="1"/>
  <c r="U1591" i="1"/>
  <c r="U1538" i="1"/>
  <c r="U1457" i="1"/>
  <c r="U1433" i="1"/>
  <c r="U1589" i="1"/>
  <c r="U1404" i="1"/>
  <c r="U1370" i="1"/>
  <c r="U1375" i="1"/>
  <c r="U1666" i="1"/>
  <c r="U1403" i="1"/>
  <c r="U1382" i="1"/>
  <c r="U1380" i="1"/>
  <c r="U1654" i="1"/>
  <c r="U1537" i="1"/>
  <c r="U1663" i="1"/>
  <c r="U1369" i="1"/>
  <c r="U1646" i="1"/>
  <c r="U1402" i="1"/>
  <c r="U1660" i="1"/>
  <c r="U1376" i="1"/>
  <c r="U1669" i="1"/>
  <c r="U1487" i="1"/>
  <c r="U1372" i="1"/>
  <c r="U1374" i="1"/>
  <c r="U1598" i="1"/>
  <c r="U1486" i="1"/>
  <c r="U1664" i="1"/>
  <c r="U1515" i="1"/>
  <c r="U1594" i="1"/>
  <c r="U1473" i="1"/>
  <c r="U1387" i="1"/>
  <c r="U1421" i="1"/>
  <c r="U1636" i="1"/>
  <c r="U1401" i="1"/>
  <c r="U1662" i="1"/>
  <c r="U1512" i="1"/>
  <c r="U1599" i="1"/>
  <c r="U1396" i="1"/>
  <c r="U1377" i="1"/>
  <c r="U1363" i="1"/>
  <c r="U1670" i="1"/>
  <c r="U1392" i="1"/>
  <c r="U1378" i="1"/>
  <c r="U1425" i="1"/>
  <c r="U1671" i="1"/>
  <c r="U1393" i="1"/>
  <c r="U1371" i="1"/>
  <c r="U1514" i="1"/>
  <c r="U1652" i="1"/>
  <c r="U1539" i="1"/>
  <c r="U1365" i="1"/>
  <c r="U1513" i="1"/>
  <c r="U1602" i="1"/>
  <c r="U1467" i="1"/>
  <c r="U1661" i="1"/>
  <c r="U1364" i="1"/>
  <c r="U1653" i="1"/>
  <c r="U1394" i="1"/>
  <c r="U1451" i="1"/>
  <c r="U1510" i="1"/>
  <c r="U1673" i="1"/>
  <c r="U1395" i="1"/>
  <c r="U1359" i="1"/>
  <c r="U1360" i="1"/>
  <c r="U1540" i="1"/>
  <c r="U1456" i="1"/>
  <c r="U1460" i="1"/>
  <c r="U1354" i="1"/>
  <c r="U1672" i="1"/>
  <c r="U1397" i="1"/>
  <c r="U1665" i="1"/>
  <c r="U1509" i="1"/>
  <c r="U1596" i="1"/>
  <c r="U1480" i="1"/>
  <c r="U1459" i="1"/>
  <c r="U1427" i="1"/>
  <c r="U1674" i="1"/>
  <c r="U1545" i="1"/>
  <c r="U1361" i="1"/>
  <c r="U1728" i="1"/>
  <c r="U1893" i="1"/>
  <c r="U1828" i="1"/>
  <c r="U1731" i="1"/>
  <c r="U1726" i="1"/>
  <c r="U1894" i="1"/>
  <c r="U1758" i="1"/>
  <c r="U1818" i="1"/>
  <c r="U1769" i="1"/>
  <c r="U1925" i="1"/>
  <c r="U1871" i="1"/>
  <c r="U1817" i="1"/>
  <c r="U1717" i="1"/>
  <c r="U1895" i="1"/>
  <c r="U1753" i="1"/>
  <c r="U1930" i="1"/>
  <c r="U1705" i="1"/>
  <c r="U1937" i="1"/>
  <c r="U1813" i="1"/>
  <c r="U1928" i="1"/>
  <c r="U1722" i="1"/>
  <c r="U1896" i="1"/>
  <c r="U1757" i="1"/>
  <c r="U1826" i="1"/>
  <c r="U1864" i="1"/>
  <c r="U1962" i="1"/>
  <c r="U1808" i="1"/>
  <c r="U1924" i="1"/>
  <c r="U1721" i="1"/>
  <c r="U1929" i="1"/>
  <c r="U1754" i="1"/>
  <c r="U1834" i="1"/>
  <c r="U1713" i="1"/>
  <c r="U1935" i="1"/>
  <c r="U1756" i="1"/>
  <c r="U1830" i="1"/>
  <c r="U1865" i="1"/>
  <c r="U1936" i="1"/>
  <c r="U1806" i="1"/>
  <c r="U1729" i="1"/>
  <c r="U1723" i="1"/>
  <c r="U1897" i="1"/>
  <c r="U1759" i="1"/>
  <c r="U1922" i="1"/>
  <c r="U1867" i="1"/>
  <c r="U1976" i="1"/>
  <c r="U1810" i="1"/>
  <c r="U1730" i="1"/>
  <c r="U1772" i="1"/>
  <c r="U2" i="1"/>
  <c r="U1877" i="1"/>
  <c r="U1727" i="1"/>
  <c r="U1768" i="1"/>
  <c r="U1983" i="1"/>
  <c r="U1762" i="1"/>
  <c r="U1918" i="1"/>
  <c r="U1776" i="1"/>
  <c r="U1939" i="1"/>
  <c r="U1815" i="1"/>
  <c r="U1838" i="1"/>
  <c r="U1979" i="1"/>
  <c r="U1883" i="1"/>
  <c r="U1921" i="1"/>
  <c r="U1795" i="1"/>
  <c r="U1938" i="1"/>
  <c r="U1873" i="1"/>
  <c r="U1927" i="1"/>
  <c r="U1714" i="1"/>
  <c r="U1910" i="1"/>
  <c r="U1761" i="1"/>
  <c r="U1716" i="1"/>
  <c r="U1707" i="1"/>
  <c r="U1984" i="1"/>
  <c r="U1825" i="1"/>
  <c r="U1720" i="1"/>
  <c r="U1866" i="1"/>
  <c r="U1913" i="1"/>
  <c r="U1831" i="1"/>
  <c r="U1933" i="1"/>
  <c r="U1710" i="1"/>
  <c r="U1985" i="1"/>
  <c r="U1887" i="1"/>
  <c r="U1931" i="1"/>
  <c r="U1712" i="1"/>
  <c r="U1940" i="1"/>
  <c r="U1833" i="1"/>
  <c r="U1701" i="1"/>
  <c r="U1787" i="1"/>
  <c r="U1986" i="1"/>
  <c r="U1835" i="1"/>
  <c r="U1926" i="1"/>
  <c r="U1783" i="1"/>
  <c r="U1975" i="1"/>
  <c r="U1820" i="1"/>
  <c r="U1708" i="1"/>
  <c r="U1862" i="1"/>
  <c r="U1942" i="1"/>
  <c r="U1881" i="1"/>
  <c r="U1823" i="1"/>
  <c r="U1854" i="1"/>
  <c r="U1919" i="1"/>
  <c r="U1819" i="1"/>
  <c r="U1719" i="1"/>
  <c r="U1843" i="1"/>
  <c r="U1923" i="1"/>
  <c r="U1880" i="1"/>
  <c r="U1704" i="1"/>
  <c r="U1709" i="1"/>
  <c r="U1917" i="1"/>
  <c r="U1814" i="1"/>
  <c r="U1703" i="1"/>
  <c r="U1718" i="1"/>
  <c r="U1987" i="1"/>
  <c r="U1760" i="1"/>
  <c r="U1829" i="1"/>
  <c r="U1711" i="1"/>
  <c r="U1988" i="1"/>
  <c r="U1870" i="1"/>
  <c r="U1724" i="1"/>
  <c r="U1700" i="1"/>
  <c r="U1949" i="1"/>
  <c r="U1869" i="1"/>
  <c r="U1715" i="1"/>
  <c r="U1790" i="1"/>
  <c r="U1912" i="1"/>
  <c r="U1755" i="1"/>
  <c r="U1920" i="1"/>
  <c r="U1698" i="1"/>
  <c r="U1947" i="1"/>
  <c r="U1751" i="1"/>
  <c r="U1702" i="1"/>
  <c r="U1858" i="1"/>
  <c r="U1932" i="1"/>
  <c r="U1874" i="1"/>
  <c r="U1824" i="1"/>
  <c r="U1811" i="1"/>
  <c r="U1786" i="1"/>
  <c r="U1989" i="1"/>
  <c r="U1782" i="1"/>
  <c r="U1934" i="1"/>
  <c r="U1750" i="1"/>
  <c r="U1914" i="1"/>
  <c r="U1855" i="1"/>
  <c r="U1943" i="1"/>
  <c r="U1749" i="1"/>
  <c r="U1832" i="1"/>
  <c r="U1784" i="1"/>
  <c r="U1941" i="1"/>
  <c r="U1746" i="1"/>
  <c r="U1907" i="1"/>
  <c r="U1860" i="1"/>
  <c r="U1945" i="1"/>
  <c r="U1868" i="1"/>
  <c r="U1906" i="1"/>
  <c r="U1690" i="1"/>
  <c r="U1990" i="1"/>
  <c r="U1812" i="1"/>
  <c r="U1725" i="1"/>
  <c r="U1859" i="1"/>
  <c r="U1951" i="1"/>
  <c r="U1876" i="1"/>
  <c r="U1908" i="1"/>
  <c r="U1789" i="1"/>
  <c r="U1952" i="1"/>
  <c r="U1736" i="1"/>
  <c r="U1821" i="1"/>
  <c r="U1850" i="1"/>
  <c r="U1991" i="1"/>
  <c r="U1744" i="1"/>
  <c r="U1904" i="1"/>
  <c r="U1797" i="1"/>
  <c r="U1948" i="1"/>
  <c r="U1809" i="1"/>
  <c r="U1822" i="1"/>
  <c r="U1852" i="1"/>
  <c r="U1992" i="1"/>
  <c r="U1743" i="1"/>
  <c r="U1900" i="1"/>
  <c r="U1803" i="1"/>
  <c r="U1954" i="1"/>
  <c r="U1805" i="1"/>
  <c r="U1706" i="1"/>
  <c r="U1844" i="1"/>
  <c r="U1946" i="1"/>
  <c r="U1804" i="1"/>
  <c r="U1899" i="1"/>
  <c r="U1846" i="1"/>
  <c r="U1944" i="1"/>
  <c r="U1745" i="1"/>
  <c r="U1898" i="1"/>
  <c r="U1691" i="1"/>
  <c r="U1950" i="1"/>
  <c r="U1879" i="1"/>
  <c r="U1901" i="1"/>
  <c r="U1851" i="1"/>
  <c r="U1993" i="1"/>
  <c r="U1801" i="1"/>
  <c r="U1836" i="1"/>
  <c r="U1847" i="1"/>
  <c r="U1994" i="1"/>
  <c r="U1738" i="1"/>
  <c r="U1840" i="1"/>
  <c r="U1697" i="1"/>
  <c r="U1995" i="1"/>
  <c r="U1734" i="1"/>
  <c r="U1848" i="1"/>
  <c r="U1792" i="1"/>
  <c r="U1956" i="1"/>
  <c r="U1878" i="1"/>
  <c r="U1905" i="1"/>
  <c r="U1693" i="1"/>
  <c r="U1996" i="1"/>
  <c r="U1796" i="1"/>
  <c r="U1955" i="1"/>
  <c r="U1794" i="1"/>
  <c r="U1903" i="1"/>
  <c r="U1849" i="1"/>
  <c r="U1997" i="1"/>
  <c r="U1740" i="1"/>
  <c r="U1699" i="1"/>
  <c r="U1781" i="1"/>
  <c r="U1982" i="1"/>
  <c r="U1739" i="1"/>
  <c r="U1853" i="1"/>
  <c r="U1780" i="1"/>
  <c r="U1959" i="1"/>
  <c r="U1748" i="1"/>
  <c r="U1694" i="1"/>
  <c r="U1856" i="1"/>
  <c r="U1953" i="1"/>
  <c r="U1798" i="1"/>
  <c r="U1841" i="1"/>
  <c r="U1778" i="1"/>
  <c r="U1965" i="1"/>
  <c r="U1888" i="1"/>
  <c r="U1837" i="1"/>
  <c r="U1779" i="1"/>
  <c r="U1977" i="1"/>
  <c r="U1885" i="1"/>
  <c r="U1687" i="1"/>
  <c r="U1696" i="1"/>
  <c r="U1966" i="1"/>
  <c r="U1752" i="1"/>
  <c r="U1685" i="1"/>
  <c r="U1771" i="1"/>
  <c r="U1972" i="1"/>
  <c r="U1889" i="1"/>
  <c r="U1839" i="1"/>
  <c r="U1774" i="1"/>
  <c r="U1967" i="1"/>
  <c r="U1890" i="1"/>
  <c r="U1684" i="1"/>
  <c r="U1861" i="1"/>
  <c r="U1973" i="1"/>
  <c r="U1886" i="1"/>
  <c r="U1827" i="1"/>
  <c r="U1785" i="1"/>
  <c r="U1968" i="1"/>
  <c r="U1747" i="1"/>
  <c r="U1816" i="1"/>
  <c r="U1863" i="1"/>
  <c r="U1980" i="1"/>
  <c r="U1875" i="1"/>
  <c r="U1807" i="1"/>
  <c r="U1695" i="1"/>
  <c r="U1961" i="1"/>
  <c r="U1884" i="1"/>
  <c r="U1802" i="1"/>
  <c r="U1689" i="1"/>
  <c r="U1960" i="1"/>
  <c r="U1872" i="1"/>
  <c r="U1682" i="1"/>
  <c r="U1692" i="1"/>
  <c r="U1974" i="1"/>
  <c r="U1882" i="1"/>
  <c r="U1681" i="1"/>
  <c r="U1791" i="1"/>
  <c r="U1958" i="1"/>
  <c r="U1788" i="1"/>
  <c r="U1902" i="1"/>
  <c r="U1686" i="1"/>
  <c r="U1978" i="1"/>
  <c r="U1737" i="1"/>
  <c r="U1911" i="1"/>
  <c r="U1770" i="1"/>
  <c r="U1998" i="1"/>
  <c r="U1892" i="1"/>
  <c r="U1683" i="1"/>
  <c r="U1688" i="1"/>
  <c r="U1999" i="1"/>
  <c r="U1793" i="1"/>
  <c r="U1741" i="1"/>
  <c r="U1680" i="1"/>
  <c r="U1971" i="1"/>
  <c r="U1742" i="1"/>
  <c r="U1909" i="1"/>
  <c r="U1765" i="1"/>
  <c r="U1969" i="1"/>
  <c r="U1891" i="1"/>
  <c r="U1676" i="1"/>
  <c r="U1857" i="1"/>
  <c r="U1963" i="1"/>
  <c r="U1773" i="1"/>
  <c r="U1916" i="1"/>
  <c r="U1845" i="1"/>
  <c r="U1970" i="1"/>
  <c r="U1777" i="1"/>
  <c r="U1799" i="1"/>
  <c r="U1678" i="1"/>
  <c r="U2000" i="1"/>
  <c r="U1735" i="1"/>
  <c r="U1675" i="1"/>
  <c r="U1766" i="1"/>
  <c r="U1981" i="1"/>
  <c r="U1733" i="1"/>
  <c r="U1679" i="1"/>
  <c r="U1764" i="1"/>
  <c r="U2001" i="1"/>
  <c r="U1767" i="1"/>
  <c r="U1800" i="1"/>
  <c r="U1763" i="1"/>
  <c r="U1964" i="1"/>
  <c r="U1775" i="1"/>
  <c r="U1915" i="1"/>
  <c r="U1842" i="1"/>
  <c r="U1957" i="1"/>
  <c r="U1732" i="1"/>
  <c r="U1677" i="1"/>
  <c r="T59" i="1"/>
  <c r="T193" i="1"/>
  <c r="T262" i="1"/>
  <c r="T330" i="1"/>
  <c r="T120" i="1"/>
  <c r="T169" i="1"/>
  <c r="T102" i="1"/>
  <c r="T322" i="1"/>
  <c r="T233" i="1"/>
  <c r="T188" i="1"/>
  <c r="T105" i="1"/>
  <c r="T32" i="1"/>
  <c r="T100" i="1"/>
  <c r="T229" i="1"/>
  <c r="T263" i="1"/>
  <c r="T319" i="1"/>
  <c r="T234" i="1"/>
  <c r="T223" i="1"/>
  <c r="T215" i="1"/>
  <c r="T323" i="1"/>
  <c r="T88" i="1"/>
  <c r="T189" i="1"/>
  <c r="T112" i="1"/>
  <c r="T29" i="1"/>
  <c r="T82" i="1"/>
  <c r="T222" i="1"/>
  <c r="T197" i="1"/>
  <c r="T47" i="1"/>
  <c r="T235" i="1"/>
  <c r="T219" i="1"/>
  <c r="T116" i="1"/>
  <c r="T14" i="1"/>
  <c r="T94" i="1"/>
  <c r="T220" i="1"/>
  <c r="T123" i="1"/>
  <c r="T67" i="1"/>
  <c r="T239" i="1"/>
  <c r="T293" i="1"/>
  <c r="T173" i="1"/>
  <c r="T66" i="1"/>
  <c r="T85" i="1"/>
  <c r="T294" i="1"/>
  <c r="T115" i="1"/>
  <c r="T6" i="1"/>
  <c r="T98" i="1"/>
  <c r="T203" i="1"/>
  <c r="T261" i="1"/>
  <c r="T324" i="1"/>
  <c r="T91" i="1"/>
  <c r="T199" i="1"/>
  <c r="T329" i="1"/>
  <c r="T108" i="1"/>
  <c r="T327" i="1"/>
  <c r="T113" i="1"/>
  <c r="T185" i="1"/>
  <c r="T121" i="1"/>
  <c r="T76" i="1"/>
  <c r="T243" i="1"/>
  <c r="T214" i="1"/>
  <c r="T178" i="1"/>
  <c r="T69" i="1"/>
  <c r="T134" i="1"/>
  <c r="T301" i="1"/>
  <c r="T266" i="1"/>
  <c r="T17" i="1"/>
  <c r="T107" i="1"/>
  <c r="T307" i="1"/>
  <c r="T172" i="1"/>
  <c r="T326" i="1"/>
  <c r="T238" i="1"/>
  <c r="T182" i="1"/>
  <c r="T136" i="1"/>
  <c r="T30" i="1"/>
  <c r="T245" i="1"/>
  <c r="T295" i="1"/>
  <c r="T279" i="1"/>
  <c r="T63" i="1"/>
  <c r="T97" i="1"/>
  <c r="T228" i="1"/>
  <c r="T111" i="1"/>
  <c r="T320" i="1"/>
  <c r="T248" i="1"/>
  <c r="T226" i="1"/>
  <c r="T96" i="1"/>
  <c r="T23" i="1"/>
  <c r="T255" i="1"/>
  <c r="T230" i="1"/>
  <c r="T104" i="1"/>
  <c r="T84" i="1"/>
  <c r="T242" i="1"/>
  <c r="T232" i="1"/>
  <c r="T268" i="1"/>
  <c r="T316" i="1"/>
  <c r="T142" i="1"/>
  <c r="T170" i="1"/>
  <c r="T276" i="1"/>
  <c r="T24" i="1"/>
  <c r="T114" i="1"/>
  <c r="T171" i="1"/>
  <c r="T269" i="1"/>
  <c r="T51" i="1"/>
  <c r="T140" i="1"/>
  <c r="T291" i="1"/>
  <c r="T110" i="1"/>
  <c r="T34" i="1"/>
  <c r="T146" i="1"/>
  <c r="T167" i="1"/>
  <c r="T93" i="1"/>
  <c r="T33" i="1"/>
  <c r="T153" i="1"/>
  <c r="T296" i="1"/>
  <c r="T81" i="1"/>
  <c r="T305" i="1"/>
  <c r="T138" i="1"/>
  <c r="T175" i="1"/>
  <c r="T70" i="1"/>
  <c r="T303" i="1"/>
  <c r="T236" i="1"/>
  <c r="T231" i="1"/>
  <c r="T176" i="1"/>
  <c r="T310" i="1"/>
  <c r="T247" i="1"/>
  <c r="T225" i="1"/>
  <c r="T86" i="1"/>
  <c r="T312" i="1"/>
  <c r="T224" i="1"/>
  <c r="T92" i="1"/>
  <c r="T311" i="1"/>
  <c r="T267" i="1"/>
  <c r="T118" i="1"/>
  <c r="T297" i="1"/>
  <c r="T64" i="1"/>
  <c r="T25" i="1"/>
  <c r="T149" i="1"/>
  <c r="T179" i="1"/>
  <c r="T57" i="1"/>
  <c r="T10" i="1"/>
  <c r="T249" i="1"/>
  <c r="T191" i="1"/>
  <c r="T278" i="1"/>
  <c r="T37" i="1"/>
  <c r="T257" i="1"/>
  <c r="T208" i="1"/>
  <c r="T58" i="1"/>
  <c r="T26" i="1"/>
  <c r="T139" i="1"/>
  <c r="T194" i="1"/>
  <c r="T192" i="1"/>
  <c r="T308" i="1"/>
  <c r="T133" i="1"/>
  <c r="T227" i="1"/>
  <c r="T46" i="1"/>
  <c r="T22" i="1"/>
  <c r="T250" i="1"/>
  <c r="T292" i="1"/>
  <c r="T196" i="1"/>
  <c r="T306" i="1"/>
  <c r="T129" i="1"/>
  <c r="T221" i="1"/>
  <c r="T201" i="1"/>
  <c r="T28" i="1"/>
  <c r="T128" i="1"/>
  <c r="T290" i="1"/>
  <c r="T40" i="1"/>
  <c r="T300" i="1"/>
  <c r="T135" i="1"/>
  <c r="T212" i="1"/>
  <c r="T45" i="1"/>
  <c r="T31" i="1"/>
  <c r="T106" i="1"/>
  <c r="T287" i="1"/>
  <c r="T211" i="1"/>
  <c r="T304" i="1"/>
  <c r="T95" i="1"/>
  <c r="T289" i="1"/>
  <c r="T50" i="1"/>
  <c r="T298" i="1"/>
  <c r="T241" i="1"/>
  <c r="T217" i="1"/>
  <c r="T42" i="1"/>
  <c r="T19" i="1"/>
  <c r="T237" i="1"/>
  <c r="T284" i="1"/>
  <c r="T41" i="1"/>
  <c r="T302" i="1"/>
  <c r="T99" i="1"/>
  <c r="T180" i="1"/>
  <c r="T209" i="1"/>
  <c r="T315" i="1"/>
  <c r="T83" i="1"/>
  <c r="T168" i="1"/>
  <c r="T36" i="1"/>
  <c r="T27" i="1"/>
  <c r="T77" i="1"/>
  <c r="T154" i="1"/>
  <c r="T216" i="1"/>
  <c r="T309" i="1"/>
  <c r="T127" i="1"/>
  <c r="T288" i="1"/>
  <c r="T205" i="1"/>
  <c r="T35" i="1"/>
  <c r="T131" i="1"/>
  <c r="T213" i="1"/>
  <c r="T272" i="1"/>
  <c r="T286" i="1"/>
  <c r="T39" i="1"/>
  <c r="T244" i="1"/>
  <c r="T204" i="1"/>
  <c r="T206" i="1"/>
  <c r="T16" i="1"/>
  <c r="T161" i="1"/>
  <c r="T198" i="1"/>
  <c r="T210" i="1"/>
  <c r="T44" i="1"/>
  <c r="T240" i="1"/>
  <c r="T150" i="1"/>
  <c r="T49" i="1"/>
  <c r="T325" i="1"/>
  <c r="T122" i="1"/>
  <c r="T181" i="1"/>
  <c r="T274" i="1"/>
  <c r="T9" i="1"/>
  <c r="T246" i="1"/>
  <c r="T144" i="1"/>
  <c r="T218" i="1"/>
  <c r="T7" i="1"/>
  <c r="T256" i="1"/>
  <c r="T183" i="1"/>
  <c r="T270" i="1"/>
  <c r="T4" i="1"/>
  <c r="T251" i="1"/>
  <c r="T285" i="1"/>
  <c r="T207" i="1"/>
  <c r="T317" i="1"/>
  <c r="T260" i="1"/>
  <c r="T186" i="1"/>
  <c r="T72" i="1"/>
  <c r="T3" i="1"/>
  <c r="T124" i="1"/>
  <c r="T151" i="1"/>
  <c r="T79" i="1"/>
  <c r="T313" i="1"/>
  <c r="T259" i="1"/>
  <c r="T145" i="1"/>
  <c r="T75" i="1"/>
  <c r="T8" i="1"/>
  <c r="T126" i="1"/>
  <c r="T184" i="1"/>
  <c r="T195" i="1"/>
  <c r="T53" i="1"/>
  <c r="T264" i="1"/>
  <c r="T160" i="1"/>
  <c r="T80" i="1"/>
  <c r="T12" i="1"/>
  <c r="T103" i="1"/>
  <c r="T152" i="1"/>
  <c r="T200" i="1"/>
  <c r="T52" i="1"/>
  <c r="T119" i="1"/>
  <c r="T166" i="1"/>
  <c r="T101" i="1"/>
  <c r="T318" i="1"/>
  <c r="T137" i="1"/>
  <c r="T158" i="1"/>
  <c r="T90" i="1"/>
  <c r="T328" i="1"/>
  <c r="T109" i="1"/>
  <c r="T159" i="1"/>
  <c r="T202" i="1"/>
  <c r="T321" i="1"/>
  <c r="T125" i="1"/>
  <c r="T164" i="1"/>
  <c r="T190" i="1"/>
  <c r="T18" i="1"/>
  <c r="T89" i="1"/>
  <c r="T156" i="1"/>
  <c r="T271" i="1"/>
  <c r="T20" i="1"/>
  <c r="T187" i="1"/>
  <c r="T275" i="1"/>
  <c r="T68" i="1"/>
  <c r="T148" i="1"/>
  <c r="T273" i="1"/>
  <c r="T21" i="1"/>
  <c r="T60" i="1"/>
  <c r="T157" i="1"/>
  <c r="T78" i="1"/>
  <c r="T13" i="1"/>
  <c r="T132" i="1"/>
  <c r="T282" i="1"/>
  <c r="T277" i="1"/>
  <c r="T61" i="1"/>
  <c r="T71" i="1"/>
  <c r="T283" i="1"/>
  <c r="T165" i="1"/>
  <c r="T74" i="1"/>
  <c r="T130" i="1"/>
  <c r="T155" i="1"/>
  <c r="T87" i="1"/>
  <c r="T62" i="1"/>
  <c r="T252" i="1"/>
  <c r="T174" i="1"/>
  <c r="T265" i="1"/>
  <c r="T54" i="1"/>
  <c r="T117" i="1"/>
  <c r="T147" i="1"/>
  <c r="T73" i="1"/>
  <c r="T5" i="1"/>
  <c r="T56" i="1"/>
  <c r="T281" i="1"/>
  <c r="T65" i="1"/>
  <c r="T314" i="1"/>
  <c r="T253" i="1"/>
  <c r="T163" i="1"/>
  <c r="T258" i="1"/>
  <c r="T15" i="1"/>
  <c r="T43" i="1"/>
  <c r="T143" i="1"/>
  <c r="T162" i="1"/>
  <c r="T11" i="1"/>
  <c r="T55" i="1"/>
  <c r="T177" i="1"/>
  <c r="T48" i="1"/>
  <c r="T299" i="1"/>
  <c r="T141" i="1"/>
  <c r="T280" i="1"/>
  <c r="T254" i="1"/>
  <c r="T38" i="1"/>
  <c r="T587" i="1"/>
  <c r="T533" i="1"/>
  <c r="T611" i="1"/>
  <c r="T418" i="1"/>
  <c r="T419" i="1"/>
  <c r="T507" i="1"/>
  <c r="T526" i="1"/>
  <c r="T350" i="1"/>
  <c r="T593" i="1"/>
  <c r="T532" i="1"/>
  <c r="T422" i="1"/>
  <c r="T636" i="1"/>
  <c r="T597" i="1"/>
  <c r="T632" i="1"/>
  <c r="T612" i="1"/>
  <c r="T342" i="1"/>
  <c r="T583" i="1"/>
  <c r="T501" i="1"/>
  <c r="T417" i="1"/>
  <c r="T637" i="1"/>
  <c r="T485" i="1"/>
  <c r="T626" i="1"/>
  <c r="T521" i="1"/>
  <c r="T638" i="1"/>
  <c r="T484" i="1"/>
  <c r="T599" i="1"/>
  <c r="T416" i="1"/>
  <c r="T540" i="1"/>
  <c r="T424" i="1"/>
  <c r="T589" i="1"/>
  <c r="T543" i="1"/>
  <c r="T600" i="1"/>
  <c r="T343" i="1"/>
  <c r="T415" i="1"/>
  <c r="T524" i="1"/>
  <c r="T591" i="1"/>
  <c r="T402" i="1"/>
  <c r="T514" i="1"/>
  <c r="T629" i="1"/>
  <c r="T586" i="1"/>
  <c r="T336" i="1"/>
  <c r="T386" i="1"/>
  <c r="T627" i="1"/>
  <c r="T493" i="1"/>
  <c r="T640" i="1"/>
  <c r="T595" i="1"/>
  <c r="T479" i="1"/>
  <c r="T585" i="1"/>
  <c r="T639" i="1"/>
  <c r="T582" i="1"/>
  <c r="T480" i="1"/>
  <c r="T502" i="1"/>
  <c r="T641" i="1"/>
  <c r="T478" i="1"/>
  <c r="T508" i="1"/>
  <c r="T388" i="1"/>
  <c r="T642" i="1"/>
  <c r="T378" i="1"/>
  <c r="T491" i="1"/>
  <c r="T390" i="1"/>
  <c r="T344" i="1"/>
  <c r="T574" i="1"/>
  <c r="T505" i="1"/>
  <c r="T584" i="1"/>
  <c r="T391" i="1"/>
  <c r="T577" i="1"/>
  <c r="T630" i="1"/>
  <c r="T581" i="1"/>
  <c r="T396" i="1"/>
  <c r="T576" i="1"/>
  <c r="T621" i="1"/>
  <c r="T406" i="1"/>
  <c r="T644" i="1"/>
  <c r="T579" i="1"/>
  <c r="T477" i="1"/>
  <c r="T517" i="1"/>
  <c r="T346" i="1"/>
  <c r="T401" i="1"/>
  <c r="T503" i="1"/>
  <c r="T413" i="1"/>
  <c r="T347" i="1"/>
  <c r="T575" i="1"/>
  <c r="T516" i="1"/>
  <c r="T504" i="1"/>
  <c r="T643" i="1"/>
  <c r="T511" i="1"/>
  <c r="T608" i="1"/>
  <c r="T429" i="1"/>
  <c r="T345" i="1"/>
  <c r="T492" i="1"/>
  <c r="T622" i="1"/>
  <c r="T510" i="1"/>
  <c r="T645" i="1"/>
  <c r="T567" i="1"/>
  <c r="T607" i="1"/>
  <c r="T598" i="1"/>
  <c r="T373" i="1"/>
  <c r="T408" i="1"/>
  <c r="T523" i="1"/>
  <c r="T601" i="1"/>
  <c r="T357" i="1"/>
  <c r="T349" i="1"/>
  <c r="T498" i="1"/>
  <c r="T606" i="1"/>
  <c r="T519" i="1"/>
  <c r="T489" i="1"/>
  <c r="T603" i="1"/>
  <c r="T512" i="1"/>
  <c r="T646" i="1"/>
  <c r="T490" i="1"/>
  <c r="T616" i="1"/>
  <c r="T509" i="1"/>
  <c r="T354" i="1"/>
  <c r="T500" i="1"/>
  <c r="T520" i="1"/>
  <c r="T497" i="1"/>
  <c r="T358" i="1"/>
  <c r="T421" i="1"/>
  <c r="T469" i="1"/>
  <c r="T403" i="1"/>
  <c r="T361" i="1"/>
  <c r="T573" i="1"/>
  <c r="T518" i="1"/>
  <c r="T588" i="1"/>
  <c r="T363" i="1"/>
  <c r="T572" i="1"/>
  <c r="T525" i="1"/>
  <c r="T407" i="1"/>
  <c r="T650" i="1"/>
  <c r="T377" i="1"/>
  <c r="T474" i="1"/>
  <c r="T387" i="1"/>
  <c r="T651" i="1"/>
  <c r="T580" i="1"/>
  <c r="T537" i="1"/>
  <c r="T594" i="1"/>
  <c r="T351" i="1"/>
  <c r="T392" i="1"/>
  <c r="T628" i="1"/>
  <c r="T590" i="1"/>
  <c r="T370" i="1"/>
  <c r="T483" i="1"/>
  <c r="T467" i="1"/>
  <c r="T592" i="1"/>
  <c r="T356" i="1"/>
  <c r="T420" i="1"/>
  <c r="T471" i="1"/>
  <c r="T499" i="1"/>
  <c r="T366" i="1"/>
  <c r="T476" i="1"/>
  <c r="T461" i="1"/>
  <c r="T623" i="1"/>
  <c r="T374" i="1"/>
  <c r="T570" i="1"/>
  <c r="T618" i="1"/>
  <c r="T619" i="1"/>
  <c r="T383" i="1"/>
  <c r="T565" i="1"/>
  <c r="T457" i="1"/>
  <c r="T515" i="1"/>
  <c r="T355" i="1"/>
  <c r="T470" i="1"/>
  <c r="T448" i="1"/>
  <c r="T397" i="1"/>
  <c r="T394" i="1"/>
  <c r="T566" i="1"/>
  <c r="T431" i="1"/>
  <c r="T486" i="1"/>
  <c r="T352" i="1"/>
  <c r="T578" i="1"/>
  <c r="T531" i="1"/>
  <c r="T602" i="1"/>
  <c r="T647" i="1"/>
  <c r="T379" i="1"/>
  <c r="T534" i="1"/>
  <c r="T487" i="1"/>
  <c r="T653" i="1"/>
  <c r="T367" i="1"/>
  <c r="T496" i="1"/>
  <c r="T405" i="1"/>
  <c r="T353" i="1"/>
  <c r="T568" i="1"/>
  <c r="T617" i="1"/>
  <c r="T613" i="1"/>
  <c r="T382" i="1"/>
  <c r="T571" i="1"/>
  <c r="T427" i="1"/>
  <c r="T488" i="1"/>
  <c r="T399" i="1"/>
  <c r="T472" i="1"/>
  <c r="T437" i="1"/>
  <c r="T400" i="1"/>
  <c r="T654" i="1"/>
  <c r="T569" i="1"/>
  <c r="T527" i="1"/>
  <c r="T614" i="1"/>
  <c r="T657" i="1"/>
  <c r="T398" i="1"/>
  <c r="T535" i="1"/>
  <c r="T389" i="1"/>
  <c r="T348" i="1"/>
  <c r="T482" i="1"/>
  <c r="T438" i="1"/>
  <c r="T620" i="1"/>
  <c r="T341" i="1"/>
  <c r="T384" i="1"/>
  <c r="T447" i="1"/>
  <c r="T372" i="1"/>
  <c r="T380" i="1"/>
  <c r="T564" i="1"/>
  <c r="T529" i="1"/>
  <c r="T494" i="1"/>
  <c r="T414" i="1"/>
  <c r="T381" i="1"/>
  <c r="T539" i="1"/>
  <c r="T376" i="1"/>
  <c r="T432" i="1"/>
  <c r="T563" i="1"/>
  <c r="T441" i="1"/>
  <c r="T495" i="1"/>
  <c r="T425" i="1"/>
  <c r="T513" i="1"/>
  <c r="T450" i="1"/>
  <c r="T605" i="1"/>
  <c r="T335" i="1"/>
  <c r="T562" i="1"/>
  <c r="T463" i="1"/>
  <c r="T610" i="1"/>
  <c r="T333" i="1"/>
  <c r="T506" i="1"/>
  <c r="T549" i="1"/>
  <c r="T375" i="1"/>
  <c r="T409" i="1"/>
  <c r="T404" i="1"/>
  <c r="T547" i="1"/>
  <c r="T475" i="1"/>
  <c r="T659" i="1"/>
  <c r="T558" i="1"/>
  <c r="T631" i="1"/>
  <c r="T481" i="1"/>
  <c r="T337" i="1"/>
  <c r="T412" i="1"/>
  <c r="T530" i="1"/>
  <c r="T473" i="1"/>
  <c r="T648" i="1"/>
  <c r="T555" i="1"/>
  <c r="T522" i="1"/>
  <c r="T371" i="1"/>
  <c r="T385" i="1"/>
  <c r="T428" i="1"/>
  <c r="T528" i="1"/>
  <c r="T459" i="1"/>
  <c r="T393" i="1"/>
  <c r="T445" i="1"/>
  <c r="T455" i="1"/>
  <c r="T339" i="1"/>
  <c r="T596" i="1"/>
  <c r="T410" i="1"/>
  <c r="T561" i="1"/>
  <c r="T536" i="1"/>
  <c r="T468" i="1"/>
  <c r="T332" i="1"/>
  <c r="T444" i="1"/>
  <c r="T633" i="1"/>
  <c r="T360" i="1"/>
  <c r="T649" i="1"/>
  <c r="T557" i="1"/>
  <c r="T544" i="1"/>
  <c r="T466" i="1"/>
  <c r="T655" i="1"/>
  <c r="T548" i="1"/>
  <c r="T449" i="1"/>
  <c r="T604" i="1"/>
  <c r="T411" i="1"/>
  <c r="T552" i="1"/>
  <c r="T462" i="1"/>
  <c r="T456" i="1"/>
  <c r="T652" i="1"/>
  <c r="T451" i="1"/>
  <c r="T453" i="1"/>
  <c r="T464" i="1"/>
  <c r="T656" i="1"/>
  <c r="T559" i="1"/>
  <c r="T624" i="1"/>
  <c r="T454" i="1"/>
  <c r="T368" i="1"/>
  <c r="T554" i="1"/>
  <c r="T435" i="1"/>
  <c r="T365" i="1"/>
  <c r="T658" i="1"/>
  <c r="T460" i="1"/>
  <c r="T625" i="1"/>
  <c r="T634" i="1"/>
  <c r="T340" i="1"/>
  <c r="T443" i="1"/>
  <c r="T423" i="1"/>
  <c r="T635" i="1"/>
  <c r="T338" i="1"/>
  <c r="T545" i="1"/>
  <c r="T426" i="1"/>
  <c r="T440" i="1"/>
  <c r="T661" i="1"/>
  <c r="T556" i="1"/>
  <c r="T615" i="1"/>
  <c r="T452" i="1"/>
  <c r="T660" i="1"/>
  <c r="T458" i="1"/>
  <c r="T395" i="1"/>
  <c r="T442" i="1"/>
  <c r="T364" i="1"/>
  <c r="T541" i="1"/>
  <c r="T538" i="1"/>
  <c r="T434" i="1"/>
  <c r="T331" i="1"/>
  <c r="T446" i="1"/>
  <c r="T550" i="1"/>
  <c r="T433" i="1"/>
  <c r="T664" i="1"/>
  <c r="T553" i="1"/>
  <c r="T551" i="1"/>
  <c r="T439" i="1"/>
  <c r="T362" i="1"/>
  <c r="T560" i="1"/>
  <c r="T369" i="1"/>
  <c r="T436" i="1"/>
  <c r="T663" i="1"/>
  <c r="T546" i="1"/>
  <c r="T609" i="1"/>
  <c r="T430" i="1"/>
  <c r="T662" i="1"/>
  <c r="T465" i="1"/>
  <c r="T359" i="1"/>
  <c r="T542" i="1"/>
  <c r="T334" i="1"/>
  <c r="T841" i="1"/>
  <c r="T806" i="1"/>
  <c r="T810" i="1"/>
  <c r="T974" i="1"/>
  <c r="T845" i="1"/>
  <c r="T900" i="1"/>
  <c r="T833" i="1"/>
  <c r="T695" i="1"/>
  <c r="T921" i="1"/>
  <c r="T956" i="1"/>
  <c r="T962" i="1"/>
  <c r="T972" i="1"/>
  <c r="T932" i="1"/>
  <c r="T812" i="1"/>
  <c r="T799" i="1"/>
  <c r="T973" i="1"/>
  <c r="T886" i="1"/>
  <c r="T949" i="1"/>
  <c r="T798" i="1"/>
  <c r="T975" i="1"/>
  <c r="T847" i="1"/>
  <c r="T906" i="1"/>
  <c r="T771" i="1"/>
  <c r="T796" i="1"/>
  <c r="T882" i="1"/>
  <c r="T801" i="1"/>
  <c r="T790" i="1"/>
  <c r="T684" i="1"/>
  <c r="T929" i="1"/>
  <c r="T947" i="1"/>
  <c r="T768" i="1"/>
  <c r="T786" i="1"/>
  <c r="T851" i="1"/>
  <c r="T946" i="1"/>
  <c r="T824" i="1"/>
  <c r="T977" i="1"/>
  <c r="T937" i="1"/>
  <c r="T896" i="1"/>
  <c r="T961" i="1"/>
  <c r="T758" i="1"/>
  <c r="T849" i="1"/>
  <c r="T945" i="1"/>
  <c r="T744" i="1"/>
  <c r="T978" i="1"/>
  <c r="T884" i="1"/>
  <c r="T941" i="1"/>
  <c r="T737" i="1"/>
  <c r="T981" i="1"/>
  <c r="T855" i="1"/>
  <c r="T938" i="1"/>
  <c r="T823" i="1"/>
  <c r="T976" i="1"/>
  <c r="T871" i="1"/>
  <c r="T889" i="1"/>
  <c r="T828" i="1"/>
  <c r="T690" i="1"/>
  <c r="T880" i="1"/>
  <c r="T890" i="1"/>
  <c r="T964" i="1"/>
  <c r="T759" i="1"/>
  <c r="T856" i="1"/>
  <c r="T808" i="1"/>
  <c r="T732" i="1"/>
  <c r="T688" i="1"/>
  <c r="T852" i="1"/>
  <c r="T943" i="1"/>
  <c r="T826" i="1"/>
  <c r="T979" i="1"/>
  <c r="T866" i="1"/>
  <c r="T898" i="1"/>
  <c r="T733" i="1"/>
  <c r="T692" i="1"/>
  <c r="T865" i="1"/>
  <c r="T872" i="1"/>
  <c r="T944" i="1"/>
  <c r="T750" i="1"/>
  <c r="T980" i="1"/>
  <c r="T857" i="1"/>
  <c r="T895" i="1"/>
  <c r="T815" i="1"/>
  <c r="T685" i="1"/>
  <c r="T859" i="1"/>
  <c r="T939" i="1"/>
  <c r="T965" i="1"/>
  <c r="T673" i="1"/>
  <c r="T861" i="1"/>
  <c r="T813" i="1"/>
  <c r="T960" i="1"/>
  <c r="T680" i="1"/>
  <c r="T867" i="1"/>
  <c r="T892" i="1"/>
  <c r="T807" i="1"/>
  <c r="T672" i="1"/>
  <c r="T870" i="1"/>
  <c r="T829" i="1"/>
  <c r="T966" i="1"/>
  <c r="T667" i="1"/>
  <c r="T933" i="1"/>
  <c r="T820" i="1"/>
  <c r="T817" i="1"/>
  <c r="T669" i="1"/>
  <c r="T926" i="1"/>
  <c r="T893" i="1"/>
  <c r="T731" i="1"/>
  <c r="T671" i="1"/>
  <c r="T858" i="1"/>
  <c r="T899" i="1"/>
  <c r="T814" i="1"/>
  <c r="T982" i="1"/>
  <c r="T863" i="1"/>
  <c r="T942" i="1"/>
  <c r="T754" i="1"/>
  <c r="T994" i="1"/>
  <c r="T911" i="1"/>
  <c r="T804" i="1"/>
  <c r="T811" i="1"/>
  <c r="T674" i="1"/>
  <c r="T878" i="1"/>
  <c r="T797" i="1"/>
  <c r="T816" i="1"/>
  <c r="T665" i="1"/>
  <c r="T923" i="1"/>
  <c r="T940" i="1"/>
  <c r="T968" i="1"/>
  <c r="T679" i="1"/>
  <c r="T846" i="1"/>
  <c r="T791" i="1"/>
  <c r="T805" i="1"/>
  <c r="T666" i="1"/>
  <c r="T844" i="1"/>
  <c r="T902" i="1"/>
  <c r="T719" i="1"/>
  <c r="T681" i="1"/>
  <c r="T843" i="1"/>
  <c r="T903" i="1"/>
  <c r="T825" i="1"/>
  <c r="T989" i="1"/>
  <c r="T842" i="1"/>
  <c r="T936" i="1"/>
  <c r="T967" i="1"/>
  <c r="T677" i="1"/>
  <c r="T920" i="1"/>
  <c r="T897" i="1"/>
  <c r="T717" i="1"/>
  <c r="T992" i="1"/>
  <c r="T839" i="1"/>
  <c r="T763" i="1"/>
  <c r="T822" i="1"/>
  <c r="T675" i="1"/>
  <c r="T767" i="1"/>
  <c r="T720" i="1"/>
  <c r="T770" i="1"/>
  <c r="T894" i="1"/>
  <c r="T827" i="1"/>
  <c r="T991" i="1"/>
  <c r="T830" i="1"/>
  <c r="T928" i="1"/>
  <c r="T752" i="1"/>
  <c r="T670" i="1"/>
  <c r="T809" i="1"/>
  <c r="T729" i="1"/>
  <c r="T761" i="1"/>
  <c r="T997" i="1"/>
  <c r="T881" i="1"/>
  <c r="T718" i="1"/>
  <c r="T970" i="1"/>
  <c r="T787" i="1"/>
  <c r="T931" i="1"/>
  <c r="T913" i="1"/>
  <c r="T751" i="1"/>
  <c r="T779" i="1"/>
  <c r="T876" i="1"/>
  <c r="T891" i="1"/>
  <c r="T736" i="1"/>
  <c r="T998" i="1"/>
  <c r="T803" i="1"/>
  <c r="T738" i="1"/>
  <c r="T730" i="1"/>
  <c r="T682" i="1"/>
  <c r="T922" i="1"/>
  <c r="T747" i="1"/>
  <c r="T971" i="1"/>
  <c r="T683" i="1"/>
  <c r="T783" i="1"/>
  <c r="T739" i="1"/>
  <c r="T969" i="1"/>
  <c r="T993" i="1"/>
  <c r="T924" i="1"/>
  <c r="T888" i="1"/>
  <c r="T821" i="1"/>
  <c r="T996" i="1"/>
  <c r="T874" i="1"/>
  <c r="T724" i="1"/>
  <c r="T963" i="1"/>
  <c r="T983" i="1"/>
  <c r="T869" i="1"/>
  <c r="T725" i="1"/>
  <c r="T959" i="1"/>
  <c r="T772" i="1"/>
  <c r="T853" i="1"/>
  <c r="T887" i="1"/>
  <c r="T819" i="1"/>
  <c r="T984" i="1"/>
  <c r="T760" i="1"/>
  <c r="T912" i="1"/>
  <c r="T958" i="1"/>
  <c r="T689" i="1"/>
  <c r="T765" i="1"/>
  <c r="T883" i="1"/>
  <c r="T734" i="1"/>
  <c r="T785" i="1"/>
  <c r="T742" i="1"/>
  <c r="T930" i="1"/>
  <c r="T802" i="1"/>
  <c r="T800" i="1"/>
  <c r="T712" i="1"/>
  <c r="T709" i="1"/>
  <c r="T957" i="1"/>
  <c r="T788" i="1"/>
  <c r="T850" i="1"/>
  <c r="T706" i="1"/>
  <c r="T748" i="1"/>
  <c r="T694" i="1"/>
  <c r="T935" i="1"/>
  <c r="T705" i="1"/>
  <c r="T755" i="1"/>
  <c r="T773" i="1"/>
  <c r="T934" i="1"/>
  <c r="T885" i="1"/>
  <c r="T780" i="1"/>
  <c r="T699" i="1"/>
  <c r="T955" i="1"/>
  <c r="T794" i="1"/>
  <c r="T925" i="1"/>
  <c r="T879" i="1"/>
  <c r="T756" i="1"/>
  <c r="T762" i="1"/>
  <c r="T840" i="1"/>
  <c r="T877" i="1"/>
  <c r="T795" i="1"/>
  <c r="T766" i="1"/>
  <c r="T838" i="1"/>
  <c r="T927" i="1"/>
  <c r="T782" i="1"/>
  <c r="T793" i="1"/>
  <c r="T713" i="1"/>
  <c r="T697" i="1"/>
  <c r="T777" i="1"/>
  <c r="T776" i="1"/>
  <c r="T836" i="1"/>
  <c r="T701" i="1"/>
  <c r="T757" i="1"/>
  <c r="T988" i="1"/>
  <c r="T848" i="1"/>
  <c r="T875" i="1"/>
  <c r="T753" i="1"/>
  <c r="T700" i="1"/>
  <c r="T707" i="1"/>
  <c r="T873" i="1"/>
  <c r="T743" i="1"/>
  <c r="T986" i="1"/>
  <c r="T698" i="1"/>
  <c r="T703" i="1"/>
  <c r="T721" i="1"/>
  <c r="T995" i="1"/>
  <c r="T919" i="1"/>
  <c r="T914" i="1"/>
  <c r="T711" i="1"/>
  <c r="T990" i="1"/>
  <c r="T687" i="1"/>
  <c r="T696" i="1"/>
  <c r="T749" i="1"/>
  <c r="T710" i="1"/>
  <c r="T917" i="1"/>
  <c r="T702" i="1"/>
  <c r="T953" i="1"/>
  <c r="T987" i="1"/>
  <c r="T910" i="1"/>
  <c r="T722" i="1"/>
  <c r="T950" i="1"/>
  <c r="T728" i="1"/>
  <c r="T686" i="1"/>
  <c r="T905" i="1"/>
  <c r="T715" i="1"/>
  <c r="T764" i="1"/>
  <c r="T904" i="1"/>
  <c r="T868" i="1"/>
  <c r="T746" i="1"/>
  <c r="T774" i="1"/>
  <c r="T854" i="1"/>
  <c r="T909" i="1"/>
  <c r="T740" i="1"/>
  <c r="T716" i="1"/>
  <c r="T668" i="1"/>
  <c r="T907" i="1"/>
  <c r="T954" i="1"/>
  <c r="T704" i="1"/>
  <c r="T837" i="1"/>
  <c r="T860" i="1"/>
  <c r="T769" i="1"/>
  <c r="T708" i="1"/>
  <c r="T835" i="1"/>
  <c r="T735" i="1"/>
  <c r="T784" i="1"/>
  <c r="T775" i="1"/>
  <c r="T908" i="1"/>
  <c r="T952" i="1"/>
  <c r="T714" i="1"/>
  <c r="T901" i="1"/>
  <c r="T864" i="1"/>
  <c r="T678" i="1"/>
  <c r="T862" i="1"/>
  <c r="T741" i="1"/>
  <c r="T693" i="1"/>
  <c r="T676" i="1"/>
  <c r="T726" i="1"/>
  <c r="T745" i="1"/>
  <c r="T781" i="1"/>
  <c r="T834" i="1"/>
  <c r="T918" i="1"/>
  <c r="T951" i="1"/>
  <c r="T789" i="1"/>
  <c r="T831" i="1"/>
  <c r="T723" i="1"/>
  <c r="T727" i="1"/>
  <c r="T985" i="1"/>
  <c r="T818" i="1"/>
  <c r="T916" i="1"/>
  <c r="T948" i="1"/>
  <c r="T691" i="1"/>
  <c r="T832" i="1"/>
  <c r="T915" i="1"/>
  <c r="T792" i="1"/>
  <c r="T778" i="1"/>
  <c r="T1162" i="1"/>
  <c r="T1186" i="1"/>
  <c r="T1063" i="1"/>
  <c r="T1045" i="1"/>
  <c r="T1237" i="1"/>
  <c r="T1190" i="1"/>
  <c r="T1062" i="1"/>
  <c r="T1041" i="1"/>
  <c r="T1235" i="1"/>
  <c r="T1244" i="1"/>
  <c r="T1263" i="1"/>
  <c r="T1113" i="1"/>
  <c r="T1142" i="1"/>
  <c r="T1076" i="1"/>
  <c r="T1106" i="1"/>
  <c r="T1320" i="1"/>
  <c r="T1236" i="1"/>
  <c r="T1189" i="1"/>
  <c r="T1081" i="1"/>
  <c r="T1319" i="1"/>
  <c r="T1040" i="1"/>
  <c r="T1245" i="1"/>
  <c r="T1085" i="1"/>
  <c r="T1326" i="1"/>
  <c r="T1233" i="1"/>
  <c r="T1073" i="1"/>
  <c r="T1091" i="1"/>
  <c r="T1330" i="1"/>
  <c r="T1238" i="1"/>
  <c r="T1071" i="1"/>
  <c r="T1083" i="1"/>
  <c r="T1117" i="1"/>
  <c r="T1036" i="1"/>
  <c r="T1249" i="1"/>
  <c r="T1097" i="1"/>
  <c r="T1318" i="1"/>
  <c r="T1153" i="1"/>
  <c r="T1188" i="1"/>
  <c r="T1100" i="1"/>
  <c r="T1037" i="1"/>
  <c r="T1234" i="1"/>
  <c r="T1191" i="1"/>
  <c r="T1265" i="1"/>
  <c r="T1161" i="1"/>
  <c r="T1170" i="1"/>
  <c r="T1089" i="1"/>
  <c r="T1273" i="1"/>
  <c r="T1333" i="1"/>
  <c r="T1248" i="1"/>
  <c r="T1029" i="1"/>
  <c r="T1035" i="1"/>
  <c r="T1247" i="1"/>
  <c r="T1145" i="1"/>
  <c r="T1094" i="1"/>
  <c r="T1088" i="1"/>
  <c r="T1321" i="1"/>
  <c r="T1140" i="1"/>
  <c r="T1099" i="1"/>
  <c r="T1069" i="1"/>
  <c r="T1173" i="1"/>
  <c r="T1034" i="1"/>
  <c r="T1253" i="1"/>
  <c r="T1271" i="1"/>
  <c r="T1014" i="1"/>
  <c r="T1144" i="1"/>
  <c r="T1192" i="1"/>
  <c r="T1262" i="1"/>
  <c r="T1328" i="1"/>
  <c r="T1230" i="1"/>
  <c r="T1252" i="1"/>
  <c r="T1256" i="1"/>
  <c r="T1169" i="1"/>
  <c r="T1149" i="1"/>
  <c r="T1193" i="1"/>
  <c r="T1258" i="1"/>
  <c r="T1010" i="1"/>
  <c r="T1019" i="1"/>
  <c r="T1254" i="1"/>
  <c r="T1060" i="1"/>
  <c r="T1006" i="1"/>
  <c r="T1118" i="1"/>
  <c r="T1251" i="1"/>
  <c r="T1272" i="1"/>
  <c r="T1164" i="1"/>
  <c r="T1112" i="1"/>
  <c r="T1257" i="1"/>
  <c r="T1078" i="1"/>
  <c r="T1325" i="1"/>
  <c r="T1026" i="1"/>
  <c r="T1261" i="1"/>
  <c r="T1059" i="1"/>
  <c r="T1174" i="1"/>
  <c r="T1226" i="1"/>
  <c r="T1204" i="1"/>
  <c r="T1259" i="1"/>
  <c r="T1179" i="1"/>
  <c r="T1229" i="1"/>
  <c r="T1110" i="1"/>
  <c r="T1082" i="1"/>
  <c r="T1002" i="1"/>
  <c r="T1232" i="1"/>
  <c r="T1210" i="1"/>
  <c r="T1074" i="1"/>
  <c r="T1001" i="1"/>
  <c r="T1223" i="1"/>
  <c r="T1270" i="1"/>
  <c r="T1267" i="1"/>
  <c r="T1171" i="1"/>
  <c r="T1231" i="1"/>
  <c r="T1138" i="1"/>
  <c r="T1072" i="1"/>
  <c r="T1180" i="1"/>
  <c r="T1102" i="1"/>
  <c r="T1154" i="1"/>
  <c r="T1260" i="1"/>
  <c r="T1314" i="1"/>
  <c r="T1228" i="1"/>
  <c r="T1286" i="1"/>
  <c r="T1064" i="1"/>
  <c r="T1003" i="1"/>
  <c r="T1218" i="1"/>
  <c r="T1222" i="1"/>
  <c r="T1066" i="1"/>
  <c r="T1007" i="1"/>
  <c r="T1268" i="1"/>
  <c r="T1009" i="1"/>
  <c r="T1098" i="1"/>
  <c r="T1219" i="1"/>
  <c r="T1068" i="1"/>
  <c r="T1025" i="1"/>
  <c r="T1137" i="1"/>
  <c r="T1276" i="1"/>
  <c r="T1176" i="1"/>
  <c r="T1221" i="1"/>
  <c r="T1216" i="1"/>
  <c r="T1070" i="1"/>
  <c r="T1177" i="1"/>
  <c r="T1224" i="1"/>
  <c r="T1227" i="1"/>
  <c r="T1067" i="1"/>
  <c r="T1141" i="1"/>
  <c r="T1020" i="1"/>
  <c r="T1225" i="1"/>
  <c r="T1065" i="1"/>
  <c r="T1130" i="1"/>
  <c r="T1024" i="1"/>
  <c r="T1293" i="1"/>
  <c r="T1090" i="1"/>
  <c r="T1101" i="1"/>
  <c r="T1121" i="1"/>
  <c r="T1239" i="1"/>
  <c r="T1096" i="1"/>
  <c r="T1092" i="1"/>
  <c r="T1125" i="1"/>
  <c r="T1151" i="1"/>
  <c r="T1058" i="1"/>
  <c r="T1315" i="1"/>
  <c r="T1146" i="1"/>
  <c r="T1241" i="1"/>
  <c r="T1119" i="1"/>
  <c r="T1331" i="1"/>
  <c r="T1128" i="1"/>
  <c r="T1157" i="1"/>
  <c r="T1057" i="1"/>
  <c r="T1011" i="1"/>
  <c r="T1027" i="1"/>
  <c r="T1181" i="1"/>
  <c r="T1056" i="1"/>
  <c r="T1327" i="1"/>
  <c r="T1152" i="1"/>
  <c r="T1182" i="1"/>
  <c r="T1051" i="1"/>
  <c r="T1086" i="1"/>
  <c r="T1132" i="1"/>
  <c r="T1243" i="1"/>
  <c r="T1274" i="1"/>
  <c r="T1323" i="1"/>
  <c r="T1126" i="1"/>
  <c r="T1294" i="1"/>
  <c r="T1053" i="1"/>
  <c r="T1079" i="1"/>
  <c r="T1212" i="1"/>
  <c r="T1246" i="1"/>
  <c r="T1269" i="1"/>
  <c r="T1077" i="1"/>
  <c r="T1213" i="1"/>
  <c r="T1255" i="1"/>
  <c r="T1047" i="1"/>
  <c r="T1015" i="1"/>
  <c r="T1018" i="1"/>
  <c r="T1301" i="1"/>
  <c r="T1275" i="1"/>
  <c r="T1075" i="1"/>
  <c r="T1017" i="1"/>
  <c r="T1302" i="1"/>
  <c r="T1122" i="1"/>
  <c r="T1335" i="1"/>
  <c r="T1131" i="1"/>
  <c r="T1183" i="1"/>
  <c r="T1289" i="1"/>
  <c r="T1338" i="1"/>
  <c r="T1139" i="1"/>
  <c r="T1184" i="1"/>
  <c r="T1281" i="1"/>
  <c r="T1339" i="1"/>
  <c r="T1016" i="1"/>
  <c r="T1277" i="1"/>
  <c r="T1166" i="1"/>
  <c r="T1185" i="1"/>
  <c r="T1135" i="1"/>
  <c r="T1340" i="1"/>
  <c r="T1214" i="1"/>
  <c r="T1303" i="1"/>
  <c r="T1148" i="1"/>
  <c r="T1080" i="1"/>
  <c r="T1136" i="1"/>
  <c r="T1187" i="1"/>
  <c r="T1044" i="1"/>
  <c r="T1087" i="1"/>
  <c r="T1107" i="1"/>
  <c r="T1307" i="1"/>
  <c r="T1042" i="1"/>
  <c r="T1341" i="1"/>
  <c r="T1202" i="1"/>
  <c r="T1306" i="1"/>
  <c r="T1147" i="1"/>
  <c r="T1334" i="1"/>
  <c r="T1022" i="1"/>
  <c r="T1194" i="1"/>
  <c r="T1291" i="1"/>
  <c r="T1061" i="1"/>
  <c r="T1030" i="1"/>
  <c r="T1266" i="1"/>
  <c r="T1150" i="1"/>
  <c r="T1332" i="1"/>
  <c r="T1208" i="1"/>
  <c r="T1311" i="1"/>
  <c r="T1299" i="1"/>
  <c r="T1084" i="1"/>
  <c r="T1115" i="1"/>
  <c r="T1198" i="1"/>
  <c r="T1167" i="1"/>
  <c r="T1322" i="1"/>
  <c r="T1201" i="1"/>
  <c r="T1200" i="1"/>
  <c r="T1043" i="1"/>
  <c r="T1336" i="1"/>
  <c r="T1105" i="1"/>
  <c r="T1211" i="1"/>
  <c r="T1298" i="1"/>
  <c r="T1013" i="1"/>
  <c r="T1124" i="1"/>
  <c r="T1264" i="1"/>
  <c r="T1048" i="1"/>
  <c r="T1337" i="1"/>
  <c r="T1205" i="1"/>
  <c r="T1312" i="1"/>
  <c r="T1178" i="1"/>
  <c r="T1012" i="1"/>
  <c r="T1021" i="1"/>
  <c r="T1310" i="1"/>
  <c r="T1163" i="1"/>
  <c r="T1008" i="1"/>
  <c r="T1196" i="1"/>
  <c r="T1278" i="1"/>
  <c r="T1049" i="1"/>
  <c r="T1114" i="1"/>
  <c r="T1023" i="1"/>
  <c r="T1215" i="1"/>
  <c r="T1296" i="1"/>
  <c r="T1116" i="1"/>
  <c r="T1028" i="1"/>
  <c r="T1305" i="1"/>
  <c r="T1172" i="1"/>
  <c r="T1123" i="1"/>
  <c r="T1108" i="1"/>
  <c r="T1292" i="1"/>
  <c r="T1050" i="1"/>
  <c r="T1111" i="1"/>
  <c r="T1217" i="1"/>
  <c r="T1195" i="1"/>
  <c r="T1220" i="1"/>
  <c r="T1004" i="1"/>
  <c r="T1199" i="1"/>
  <c r="T1295" i="1"/>
  <c r="T1280" i="1"/>
  <c r="T1129" i="1"/>
  <c r="T1031" i="1"/>
  <c r="T1288" i="1"/>
  <c r="T1279" i="1"/>
  <c r="T1133" i="1"/>
  <c r="T1033" i="1"/>
  <c r="T1240" i="1"/>
  <c r="T1046" i="1"/>
  <c r="T1329" i="1"/>
  <c r="T1197" i="1"/>
  <c r="T1300" i="1"/>
  <c r="T1155" i="1"/>
  <c r="T1316" i="1"/>
  <c r="T1038" i="1"/>
  <c r="T1242" i="1"/>
  <c r="T1052" i="1"/>
  <c r="T1095" i="1"/>
  <c r="T1203" i="1"/>
  <c r="T1309" i="1"/>
  <c r="T1158" i="1"/>
  <c r="T1093" i="1"/>
  <c r="T1103" i="1"/>
  <c r="T1304" i="1"/>
  <c r="T1168" i="1"/>
  <c r="T1005" i="1"/>
  <c r="T1039" i="1"/>
  <c r="T1290" i="1"/>
  <c r="T1284" i="1"/>
  <c r="T1120" i="1"/>
  <c r="T1104" i="1"/>
  <c r="T1287" i="1"/>
  <c r="T1054" i="1"/>
  <c r="T1317" i="1"/>
  <c r="T1109" i="1"/>
  <c r="T1250" i="1"/>
  <c r="T1282" i="1"/>
  <c r="T1127" i="1"/>
  <c r="T1134" i="1"/>
  <c r="T1283" i="1"/>
  <c r="T1055" i="1"/>
  <c r="T1324" i="1"/>
  <c r="T1032" i="1"/>
  <c r="T1308" i="1"/>
  <c r="T1160" i="1"/>
  <c r="T1156" i="1"/>
  <c r="T1209" i="1"/>
  <c r="T1297" i="1"/>
  <c r="T1143" i="1"/>
  <c r="T1000" i="1"/>
  <c r="T1207" i="1"/>
  <c r="T1285" i="1"/>
  <c r="T1175" i="1"/>
  <c r="T1165" i="1"/>
  <c r="T1206" i="1"/>
  <c r="T1313" i="1"/>
  <c r="T1159" i="1"/>
  <c r="T999" i="1"/>
  <c r="T1534" i="1"/>
  <c r="T1568" i="1"/>
  <c r="T1562" i="1"/>
  <c r="T1356" i="1"/>
  <c r="T1465" i="1"/>
  <c r="T1587" i="1"/>
  <c r="T1477" i="1"/>
  <c r="T1612" i="1"/>
  <c r="T1464" i="1"/>
  <c r="T1542" i="1"/>
  <c r="T1478" i="1"/>
  <c r="T1611" i="1"/>
  <c r="T1532" i="1"/>
  <c r="T1590" i="1"/>
  <c r="T1462" i="1"/>
  <c r="T1429" i="1"/>
  <c r="T1406" i="1"/>
  <c r="T1567" i="1"/>
  <c r="T1423" i="1"/>
  <c r="T1616" i="1"/>
  <c r="T1452" i="1"/>
  <c r="T1553" i="1"/>
  <c r="T1488" i="1"/>
  <c r="T1357" i="1"/>
  <c r="T1408" i="1"/>
  <c r="T1566" i="1"/>
  <c r="T1491" i="1"/>
  <c r="T1482" i="1"/>
  <c r="T1413" i="1"/>
  <c r="T1561" i="1"/>
  <c r="T1432" i="1"/>
  <c r="T1466" i="1"/>
  <c r="T1412" i="1"/>
  <c r="T1592" i="1"/>
  <c r="T1489" i="1"/>
  <c r="T1468" i="1"/>
  <c r="T1472" i="1"/>
  <c r="T1593" i="1"/>
  <c r="T1559" i="1"/>
  <c r="T1625" i="1"/>
  <c r="T1418" i="1"/>
  <c r="T1558" i="1"/>
  <c r="T1483" i="1"/>
  <c r="T1471" i="1"/>
  <c r="T1419" i="1"/>
  <c r="T1557" i="1"/>
  <c r="T1431" i="1"/>
  <c r="T1623" i="1"/>
  <c r="T1470" i="1"/>
  <c r="T1571" i="1"/>
  <c r="T1428" i="1"/>
  <c r="T1352" i="1"/>
  <c r="T1454" i="1"/>
  <c r="T1554" i="1"/>
  <c r="T1560" i="1"/>
  <c r="T1343" i="1"/>
  <c r="T1416" i="1"/>
  <c r="T1572" i="1"/>
  <c r="T1434" i="1"/>
  <c r="T1344" i="1"/>
  <c r="T1535" i="1"/>
  <c r="T1569" i="1"/>
  <c r="T1563" i="1"/>
  <c r="T1346" i="1"/>
  <c r="T1411" i="1"/>
  <c r="T1595" i="1"/>
  <c r="T1564" i="1"/>
  <c r="T1481" i="1"/>
  <c r="T1531" i="1"/>
  <c r="T1565" i="1"/>
  <c r="T1474" i="1"/>
  <c r="T1624" i="1"/>
  <c r="T1461" i="1"/>
  <c r="T1580" i="1"/>
  <c r="T1490" i="1"/>
  <c r="T1350" i="1"/>
  <c r="T1400" i="1"/>
  <c r="T1597" i="1"/>
  <c r="T1556" i="1"/>
  <c r="T1484" i="1"/>
  <c r="T1453" i="1"/>
  <c r="T1603" i="1"/>
  <c r="T1435" i="1"/>
  <c r="T1353" i="1"/>
  <c r="T1533" i="1"/>
  <c r="T1570" i="1"/>
  <c r="T1500" i="1"/>
  <c r="T1630" i="1"/>
  <c r="T1529" i="1"/>
  <c r="T1607" i="1"/>
  <c r="T1497" i="1"/>
  <c r="T1634" i="1"/>
  <c r="T1581" i="1"/>
  <c r="T1496" i="1"/>
  <c r="T1485" i="1"/>
  <c r="T1398" i="1"/>
  <c r="T1574" i="1"/>
  <c r="T1552" i="1"/>
  <c r="T1476" i="1"/>
  <c r="T1519" i="1"/>
  <c r="T1606" i="1"/>
  <c r="T1550" i="1"/>
  <c r="T1347" i="1"/>
  <c r="T1399" i="1"/>
  <c r="T1583" i="1"/>
  <c r="T1426" i="1"/>
  <c r="T1631" i="1"/>
  <c r="T1390" i="1"/>
  <c r="T1579" i="1"/>
  <c r="T1498" i="1"/>
  <c r="T1342" i="1"/>
  <c r="T1446" i="1"/>
  <c r="T1573" i="1"/>
  <c r="T1424" i="1"/>
  <c r="T1643" i="1"/>
  <c r="T1384" i="1"/>
  <c r="T1609" i="1"/>
  <c r="T1430" i="1"/>
  <c r="T1345" i="1"/>
  <c r="T1385" i="1"/>
  <c r="T1601" i="1"/>
  <c r="T1422" i="1"/>
  <c r="T1475" i="1"/>
  <c r="T1520" i="1"/>
  <c r="T1575" i="1"/>
  <c r="T1502" i="1"/>
  <c r="T1632" i="1"/>
  <c r="T1444" i="1"/>
  <c r="T1608" i="1"/>
  <c r="T1504" i="1"/>
  <c r="T1642" i="1"/>
  <c r="T1443" i="1"/>
  <c r="T1605" i="1"/>
  <c r="T1420" i="1"/>
  <c r="T1479" i="1"/>
  <c r="T1524" i="1"/>
  <c r="T1604" i="1"/>
  <c r="T1494" i="1"/>
  <c r="T1641" i="1"/>
  <c r="T1445" i="1"/>
  <c r="T1613" i="1"/>
  <c r="T1503" i="1"/>
  <c r="T1463" i="1"/>
  <c r="T1523" i="1"/>
  <c r="T1610" i="1"/>
  <c r="T1417" i="1"/>
  <c r="T1469" i="1"/>
  <c r="T1530" i="1"/>
  <c r="T1577" i="1"/>
  <c r="T1547" i="1"/>
  <c r="T1640" i="1"/>
  <c r="T1440" i="1"/>
  <c r="T1578" i="1"/>
  <c r="T1415" i="1"/>
  <c r="T1455" i="1"/>
  <c r="T1388" i="1"/>
  <c r="T1615" i="1"/>
  <c r="T1548" i="1"/>
  <c r="T1348" i="1"/>
  <c r="T1439" i="1"/>
  <c r="T1588" i="1"/>
  <c r="T1501" i="1"/>
  <c r="T1639" i="1"/>
  <c r="T1526" i="1"/>
  <c r="T1626" i="1"/>
  <c r="T1555" i="1"/>
  <c r="T1635" i="1"/>
  <c r="T1383" i="1"/>
  <c r="T1628" i="1"/>
  <c r="T1442" i="1"/>
  <c r="T1576" i="1"/>
  <c r="T1505" i="1"/>
  <c r="T1638" i="1"/>
  <c r="T1379" i="1"/>
  <c r="T1600" i="1"/>
  <c r="T1507" i="1"/>
  <c r="T1448" i="1"/>
  <c r="T1438" i="1"/>
  <c r="T1617" i="1"/>
  <c r="T1551" i="1"/>
  <c r="T1355" i="1"/>
  <c r="T1527" i="1"/>
  <c r="T1629" i="1"/>
  <c r="T1508" i="1"/>
  <c r="T1637" i="1"/>
  <c r="T1368" i="1"/>
  <c r="T1619" i="1"/>
  <c r="T1549" i="1"/>
  <c r="T1449" i="1"/>
  <c r="T1366" i="1"/>
  <c r="T1651" i="1"/>
  <c r="T1506" i="1"/>
  <c r="T1458" i="1"/>
  <c r="T1528" i="1"/>
  <c r="T1644" i="1"/>
  <c r="T1546" i="1"/>
  <c r="T1645" i="1"/>
  <c r="T1522" i="1"/>
  <c r="T1622" i="1"/>
  <c r="T1414" i="1"/>
  <c r="T1450" i="1"/>
  <c r="T1389" i="1"/>
  <c r="T1582" i="1"/>
  <c r="T1511" i="1"/>
  <c r="T1648" i="1"/>
  <c r="T1525" i="1"/>
  <c r="T1659" i="1"/>
  <c r="T1495" i="1"/>
  <c r="T1647" i="1"/>
  <c r="T1521" i="1"/>
  <c r="T1586" i="1"/>
  <c r="T1544" i="1"/>
  <c r="T1650" i="1"/>
  <c r="T1518" i="1"/>
  <c r="T1668" i="1"/>
  <c r="T1492" i="1"/>
  <c r="T1656" i="1"/>
  <c r="T1441" i="1"/>
  <c r="T1614" i="1"/>
  <c r="T1541" i="1"/>
  <c r="T1349" i="1"/>
  <c r="T1367" i="1"/>
  <c r="T1618" i="1"/>
  <c r="T1410" i="1"/>
  <c r="T1351" i="1"/>
  <c r="T1391" i="1"/>
  <c r="T1621" i="1"/>
  <c r="T1543" i="1"/>
  <c r="T1447" i="1"/>
  <c r="T1386" i="1"/>
  <c r="T1620" i="1"/>
  <c r="T1409" i="1"/>
  <c r="T1655" i="1"/>
  <c r="T1381" i="1"/>
  <c r="T1627" i="1"/>
  <c r="T1405" i="1"/>
  <c r="T1358" i="1"/>
  <c r="T1517" i="1"/>
  <c r="T1633" i="1"/>
  <c r="T1407" i="1"/>
  <c r="T1362" i="1"/>
  <c r="T1373" i="1"/>
  <c r="T1667" i="1"/>
  <c r="T1649" i="1"/>
  <c r="T1536" i="1"/>
  <c r="T1516" i="1"/>
  <c r="T1585" i="1"/>
  <c r="T1499" i="1"/>
  <c r="T1657" i="1"/>
  <c r="T1436" i="1"/>
  <c r="T1584" i="1"/>
  <c r="T1493" i="1"/>
  <c r="T1658" i="1"/>
  <c r="T1437" i="1"/>
  <c r="T1591" i="1"/>
  <c r="T1538" i="1"/>
  <c r="T1457" i="1"/>
  <c r="T1433" i="1"/>
  <c r="T1589" i="1"/>
  <c r="T1404" i="1"/>
  <c r="T1370" i="1"/>
  <c r="T1375" i="1"/>
  <c r="T1666" i="1"/>
  <c r="T1403" i="1"/>
  <c r="T1382" i="1"/>
  <c r="T1380" i="1"/>
  <c r="T1654" i="1"/>
  <c r="T1537" i="1"/>
  <c r="T1663" i="1"/>
  <c r="T1369" i="1"/>
  <c r="T1646" i="1"/>
  <c r="T1402" i="1"/>
  <c r="T1660" i="1"/>
  <c r="T1376" i="1"/>
  <c r="T1669" i="1"/>
  <c r="T1487" i="1"/>
  <c r="T1372" i="1"/>
  <c r="T1374" i="1"/>
  <c r="T1598" i="1"/>
  <c r="T1486" i="1"/>
  <c r="T1664" i="1"/>
  <c r="T1515" i="1"/>
  <c r="T1594" i="1"/>
  <c r="T1473" i="1"/>
  <c r="T1387" i="1"/>
  <c r="T1421" i="1"/>
  <c r="T1636" i="1"/>
  <c r="T1401" i="1"/>
  <c r="T1662" i="1"/>
  <c r="T1512" i="1"/>
  <c r="T1599" i="1"/>
  <c r="T1396" i="1"/>
  <c r="T1377" i="1"/>
  <c r="T1363" i="1"/>
  <c r="T1670" i="1"/>
  <c r="T1392" i="1"/>
  <c r="T1378" i="1"/>
  <c r="T1425" i="1"/>
  <c r="T1671" i="1"/>
  <c r="T1393" i="1"/>
  <c r="T1371" i="1"/>
  <c r="T1514" i="1"/>
  <c r="T1652" i="1"/>
  <c r="T1539" i="1"/>
  <c r="T1365" i="1"/>
  <c r="T1513" i="1"/>
  <c r="T1602" i="1"/>
  <c r="T1467" i="1"/>
  <c r="T1661" i="1"/>
  <c r="T1364" i="1"/>
  <c r="T1653" i="1"/>
  <c r="T1394" i="1"/>
  <c r="T1451" i="1"/>
  <c r="T1510" i="1"/>
  <c r="T1673" i="1"/>
  <c r="T1395" i="1"/>
  <c r="T1359" i="1"/>
  <c r="T1360" i="1"/>
  <c r="T1540" i="1"/>
  <c r="T1456" i="1"/>
  <c r="T1460" i="1"/>
  <c r="T1354" i="1"/>
  <c r="T1672" i="1"/>
  <c r="T1397" i="1"/>
  <c r="T1665" i="1"/>
  <c r="T1509" i="1"/>
  <c r="T1596" i="1"/>
  <c r="T1480" i="1"/>
  <c r="T1459" i="1"/>
  <c r="T1427" i="1"/>
  <c r="T1674" i="1"/>
  <c r="T1545" i="1"/>
  <c r="T1361" i="1"/>
  <c r="T1728" i="1"/>
  <c r="T1893" i="1"/>
  <c r="T1828" i="1"/>
  <c r="T1731" i="1"/>
  <c r="T1726" i="1"/>
  <c r="T1894" i="1"/>
  <c r="T1758" i="1"/>
  <c r="T1818" i="1"/>
  <c r="T1769" i="1"/>
  <c r="T1925" i="1"/>
  <c r="T1871" i="1"/>
  <c r="T1817" i="1"/>
  <c r="T1717" i="1"/>
  <c r="T1895" i="1"/>
  <c r="T1753" i="1"/>
  <c r="T1930" i="1"/>
  <c r="T1705" i="1"/>
  <c r="T1937" i="1"/>
  <c r="T1813" i="1"/>
  <c r="T1928" i="1"/>
  <c r="T1722" i="1"/>
  <c r="T1896" i="1"/>
  <c r="T1757" i="1"/>
  <c r="T1826" i="1"/>
  <c r="T1864" i="1"/>
  <c r="T1962" i="1"/>
  <c r="T1808" i="1"/>
  <c r="T1924" i="1"/>
  <c r="T1721" i="1"/>
  <c r="T1929" i="1"/>
  <c r="T1754" i="1"/>
  <c r="T1834" i="1"/>
  <c r="T1713" i="1"/>
  <c r="T1935" i="1"/>
  <c r="T1756" i="1"/>
  <c r="T1830" i="1"/>
  <c r="T1865" i="1"/>
  <c r="T1936" i="1"/>
  <c r="T1806" i="1"/>
  <c r="T1729" i="1"/>
  <c r="T1723" i="1"/>
  <c r="T1897" i="1"/>
  <c r="T1759" i="1"/>
  <c r="T1922" i="1"/>
  <c r="T1867" i="1"/>
  <c r="T1976" i="1"/>
  <c r="T1810" i="1"/>
  <c r="T1730" i="1"/>
  <c r="T1772" i="1"/>
  <c r="T2" i="1"/>
  <c r="T1877" i="1"/>
  <c r="T1727" i="1"/>
  <c r="T1768" i="1"/>
  <c r="T1983" i="1"/>
  <c r="T1762" i="1"/>
  <c r="T1918" i="1"/>
  <c r="T1776" i="1"/>
  <c r="T1939" i="1"/>
  <c r="T1815" i="1"/>
  <c r="T1838" i="1"/>
  <c r="T1979" i="1"/>
  <c r="T1883" i="1"/>
  <c r="T1921" i="1"/>
  <c r="T1795" i="1"/>
  <c r="T1938" i="1"/>
  <c r="T1873" i="1"/>
  <c r="T1927" i="1"/>
  <c r="T1714" i="1"/>
  <c r="T1910" i="1"/>
  <c r="T1761" i="1"/>
  <c r="T1716" i="1"/>
  <c r="T1707" i="1"/>
  <c r="T1984" i="1"/>
  <c r="T1825" i="1"/>
  <c r="T1720" i="1"/>
  <c r="T1866" i="1"/>
  <c r="T1913" i="1"/>
  <c r="T1831" i="1"/>
  <c r="T1933" i="1"/>
  <c r="T1710" i="1"/>
  <c r="T1985" i="1"/>
  <c r="T1887" i="1"/>
  <c r="T1931" i="1"/>
  <c r="T1712" i="1"/>
  <c r="T1940" i="1"/>
  <c r="T1833" i="1"/>
  <c r="T1701" i="1"/>
  <c r="T1787" i="1"/>
  <c r="T1986" i="1"/>
  <c r="T1835" i="1"/>
  <c r="T1926" i="1"/>
  <c r="T1783" i="1"/>
  <c r="T1975" i="1"/>
  <c r="T1820" i="1"/>
  <c r="T1708" i="1"/>
  <c r="T1862" i="1"/>
  <c r="T1942" i="1"/>
  <c r="T1881" i="1"/>
  <c r="T1823" i="1"/>
  <c r="T1854" i="1"/>
  <c r="T1919" i="1"/>
  <c r="T1819" i="1"/>
  <c r="T1719" i="1"/>
  <c r="T1843" i="1"/>
  <c r="T1923" i="1"/>
  <c r="T1880" i="1"/>
  <c r="T1704" i="1"/>
  <c r="T1709" i="1"/>
  <c r="T1917" i="1"/>
  <c r="T1814" i="1"/>
  <c r="T1703" i="1"/>
  <c r="T1718" i="1"/>
  <c r="T1987" i="1"/>
  <c r="T1760" i="1"/>
  <c r="T1829" i="1"/>
  <c r="T1711" i="1"/>
  <c r="T1988" i="1"/>
  <c r="T1870" i="1"/>
  <c r="T1724" i="1"/>
  <c r="T1700" i="1"/>
  <c r="T1949" i="1"/>
  <c r="T1869" i="1"/>
  <c r="T1715" i="1"/>
  <c r="T1790" i="1"/>
  <c r="T1912" i="1"/>
  <c r="T1755" i="1"/>
  <c r="T1920" i="1"/>
  <c r="T1698" i="1"/>
  <c r="T1947" i="1"/>
  <c r="T1751" i="1"/>
  <c r="T1702" i="1"/>
  <c r="T1858" i="1"/>
  <c r="T1932" i="1"/>
  <c r="T1874" i="1"/>
  <c r="T1824" i="1"/>
  <c r="T1811" i="1"/>
  <c r="T1786" i="1"/>
  <c r="T1989" i="1"/>
  <c r="T1782" i="1"/>
  <c r="T1934" i="1"/>
  <c r="T1750" i="1"/>
  <c r="T1914" i="1"/>
  <c r="T1855" i="1"/>
  <c r="T1943" i="1"/>
  <c r="T1749" i="1"/>
  <c r="T1832" i="1"/>
  <c r="T1784" i="1"/>
  <c r="T1941" i="1"/>
  <c r="T1746" i="1"/>
  <c r="T1907" i="1"/>
  <c r="T1860" i="1"/>
  <c r="T1945" i="1"/>
  <c r="T1868" i="1"/>
  <c r="T1906" i="1"/>
  <c r="T1690" i="1"/>
  <c r="T1990" i="1"/>
  <c r="T1812" i="1"/>
  <c r="T1725" i="1"/>
  <c r="T1859" i="1"/>
  <c r="T1951" i="1"/>
  <c r="T1876" i="1"/>
  <c r="T1908" i="1"/>
  <c r="T1789" i="1"/>
  <c r="T1952" i="1"/>
  <c r="T1736" i="1"/>
  <c r="T1821" i="1"/>
  <c r="T1850" i="1"/>
  <c r="T1991" i="1"/>
  <c r="T1744" i="1"/>
  <c r="T1904" i="1"/>
  <c r="T1797" i="1"/>
  <c r="T1948" i="1"/>
  <c r="T1809" i="1"/>
  <c r="T1822" i="1"/>
  <c r="T1852" i="1"/>
  <c r="T1992" i="1"/>
  <c r="T1743" i="1"/>
  <c r="T1900" i="1"/>
  <c r="T1803" i="1"/>
  <c r="T1954" i="1"/>
  <c r="T1805" i="1"/>
  <c r="T1706" i="1"/>
  <c r="T1844" i="1"/>
  <c r="T1946" i="1"/>
  <c r="T1804" i="1"/>
  <c r="T1899" i="1"/>
  <c r="T1846" i="1"/>
  <c r="T1944" i="1"/>
  <c r="T1745" i="1"/>
  <c r="T1898" i="1"/>
  <c r="T1691" i="1"/>
  <c r="T1950" i="1"/>
  <c r="T1879" i="1"/>
  <c r="T1901" i="1"/>
  <c r="T1851" i="1"/>
  <c r="T1993" i="1"/>
  <c r="T1801" i="1"/>
  <c r="T1836" i="1"/>
  <c r="T1847" i="1"/>
  <c r="T1994" i="1"/>
  <c r="T1738" i="1"/>
  <c r="T1840" i="1"/>
  <c r="T1697" i="1"/>
  <c r="T1995" i="1"/>
  <c r="T1734" i="1"/>
  <c r="T1848" i="1"/>
  <c r="T1792" i="1"/>
  <c r="T1956" i="1"/>
  <c r="T1878" i="1"/>
  <c r="T1905" i="1"/>
  <c r="T1693" i="1"/>
  <c r="T1996" i="1"/>
  <c r="T1796" i="1"/>
  <c r="T1955" i="1"/>
  <c r="T1794" i="1"/>
  <c r="T1903" i="1"/>
  <c r="T1849" i="1"/>
  <c r="T1997" i="1"/>
  <c r="T1740" i="1"/>
  <c r="T1699" i="1"/>
  <c r="T1781" i="1"/>
  <c r="T1982" i="1"/>
  <c r="T1739" i="1"/>
  <c r="T1853" i="1"/>
  <c r="T1780" i="1"/>
  <c r="T1959" i="1"/>
  <c r="T1748" i="1"/>
  <c r="T1694" i="1"/>
  <c r="T1856" i="1"/>
  <c r="T1953" i="1"/>
  <c r="T1798" i="1"/>
  <c r="T1841" i="1"/>
  <c r="T1778" i="1"/>
  <c r="T1965" i="1"/>
  <c r="T1888" i="1"/>
  <c r="T1837" i="1"/>
  <c r="T1779" i="1"/>
  <c r="T1977" i="1"/>
  <c r="T1885" i="1"/>
  <c r="T1687" i="1"/>
  <c r="T1696" i="1"/>
  <c r="T1966" i="1"/>
  <c r="T1752" i="1"/>
  <c r="T1685" i="1"/>
  <c r="T1771" i="1"/>
  <c r="T1972" i="1"/>
  <c r="T1889" i="1"/>
  <c r="T1839" i="1"/>
  <c r="T1774" i="1"/>
  <c r="T1967" i="1"/>
  <c r="T1890" i="1"/>
  <c r="T1684" i="1"/>
  <c r="T1861" i="1"/>
  <c r="T1973" i="1"/>
  <c r="T1886" i="1"/>
  <c r="T1827" i="1"/>
  <c r="T1785" i="1"/>
  <c r="T1968" i="1"/>
  <c r="T1747" i="1"/>
  <c r="T1816" i="1"/>
  <c r="T1863" i="1"/>
  <c r="T1980" i="1"/>
  <c r="T1875" i="1"/>
  <c r="T1807" i="1"/>
  <c r="T1695" i="1"/>
  <c r="T1961" i="1"/>
  <c r="T1884" i="1"/>
  <c r="T1802" i="1"/>
  <c r="T1689" i="1"/>
  <c r="T1960" i="1"/>
  <c r="T1872" i="1"/>
  <c r="T1682" i="1"/>
  <c r="T1692" i="1"/>
  <c r="T1974" i="1"/>
  <c r="T1882" i="1"/>
  <c r="T1681" i="1"/>
  <c r="T1791" i="1"/>
  <c r="T1958" i="1"/>
  <c r="T1788" i="1"/>
  <c r="T1902" i="1"/>
  <c r="T1686" i="1"/>
  <c r="T1978" i="1"/>
  <c r="T1737" i="1"/>
  <c r="T1911" i="1"/>
  <c r="T1770" i="1"/>
  <c r="T1998" i="1"/>
  <c r="T1892" i="1"/>
  <c r="T1683" i="1"/>
  <c r="T1688" i="1"/>
  <c r="T1999" i="1"/>
  <c r="T1793" i="1"/>
  <c r="T1741" i="1"/>
  <c r="T1680" i="1"/>
  <c r="T1971" i="1"/>
  <c r="T1742" i="1"/>
  <c r="T1909" i="1"/>
  <c r="T1765" i="1"/>
  <c r="T1969" i="1"/>
  <c r="T1891" i="1"/>
  <c r="T1676" i="1"/>
  <c r="T1857" i="1"/>
  <c r="T1963" i="1"/>
  <c r="T1773" i="1"/>
  <c r="T1916" i="1"/>
  <c r="T1845" i="1"/>
  <c r="T1970" i="1"/>
  <c r="T1777" i="1"/>
  <c r="T1799" i="1"/>
  <c r="T1678" i="1"/>
  <c r="T2000" i="1"/>
  <c r="T1735" i="1"/>
  <c r="T1675" i="1"/>
  <c r="T1766" i="1"/>
  <c r="T1981" i="1"/>
  <c r="T1733" i="1"/>
  <c r="T1679" i="1"/>
  <c r="T1764" i="1"/>
  <c r="T2001" i="1"/>
  <c r="T1767" i="1"/>
  <c r="T1800" i="1"/>
  <c r="T1763" i="1"/>
  <c r="T1964" i="1"/>
  <c r="T1775" i="1"/>
  <c r="T1915" i="1"/>
  <c r="T1842" i="1"/>
  <c r="T1957" i="1"/>
  <c r="T1732" i="1"/>
  <c r="T1677" i="1"/>
  <c r="D59" i="1"/>
  <c r="D193" i="1"/>
  <c r="D262" i="1"/>
  <c r="D330" i="1"/>
  <c r="D120" i="1"/>
  <c r="D169" i="1"/>
  <c r="D102" i="1"/>
  <c r="D322" i="1"/>
  <c r="D233" i="1"/>
  <c r="D188" i="1"/>
  <c r="D105" i="1"/>
  <c r="D32" i="1"/>
  <c r="D100" i="1"/>
  <c r="D229" i="1"/>
  <c r="D263" i="1"/>
  <c r="D319" i="1"/>
  <c r="D234" i="1"/>
  <c r="D223" i="1"/>
  <c r="D215" i="1"/>
  <c r="D323" i="1"/>
  <c r="D88" i="1"/>
  <c r="D189" i="1"/>
  <c r="D112" i="1"/>
  <c r="D29" i="1"/>
  <c r="D82" i="1"/>
  <c r="D222" i="1"/>
  <c r="D197" i="1"/>
  <c r="D47" i="1"/>
  <c r="D235" i="1"/>
  <c r="D219" i="1"/>
  <c r="D116" i="1"/>
  <c r="D14" i="1"/>
  <c r="D94" i="1"/>
  <c r="D220" i="1"/>
  <c r="D123" i="1"/>
  <c r="D67" i="1"/>
  <c r="D239" i="1"/>
  <c r="D293" i="1"/>
  <c r="D173" i="1"/>
  <c r="D66" i="1"/>
  <c r="D85" i="1"/>
  <c r="D294" i="1"/>
  <c r="D115" i="1"/>
  <c r="D6" i="1"/>
  <c r="D98" i="1"/>
  <c r="D203" i="1"/>
  <c r="D261" i="1"/>
  <c r="D324" i="1"/>
  <c r="D91" i="1"/>
  <c r="D199" i="1"/>
  <c r="D329" i="1"/>
  <c r="D108" i="1"/>
  <c r="D327" i="1"/>
  <c r="D113" i="1"/>
  <c r="D185" i="1"/>
  <c r="D121" i="1"/>
  <c r="D76" i="1"/>
  <c r="D243" i="1"/>
  <c r="D214" i="1"/>
  <c r="D178" i="1"/>
  <c r="D69" i="1"/>
  <c r="D134" i="1"/>
  <c r="D301" i="1"/>
  <c r="D266" i="1"/>
  <c r="D17" i="1"/>
  <c r="D107" i="1"/>
  <c r="D307" i="1"/>
  <c r="D172" i="1"/>
  <c r="D326" i="1"/>
  <c r="D238" i="1"/>
  <c r="D182" i="1"/>
  <c r="D136" i="1"/>
  <c r="D30" i="1"/>
  <c r="D245" i="1"/>
  <c r="D295" i="1"/>
  <c r="D279" i="1"/>
  <c r="D63" i="1"/>
  <c r="D97" i="1"/>
  <c r="D228" i="1"/>
  <c r="D111" i="1"/>
  <c r="D320" i="1"/>
  <c r="D248" i="1"/>
  <c r="D226" i="1"/>
  <c r="D96" i="1"/>
  <c r="D23" i="1"/>
  <c r="D255" i="1"/>
  <c r="D230" i="1"/>
  <c r="D104" i="1"/>
  <c r="D84" i="1"/>
  <c r="D242" i="1"/>
  <c r="D232" i="1"/>
  <c r="D268" i="1"/>
  <c r="D316" i="1"/>
  <c r="D142" i="1"/>
  <c r="D170" i="1"/>
  <c r="D276" i="1"/>
  <c r="D24" i="1"/>
  <c r="D114" i="1"/>
  <c r="D171" i="1"/>
  <c r="D269" i="1"/>
  <c r="D51" i="1"/>
  <c r="D140" i="1"/>
  <c r="D291" i="1"/>
  <c r="D110" i="1"/>
  <c r="D34" i="1"/>
  <c r="D146" i="1"/>
  <c r="D167" i="1"/>
  <c r="D93" i="1"/>
  <c r="D33" i="1"/>
  <c r="D153" i="1"/>
  <c r="D296" i="1"/>
  <c r="D81" i="1"/>
  <c r="D305" i="1"/>
  <c r="D138" i="1"/>
  <c r="D175" i="1"/>
  <c r="D70" i="1"/>
  <c r="D303" i="1"/>
  <c r="D236" i="1"/>
  <c r="D231" i="1"/>
  <c r="D176" i="1"/>
  <c r="D310" i="1"/>
  <c r="D247" i="1"/>
  <c r="D225" i="1"/>
  <c r="D86" i="1"/>
  <c r="D312" i="1"/>
  <c r="D224" i="1"/>
  <c r="D92" i="1"/>
  <c r="D311" i="1"/>
  <c r="D267" i="1"/>
  <c r="D118" i="1"/>
  <c r="D297" i="1"/>
  <c r="D64" i="1"/>
  <c r="D25" i="1"/>
  <c r="D149" i="1"/>
  <c r="D179" i="1"/>
  <c r="D57" i="1"/>
  <c r="D10" i="1"/>
  <c r="D249" i="1"/>
  <c r="D191" i="1"/>
  <c r="D278" i="1"/>
  <c r="D37" i="1"/>
  <c r="D257" i="1"/>
  <c r="D208" i="1"/>
  <c r="D58" i="1"/>
  <c r="D26" i="1"/>
  <c r="D139" i="1"/>
  <c r="D194" i="1"/>
  <c r="D192" i="1"/>
  <c r="D308" i="1"/>
  <c r="D133" i="1"/>
  <c r="D227" i="1"/>
  <c r="D46" i="1"/>
  <c r="D22" i="1"/>
  <c r="D250" i="1"/>
  <c r="D292" i="1"/>
  <c r="D196" i="1"/>
  <c r="D306" i="1"/>
  <c r="D129" i="1"/>
  <c r="D221" i="1"/>
  <c r="D201" i="1"/>
  <c r="D28" i="1"/>
  <c r="D128" i="1"/>
  <c r="D290" i="1"/>
  <c r="D40" i="1"/>
  <c r="D300" i="1"/>
  <c r="D135" i="1"/>
  <c r="D212" i="1"/>
  <c r="D45" i="1"/>
  <c r="D31" i="1"/>
  <c r="D106" i="1"/>
  <c r="D287" i="1"/>
  <c r="D211" i="1"/>
  <c r="D304" i="1"/>
  <c r="D95" i="1"/>
  <c r="D289" i="1"/>
  <c r="D50" i="1"/>
  <c r="D298" i="1"/>
  <c r="D241" i="1"/>
  <c r="D217" i="1"/>
  <c r="D42" i="1"/>
  <c r="D19" i="1"/>
  <c r="D237" i="1"/>
  <c r="D284" i="1"/>
  <c r="D41" i="1"/>
  <c r="D302" i="1"/>
  <c r="D99" i="1"/>
  <c r="D180" i="1"/>
  <c r="D209" i="1"/>
  <c r="D315" i="1"/>
  <c r="D83" i="1"/>
  <c r="D168" i="1"/>
  <c r="D36" i="1"/>
  <c r="D27" i="1"/>
  <c r="D77" i="1"/>
  <c r="D154" i="1"/>
  <c r="D216" i="1"/>
  <c r="D309" i="1"/>
  <c r="D127" i="1"/>
  <c r="D288" i="1"/>
  <c r="D205" i="1"/>
  <c r="D35" i="1"/>
  <c r="D131" i="1"/>
  <c r="D213" i="1"/>
  <c r="D272" i="1"/>
  <c r="D286" i="1"/>
  <c r="D39" i="1"/>
  <c r="D244" i="1"/>
  <c r="D204" i="1"/>
  <c r="D206" i="1"/>
  <c r="D16" i="1"/>
  <c r="D161" i="1"/>
  <c r="D198" i="1"/>
  <c r="D210" i="1"/>
  <c r="D44" i="1"/>
  <c r="D240" i="1"/>
  <c r="D150" i="1"/>
  <c r="D49" i="1"/>
  <c r="D325" i="1"/>
  <c r="D122" i="1"/>
  <c r="D181" i="1"/>
  <c r="D274" i="1"/>
  <c r="D9" i="1"/>
  <c r="D246" i="1"/>
  <c r="D144" i="1"/>
  <c r="D218" i="1"/>
  <c r="D7" i="1"/>
  <c r="D256" i="1"/>
  <c r="D183" i="1"/>
  <c r="D270" i="1"/>
  <c r="D4" i="1"/>
  <c r="D251" i="1"/>
  <c r="D285" i="1"/>
  <c r="D207" i="1"/>
  <c r="D317" i="1"/>
  <c r="D260" i="1"/>
  <c r="D186" i="1"/>
  <c r="D72" i="1"/>
  <c r="D3" i="1"/>
  <c r="D124" i="1"/>
  <c r="D151" i="1"/>
  <c r="D79" i="1"/>
  <c r="D313" i="1"/>
  <c r="D259" i="1"/>
  <c r="D145" i="1"/>
  <c r="D75" i="1"/>
  <c r="D8" i="1"/>
  <c r="D126" i="1"/>
  <c r="D184" i="1"/>
  <c r="D195" i="1"/>
  <c r="D53" i="1"/>
  <c r="D264" i="1"/>
  <c r="D160" i="1"/>
  <c r="D80" i="1"/>
  <c r="D12" i="1"/>
  <c r="D103" i="1"/>
  <c r="D152" i="1"/>
  <c r="D200" i="1"/>
  <c r="D52" i="1"/>
  <c r="D119" i="1"/>
  <c r="D166" i="1"/>
  <c r="D101" i="1"/>
  <c r="D318" i="1"/>
  <c r="D137" i="1"/>
  <c r="D158" i="1"/>
  <c r="D90" i="1"/>
  <c r="D328" i="1"/>
  <c r="D109" i="1"/>
  <c r="D159" i="1"/>
  <c r="D202" i="1"/>
  <c r="D321" i="1"/>
  <c r="D125" i="1"/>
  <c r="D164" i="1"/>
  <c r="D190" i="1"/>
  <c r="D18" i="1"/>
  <c r="D89" i="1"/>
  <c r="D156" i="1"/>
  <c r="D271" i="1"/>
  <c r="D20" i="1"/>
  <c r="D187" i="1"/>
  <c r="D275" i="1"/>
  <c r="D68" i="1"/>
  <c r="D148" i="1"/>
  <c r="D273" i="1"/>
  <c r="D21" i="1"/>
  <c r="D60" i="1"/>
  <c r="D157" i="1"/>
  <c r="D78" i="1"/>
  <c r="D13" i="1"/>
  <c r="D132" i="1"/>
  <c r="D282" i="1"/>
  <c r="D277" i="1"/>
  <c r="D61" i="1"/>
  <c r="D71" i="1"/>
  <c r="D283" i="1"/>
  <c r="D165" i="1"/>
  <c r="D74" i="1"/>
  <c r="D130" i="1"/>
  <c r="D155" i="1"/>
  <c r="D87" i="1"/>
  <c r="D62" i="1"/>
  <c r="D252" i="1"/>
  <c r="D174" i="1"/>
  <c r="D265" i="1"/>
  <c r="D54" i="1"/>
  <c r="D117" i="1"/>
  <c r="D147" i="1"/>
  <c r="D73" i="1"/>
  <c r="D5" i="1"/>
  <c r="D56" i="1"/>
  <c r="D281" i="1"/>
  <c r="D65" i="1"/>
  <c r="D314" i="1"/>
  <c r="D253" i="1"/>
  <c r="D163" i="1"/>
  <c r="D258" i="1"/>
  <c r="D15" i="1"/>
  <c r="D43" i="1"/>
  <c r="D143" i="1"/>
  <c r="D162" i="1"/>
  <c r="D11" i="1"/>
  <c r="D55" i="1"/>
  <c r="D177" i="1"/>
  <c r="D48" i="1"/>
  <c r="D299" i="1"/>
  <c r="D141" i="1"/>
  <c r="D280" i="1"/>
  <c r="D254" i="1"/>
  <c r="D38" i="1"/>
  <c r="D587" i="1"/>
  <c r="D533" i="1"/>
  <c r="D611" i="1"/>
  <c r="D418" i="1"/>
  <c r="D419" i="1"/>
  <c r="D507" i="1"/>
  <c r="D526" i="1"/>
  <c r="D350" i="1"/>
  <c r="D593" i="1"/>
  <c r="D532" i="1"/>
  <c r="D422" i="1"/>
  <c r="D636" i="1"/>
  <c r="D597" i="1"/>
  <c r="D632" i="1"/>
  <c r="D612" i="1"/>
  <c r="D342" i="1"/>
  <c r="D583" i="1"/>
  <c r="D501" i="1"/>
  <c r="D417" i="1"/>
  <c r="D637" i="1"/>
  <c r="D485" i="1"/>
  <c r="D626" i="1"/>
  <c r="D521" i="1"/>
  <c r="D638" i="1"/>
  <c r="D484" i="1"/>
  <c r="D599" i="1"/>
  <c r="D416" i="1"/>
  <c r="D540" i="1"/>
  <c r="D424" i="1"/>
  <c r="D589" i="1"/>
  <c r="D543" i="1"/>
  <c r="D600" i="1"/>
  <c r="D343" i="1"/>
  <c r="D415" i="1"/>
  <c r="D524" i="1"/>
  <c r="D591" i="1"/>
  <c r="D402" i="1"/>
  <c r="D514" i="1"/>
  <c r="D629" i="1"/>
  <c r="D586" i="1"/>
  <c r="D336" i="1"/>
  <c r="D386" i="1"/>
  <c r="D627" i="1"/>
  <c r="D493" i="1"/>
  <c r="D640" i="1"/>
  <c r="D595" i="1"/>
  <c r="D479" i="1"/>
  <c r="D585" i="1"/>
  <c r="D639" i="1"/>
  <c r="D582" i="1"/>
  <c r="D480" i="1"/>
  <c r="D502" i="1"/>
  <c r="D641" i="1"/>
  <c r="D478" i="1"/>
  <c r="D508" i="1"/>
  <c r="D388" i="1"/>
  <c r="D642" i="1"/>
  <c r="D378" i="1"/>
  <c r="D491" i="1"/>
  <c r="D390" i="1"/>
  <c r="D344" i="1"/>
  <c r="D574" i="1"/>
  <c r="D505" i="1"/>
  <c r="D584" i="1"/>
  <c r="D391" i="1"/>
  <c r="D577" i="1"/>
  <c r="D630" i="1"/>
  <c r="D581" i="1"/>
  <c r="D396" i="1"/>
  <c r="D576" i="1"/>
  <c r="D621" i="1"/>
  <c r="D406" i="1"/>
  <c r="D644" i="1"/>
  <c r="D579" i="1"/>
  <c r="D477" i="1"/>
  <c r="D517" i="1"/>
  <c r="D346" i="1"/>
  <c r="D401" i="1"/>
  <c r="D503" i="1"/>
  <c r="D413" i="1"/>
  <c r="D347" i="1"/>
  <c r="D575" i="1"/>
  <c r="D516" i="1"/>
  <c r="D504" i="1"/>
  <c r="D643" i="1"/>
  <c r="D511" i="1"/>
  <c r="D608" i="1"/>
  <c r="D429" i="1"/>
  <c r="D345" i="1"/>
  <c r="D492" i="1"/>
  <c r="D622" i="1"/>
  <c r="D510" i="1"/>
  <c r="D645" i="1"/>
  <c r="D567" i="1"/>
  <c r="D607" i="1"/>
  <c r="D598" i="1"/>
  <c r="D373" i="1"/>
  <c r="D408" i="1"/>
  <c r="D523" i="1"/>
  <c r="D601" i="1"/>
  <c r="D357" i="1"/>
  <c r="D349" i="1"/>
  <c r="D498" i="1"/>
  <c r="D606" i="1"/>
  <c r="D519" i="1"/>
  <c r="D489" i="1"/>
  <c r="D603" i="1"/>
  <c r="D512" i="1"/>
  <c r="D646" i="1"/>
  <c r="D490" i="1"/>
  <c r="D616" i="1"/>
  <c r="D509" i="1"/>
  <c r="D354" i="1"/>
  <c r="D500" i="1"/>
  <c r="D520" i="1"/>
  <c r="D497" i="1"/>
  <c r="D358" i="1"/>
  <c r="D421" i="1"/>
  <c r="D469" i="1"/>
  <c r="D403" i="1"/>
  <c r="D361" i="1"/>
  <c r="D573" i="1"/>
  <c r="D518" i="1"/>
  <c r="D588" i="1"/>
  <c r="D363" i="1"/>
  <c r="D572" i="1"/>
  <c r="D525" i="1"/>
  <c r="D407" i="1"/>
  <c r="D650" i="1"/>
  <c r="D377" i="1"/>
  <c r="D474" i="1"/>
  <c r="D387" i="1"/>
  <c r="D651" i="1"/>
  <c r="D580" i="1"/>
  <c r="D537" i="1"/>
  <c r="D594" i="1"/>
  <c r="D351" i="1"/>
  <c r="D392" i="1"/>
  <c r="D628" i="1"/>
  <c r="D590" i="1"/>
  <c r="D370" i="1"/>
  <c r="D483" i="1"/>
  <c r="D467" i="1"/>
  <c r="D592" i="1"/>
  <c r="D356" i="1"/>
  <c r="D420" i="1"/>
  <c r="D471" i="1"/>
  <c r="D499" i="1"/>
  <c r="D366" i="1"/>
  <c r="D476" i="1"/>
  <c r="D461" i="1"/>
  <c r="D623" i="1"/>
  <c r="D374" i="1"/>
  <c r="D570" i="1"/>
  <c r="D618" i="1"/>
  <c r="D619" i="1"/>
  <c r="D383" i="1"/>
  <c r="D565" i="1"/>
  <c r="D457" i="1"/>
  <c r="D515" i="1"/>
  <c r="D355" i="1"/>
  <c r="D470" i="1"/>
  <c r="D448" i="1"/>
  <c r="D397" i="1"/>
  <c r="D394" i="1"/>
  <c r="D566" i="1"/>
  <c r="D431" i="1"/>
  <c r="D486" i="1"/>
  <c r="D352" i="1"/>
  <c r="D578" i="1"/>
  <c r="D531" i="1"/>
  <c r="D602" i="1"/>
  <c r="D647" i="1"/>
  <c r="D379" i="1"/>
  <c r="D534" i="1"/>
  <c r="D487" i="1"/>
  <c r="D653" i="1"/>
  <c r="D367" i="1"/>
  <c r="D496" i="1"/>
  <c r="D405" i="1"/>
  <c r="D353" i="1"/>
  <c r="D568" i="1"/>
  <c r="D617" i="1"/>
  <c r="D613" i="1"/>
  <c r="D382" i="1"/>
  <c r="D571" i="1"/>
  <c r="D427" i="1"/>
  <c r="D488" i="1"/>
  <c r="D399" i="1"/>
  <c r="D472" i="1"/>
  <c r="D437" i="1"/>
  <c r="D400" i="1"/>
  <c r="D654" i="1"/>
  <c r="D569" i="1"/>
  <c r="D527" i="1"/>
  <c r="D614" i="1"/>
  <c r="D657" i="1"/>
  <c r="D398" i="1"/>
  <c r="D535" i="1"/>
  <c r="D389" i="1"/>
  <c r="D348" i="1"/>
  <c r="D482" i="1"/>
  <c r="D438" i="1"/>
  <c r="D620" i="1"/>
  <c r="D341" i="1"/>
  <c r="D384" i="1"/>
  <c r="D447" i="1"/>
  <c r="D372" i="1"/>
  <c r="D380" i="1"/>
  <c r="D564" i="1"/>
  <c r="D529" i="1"/>
  <c r="D494" i="1"/>
  <c r="D414" i="1"/>
  <c r="D381" i="1"/>
  <c r="D539" i="1"/>
  <c r="D376" i="1"/>
  <c r="D432" i="1"/>
  <c r="D563" i="1"/>
  <c r="D441" i="1"/>
  <c r="D495" i="1"/>
  <c r="D425" i="1"/>
  <c r="D513" i="1"/>
  <c r="D450" i="1"/>
  <c r="D605" i="1"/>
  <c r="D335" i="1"/>
  <c r="D562" i="1"/>
  <c r="D463" i="1"/>
  <c r="D610" i="1"/>
  <c r="D333" i="1"/>
  <c r="D506" i="1"/>
  <c r="D549" i="1"/>
  <c r="D375" i="1"/>
  <c r="D409" i="1"/>
  <c r="D404" i="1"/>
  <c r="D547" i="1"/>
  <c r="D475" i="1"/>
  <c r="D659" i="1"/>
  <c r="D558" i="1"/>
  <c r="D631" i="1"/>
  <c r="D481" i="1"/>
  <c r="D337" i="1"/>
  <c r="D412" i="1"/>
  <c r="D530" i="1"/>
  <c r="D473" i="1"/>
  <c r="D648" i="1"/>
  <c r="D555" i="1"/>
  <c r="D522" i="1"/>
  <c r="D371" i="1"/>
  <c r="D385" i="1"/>
  <c r="D428" i="1"/>
  <c r="D528" i="1"/>
  <c r="D459" i="1"/>
  <c r="D393" i="1"/>
  <c r="D445" i="1"/>
  <c r="D455" i="1"/>
  <c r="D339" i="1"/>
  <c r="D596" i="1"/>
  <c r="D410" i="1"/>
  <c r="D561" i="1"/>
  <c r="D536" i="1"/>
  <c r="D468" i="1"/>
  <c r="D332" i="1"/>
  <c r="D444" i="1"/>
  <c r="D633" i="1"/>
  <c r="D360" i="1"/>
  <c r="D649" i="1"/>
  <c r="D557" i="1"/>
  <c r="D544" i="1"/>
  <c r="D466" i="1"/>
  <c r="D655" i="1"/>
  <c r="D548" i="1"/>
  <c r="D449" i="1"/>
  <c r="D604" i="1"/>
  <c r="D411" i="1"/>
  <c r="D552" i="1"/>
  <c r="D462" i="1"/>
  <c r="D456" i="1"/>
  <c r="D652" i="1"/>
  <c r="D451" i="1"/>
  <c r="D453" i="1"/>
  <c r="D464" i="1"/>
  <c r="D656" i="1"/>
  <c r="D559" i="1"/>
  <c r="D624" i="1"/>
  <c r="D454" i="1"/>
  <c r="D368" i="1"/>
  <c r="D554" i="1"/>
  <c r="D435" i="1"/>
  <c r="D365" i="1"/>
  <c r="D658" i="1"/>
  <c r="D460" i="1"/>
  <c r="D625" i="1"/>
  <c r="D634" i="1"/>
  <c r="D340" i="1"/>
  <c r="D443" i="1"/>
  <c r="D423" i="1"/>
  <c r="D635" i="1"/>
  <c r="D338" i="1"/>
  <c r="D545" i="1"/>
  <c r="D426" i="1"/>
  <c r="D440" i="1"/>
  <c r="D661" i="1"/>
  <c r="D556" i="1"/>
  <c r="D615" i="1"/>
  <c r="D452" i="1"/>
  <c r="D660" i="1"/>
  <c r="D458" i="1"/>
  <c r="D395" i="1"/>
  <c r="D442" i="1"/>
  <c r="D364" i="1"/>
  <c r="D541" i="1"/>
  <c r="D538" i="1"/>
  <c r="D434" i="1"/>
  <c r="D331" i="1"/>
  <c r="D446" i="1"/>
  <c r="D550" i="1"/>
  <c r="D433" i="1"/>
  <c r="D664" i="1"/>
  <c r="D553" i="1"/>
  <c r="D551" i="1"/>
  <c r="D439" i="1"/>
  <c r="D362" i="1"/>
  <c r="D560" i="1"/>
  <c r="D369" i="1"/>
  <c r="D436" i="1"/>
  <c r="D663" i="1"/>
  <c r="D546" i="1"/>
  <c r="D609" i="1"/>
  <c r="D430" i="1"/>
  <c r="D662" i="1"/>
  <c r="D465" i="1"/>
  <c r="D359" i="1"/>
  <c r="D542" i="1"/>
  <c r="D334" i="1"/>
  <c r="D841" i="1"/>
  <c r="D806" i="1"/>
  <c r="D810" i="1"/>
  <c r="D974" i="1"/>
  <c r="D845" i="1"/>
  <c r="D900" i="1"/>
  <c r="D833" i="1"/>
  <c r="D695" i="1"/>
  <c r="D921" i="1"/>
  <c r="D956" i="1"/>
  <c r="D962" i="1"/>
  <c r="D972" i="1"/>
  <c r="D932" i="1"/>
  <c r="D812" i="1"/>
  <c r="D799" i="1"/>
  <c r="D973" i="1"/>
  <c r="D886" i="1"/>
  <c r="D949" i="1"/>
  <c r="D798" i="1"/>
  <c r="D975" i="1"/>
  <c r="D847" i="1"/>
  <c r="D906" i="1"/>
  <c r="D771" i="1"/>
  <c r="D796" i="1"/>
  <c r="D882" i="1"/>
  <c r="D801" i="1"/>
  <c r="D790" i="1"/>
  <c r="D684" i="1"/>
  <c r="D929" i="1"/>
  <c r="D947" i="1"/>
  <c r="D768" i="1"/>
  <c r="D786" i="1"/>
  <c r="D851" i="1"/>
  <c r="D946" i="1"/>
  <c r="D824" i="1"/>
  <c r="D977" i="1"/>
  <c r="D937" i="1"/>
  <c r="D896" i="1"/>
  <c r="D961" i="1"/>
  <c r="D758" i="1"/>
  <c r="D849" i="1"/>
  <c r="D945" i="1"/>
  <c r="D744" i="1"/>
  <c r="D978" i="1"/>
  <c r="D884" i="1"/>
  <c r="D941" i="1"/>
  <c r="D737" i="1"/>
  <c r="D981" i="1"/>
  <c r="D855" i="1"/>
  <c r="D938" i="1"/>
  <c r="D823" i="1"/>
  <c r="D976" i="1"/>
  <c r="D871" i="1"/>
  <c r="D889" i="1"/>
  <c r="D828" i="1"/>
  <c r="D690" i="1"/>
  <c r="D880" i="1"/>
  <c r="D890" i="1"/>
  <c r="D964" i="1"/>
  <c r="D759" i="1"/>
  <c r="D856" i="1"/>
  <c r="D808" i="1"/>
  <c r="D732" i="1"/>
  <c r="D688" i="1"/>
  <c r="D852" i="1"/>
  <c r="D943" i="1"/>
  <c r="D826" i="1"/>
  <c r="D979" i="1"/>
  <c r="D866" i="1"/>
  <c r="D898" i="1"/>
  <c r="D733" i="1"/>
  <c r="D692" i="1"/>
  <c r="D865" i="1"/>
  <c r="D872" i="1"/>
  <c r="D944" i="1"/>
  <c r="D750" i="1"/>
  <c r="D980" i="1"/>
  <c r="D857" i="1"/>
  <c r="D895" i="1"/>
  <c r="D815" i="1"/>
  <c r="D685" i="1"/>
  <c r="D859" i="1"/>
  <c r="D939" i="1"/>
  <c r="D965" i="1"/>
  <c r="D673" i="1"/>
  <c r="D861" i="1"/>
  <c r="D813" i="1"/>
  <c r="D960" i="1"/>
  <c r="D680" i="1"/>
  <c r="D867" i="1"/>
  <c r="D892" i="1"/>
  <c r="D807" i="1"/>
  <c r="D672" i="1"/>
  <c r="D870" i="1"/>
  <c r="D829" i="1"/>
  <c r="D966" i="1"/>
  <c r="D667" i="1"/>
  <c r="D933" i="1"/>
  <c r="D820" i="1"/>
  <c r="D817" i="1"/>
  <c r="D669" i="1"/>
  <c r="D926" i="1"/>
  <c r="D893" i="1"/>
  <c r="D731" i="1"/>
  <c r="D671" i="1"/>
  <c r="D858" i="1"/>
  <c r="D899" i="1"/>
  <c r="D814" i="1"/>
  <c r="D982" i="1"/>
  <c r="D863" i="1"/>
  <c r="D942" i="1"/>
  <c r="D754" i="1"/>
  <c r="D994" i="1"/>
  <c r="D911" i="1"/>
  <c r="D804" i="1"/>
  <c r="D811" i="1"/>
  <c r="D674" i="1"/>
  <c r="D878" i="1"/>
  <c r="D797" i="1"/>
  <c r="D816" i="1"/>
  <c r="D665" i="1"/>
  <c r="D923" i="1"/>
  <c r="D940" i="1"/>
  <c r="D968" i="1"/>
  <c r="D679" i="1"/>
  <c r="D846" i="1"/>
  <c r="D791" i="1"/>
  <c r="D805" i="1"/>
  <c r="D666" i="1"/>
  <c r="D844" i="1"/>
  <c r="D902" i="1"/>
  <c r="D719" i="1"/>
  <c r="D681" i="1"/>
  <c r="D843" i="1"/>
  <c r="D903" i="1"/>
  <c r="D825" i="1"/>
  <c r="D989" i="1"/>
  <c r="D842" i="1"/>
  <c r="D936" i="1"/>
  <c r="D967" i="1"/>
  <c r="D677" i="1"/>
  <c r="D920" i="1"/>
  <c r="D897" i="1"/>
  <c r="D717" i="1"/>
  <c r="D992" i="1"/>
  <c r="D839" i="1"/>
  <c r="D763" i="1"/>
  <c r="D822" i="1"/>
  <c r="D675" i="1"/>
  <c r="D767" i="1"/>
  <c r="D720" i="1"/>
  <c r="D770" i="1"/>
  <c r="D894" i="1"/>
  <c r="D827" i="1"/>
  <c r="D991" i="1"/>
  <c r="D830" i="1"/>
  <c r="D928" i="1"/>
  <c r="D752" i="1"/>
  <c r="D670" i="1"/>
  <c r="D809" i="1"/>
  <c r="D729" i="1"/>
  <c r="D761" i="1"/>
  <c r="D997" i="1"/>
  <c r="D881" i="1"/>
  <c r="D718" i="1"/>
  <c r="D970" i="1"/>
  <c r="D787" i="1"/>
  <c r="D931" i="1"/>
  <c r="D913" i="1"/>
  <c r="D751" i="1"/>
  <c r="D779" i="1"/>
  <c r="D876" i="1"/>
  <c r="D891" i="1"/>
  <c r="D736" i="1"/>
  <c r="D998" i="1"/>
  <c r="D803" i="1"/>
  <c r="D738" i="1"/>
  <c r="D730" i="1"/>
  <c r="D682" i="1"/>
  <c r="D922" i="1"/>
  <c r="D747" i="1"/>
  <c r="D971" i="1"/>
  <c r="D683" i="1"/>
  <c r="D783" i="1"/>
  <c r="D739" i="1"/>
  <c r="D969" i="1"/>
  <c r="D993" i="1"/>
  <c r="D924" i="1"/>
  <c r="D888" i="1"/>
  <c r="D821" i="1"/>
  <c r="D996" i="1"/>
  <c r="D874" i="1"/>
  <c r="D724" i="1"/>
  <c r="D963" i="1"/>
  <c r="D983" i="1"/>
  <c r="D869" i="1"/>
  <c r="D725" i="1"/>
  <c r="D959" i="1"/>
  <c r="D772" i="1"/>
  <c r="D853" i="1"/>
  <c r="D887" i="1"/>
  <c r="D819" i="1"/>
  <c r="D984" i="1"/>
  <c r="D760" i="1"/>
  <c r="D912" i="1"/>
  <c r="D958" i="1"/>
  <c r="D689" i="1"/>
  <c r="D765" i="1"/>
  <c r="D883" i="1"/>
  <c r="D734" i="1"/>
  <c r="D785" i="1"/>
  <c r="D742" i="1"/>
  <c r="D930" i="1"/>
  <c r="D802" i="1"/>
  <c r="D800" i="1"/>
  <c r="D712" i="1"/>
  <c r="D709" i="1"/>
  <c r="D957" i="1"/>
  <c r="D788" i="1"/>
  <c r="D850" i="1"/>
  <c r="D706" i="1"/>
  <c r="D748" i="1"/>
  <c r="D694" i="1"/>
  <c r="D935" i="1"/>
  <c r="D705" i="1"/>
  <c r="D755" i="1"/>
  <c r="D773" i="1"/>
  <c r="D934" i="1"/>
  <c r="D885" i="1"/>
  <c r="D780" i="1"/>
  <c r="D699" i="1"/>
  <c r="D955" i="1"/>
  <c r="D794" i="1"/>
  <c r="D925" i="1"/>
  <c r="D879" i="1"/>
  <c r="D756" i="1"/>
  <c r="D762" i="1"/>
  <c r="D840" i="1"/>
  <c r="D877" i="1"/>
  <c r="D795" i="1"/>
  <c r="D766" i="1"/>
  <c r="D838" i="1"/>
  <c r="D927" i="1"/>
  <c r="D782" i="1"/>
  <c r="D793" i="1"/>
  <c r="D713" i="1"/>
  <c r="D697" i="1"/>
  <c r="D777" i="1"/>
  <c r="D776" i="1"/>
  <c r="D836" i="1"/>
  <c r="D701" i="1"/>
  <c r="D757" i="1"/>
  <c r="D988" i="1"/>
  <c r="D848" i="1"/>
  <c r="D875" i="1"/>
  <c r="D753" i="1"/>
  <c r="D700" i="1"/>
  <c r="D707" i="1"/>
  <c r="D873" i="1"/>
  <c r="D743" i="1"/>
  <c r="D986" i="1"/>
  <c r="D698" i="1"/>
  <c r="D703" i="1"/>
  <c r="D721" i="1"/>
  <c r="D995" i="1"/>
  <c r="D919" i="1"/>
  <c r="D914" i="1"/>
  <c r="D711" i="1"/>
  <c r="D990" i="1"/>
  <c r="D687" i="1"/>
  <c r="D696" i="1"/>
  <c r="D749" i="1"/>
  <c r="D710" i="1"/>
  <c r="D917" i="1"/>
  <c r="D702" i="1"/>
  <c r="D953" i="1"/>
  <c r="D987" i="1"/>
  <c r="D910" i="1"/>
  <c r="D722" i="1"/>
  <c r="D950" i="1"/>
  <c r="D728" i="1"/>
  <c r="D686" i="1"/>
  <c r="D905" i="1"/>
  <c r="D715" i="1"/>
  <c r="D764" i="1"/>
  <c r="D904" i="1"/>
  <c r="D868" i="1"/>
  <c r="D746" i="1"/>
  <c r="D774" i="1"/>
  <c r="D854" i="1"/>
  <c r="D909" i="1"/>
  <c r="D740" i="1"/>
  <c r="D716" i="1"/>
  <c r="D668" i="1"/>
  <c r="D907" i="1"/>
  <c r="D954" i="1"/>
  <c r="D704" i="1"/>
  <c r="D837" i="1"/>
  <c r="D860" i="1"/>
  <c r="D769" i="1"/>
  <c r="D708" i="1"/>
  <c r="D835" i="1"/>
  <c r="D735" i="1"/>
  <c r="D784" i="1"/>
  <c r="D775" i="1"/>
  <c r="D908" i="1"/>
  <c r="D952" i="1"/>
  <c r="D714" i="1"/>
  <c r="D901" i="1"/>
  <c r="D864" i="1"/>
  <c r="D678" i="1"/>
  <c r="D862" i="1"/>
  <c r="D741" i="1"/>
  <c r="D693" i="1"/>
  <c r="D676" i="1"/>
  <c r="D726" i="1"/>
  <c r="D745" i="1"/>
  <c r="D781" i="1"/>
  <c r="D834" i="1"/>
  <c r="D918" i="1"/>
  <c r="D951" i="1"/>
  <c r="D789" i="1"/>
  <c r="D831" i="1"/>
  <c r="D723" i="1"/>
  <c r="D727" i="1"/>
  <c r="D985" i="1"/>
  <c r="D818" i="1"/>
  <c r="D916" i="1"/>
  <c r="D948" i="1"/>
  <c r="D691" i="1"/>
  <c r="D832" i="1"/>
  <c r="D915" i="1"/>
  <c r="D792" i="1"/>
  <c r="D778" i="1"/>
  <c r="D1162" i="1"/>
  <c r="D1186" i="1"/>
  <c r="D1063" i="1"/>
  <c r="D1045" i="1"/>
  <c r="D1237" i="1"/>
  <c r="D1190" i="1"/>
  <c r="D1062" i="1"/>
  <c r="D1041" i="1"/>
  <c r="D1235" i="1"/>
  <c r="D1244" i="1"/>
  <c r="D1263" i="1"/>
  <c r="D1113" i="1"/>
  <c r="D1142" i="1"/>
  <c r="D1076" i="1"/>
  <c r="D1106" i="1"/>
  <c r="D1320" i="1"/>
  <c r="D1236" i="1"/>
  <c r="D1189" i="1"/>
  <c r="D1081" i="1"/>
  <c r="D1319" i="1"/>
  <c r="D1040" i="1"/>
  <c r="D1245" i="1"/>
  <c r="D1085" i="1"/>
  <c r="D1326" i="1"/>
  <c r="D1233" i="1"/>
  <c r="D1073" i="1"/>
  <c r="D1091" i="1"/>
  <c r="D1330" i="1"/>
  <c r="D1238" i="1"/>
  <c r="D1071" i="1"/>
  <c r="D1083" i="1"/>
  <c r="D1117" i="1"/>
  <c r="D1036" i="1"/>
  <c r="D1249" i="1"/>
  <c r="D1097" i="1"/>
  <c r="D1318" i="1"/>
  <c r="D1153" i="1"/>
  <c r="D1188" i="1"/>
  <c r="D1100" i="1"/>
  <c r="D1037" i="1"/>
  <c r="D1234" i="1"/>
  <c r="D1191" i="1"/>
  <c r="D1265" i="1"/>
  <c r="D1161" i="1"/>
  <c r="D1170" i="1"/>
  <c r="D1089" i="1"/>
  <c r="D1273" i="1"/>
  <c r="D1333" i="1"/>
  <c r="D1248" i="1"/>
  <c r="D1029" i="1"/>
  <c r="D1035" i="1"/>
  <c r="D1247" i="1"/>
  <c r="D1145" i="1"/>
  <c r="D1094" i="1"/>
  <c r="D1088" i="1"/>
  <c r="D1321" i="1"/>
  <c r="D1140" i="1"/>
  <c r="D1099" i="1"/>
  <c r="D1069" i="1"/>
  <c r="D1173" i="1"/>
  <c r="D1034" i="1"/>
  <c r="D1253" i="1"/>
  <c r="D1271" i="1"/>
  <c r="D1014" i="1"/>
  <c r="D1144" i="1"/>
  <c r="D1192" i="1"/>
  <c r="D1262" i="1"/>
  <c r="D1328" i="1"/>
  <c r="D1230" i="1"/>
  <c r="D1252" i="1"/>
  <c r="D1256" i="1"/>
  <c r="D1169" i="1"/>
  <c r="D1149" i="1"/>
  <c r="D1193" i="1"/>
  <c r="D1258" i="1"/>
  <c r="D1010" i="1"/>
  <c r="D1019" i="1"/>
  <c r="D1254" i="1"/>
  <c r="D1060" i="1"/>
  <c r="D1006" i="1"/>
  <c r="D1118" i="1"/>
  <c r="D1251" i="1"/>
  <c r="D1272" i="1"/>
  <c r="D1164" i="1"/>
  <c r="D1112" i="1"/>
  <c r="D1257" i="1"/>
  <c r="D1078" i="1"/>
  <c r="D1325" i="1"/>
  <c r="D1026" i="1"/>
  <c r="D1261" i="1"/>
  <c r="D1059" i="1"/>
  <c r="D1174" i="1"/>
  <c r="D1226" i="1"/>
  <c r="D1204" i="1"/>
  <c r="D1259" i="1"/>
  <c r="D1179" i="1"/>
  <c r="D1229" i="1"/>
  <c r="D1110" i="1"/>
  <c r="D1082" i="1"/>
  <c r="D1002" i="1"/>
  <c r="D1232" i="1"/>
  <c r="D1210" i="1"/>
  <c r="D1074" i="1"/>
  <c r="D1001" i="1"/>
  <c r="D1223" i="1"/>
  <c r="D1270" i="1"/>
  <c r="D1267" i="1"/>
  <c r="D1171" i="1"/>
  <c r="D1231" i="1"/>
  <c r="D1138" i="1"/>
  <c r="D1072" i="1"/>
  <c r="D1180" i="1"/>
  <c r="D1102" i="1"/>
  <c r="D1154" i="1"/>
  <c r="D1260" i="1"/>
  <c r="D1314" i="1"/>
  <c r="D1228" i="1"/>
  <c r="D1286" i="1"/>
  <c r="D1064" i="1"/>
  <c r="D1003" i="1"/>
  <c r="D1218" i="1"/>
  <c r="D1222" i="1"/>
  <c r="D1066" i="1"/>
  <c r="D1007" i="1"/>
  <c r="D1268" i="1"/>
  <c r="D1009" i="1"/>
  <c r="D1098" i="1"/>
  <c r="D1219" i="1"/>
  <c r="D1068" i="1"/>
  <c r="D1025" i="1"/>
  <c r="D1137" i="1"/>
  <c r="D1276" i="1"/>
  <c r="D1176" i="1"/>
  <c r="D1221" i="1"/>
  <c r="D1216" i="1"/>
  <c r="D1070" i="1"/>
  <c r="D1177" i="1"/>
  <c r="D1224" i="1"/>
  <c r="D1227" i="1"/>
  <c r="D1067" i="1"/>
  <c r="D1141" i="1"/>
  <c r="D1020" i="1"/>
  <c r="D1225" i="1"/>
  <c r="D1065" i="1"/>
  <c r="D1130" i="1"/>
  <c r="D1024" i="1"/>
  <c r="D1293" i="1"/>
  <c r="D1090" i="1"/>
  <c r="D1101" i="1"/>
  <c r="D1121" i="1"/>
  <c r="D1239" i="1"/>
  <c r="D1096" i="1"/>
  <c r="D1092" i="1"/>
  <c r="D1125" i="1"/>
  <c r="D1151" i="1"/>
  <c r="D1058" i="1"/>
  <c r="D1315" i="1"/>
  <c r="D1146" i="1"/>
  <c r="D1241" i="1"/>
  <c r="D1119" i="1"/>
  <c r="D1331" i="1"/>
  <c r="D1128" i="1"/>
  <c r="D1157" i="1"/>
  <c r="D1057" i="1"/>
  <c r="D1011" i="1"/>
  <c r="D1027" i="1"/>
  <c r="D1181" i="1"/>
  <c r="D1056" i="1"/>
  <c r="D1327" i="1"/>
  <c r="D1152" i="1"/>
  <c r="D1182" i="1"/>
  <c r="D1051" i="1"/>
  <c r="D1086" i="1"/>
  <c r="D1132" i="1"/>
  <c r="D1243" i="1"/>
  <c r="D1274" i="1"/>
  <c r="D1323" i="1"/>
  <c r="D1126" i="1"/>
  <c r="D1294" i="1"/>
  <c r="D1053" i="1"/>
  <c r="D1079" i="1"/>
  <c r="D1212" i="1"/>
  <c r="D1246" i="1"/>
  <c r="D1269" i="1"/>
  <c r="D1077" i="1"/>
  <c r="D1213" i="1"/>
  <c r="D1255" i="1"/>
  <c r="D1047" i="1"/>
  <c r="D1015" i="1"/>
  <c r="D1018" i="1"/>
  <c r="D1301" i="1"/>
  <c r="D1275" i="1"/>
  <c r="D1075" i="1"/>
  <c r="D1017" i="1"/>
  <c r="D1302" i="1"/>
  <c r="D1122" i="1"/>
  <c r="D1335" i="1"/>
  <c r="D1131" i="1"/>
  <c r="D1183" i="1"/>
  <c r="D1289" i="1"/>
  <c r="D1338" i="1"/>
  <c r="D1139" i="1"/>
  <c r="D1184" i="1"/>
  <c r="D1281" i="1"/>
  <c r="D1339" i="1"/>
  <c r="D1016" i="1"/>
  <c r="D1277" i="1"/>
  <c r="D1166" i="1"/>
  <c r="D1185" i="1"/>
  <c r="D1135" i="1"/>
  <c r="D1340" i="1"/>
  <c r="D1214" i="1"/>
  <c r="D1303" i="1"/>
  <c r="D1148" i="1"/>
  <c r="D1080" i="1"/>
  <c r="D1136" i="1"/>
  <c r="D1187" i="1"/>
  <c r="D1044" i="1"/>
  <c r="D1087" i="1"/>
  <c r="D1107" i="1"/>
  <c r="D1307" i="1"/>
  <c r="D1042" i="1"/>
  <c r="D1341" i="1"/>
  <c r="D1202" i="1"/>
  <c r="D1306" i="1"/>
  <c r="D1147" i="1"/>
  <c r="D1334" i="1"/>
  <c r="D1022" i="1"/>
  <c r="D1194" i="1"/>
  <c r="D1291" i="1"/>
  <c r="D1061" i="1"/>
  <c r="D1030" i="1"/>
  <c r="D1266" i="1"/>
  <c r="D1150" i="1"/>
  <c r="D1332" i="1"/>
  <c r="D1208" i="1"/>
  <c r="D1311" i="1"/>
  <c r="D1299" i="1"/>
  <c r="D1084" i="1"/>
  <c r="D1115" i="1"/>
  <c r="D1198" i="1"/>
  <c r="D1167" i="1"/>
  <c r="D1322" i="1"/>
  <c r="D1201" i="1"/>
  <c r="D1200" i="1"/>
  <c r="D1043" i="1"/>
  <c r="D1336" i="1"/>
  <c r="D1105" i="1"/>
  <c r="D1211" i="1"/>
  <c r="D1298" i="1"/>
  <c r="D1013" i="1"/>
  <c r="D1124" i="1"/>
  <c r="D1264" i="1"/>
  <c r="D1048" i="1"/>
  <c r="D1337" i="1"/>
  <c r="D1205" i="1"/>
  <c r="D1312" i="1"/>
  <c r="D1178" i="1"/>
  <c r="D1012" i="1"/>
  <c r="D1021" i="1"/>
  <c r="D1310" i="1"/>
  <c r="D1163" i="1"/>
  <c r="D1008" i="1"/>
  <c r="D1196" i="1"/>
  <c r="D1278" i="1"/>
  <c r="D1049" i="1"/>
  <c r="D1114" i="1"/>
  <c r="D1023" i="1"/>
  <c r="D1215" i="1"/>
  <c r="D1296" i="1"/>
  <c r="D1116" i="1"/>
  <c r="D1028" i="1"/>
  <c r="D1305" i="1"/>
  <c r="D1172" i="1"/>
  <c r="D1123" i="1"/>
  <c r="D1108" i="1"/>
  <c r="D1292" i="1"/>
  <c r="D1050" i="1"/>
  <c r="D1111" i="1"/>
  <c r="D1217" i="1"/>
  <c r="D1195" i="1"/>
  <c r="D1220" i="1"/>
  <c r="D1004" i="1"/>
  <c r="D1199" i="1"/>
  <c r="D1295" i="1"/>
  <c r="D1280" i="1"/>
  <c r="D1129" i="1"/>
  <c r="D1031" i="1"/>
  <c r="D1288" i="1"/>
  <c r="D1279" i="1"/>
  <c r="D1133" i="1"/>
  <c r="D1033" i="1"/>
  <c r="D1240" i="1"/>
  <c r="D1046" i="1"/>
  <c r="D1329" i="1"/>
  <c r="D1197" i="1"/>
  <c r="D1300" i="1"/>
  <c r="D1155" i="1"/>
  <c r="D1316" i="1"/>
  <c r="D1038" i="1"/>
  <c r="D1242" i="1"/>
  <c r="D1052" i="1"/>
  <c r="D1095" i="1"/>
  <c r="D1203" i="1"/>
  <c r="D1309" i="1"/>
  <c r="D1158" i="1"/>
  <c r="D1093" i="1"/>
  <c r="D1103" i="1"/>
  <c r="D1304" i="1"/>
  <c r="D1168" i="1"/>
  <c r="D1005" i="1"/>
  <c r="D1039" i="1"/>
  <c r="D1290" i="1"/>
  <c r="D1284" i="1"/>
  <c r="D1120" i="1"/>
  <c r="D1104" i="1"/>
  <c r="D1287" i="1"/>
  <c r="D1054" i="1"/>
  <c r="D1317" i="1"/>
  <c r="D1109" i="1"/>
  <c r="D1250" i="1"/>
  <c r="D1282" i="1"/>
  <c r="D1127" i="1"/>
  <c r="D1134" i="1"/>
  <c r="D1283" i="1"/>
  <c r="D1055" i="1"/>
  <c r="D1324" i="1"/>
  <c r="D1032" i="1"/>
  <c r="D1308" i="1"/>
  <c r="D1160" i="1"/>
  <c r="D1156" i="1"/>
  <c r="D1209" i="1"/>
  <c r="D1297" i="1"/>
  <c r="D1143" i="1"/>
  <c r="D1000" i="1"/>
  <c r="D1207" i="1"/>
  <c r="D1285" i="1"/>
  <c r="D1175" i="1"/>
  <c r="D1165" i="1"/>
  <c r="D1206" i="1"/>
  <c r="D1313" i="1"/>
  <c r="D1159" i="1"/>
  <c r="D999" i="1"/>
  <c r="D1534" i="1"/>
  <c r="D1568" i="1"/>
  <c r="D1562" i="1"/>
  <c r="D1356" i="1"/>
  <c r="D1465" i="1"/>
  <c r="D1587" i="1"/>
  <c r="D1477" i="1"/>
  <c r="D1612" i="1"/>
  <c r="D1464" i="1"/>
  <c r="D1542" i="1"/>
  <c r="D1478" i="1"/>
  <c r="D1611" i="1"/>
  <c r="D1532" i="1"/>
  <c r="D1590" i="1"/>
  <c r="D1462" i="1"/>
  <c r="D1429" i="1"/>
  <c r="D1406" i="1"/>
  <c r="D1567" i="1"/>
  <c r="D1423" i="1"/>
  <c r="D1616" i="1"/>
  <c r="D1452" i="1"/>
  <c r="D1553" i="1"/>
  <c r="D1488" i="1"/>
  <c r="D1357" i="1"/>
  <c r="D1408" i="1"/>
  <c r="D1566" i="1"/>
  <c r="D1491" i="1"/>
  <c r="D1482" i="1"/>
  <c r="D1413" i="1"/>
  <c r="D1561" i="1"/>
  <c r="D1432" i="1"/>
  <c r="D1466" i="1"/>
  <c r="D1412" i="1"/>
  <c r="D1592" i="1"/>
  <c r="D1489" i="1"/>
  <c r="D1468" i="1"/>
  <c r="D1472" i="1"/>
  <c r="D1593" i="1"/>
  <c r="D1559" i="1"/>
  <c r="D1625" i="1"/>
  <c r="D1418" i="1"/>
  <c r="D1558" i="1"/>
  <c r="D1483" i="1"/>
  <c r="D1471" i="1"/>
  <c r="D1419" i="1"/>
  <c r="D1557" i="1"/>
  <c r="D1431" i="1"/>
  <c r="D1623" i="1"/>
  <c r="D1470" i="1"/>
  <c r="D1571" i="1"/>
  <c r="D1428" i="1"/>
  <c r="D1352" i="1"/>
  <c r="D1454" i="1"/>
  <c r="D1554" i="1"/>
  <c r="D1560" i="1"/>
  <c r="D1343" i="1"/>
  <c r="D1416" i="1"/>
  <c r="D1572" i="1"/>
  <c r="D1434" i="1"/>
  <c r="D1344" i="1"/>
  <c r="D1535" i="1"/>
  <c r="D1569" i="1"/>
  <c r="D1563" i="1"/>
  <c r="D1346" i="1"/>
  <c r="D1411" i="1"/>
  <c r="D1595" i="1"/>
  <c r="D1564" i="1"/>
  <c r="D1481" i="1"/>
  <c r="D1531" i="1"/>
  <c r="D1565" i="1"/>
  <c r="D1474" i="1"/>
  <c r="D1624" i="1"/>
  <c r="D1461" i="1"/>
  <c r="D1580" i="1"/>
  <c r="D1490" i="1"/>
  <c r="D1350" i="1"/>
  <c r="D1400" i="1"/>
  <c r="D1597" i="1"/>
  <c r="D1556" i="1"/>
  <c r="D1484" i="1"/>
  <c r="D1453" i="1"/>
  <c r="D1603" i="1"/>
  <c r="D1435" i="1"/>
  <c r="D1353" i="1"/>
  <c r="D1533" i="1"/>
  <c r="D1570" i="1"/>
  <c r="D1500" i="1"/>
  <c r="D1630" i="1"/>
  <c r="D1529" i="1"/>
  <c r="D1607" i="1"/>
  <c r="D1497" i="1"/>
  <c r="D1634" i="1"/>
  <c r="D1581" i="1"/>
  <c r="D1496" i="1"/>
  <c r="D1485" i="1"/>
  <c r="D1398" i="1"/>
  <c r="D1574" i="1"/>
  <c r="D1552" i="1"/>
  <c r="D1476" i="1"/>
  <c r="D1519" i="1"/>
  <c r="D1606" i="1"/>
  <c r="D1550" i="1"/>
  <c r="D1347" i="1"/>
  <c r="D1399" i="1"/>
  <c r="D1583" i="1"/>
  <c r="D1426" i="1"/>
  <c r="D1631" i="1"/>
  <c r="D1390" i="1"/>
  <c r="D1579" i="1"/>
  <c r="D1498" i="1"/>
  <c r="D1342" i="1"/>
  <c r="D1446" i="1"/>
  <c r="D1573" i="1"/>
  <c r="D1424" i="1"/>
  <c r="D1643" i="1"/>
  <c r="D1384" i="1"/>
  <c r="D1609" i="1"/>
  <c r="D1430" i="1"/>
  <c r="D1345" i="1"/>
  <c r="D1385" i="1"/>
  <c r="D1601" i="1"/>
  <c r="D1422" i="1"/>
  <c r="D1475" i="1"/>
  <c r="D1520" i="1"/>
  <c r="D1575" i="1"/>
  <c r="D1502" i="1"/>
  <c r="D1632" i="1"/>
  <c r="D1444" i="1"/>
  <c r="D1608" i="1"/>
  <c r="D1504" i="1"/>
  <c r="D1642" i="1"/>
  <c r="D1443" i="1"/>
  <c r="D1605" i="1"/>
  <c r="D1420" i="1"/>
  <c r="D1479" i="1"/>
  <c r="D1524" i="1"/>
  <c r="D1604" i="1"/>
  <c r="D1494" i="1"/>
  <c r="D1641" i="1"/>
  <c r="D1445" i="1"/>
  <c r="D1613" i="1"/>
  <c r="D1503" i="1"/>
  <c r="D1463" i="1"/>
  <c r="D1523" i="1"/>
  <c r="D1610" i="1"/>
  <c r="D1417" i="1"/>
  <c r="D1469" i="1"/>
  <c r="D1530" i="1"/>
  <c r="D1577" i="1"/>
  <c r="D1547" i="1"/>
  <c r="D1640" i="1"/>
  <c r="D1440" i="1"/>
  <c r="D1578" i="1"/>
  <c r="D1415" i="1"/>
  <c r="D1455" i="1"/>
  <c r="D1388" i="1"/>
  <c r="D1615" i="1"/>
  <c r="D1548" i="1"/>
  <c r="D1348" i="1"/>
  <c r="D1439" i="1"/>
  <c r="D1588" i="1"/>
  <c r="D1501" i="1"/>
  <c r="D1639" i="1"/>
  <c r="D1526" i="1"/>
  <c r="D1626" i="1"/>
  <c r="D1555" i="1"/>
  <c r="D1635" i="1"/>
  <c r="D1383" i="1"/>
  <c r="D1628" i="1"/>
  <c r="D1442" i="1"/>
  <c r="D1576" i="1"/>
  <c r="D1505" i="1"/>
  <c r="D1638" i="1"/>
  <c r="D1379" i="1"/>
  <c r="D1600" i="1"/>
  <c r="D1507" i="1"/>
  <c r="D1448" i="1"/>
  <c r="D1438" i="1"/>
  <c r="D1617" i="1"/>
  <c r="D1551" i="1"/>
  <c r="D1355" i="1"/>
  <c r="D1527" i="1"/>
  <c r="D1629" i="1"/>
  <c r="D1508" i="1"/>
  <c r="D1637" i="1"/>
  <c r="D1368" i="1"/>
  <c r="D1619" i="1"/>
  <c r="D1549" i="1"/>
  <c r="D1449" i="1"/>
  <c r="D1366" i="1"/>
  <c r="D1651" i="1"/>
  <c r="D1506" i="1"/>
  <c r="D1458" i="1"/>
  <c r="D1528" i="1"/>
  <c r="D1644" i="1"/>
  <c r="D1546" i="1"/>
  <c r="D1645" i="1"/>
  <c r="D1522" i="1"/>
  <c r="D1622" i="1"/>
  <c r="D1414" i="1"/>
  <c r="D1450" i="1"/>
  <c r="D1389" i="1"/>
  <c r="D1582" i="1"/>
  <c r="D1511" i="1"/>
  <c r="D1648" i="1"/>
  <c r="D1525" i="1"/>
  <c r="D1659" i="1"/>
  <c r="D1495" i="1"/>
  <c r="D1647" i="1"/>
  <c r="D1521" i="1"/>
  <c r="D1586" i="1"/>
  <c r="D1544" i="1"/>
  <c r="D1650" i="1"/>
  <c r="D1518" i="1"/>
  <c r="D1668" i="1"/>
  <c r="D1492" i="1"/>
  <c r="D1656" i="1"/>
  <c r="D1441" i="1"/>
  <c r="D1614" i="1"/>
  <c r="D1541" i="1"/>
  <c r="D1349" i="1"/>
  <c r="D1367" i="1"/>
  <c r="D1618" i="1"/>
  <c r="D1410" i="1"/>
  <c r="D1351" i="1"/>
  <c r="D1391" i="1"/>
  <c r="D1621" i="1"/>
  <c r="D1543" i="1"/>
  <c r="D1447" i="1"/>
  <c r="D1386" i="1"/>
  <c r="D1620" i="1"/>
  <c r="D1409" i="1"/>
  <c r="D1655" i="1"/>
  <c r="D1381" i="1"/>
  <c r="D1627" i="1"/>
  <c r="D1405" i="1"/>
  <c r="D1358" i="1"/>
  <c r="D1517" i="1"/>
  <c r="D1633" i="1"/>
  <c r="D1407" i="1"/>
  <c r="D1362" i="1"/>
  <c r="D1373" i="1"/>
  <c r="D1667" i="1"/>
  <c r="D1649" i="1"/>
  <c r="D1536" i="1"/>
  <c r="D1516" i="1"/>
  <c r="D1585" i="1"/>
  <c r="D1499" i="1"/>
  <c r="D1657" i="1"/>
  <c r="D1436" i="1"/>
  <c r="D1584" i="1"/>
  <c r="D1493" i="1"/>
  <c r="D1658" i="1"/>
  <c r="D1437" i="1"/>
  <c r="D1591" i="1"/>
  <c r="D1538" i="1"/>
  <c r="D1457" i="1"/>
  <c r="D1433" i="1"/>
  <c r="D1589" i="1"/>
  <c r="D1404" i="1"/>
  <c r="D1370" i="1"/>
  <c r="D1375" i="1"/>
  <c r="D1666" i="1"/>
  <c r="D1403" i="1"/>
  <c r="D1382" i="1"/>
  <c r="D1380" i="1"/>
  <c r="D1654" i="1"/>
  <c r="D1537" i="1"/>
  <c r="D1663" i="1"/>
  <c r="D1369" i="1"/>
  <c r="D1646" i="1"/>
  <c r="D1402" i="1"/>
  <c r="D1660" i="1"/>
  <c r="D1376" i="1"/>
  <c r="D1669" i="1"/>
  <c r="D1487" i="1"/>
  <c r="D1372" i="1"/>
  <c r="D1374" i="1"/>
  <c r="D1598" i="1"/>
  <c r="D1486" i="1"/>
  <c r="D1664" i="1"/>
  <c r="D1515" i="1"/>
  <c r="D1594" i="1"/>
  <c r="D1473" i="1"/>
  <c r="D1387" i="1"/>
  <c r="D1421" i="1"/>
  <c r="D1636" i="1"/>
  <c r="D1401" i="1"/>
  <c r="D1662" i="1"/>
  <c r="D1512" i="1"/>
  <c r="D1599" i="1"/>
  <c r="D1396" i="1"/>
  <c r="D1377" i="1"/>
  <c r="D1363" i="1"/>
  <c r="D1670" i="1"/>
  <c r="D1392" i="1"/>
  <c r="D1378" i="1"/>
  <c r="D1425" i="1"/>
  <c r="D1671" i="1"/>
  <c r="D1393" i="1"/>
  <c r="D1371" i="1"/>
  <c r="D1514" i="1"/>
  <c r="D1652" i="1"/>
  <c r="D1539" i="1"/>
  <c r="D1365" i="1"/>
  <c r="D1513" i="1"/>
  <c r="D1602" i="1"/>
  <c r="D1467" i="1"/>
  <c r="D1661" i="1"/>
  <c r="D1364" i="1"/>
  <c r="D1653" i="1"/>
  <c r="D1394" i="1"/>
  <c r="D1451" i="1"/>
  <c r="D1510" i="1"/>
  <c r="D1673" i="1"/>
  <c r="D1395" i="1"/>
  <c r="D1359" i="1"/>
  <c r="D1360" i="1"/>
  <c r="D1540" i="1"/>
  <c r="D1456" i="1"/>
  <c r="D1460" i="1"/>
  <c r="D1354" i="1"/>
  <c r="D1672" i="1"/>
  <c r="D1397" i="1"/>
  <c r="D1665" i="1"/>
  <c r="D1509" i="1"/>
  <c r="D1596" i="1"/>
  <c r="D1480" i="1"/>
  <c r="D1459" i="1"/>
  <c r="D1427" i="1"/>
  <c r="D1674" i="1"/>
  <c r="D1545" i="1"/>
  <c r="D1361" i="1"/>
  <c r="D1728" i="1"/>
  <c r="D1893" i="1"/>
  <c r="D1828" i="1"/>
  <c r="D1731" i="1"/>
  <c r="D1726" i="1"/>
  <c r="D1894" i="1"/>
  <c r="D1758" i="1"/>
  <c r="D1818" i="1"/>
  <c r="D1769" i="1"/>
  <c r="D1925" i="1"/>
  <c r="D1871" i="1"/>
  <c r="D1817" i="1"/>
  <c r="D1717" i="1"/>
  <c r="D1895" i="1"/>
  <c r="D1753" i="1"/>
  <c r="D1930" i="1"/>
  <c r="D1705" i="1"/>
  <c r="D1937" i="1"/>
  <c r="D1813" i="1"/>
  <c r="D1928" i="1"/>
  <c r="D1722" i="1"/>
  <c r="D1896" i="1"/>
  <c r="D1757" i="1"/>
  <c r="D1826" i="1"/>
  <c r="D1864" i="1"/>
  <c r="D1962" i="1"/>
  <c r="D1808" i="1"/>
  <c r="D1924" i="1"/>
  <c r="D1721" i="1"/>
  <c r="D1929" i="1"/>
  <c r="D1754" i="1"/>
  <c r="D1834" i="1"/>
  <c r="D1713" i="1"/>
  <c r="D1935" i="1"/>
  <c r="D1756" i="1"/>
  <c r="D1830" i="1"/>
  <c r="D1865" i="1"/>
  <c r="D1936" i="1"/>
  <c r="D1806" i="1"/>
  <c r="D1729" i="1"/>
  <c r="D1723" i="1"/>
  <c r="D1897" i="1"/>
  <c r="D1759" i="1"/>
  <c r="D1922" i="1"/>
  <c r="D1867" i="1"/>
  <c r="D1976" i="1"/>
  <c r="D1810" i="1"/>
  <c r="D1730" i="1"/>
  <c r="D1772" i="1"/>
  <c r="D2" i="1"/>
  <c r="D1877" i="1"/>
  <c r="D1727" i="1"/>
  <c r="D1768" i="1"/>
  <c r="D1983" i="1"/>
  <c r="D1762" i="1"/>
  <c r="D1918" i="1"/>
  <c r="D1776" i="1"/>
  <c r="D1939" i="1"/>
  <c r="D1815" i="1"/>
  <c r="D1838" i="1"/>
  <c r="D1979" i="1"/>
  <c r="D1883" i="1"/>
  <c r="D1921" i="1"/>
  <c r="D1795" i="1"/>
  <c r="D1938" i="1"/>
  <c r="D1873" i="1"/>
  <c r="D1927" i="1"/>
  <c r="D1714" i="1"/>
  <c r="D1910" i="1"/>
  <c r="D1761" i="1"/>
  <c r="D1716" i="1"/>
  <c r="D1707" i="1"/>
  <c r="D1984" i="1"/>
  <c r="D1825" i="1"/>
  <c r="D1720" i="1"/>
  <c r="D1866" i="1"/>
  <c r="D1913" i="1"/>
  <c r="D1831" i="1"/>
  <c r="D1933" i="1"/>
  <c r="D1710" i="1"/>
  <c r="D1985" i="1"/>
  <c r="D1887" i="1"/>
  <c r="D1931" i="1"/>
  <c r="D1712" i="1"/>
  <c r="D1940" i="1"/>
  <c r="D1833" i="1"/>
  <c r="D1701" i="1"/>
  <c r="D1787" i="1"/>
  <c r="D1986" i="1"/>
  <c r="D1835" i="1"/>
  <c r="D1926" i="1"/>
  <c r="D1783" i="1"/>
  <c r="D1975" i="1"/>
  <c r="D1820" i="1"/>
  <c r="D1708" i="1"/>
  <c r="D1862" i="1"/>
  <c r="D1942" i="1"/>
  <c r="D1881" i="1"/>
  <c r="D1823" i="1"/>
  <c r="D1854" i="1"/>
  <c r="D1919" i="1"/>
  <c r="D1819" i="1"/>
  <c r="D1719" i="1"/>
  <c r="D1843" i="1"/>
  <c r="D1923" i="1"/>
  <c r="D1880" i="1"/>
  <c r="D1704" i="1"/>
  <c r="D1709" i="1"/>
  <c r="D1917" i="1"/>
  <c r="D1814" i="1"/>
  <c r="D1703" i="1"/>
  <c r="D1718" i="1"/>
  <c r="D1987" i="1"/>
  <c r="D1760" i="1"/>
  <c r="D1829" i="1"/>
  <c r="D1711" i="1"/>
  <c r="D1988" i="1"/>
  <c r="D1870" i="1"/>
  <c r="D1724" i="1"/>
  <c r="D1700" i="1"/>
  <c r="D1949" i="1"/>
  <c r="D1869" i="1"/>
  <c r="D1715" i="1"/>
  <c r="D1790" i="1"/>
  <c r="D1912" i="1"/>
  <c r="D1755" i="1"/>
  <c r="D1920" i="1"/>
  <c r="D1698" i="1"/>
  <c r="D1947" i="1"/>
  <c r="D1751" i="1"/>
  <c r="D1702" i="1"/>
  <c r="D1858" i="1"/>
  <c r="D1932" i="1"/>
  <c r="D1874" i="1"/>
  <c r="D1824" i="1"/>
  <c r="D1811" i="1"/>
  <c r="D1786" i="1"/>
  <c r="D1989" i="1"/>
  <c r="D1782" i="1"/>
  <c r="D1934" i="1"/>
  <c r="D1750" i="1"/>
  <c r="D1914" i="1"/>
  <c r="D1855" i="1"/>
  <c r="D1943" i="1"/>
  <c r="D1749" i="1"/>
  <c r="D1832" i="1"/>
  <c r="D1784" i="1"/>
  <c r="D1941" i="1"/>
  <c r="D1746" i="1"/>
  <c r="D1907" i="1"/>
  <c r="D1860" i="1"/>
  <c r="D1945" i="1"/>
  <c r="D1868" i="1"/>
  <c r="D1906" i="1"/>
  <c r="D1690" i="1"/>
  <c r="D1990" i="1"/>
  <c r="D1812" i="1"/>
  <c r="D1725" i="1"/>
  <c r="D1859" i="1"/>
  <c r="D1951" i="1"/>
  <c r="D1876" i="1"/>
  <c r="D1908" i="1"/>
  <c r="D1789" i="1"/>
  <c r="D1952" i="1"/>
  <c r="D1736" i="1"/>
  <c r="D1821" i="1"/>
  <c r="D1850" i="1"/>
  <c r="D1991" i="1"/>
  <c r="D1744" i="1"/>
  <c r="D1904" i="1"/>
  <c r="D1797" i="1"/>
  <c r="D1948" i="1"/>
  <c r="D1809" i="1"/>
  <c r="D1822" i="1"/>
  <c r="D1852" i="1"/>
  <c r="D1992" i="1"/>
  <c r="D1743" i="1"/>
  <c r="D1900" i="1"/>
  <c r="D1803" i="1"/>
  <c r="D1954" i="1"/>
  <c r="D1805" i="1"/>
  <c r="D1706" i="1"/>
  <c r="D1844" i="1"/>
  <c r="D1946" i="1"/>
  <c r="D1804" i="1"/>
  <c r="D1899" i="1"/>
  <c r="D1846" i="1"/>
  <c r="D1944" i="1"/>
  <c r="D1745" i="1"/>
  <c r="D1898" i="1"/>
  <c r="D1691" i="1"/>
  <c r="D1950" i="1"/>
  <c r="D1879" i="1"/>
  <c r="D1901" i="1"/>
  <c r="D1851" i="1"/>
  <c r="D1993" i="1"/>
  <c r="D1801" i="1"/>
  <c r="D1836" i="1"/>
  <c r="D1847" i="1"/>
  <c r="D1994" i="1"/>
  <c r="D1738" i="1"/>
  <c r="D1840" i="1"/>
  <c r="D1697" i="1"/>
  <c r="D1995" i="1"/>
  <c r="D1734" i="1"/>
  <c r="D1848" i="1"/>
  <c r="D1792" i="1"/>
  <c r="D1956" i="1"/>
  <c r="D1878" i="1"/>
  <c r="D1905" i="1"/>
  <c r="D1693" i="1"/>
  <c r="D1996" i="1"/>
  <c r="D1796" i="1"/>
  <c r="D1955" i="1"/>
  <c r="D1794" i="1"/>
  <c r="D1903" i="1"/>
  <c r="D1849" i="1"/>
  <c r="D1997" i="1"/>
  <c r="D1740" i="1"/>
  <c r="D1699" i="1"/>
  <c r="D1781" i="1"/>
  <c r="D1982" i="1"/>
  <c r="D1739" i="1"/>
  <c r="D1853" i="1"/>
  <c r="D1780" i="1"/>
  <c r="D1959" i="1"/>
  <c r="D1748" i="1"/>
  <c r="D1694" i="1"/>
  <c r="D1856" i="1"/>
  <c r="D1953" i="1"/>
  <c r="D1798" i="1"/>
  <c r="D1841" i="1"/>
  <c r="D1778" i="1"/>
  <c r="D1965" i="1"/>
  <c r="D1888" i="1"/>
  <c r="D1837" i="1"/>
  <c r="D1779" i="1"/>
  <c r="D1977" i="1"/>
  <c r="D1885" i="1"/>
  <c r="D1687" i="1"/>
  <c r="D1696" i="1"/>
  <c r="D1966" i="1"/>
  <c r="D1752" i="1"/>
  <c r="D1685" i="1"/>
  <c r="D1771" i="1"/>
  <c r="D1972" i="1"/>
  <c r="D1889" i="1"/>
  <c r="D1839" i="1"/>
  <c r="D1774" i="1"/>
  <c r="D1967" i="1"/>
  <c r="D1890" i="1"/>
  <c r="D1684" i="1"/>
  <c r="D1861" i="1"/>
  <c r="D1973" i="1"/>
  <c r="D1886" i="1"/>
  <c r="D1827" i="1"/>
  <c r="D1785" i="1"/>
  <c r="D1968" i="1"/>
  <c r="D1747" i="1"/>
  <c r="D1816" i="1"/>
  <c r="D1863" i="1"/>
  <c r="D1980" i="1"/>
  <c r="D1875" i="1"/>
  <c r="D1807" i="1"/>
  <c r="D1695" i="1"/>
  <c r="D1961" i="1"/>
  <c r="D1884" i="1"/>
  <c r="D1802" i="1"/>
  <c r="D1689" i="1"/>
  <c r="D1960" i="1"/>
  <c r="D1872" i="1"/>
  <c r="D1682" i="1"/>
  <c r="D1692" i="1"/>
  <c r="D1974" i="1"/>
  <c r="D1882" i="1"/>
  <c r="D1681" i="1"/>
  <c r="D1791" i="1"/>
  <c r="D1958" i="1"/>
  <c r="D1788" i="1"/>
  <c r="D1902" i="1"/>
  <c r="D1686" i="1"/>
  <c r="D1978" i="1"/>
  <c r="D1737" i="1"/>
  <c r="D1911" i="1"/>
  <c r="D1770" i="1"/>
  <c r="D1998" i="1"/>
  <c r="D1892" i="1"/>
  <c r="D1683" i="1"/>
  <c r="D1688" i="1"/>
  <c r="D1999" i="1"/>
  <c r="D1793" i="1"/>
  <c r="D1741" i="1"/>
  <c r="D1680" i="1"/>
  <c r="D1971" i="1"/>
  <c r="D1742" i="1"/>
  <c r="D1909" i="1"/>
  <c r="D1765" i="1"/>
  <c r="D1969" i="1"/>
  <c r="D1891" i="1"/>
  <c r="D1676" i="1"/>
  <c r="D1857" i="1"/>
  <c r="D1963" i="1"/>
  <c r="D1773" i="1"/>
  <c r="D1916" i="1"/>
  <c r="D1845" i="1"/>
  <c r="D1970" i="1"/>
  <c r="D1777" i="1"/>
  <c r="D1799" i="1"/>
  <c r="D1678" i="1"/>
  <c r="D2000" i="1"/>
  <c r="D1735" i="1"/>
  <c r="D1675" i="1"/>
  <c r="D1766" i="1"/>
  <c r="D1981" i="1"/>
  <c r="D1733" i="1"/>
  <c r="D1679" i="1"/>
  <c r="D1764" i="1"/>
  <c r="D2001" i="1"/>
  <c r="D1767" i="1"/>
  <c r="D1800" i="1"/>
  <c r="D1763" i="1"/>
  <c r="D1964" i="1"/>
  <c r="D1775" i="1"/>
  <c r="D1915" i="1"/>
  <c r="D1842" i="1"/>
  <c r="D1957" i="1"/>
  <c r="D1732" i="1"/>
  <c r="D1677" i="1"/>
  <c r="P5" i="5" l="1"/>
  <c r="E3" i="6"/>
  <c r="K5" i="5" s="1"/>
  <c r="A329" i="4" a="1"/>
  <c r="A320" i="4" a="1"/>
  <c r="A317" i="4" a="1"/>
  <c r="A323" i="4" l="1"/>
  <c r="A32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<sst xmlns="http://schemas.openxmlformats.org/spreadsheetml/2006/main" count="28441" uniqueCount="4224">
  <si>
    <t>Column</t>
  </si>
  <si>
    <t>Meaning</t>
  </si>
  <si>
    <t>Record_ID</t>
  </si>
  <si>
    <t>Unique production run ID</t>
  </si>
  <si>
    <t>Production_Date</t>
  </si>
  <si>
    <t>Date of the run (Sunday runs are overtime runs)</t>
  </si>
  <si>
    <t>Month</t>
  </si>
  <si>
    <t>Month-Year of the run</t>
  </si>
  <si>
    <t>Day_of_Week</t>
  </si>
  <si>
    <t>Weekday name</t>
  </si>
  <si>
    <t>Shift</t>
  </si>
  <si>
    <t>A = 06:00-14:00, B = 14:00-22:00, C = 22:00-06:00</t>
  </si>
  <si>
    <t>Line_ID</t>
  </si>
  <si>
    <t>Production line code (L1-L4)</t>
  </si>
  <si>
    <t>Line_Name</t>
  </si>
  <si>
    <t>Production line name</t>
  </si>
  <si>
    <t>Product_Category</t>
  </si>
  <si>
    <t>Product family made on the line</t>
  </si>
  <si>
    <t>SKU_Code</t>
  </si>
  <si>
    <t>SKU code</t>
  </si>
  <si>
    <t>SKU_Name</t>
  </si>
  <si>
    <t>SKU description</t>
  </si>
  <si>
    <t>Batch_No</t>
  </si>
  <si>
    <t>Batch number (date + line + shift)</t>
  </si>
  <si>
    <t>Supervisor</t>
  </si>
  <si>
    <t>Shift supervisor on duty</t>
  </si>
  <si>
    <t>Packaging_Supplier</t>
  </si>
  <si>
    <t>Supplier of the primary packaging (bottle caps / tubes / pouches) used in the run</t>
  </si>
  <si>
    <t>Manpower_Planned</t>
  </si>
  <si>
    <t>Operators planned for the run</t>
  </si>
  <si>
    <t>Manpower_Present</t>
  </si>
  <si>
    <t>Operators actually present</t>
  </si>
  <si>
    <t>Planned_Qty</t>
  </si>
  <si>
    <t>Units planned</t>
  </si>
  <si>
    <t>Produced_Qty</t>
  </si>
  <si>
    <t>Total units produced (including rejects)</t>
  </si>
  <si>
    <t>Rejected_Qty</t>
  </si>
  <si>
    <t>Units rejected at inline QC</t>
  </si>
  <si>
    <t>Defect_Type</t>
  </si>
  <si>
    <t>Main defect category for rejected units ("None" if no rejects)</t>
  </si>
  <si>
    <t>Downtime_Min</t>
  </si>
  <si>
    <t>Minutes of stoppage in the 8-hour shift</t>
  </si>
  <si>
    <t>Downtime_Reason</t>
  </si>
  <si>
    <t>Main reason for stoppage ("None" if no downtime)</t>
  </si>
  <si>
    <t>Unit_Cost_INR</t>
  </si>
  <si>
    <t>Manufacturing cost per unit (INR)</t>
  </si>
  <si>
    <t>Opening_FG_Stock</t>
  </si>
  <si>
    <t>Finished goods stock of this SKU at the start of the run (units)</t>
  </si>
  <si>
    <t>Demand_Qty</t>
  </si>
  <si>
    <t>Dispatch requirement for the run (units)</t>
  </si>
  <si>
    <t>Dispatched_Qty</t>
  </si>
  <si>
    <t>Units actually dispatched (limited by stock available)</t>
  </si>
  <si>
    <t>Closing_FG_Stock</t>
  </si>
  <si>
    <t>Finished goods stock after the run = Opening + (Produced - Rejected) - Dispatched</t>
  </si>
  <si>
    <t>Reorder_Level</t>
  </si>
  <si>
    <t>Minimum stock level for the SKU (units); below this, replenishment is overdue</t>
  </si>
  <si>
    <t>Note</t>
  </si>
  <si>
    <t>All data is synthetic and created for practice. Company, plant and supplier names are illustrative and do not represent real operations.</t>
  </si>
  <si>
    <t>Month_No.</t>
  </si>
  <si>
    <t>Rejection%</t>
  </si>
  <si>
    <t>Plan_Achievement %</t>
  </si>
  <si>
    <t>Downtime_Hour</t>
  </si>
  <si>
    <t>Rejection_Loss_INR</t>
  </si>
  <si>
    <t>PR-1722</t>
  </si>
  <si>
    <t>Sep-2026</t>
  </si>
  <si>
    <t>Saturday</t>
  </si>
  <si>
    <t>A</t>
  </si>
  <si>
    <t>L2</t>
  </si>
  <si>
    <t>Mouthwash Bottling</t>
  </si>
  <si>
    <t>Mouthwash</t>
  </si>
  <si>
    <t>MW-MT-250</t>
  </si>
  <si>
    <t>Mint Mouthwash 250ml</t>
  </si>
  <si>
    <t>B260905-L2A</t>
  </si>
  <si>
    <t>K. Verma</t>
  </si>
  <si>
    <t>PackRight Industries</t>
  </si>
  <si>
    <t>Underfill</t>
  </si>
  <si>
    <t>Machine Breakdown</t>
  </si>
  <si>
    <t>PR-0238</t>
  </si>
  <si>
    <t>Apr-2026</t>
  </si>
  <si>
    <t>Wednesday</t>
  </si>
  <si>
    <t>B</t>
  </si>
  <si>
    <t>L4</t>
  </si>
  <si>
    <t>Toothbrush Assembly</t>
  </si>
  <si>
    <t>Toothbrush</t>
  </si>
  <si>
    <t>TB-SF-01</t>
  </si>
  <si>
    <t>Soft Toothbrush</t>
  </si>
  <si>
    <t>B260422-L4B</t>
  </si>
  <si>
    <t>S. Yadav</t>
  </si>
  <si>
    <t>Sunrise Packaging</t>
  </si>
  <si>
    <t>Labeling Defect</t>
  </si>
  <si>
    <t>None</t>
  </si>
  <si>
    <t>PR-0230</t>
  </si>
  <si>
    <t>Tuesday</t>
  </si>
  <si>
    <t>C</t>
  </si>
  <si>
    <t>B260421-L4C</t>
  </si>
  <si>
    <t>M. Khan</t>
  </si>
  <si>
    <t>Delhi Poly Pack</t>
  </si>
  <si>
    <t>PR-0308</t>
  </si>
  <si>
    <t>B260429-L4A</t>
  </si>
  <si>
    <t>R. Sharma</t>
  </si>
  <si>
    <t>PR-0044</t>
  </si>
  <si>
    <t>B260404-L4B</t>
  </si>
  <si>
    <t>P. Singh</t>
  </si>
  <si>
    <t>Damaged Packaging</t>
  </si>
  <si>
    <t>PR-0226</t>
  </si>
  <si>
    <t>B260421-L4B</t>
  </si>
  <si>
    <t>PR-0246</t>
  </si>
  <si>
    <t>Thursday</t>
  </si>
  <si>
    <t>B260423-L4A</t>
  </si>
  <si>
    <t>Seal Defect (minor)</t>
  </si>
  <si>
    <t>Changeover</t>
  </si>
  <si>
    <t>PR-0222</t>
  </si>
  <si>
    <t>B260421-L4A</t>
  </si>
  <si>
    <t>Printing Misalignment</t>
  </si>
  <si>
    <t>Power Interruption</t>
  </si>
  <si>
    <t>PR-0137</t>
  </si>
  <si>
    <t>Monday</t>
  </si>
  <si>
    <t>B260413-L4B</t>
  </si>
  <si>
    <t>PR-0320</t>
  </si>
  <si>
    <t>B260430-L4A</t>
  </si>
  <si>
    <t>PR-0254</t>
  </si>
  <si>
    <t>B260423-L4C</t>
  </si>
  <si>
    <t>PR-0288</t>
  </si>
  <si>
    <t>B260427-L4B</t>
  </si>
  <si>
    <t>PR-0032</t>
  </si>
  <si>
    <t>Friday</t>
  </si>
  <si>
    <t>B260403-L4B</t>
  </si>
  <si>
    <t>PR-0316</t>
  </si>
  <si>
    <t>B260429-L4C</t>
  </si>
  <si>
    <t>PR-0210</t>
  </si>
  <si>
    <t>B260420-L4A</t>
  </si>
  <si>
    <t>PR-0065</t>
  </si>
  <si>
    <t>B260406-L4C</t>
  </si>
  <si>
    <t>A. Gupta</t>
  </si>
  <si>
    <t>PR-0274</t>
  </si>
  <si>
    <t>B260425-L4B</t>
  </si>
  <si>
    <t>Material Shortage</t>
  </si>
  <si>
    <t>PR-0181</t>
  </si>
  <si>
    <t>B260417-L4A</t>
  </si>
  <si>
    <t>PR-0278</t>
  </si>
  <si>
    <t>B260425-L4C</t>
  </si>
  <si>
    <t>PR-0284</t>
  </si>
  <si>
    <t>B260427-L4A</t>
  </si>
  <si>
    <t>PR-0153</t>
  </si>
  <si>
    <t>B260414-L4C</t>
  </si>
  <si>
    <t>PR-0085</t>
  </si>
  <si>
    <t>B260408-L4B</t>
  </si>
  <si>
    <t>PR-0097</t>
  </si>
  <si>
    <t>B260409-L4B</t>
  </si>
  <si>
    <t>PR-0133</t>
  </si>
  <si>
    <t>B260413-L4A</t>
  </si>
  <si>
    <t>PR-0145</t>
  </si>
  <si>
    <t>B260414-L4A</t>
  </si>
  <si>
    <t>PR-0193</t>
  </si>
  <si>
    <t>B260418-L4A</t>
  </si>
  <si>
    <t>PR-0161</t>
  </si>
  <si>
    <t>B260415-L4B</t>
  </si>
  <si>
    <t>PR-0024</t>
  </si>
  <si>
    <t>B260402-L4C</t>
  </si>
  <si>
    <t>PR-0073</t>
  </si>
  <si>
    <t>B260407-L4B</t>
  </si>
  <si>
    <t>PR-0169</t>
  </si>
  <si>
    <t>B260416-L4A</t>
  </si>
  <si>
    <t>PR-0012</t>
  </si>
  <si>
    <t>B260401-L4C</t>
  </si>
  <si>
    <t>PR-0109</t>
  </si>
  <si>
    <t>TB-MD-01</t>
  </si>
  <si>
    <t>Medium Toothbrush</t>
  </si>
  <si>
    <t>B260410-L4B</t>
  </si>
  <si>
    <t>PR-0105</t>
  </si>
  <si>
    <t>B260410-L4A</t>
  </si>
  <si>
    <t>PR-0201</t>
  </si>
  <si>
    <t>B260418-L4C</t>
  </si>
  <si>
    <t>PR-0192</t>
  </si>
  <si>
    <t>L3</t>
  </si>
  <si>
    <t>Floss &amp; Interdental</t>
  </si>
  <si>
    <t>Dental Floss</t>
  </si>
  <si>
    <t>FL-WX-50</t>
  </si>
  <si>
    <t>Waxed Floss 50m</t>
  </si>
  <si>
    <t>B260418-L3A</t>
  </si>
  <si>
    <t>PR-0141</t>
  </si>
  <si>
    <t>B260413-L4C</t>
  </si>
  <si>
    <t>Cleaning / Sanitation</t>
  </si>
  <si>
    <t>PR-0328</t>
  </si>
  <si>
    <t>B260430-L4C</t>
  </si>
  <si>
    <t>PR-0206</t>
  </si>
  <si>
    <t>Sunday</t>
  </si>
  <si>
    <t>B260419-L4B</t>
  </si>
  <si>
    <t>PR-0164</t>
  </si>
  <si>
    <t>B260415-L3C</t>
  </si>
  <si>
    <t>PR-0184</t>
  </si>
  <si>
    <t>B260417-L3B</t>
  </si>
  <si>
    <t>PR-0180</t>
  </si>
  <si>
    <t>B260417-L3A</t>
  </si>
  <si>
    <t>PR-0317</t>
  </si>
  <si>
    <t>L1</t>
  </si>
  <si>
    <t>Toothpaste Tube Filling</t>
  </si>
  <si>
    <t>Toothpaste</t>
  </si>
  <si>
    <t>TP-WH-100</t>
  </si>
  <si>
    <t>Whitening Toothpaste 100g</t>
  </si>
  <si>
    <t>B260430-L1A</t>
  </si>
  <si>
    <t>PR-0214</t>
  </si>
  <si>
    <t>B260420-L4B</t>
  </si>
  <si>
    <t>PR-0168</t>
  </si>
  <si>
    <t>B260416-L3A</t>
  </si>
  <si>
    <t>PR-0152</t>
  </si>
  <si>
    <t>B260414-L3C</t>
  </si>
  <si>
    <t>PR-0028</t>
  </si>
  <si>
    <t>B260403-L4A</t>
  </si>
  <si>
    <t>PR-0323</t>
  </si>
  <si>
    <t>B260430-L3B</t>
  </si>
  <si>
    <t>PR-0217</t>
  </si>
  <si>
    <t>B260420-L3C</t>
  </si>
  <si>
    <t>PR-0176</t>
  </si>
  <si>
    <t>B260416-L3C</t>
  </si>
  <si>
    <t>PR-0101</t>
  </si>
  <si>
    <t>B260409-L4C</t>
  </si>
  <si>
    <t>PR-0258</t>
  </si>
  <si>
    <t>B260424-L4A</t>
  </si>
  <si>
    <t>PR-0250</t>
  </si>
  <si>
    <t>B260423-L4B</t>
  </si>
  <si>
    <t>PR-0304</t>
  </si>
  <si>
    <t>B260428-L4C</t>
  </si>
  <si>
    <t>PR-0321</t>
  </si>
  <si>
    <t>B260430-L1B</t>
  </si>
  <si>
    <t>PR-0309</t>
  </si>
  <si>
    <t>B260429-L1B</t>
  </si>
  <si>
    <t>PR-0136</t>
  </si>
  <si>
    <t>B260413-L3B</t>
  </si>
  <si>
    <t>PR-0144</t>
  </si>
  <si>
    <t>B260414-L3A</t>
  </si>
  <si>
    <t>PR-0001</t>
  </si>
  <si>
    <t>B260401-L1A</t>
  </si>
  <si>
    <t>PR-0285</t>
  </si>
  <si>
    <t>B260427-L1B</t>
  </si>
  <si>
    <t>PR-0292</t>
  </si>
  <si>
    <t>B260427-L4C</t>
  </si>
  <si>
    <t>PR-0300</t>
  </si>
  <si>
    <t>B260428-L4B</t>
  </si>
  <si>
    <t>PR-0077</t>
  </si>
  <si>
    <t>B260407-L4C</t>
  </si>
  <si>
    <t>PR-0132</t>
  </si>
  <si>
    <t>B260413-L3A</t>
  </si>
  <si>
    <t>PR-0311</t>
  </si>
  <si>
    <t>B260429-L3B</t>
  </si>
  <si>
    <t>PR-0040</t>
  </si>
  <si>
    <t>B260404-L4A</t>
  </si>
  <si>
    <t>PR-0036</t>
  </si>
  <si>
    <t>B260403-L4C</t>
  </si>
  <si>
    <t>PR-0281</t>
  </si>
  <si>
    <t>B260427-L1A</t>
  </si>
  <si>
    <t>PR-0061</t>
  </si>
  <si>
    <t>B260406-L4B</t>
  </si>
  <si>
    <t>PR-0116</t>
  </si>
  <si>
    <t>B260411-L3A</t>
  </si>
  <si>
    <t>PR-0293</t>
  </si>
  <si>
    <t>B260428-L1A</t>
  </si>
  <si>
    <t>PR-0237</t>
  </si>
  <si>
    <t>B260422-L3B</t>
  </si>
  <si>
    <t>Manpower Shortage</t>
  </si>
  <si>
    <t>PR-0307</t>
  </si>
  <si>
    <t>B260429-L3A</t>
  </si>
  <si>
    <t>PR-0296</t>
  </si>
  <si>
    <t>B260428-L4A</t>
  </si>
  <si>
    <t>PR-0245</t>
  </si>
  <si>
    <t>B260423-L3A</t>
  </si>
  <si>
    <t>PR-0057</t>
  </si>
  <si>
    <t>B260406-L4A</t>
  </si>
  <si>
    <t>PR-0194</t>
  </si>
  <si>
    <t>TP-SN-100</t>
  </si>
  <si>
    <t>Sensitive Toothpaste 100g</t>
  </si>
  <si>
    <t>B260418-L1B</t>
  </si>
  <si>
    <t>PR-0287</t>
  </si>
  <si>
    <t>B260427-L3B</t>
  </si>
  <si>
    <t>PR-0241</t>
  </si>
  <si>
    <t>B260422-L3C</t>
  </si>
  <si>
    <t>PR-0253</t>
  </si>
  <si>
    <t>B260423-L3C</t>
  </si>
  <si>
    <t>PR-0112</t>
  </si>
  <si>
    <t>B260410-L3C</t>
  </si>
  <si>
    <t>PR-0025</t>
  </si>
  <si>
    <t>B260403-L1A</t>
  </si>
  <si>
    <t>PR-0190</t>
  </si>
  <si>
    <t>B260418-L1A</t>
  </si>
  <si>
    <t>PR-0089</t>
  </si>
  <si>
    <t>B260408-L4C</t>
  </si>
  <si>
    <t>PR-0041</t>
  </si>
  <si>
    <t>B260404-L1B</t>
  </si>
  <si>
    <t>PR-0124</t>
  </si>
  <si>
    <t>B260411-L3C</t>
  </si>
  <si>
    <t>PR-0299</t>
  </si>
  <si>
    <t>B260428-L3B</t>
  </si>
  <si>
    <t>PR-0021</t>
  </si>
  <si>
    <t>B260402-L1C</t>
  </si>
  <si>
    <t>PR-0275</t>
  </si>
  <si>
    <t>B260425-L1C</t>
  </si>
  <si>
    <t>PR-0265</t>
  </si>
  <si>
    <t>B260424-L3C</t>
  </si>
  <si>
    <t>PR-0049</t>
  </si>
  <si>
    <t>B260405-L1A</t>
  </si>
  <si>
    <t>PR-0127</t>
  </si>
  <si>
    <t>B260412-L3A</t>
  </si>
  <si>
    <t>PR-0108</t>
  </si>
  <si>
    <t>B260410-L3B</t>
  </si>
  <si>
    <t>PR-0033</t>
  </si>
  <si>
    <t>B260403-L1C</t>
  </si>
  <si>
    <t>PR-0174</t>
  </si>
  <si>
    <t>B260416-L1C</t>
  </si>
  <si>
    <t>PR-0084</t>
  </si>
  <si>
    <t>B260408-L3B</t>
  </si>
  <si>
    <t>PR-0078</t>
  </si>
  <si>
    <t>B260408-L1A</t>
  </si>
  <si>
    <t>PR-0045</t>
  </si>
  <si>
    <t>B260404-L1C</t>
  </si>
  <si>
    <t>PR-0186</t>
  </si>
  <si>
    <t>B260417-L1C</t>
  </si>
  <si>
    <t>PR-0013</t>
  </si>
  <si>
    <t>B260402-L1A</t>
  </si>
  <si>
    <t>PR-0261</t>
  </si>
  <si>
    <t>B260424-L3B</t>
  </si>
  <si>
    <t>PR-0007</t>
  </si>
  <si>
    <t>B260401-L3B</t>
  </si>
  <si>
    <t>PR-0255</t>
  </si>
  <si>
    <t>B260424-L1A</t>
  </si>
  <si>
    <t>PR-0088</t>
  </si>
  <si>
    <t>B260408-L3C</t>
  </si>
  <si>
    <t>PR-0011</t>
  </si>
  <si>
    <t>B260401-L3C</t>
  </si>
  <si>
    <t>PR-0170</t>
  </si>
  <si>
    <t>B260416-L1B</t>
  </si>
  <si>
    <t>PR-0066</t>
  </si>
  <si>
    <t>B260407-L1A</t>
  </si>
  <si>
    <t>PR-0052</t>
  </si>
  <si>
    <t>B260405-L1B</t>
  </si>
  <si>
    <t>PR-0267</t>
  </si>
  <si>
    <t>B260425-L1A</t>
  </si>
  <si>
    <t>PR-0104</t>
  </si>
  <si>
    <t>B260410-L3A</t>
  </si>
  <si>
    <t>PR-0080</t>
  </si>
  <si>
    <t>B260408-L3A</t>
  </si>
  <si>
    <t>PR-0023</t>
  </si>
  <si>
    <t>B260402-L3C</t>
  </si>
  <si>
    <t>PR-0054</t>
  </si>
  <si>
    <t>B260406-L1A</t>
  </si>
  <si>
    <t>PR-0098</t>
  </si>
  <si>
    <t>B260409-L1C</t>
  </si>
  <si>
    <t>PR-0043</t>
  </si>
  <si>
    <t>B260404-L3B</t>
  </si>
  <si>
    <t>PR-0031</t>
  </si>
  <si>
    <t>B260403-L3B</t>
  </si>
  <si>
    <t>PR-0305</t>
  </si>
  <si>
    <t>B260429-L1A</t>
  </si>
  <si>
    <t>PR-0130</t>
  </si>
  <si>
    <t>B260413-L1A</t>
  </si>
  <si>
    <t>PR-0259</t>
  </si>
  <si>
    <t>B260424-L1B</t>
  </si>
  <si>
    <t>PR-0005</t>
  </si>
  <si>
    <t>B260401-L1B</t>
  </si>
  <si>
    <t>PR-0056</t>
  </si>
  <si>
    <t>B260406-L3A</t>
  </si>
  <si>
    <t>PR-0219</t>
  </si>
  <si>
    <t>B260421-L1A</t>
  </si>
  <si>
    <t>PR-0035</t>
  </si>
  <si>
    <t>B260403-L3C</t>
  </si>
  <si>
    <t>PR-0239</t>
  </si>
  <si>
    <t>B260422-L1C</t>
  </si>
  <si>
    <t>PR-0271</t>
  </si>
  <si>
    <t>B260425-L1B</t>
  </si>
  <si>
    <t>PR-0247</t>
  </si>
  <si>
    <t>B260423-L1B</t>
  </si>
  <si>
    <t>PR-0198</t>
  </si>
  <si>
    <t>B260418-L1C</t>
  </si>
  <si>
    <t>PR-0162</t>
  </si>
  <si>
    <t>B260415-L1C</t>
  </si>
  <si>
    <t>PR-0158</t>
  </si>
  <si>
    <t>B260415-L1B</t>
  </si>
  <si>
    <t>PR-0297</t>
  </si>
  <si>
    <t>B260428-L1B</t>
  </si>
  <si>
    <t>PR-0202</t>
  </si>
  <si>
    <t>B260419-L1A</t>
  </si>
  <si>
    <t>PR-0289</t>
  </si>
  <si>
    <t>B260427-L1C</t>
  </si>
  <si>
    <t>PR-0150</t>
  </si>
  <si>
    <t>B260414-L1C</t>
  </si>
  <si>
    <t>PR-0062</t>
  </si>
  <si>
    <t>B260406-L1C</t>
  </si>
  <si>
    <t>PR-0166</t>
  </si>
  <si>
    <t>B260416-L1A</t>
  </si>
  <si>
    <t>PR-0072</t>
  </si>
  <si>
    <t>B260407-L3B</t>
  </si>
  <si>
    <t>PR-0263</t>
  </si>
  <si>
    <t>B260424-L1C</t>
  </si>
  <si>
    <t>PR-0114</t>
  </si>
  <si>
    <t>B260411-L1A</t>
  </si>
  <si>
    <t>PR-0146</t>
  </si>
  <si>
    <t>B260414-L1B</t>
  </si>
  <si>
    <t>PR-0102</t>
  </si>
  <si>
    <t>B260410-L1A</t>
  </si>
  <si>
    <t>PR-0325</t>
  </si>
  <si>
    <t>B260430-L1C</t>
  </si>
  <si>
    <t>PR-0094</t>
  </si>
  <si>
    <t>B260409-L1B</t>
  </si>
  <si>
    <t>PR-0318</t>
  </si>
  <si>
    <t>MW-AF-250</t>
  </si>
  <si>
    <t>Alcohol-Free Mouthwash 250ml</t>
  </si>
  <si>
    <t>B260430-L2A</t>
  </si>
  <si>
    <t>PR-0224</t>
  </si>
  <si>
    <t>B260421-L2B</t>
  </si>
  <si>
    <t>PR-0244</t>
  </si>
  <si>
    <t>B260423-L2A</t>
  </si>
  <si>
    <t>PR-0106</t>
  </si>
  <si>
    <t>B260410-L1B</t>
  </si>
  <si>
    <t>PR-0306</t>
  </si>
  <si>
    <t>B260429-L2A</t>
  </si>
  <si>
    <t>PR-0282</t>
  </si>
  <si>
    <t>B260427-L2A</t>
  </si>
  <si>
    <t>PR-0134</t>
  </si>
  <si>
    <t>B260413-L1B</t>
  </si>
  <si>
    <t>PR-0216</t>
  </si>
  <si>
    <t>B260420-L2C</t>
  </si>
  <si>
    <t>PR-0240</t>
  </si>
  <si>
    <t>B260422-L2C</t>
  </si>
  <si>
    <t>PR-0256</t>
  </si>
  <si>
    <t>B260424-L2A</t>
  </si>
  <si>
    <t>PR-0110</t>
  </si>
  <si>
    <t>B260410-L1C</t>
  </si>
  <si>
    <t>PR-0195</t>
  </si>
  <si>
    <t>B260418-L2B</t>
  </si>
  <si>
    <t>PR-0298</t>
  </si>
  <si>
    <t>B260428-L2B</t>
  </si>
  <si>
    <t>PR-0276</t>
  </si>
  <si>
    <t>B260425-L2C</t>
  </si>
  <si>
    <t>PR-0286</t>
  </si>
  <si>
    <t>B260427-L2B</t>
  </si>
  <si>
    <t>PR-0264</t>
  </si>
  <si>
    <t>B260424-L2C</t>
  </si>
  <si>
    <t>PR-0268</t>
  </si>
  <si>
    <t>B260425-L2A</t>
  </si>
  <si>
    <t>PR-0252</t>
  </si>
  <si>
    <t>B260423-L2C</t>
  </si>
  <si>
    <t>PR-0211</t>
  </si>
  <si>
    <t>B260420-L1B</t>
  </si>
  <si>
    <t>PR-0319</t>
  </si>
  <si>
    <t>FL-PK-100</t>
  </si>
  <si>
    <t>Floss Picks (100 pcs)</t>
  </si>
  <si>
    <t>B260430-L3A</t>
  </si>
  <si>
    <t>PR-0314</t>
  </si>
  <si>
    <t>B260429-L2C</t>
  </si>
  <si>
    <t>PR-0272</t>
  </si>
  <si>
    <t>B260425-L2B</t>
  </si>
  <si>
    <t>PR-0295</t>
  </si>
  <si>
    <t>B260428-L3A</t>
  </si>
  <si>
    <t>PR-0260</t>
  </si>
  <si>
    <t>B260424-L2B</t>
  </si>
  <si>
    <t>PR-0107</t>
  </si>
  <si>
    <t>B260410-L2B</t>
  </si>
  <si>
    <t>PR-0191</t>
  </si>
  <si>
    <t>B260418-L2A</t>
  </si>
  <si>
    <t>PR-0006</t>
  </si>
  <si>
    <t>B260401-L2B</t>
  </si>
  <si>
    <t>PR-0095</t>
  </si>
  <si>
    <t>B260409-L2B</t>
  </si>
  <si>
    <t>PR-0099</t>
  </si>
  <si>
    <t>B260409-L2C</t>
  </si>
  <si>
    <t>PR-0068</t>
  </si>
  <si>
    <t>B260407-L3A</t>
  </si>
  <si>
    <t>PR-0039</t>
  </si>
  <si>
    <t>B260404-L3A</t>
  </si>
  <si>
    <t>PR-0302</t>
  </si>
  <si>
    <t>B260428-L2C</t>
  </si>
  <si>
    <t>PR-0115</t>
  </si>
  <si>
    <t>B260411-L2A</t>
  </si>
  <si>
    <t>PR-0120</t>
  </si>
  <si>
    <t>B260411-L3B</t>
  </si>
  <si>
    <t>PR-0322</t>
  </si>
  <si>
    <t>B260430-L2B</t>
  </si>
  <si>
    <t>PR-0060</t>
  </si>
  <si>
    <t>B260406-L3B</t>
  </si>
  <si>
    <t>PR-0135</t>
  </si>
  <si>
    <t>B260413-L2B</t>
  </si>
  <si>
    <t>PR-0187</t>
  </si>
  <si>
    <t>B260417-L2C</t>
  </si>
  <si>
    <t>PR-0220</t>
  </si>
  <si>
    <t>B260421-L2A</t>
  </si>
  <si>
    <t>PR-0071</t>
  </si>
  <si>
    <t>B260407-L2B</t>
  </si>
  <si>
    <t>PR-0228</t>
  </si>
  <si>
    <t>B260421-L2C</t>
  </si>
  <si>
    <t>PR-0248</t>
  </si>
  <si>
    <t>B260423-L2B</t>
  </si>
  <si>
    <t>PR-0055</t>
  </si>
  <si>
    <t>B260406-L2A</t>
  </si>
  <si>
    <t>PR-0236</t>
  </si>
  <si>
    <t>B260422-L2B</t>
  </si>
  <si>
    <t>PR-0279</t>
  </si>
  <si>
    <t>B260426-L3A</t>
  </si>
  <si>
    <t>PR-0010</t>
  </si>
  <si>
    <t>B260401-L2C</t>
  </si>
  <si>
    <t>PR-0022</t>
  </si>
  <si>
    <t>B260402-L2C</t>
  </si>
  <si>
    <t>PR-0273</t>
  </si>
  <si>
    <t>B260425-L3B</t>
  </si>
  <si>
    <t>PR-0139</t>
  </si>
  <si>
    <t>B260413-L2C</t>
  </si>
  <si>
    <t>PR-0148</t>
  </si>
  <si>
    <t>B260414-L3B</t>
  </si>
  <si>
    <t>PR-0002</t>
  </si>
  <si>
    <t>B260401-L2A</t>
  </si>
  <si>
    <t>PR-0147</t>
  </si>
  <si>
    <t>B260414-L2B</t>
  </si>
  <si>
    <t>PR-0249</t>
  </si>
  <si>
    <t>B260423-L3B</t>
  </si>
  <si>
    <t>PR-0156</t>
  </si>
  <si>
    <t>B260415-L3A</t>
  </si>
  <si>
    <t>PR-0027</t>
  </si>
  <si>
    <t>B260403-L3A</t>
  </si>
  <si>
    <t>PR-0212</t>
  </si>
  <si>
    <t>B260420-L2B</t>
  </si>
  <si>
    <t>PR-0050</t>
  </si>
  <si>
    <t>B260405-L2A</t>
  </si>
  <si>
    <t>PR-0257</t>
  </si>
  <si>
    <t>B260424-L3A</t>
  </si>
  <si>
    <t>PR-0160</t>
  </si>
  <si>
    <t>B260415-L3B</t>
  </si>
  <si>
    <t>PR-0269</t>
  </si>
  <si>
    <t>B260425-L3A</t>
  </si>
  <si>
    <t>PR-0046</t>
  </si>
  <si>
    <t>B260404-L2C</t>
  </si>
  <si>
    <t>PR-0208</t>
  </si>
  <si>
    <t>B260420-L2A</t>
  </si>
  <si>
    <t>PR-0200</t>
  </si>
  <si>
    <t>B260418-L3C</t>
  </si>
  <si>
    <t>PR-0209</t>
  </si>
  <si>
    <t>B260420-L3A</t>
  </si>
  <si>
    <t>PR-0233</t>
  </si>
  <si>
    <t>B260422-L3A</t>
  </si>
  <si>
    <t>PR-0143</t>
  </si>
  <si>
    <t>B260414-L2A</t>
  </si>
  <si>
    <t>PR-0188</t>
  </si>
  <si>
    <t>B260417-L3C</t>
  </si>
  <si>
    <t>PR-0213</t>
  </si>
  <si>
    <t>B260420-L3B</t>
  </si>
  <si>
    <t>PR-0172</t>
  </si>
  <si>
    <t>B260416-L3B</t>
  </si>
  <si>
    <t>PR-0167</t>
  </si>
  <si>
    <t>B260416-L2A</t>
  </si>
  <si>
    <t>PR-0203</t>
  </si>
  <si>
    <t>B260419-L2A</t>
  </si>
  <si>
    <t>PR-0059</t>
  </si>
  <si>
    <t>B260406-L2B</t>
  </si>
  <si>
    <t>PR-0019</t>
  </si>
  <si>
    <t>B260402-L3B</t>
  </si>
  <si>
    <t>PR-0196</t>
  </si>
  <si>
    <t>B260418-L3B</t>
  </si>
  <si>
    <t>PR-0179</t>
  </si>
  <si>
    <t>B260417-L2A</t>
  </si>
  <si>
    <t>PR-0225</t>
  </si>
  <si>
    <t>B260421-L3B</t>
  </si>
  <si>
    <t>PR-0030</t>
  </si>
  <si>
    <t>B260403-L2B</t>
  </si>
  <si>
    <t>PR-0034</t>
  </si>
  <si>
    <t>B260403-L2C</t>
  </si>
  <si>
    <t>PR-0159</t>
  </si>
  <si>
    <t>B260415-L2B</t>
  </si>
  <si>
    <t>PR-0026</t>
  </si>
  <si>
    <t>B260403-L2A</t>
  </si>
  <si>
    <t>PR-0018</t>
  </si>
  <si>
    <t>B260402-L2B</t>
  </si>
  <si>
    <t>PR-0126</t>
  </si>
  <si>
    <t>B260412-L2A</t>
  </si>
  <si>
    <t>PR-0123</t>
  </si>
  <si>
    <t>B260411-L2C</t>
  </si>
  <si>
    <t>PR-0083</t>
  </si>
  <si>
    <t>B260408-L2B</t>
  </si>
  <si>
    <t>PR-0151</t>
  </si>
  <si>
    <t>B260414-L2C</t>
  </si>
  <si>
    <t>PR-0079</t>
  </si>
  <si>
    <t>B260408-L2A</t>
  </si>
  <si>
    <t>B260402-L2A</t>
  </si>
  <si>
    <t>PR-0087</t>
  </si>
  <si>
    <t>B260408-L2C</t>
  </si>
  <si>
    <t>PR-0119</t>
  </si>
  <si>
    <t>B260411-L2B</t>
  </si>
  <si>
    <t>PR-0091</t>
  </si>
  <si>
    <t>B260409-L2A</t>
  </si>
  <si>
    <t>PR-0009</t>
  </si>
  <si>
    <t>TP-CH-150</t>
  </si>
  <si>
    <t>Charcoal Toothpaste 150g</t>
  </si>
  <si>
    <t>B260401-L1C</t>
  </si>
  <si>
    <t>B260402-L1B</t>
  </si>
  <si>
    <t>PR-0029</t>
  </si>
  <si>
    <t>B260403-L1B</t>
  </si>
  <si>
    <t>PR-0118</t>
  </si>
  <si>
    <t>B260411-L1B</t>
  </si>
  <si>
    <t>PR-0182</t>
  </si>
  <si>
    <t>B260417-L1B</t>
  </si>
  <si>
    <t>PR-0070</t>
  </si>
  <si>
    <t>B260407-L1B</t>
  </si>
  <si>
    <t>PR-0037</t>
  </si>
  <si>
    <t>B260404-L1A</t>
  </si>
  <si>
    <t>PR-0215</t>
  </si>
  <si>
    <t>B260420-L1C</t>
  </si>
  <si>
    <t>PR-0178</t>
  </si>
  <si>
    <t>B260417-L1A</t>
  </si>
  <si>
    <t>PR-0090</t>
  </si>
  <si>
    <t>B260409-L1A</t>
  </si>
  <si>
    <t>PR-0058</t>
  </si>
  <si>
    <t>B260406-L1B</t>
  </si>
  <si>
    <t>PR-0207</t>
  </si>
  <si>
    <t>B260420-L1A</t>
  </si>
  <si>
    <t>PR-0074</t>
  </si>
  <si>
    <t>B260407-L1C</t>
  </si>
  <si>
    <t>PR-0223</t>
  </si>
  <si>
    <t>B260421-L1B</t>
  </si>
  <si>
    <t>PR-0122</t>
  </si>
  <si>
    <t>B260411-L1C</t>
  </si>
  <si>
    <t>PR-0082</t>
  </si>
  <si>
    <t>B260408-L1B</t>
  </si>
  <si>
    <t>PR-0138</t>
  </si>
  <si>
    <t>B260413-L1C</t>
  </si>
  <si>
    <t>PR-0154</t>
  </si>
  <si>
    <t>B260415-L1A</t>
  </si>
  <si>
    <t>PR-0231</t>
  </si>
  <si>
    <t>B260422-L1A</t>
  </si>
  <si>
    <t>PR-0301</t>
  </si>
  <si>
    <t>B260428-L1C</t>
  </si>
  <si>
    <t>PR-0313</t>
  </si>
  <si>
    <t>B260429-L1C</t>
  </si>
  <si>
    <t>PR-0327</t>
  </si>
  <si>
    <t>IB-ST-10</t>
  </si>
  <si>
    <t>Interdental Brush Pack of 10</t>
  </si>
  <si>
    <t>B260430-L3C</t>
  </si>
  <si>
    <t>PR-0086</t>
  </si>
  <si>
    <t>B260408-L1C</t>
  </si>
  <si>
    <t>PR-0227</t>
  </si>
  <si>
    <t>B260421-L1C</t>
  </si>
  <si>
    <t>PR-0142</t>
  </si>
  <si>
    <t>B260414-L1A</t>
  </si>
  <si>
    <t>PR-0315</t>
  </si>
  <si>
    <t>B260429-L3C</t>
  </si>
  <si>
    <t>PR-0243</t>
  </si>
  <si>
    <t>B260423-L1A</t>
  </si>
  <si>
    <t>PR-0235</t>
  </si>
  <si>
    <t>B260422-L1B</t>
  </si>
  <si>
    <t>PR-0047</t>
  </si>
  <si>
    <t>B260404-L3C</t>
  </si>
  <si>
    <t>PR-0003</t>
  </si>
  <si>
    <t>B260401-L3A</t>
  </si>
  <si>
    <t>PR-0015</t>
  </si>
  <si>
    <t>B260402-L3A</t>
  </si>
  <si>
    <t>PR-0251</t>
  </si>
  <si>
    <t>B260423-L1C</t>
  </si>
  <si>
    <t>PR-0303</t>
  </si>
  <si>
    <t>B260428-L3C</t>
  </si>
  <si>
    <t>PR-0064</t>
  </si>
  <si>
    <t>B260406-L3C</t>
  </si>
  <si>
    <t>PR-0129</t>
  </si>
  <si>
    <t>B260412-L3B</t>
  </si>
  <si>
    <t>PR-0092</t>
  </si>
  <si>
    <t>B260409-L3A</t>
  </si>
  <si>
    <t>PR-0100</t>
  </si>
  <si>
    <t>B260409-L3C</t>
  </si>
  <si>
    <t>PR-0229</t>
  </si>
  <si>
    <t>B260421-L3C</t>
  </si>
  <si>
    <t>PR-0277</t>
  </si>
  <si>
    <t>B260425-L3C</t>
  </si>
  <si>
    <t>PR-0204</t>
  </si>
  <si>
    <t>B260419-L3A</t>
  </si>
  <si>
    <t>PR-0283</t>
  </si>
  <si>
    <t>B260427-L3A</t>
  </si>
  <si>
    <t>PR-0221</t>
  </si>
  <si>
    <t>B260421-L3A</t>
  </si>
  <si>
    <t>PR-0280</t>
  </si>
  <si>
    <t>B260426-L3B</t>
  </si>
  <si>
    <t>PR-0096</t>
  </si>
  <si>
    <t>B260409-L3B</t>
  </si>
  <si>
    <t>PR-0291</t>
  </si>
  <si>
    <t>B260427-L3C</t>
  </si>
  <si>
    <t>PR-0140</t>
  </si>
  <si>
    <t>B260413-L3C</t>
  </si>
  <si>
    <t>PR-0076</t>
  </si>
  <si>
    <t>B260407-L3C</t>
  </si>
  <si>
    <t>PR-0326</t>
  </si>
  <si>
    <t>MW-MT-500</t>
  </si>
  <si>
    <t>Mint Mouthwash 500ml</t>
  </si>
  <si>
    <t>B260430-L2C</t>
  </si>
  <si>
    <t>PR-0310</t>
  </si>
  <si>
    <t>B260429-L2B</t>
  </si>
  <si>
    <t>PR-0290</t>
  </si>
  <si>
    <t>B260427-L2C</t>
  </si>
  <si>
    <t>PR-0294</t>
  </si>
  <si>
    <t>B260428-L2A</t>
  </si>
  <si>
    <t>PR-0183</t>
  </si>
  <si>
    <t>B260417-L2B</t>
  </si>
  <si>
    <t>PR-0232</t>
  </si>
  <si>
    <t>B260422-L2A</t>
  </si>
  <si>
    <t>PR-0205</t>
  </si>
  <si>
    <t>B260419-L2B</t>
  </si>
  <si>
    <t>PR-0171</t>
  </si>
  <si>
    <t>B260416-L2B</t>
  </si>
  <si>
    <t>PR-0199</t>
  </si>
  <si>
    <t>B260418-L2C</t>
  </si>
  <si>
    <t>PR-0175</t>
  </si>
  <si>
    <t>B260416-L2C</t>
  </si>
  <si>
    <t>PR-0163</t>
  </si>
  <si>
    <t>B260415-L2C</t>
  </si>
  <si>
    <t>PR-0103</t>
  </si>
  <si>
    <t>B260410-L2A</t>
  </si>
  <si>
    <t>PR-0155</t>
  </si>
  <si>
    <t>B260415-L2A</t>
  </si>
  <si>
    <t>PR-0038</t>
  </si>
  <si>
    <t>B260404-L2A</t>
  </si>
  <si>
    <t>PR-0042</t>
  </si>
  <si>
    <t>B260404-L2B</t>
  </si>
  <si>
    <t>PR-0075</t>
  </si>
  <si>
    <t>B260407-L2C</t>
  </si>
  <si>
    <t>PR-0111</t>
  </si>
  <si>
    <t>B260410-L2C</t>
  </si>
  <si>
    <t>PR-0131</t>
  </si>
  <si>
    <t>B260413-L2A</t>
  </si>
  <si>
    <t>PR-0177</t>
  </si>
  <si>
    <t>TB-EL-01</t>
  </si>
  <si>
    <t>Electric Toothbrush Head Pack</t>
  </si>
  <si>
    <t>B260416-L4C</t>
  </si>
  <si>
    <t>PR-0324</t>
  </si>
  <si>
    <t>B260430-L4B</t>
  </si>
  <si>
    <t>PR-0165</t>
  </si>
  <si>
    <t>B260415-L4C</t>
  </si>
  <si>
    <t>PR-0063</t>
  </si>
  <si>
    <t>B260406-L2C</t>
  </si>
  <si>
    <t>PR-0185</t>
  </si>
  <si>
    <t>B260417-L4B</t>
  </si>
  <si>
    <t>PR-0117</t>
  </si>
  <si>
    <t>B260411-L4A</t>
  </si>
  <si>
    <t>PR-0173</t>
  </si>
  <si>
    <t>B260416-L4B</t>
  </si>
  <si>
    <t>PR-0113</t>
  </si>
  <si>
    <t>B260410-L4C</t>
  </si>
  <si>
    <t>PR-0157</t>
  </si>
  <si>
    <t>B260415-L4A</t>
  </si>
  <si>
    <t>PR-0067</t>
  </si>
  <si>
    <t>B260407-L2A</t>
  </si>
  <si>
    <t>PR-0149</t>
  </si>
  <si>
    <t>B260414-L4B</t>
  </si>
  <si>
    <t>PR-0197</t>
  </si>
  <si>
    <t>B260418-L4B</t>
  </si>
  <si>
    <t>PR-0121</t>
  </si>
  <si>
    <t>B260411-L4B</t>
  </si>
  <si>
    <t>PR-0128</t>
  </si>
  <si>
    <t>B260412-L4A</t>
  </si>
  <si>
    <t>PR-0125</t>
  </si>
  <si>
    <t>B260411-L4C</t>
  </si>
  <si>
    <t>PR-0242</t>
  </si>
  <si>
    <t>B260422-L4C</t>
  </si>
  <si>
    <t>PR-0312</t>
  </si>
  <si>
    <t>B260429-L4B</t>
  </si>
  <si>
    <t>PR-0189</t>
  </si>
  <si>
    <t>B260417-L4C</t>
  </si>
  <si>
    <t>PR-0093</t>
  </si>
  <si>
    <t>B260409-L4A</t>
  </si>
  <si>
    <t>PR-0234</t>
  </si>
  <si>
    <t>B260422-L4A</t>
  </si>
  <si>
    <t>PR-0262</t>
  </si>
  <si>
    <t>B260424-L4B</t>
  </si>
  <si>
    <t>PR-0016</t>
  </si>
  <si>
    <t>B260402-L4A</t>
  </si>
  <si>
    <t>PR-0081</t>
  </si>
  <si>
    <t>=SUM(IF('Data'!J2:J2001 = "MW-MT-250",('Data'!AB2:AB2001 - 'Data'!AC2:AC2001)*'Data'!Z2:Z2001)</t>
  </si>
  <si>
    <t>B260408-L4A</t>
  </si>
  <si>
    <t>PR-0270</t>
  </si>
  <si>
    <t>B260425-L4A</t>
  </si>
  <si>
    <t>PR-0008</t>
  </si>
  <si>
    <t>B260401-L4B</t>
  </si>
  <si>
    <t>PR-0020</t>
  </si>
  <si>
    <t>B260402-L4B</t>
  </si>
  <si>
    <t>PR-0048</t>
  </si>
  <si>
    <t>B260404-L4C</t>
  </si>
  <si>
    <t>PR-0218</t>
  </si>
  <si>
    <t>B260420-L4C</t>
  </si>
  <si>
    <t>PR-0069</t>
  </si>
  <si>
    <t>B260407-L4A</t>
  </si>
  <si>
    <t>PR-0053</t>
  </si>
  <si>
    <t>B260405-L4B</t>
  </si>
  <si>
    <t>PR-0266</t>
  </si>
  <si>
    <t>B260424-L4C</t>
  </si>
  <si>
    <t>PR-0051</t>
  </si>
  <si>
    <t>B260405-L4A</t>
  </si>
  <si>
    <t>PR-0004</t>
  </si>
  <si>
    <t>B260401-L4A</t>
  </si>
  <si>
    <t>PR-0642</t>
  </si>
  <si>
    <t>May-2026</t>
  </si>
  <si>
    <t>B260529-L4B</t>
  </si>
  <si>
    <t>PR-0590</t>
  </si>
  <si>
    <t>B260525-L4A</t>
  </si>
  <si>
    <t>PR-0557</t>
  </si>
  <si>
    <t>B260521-L4C</t>
  </si>
  <si>
    <t>PR-0662</t>
  </si>
  <si>
    <t>B260531-L4B</t>
  </si>
  <si>
    <t>PR-0553</t>
  </si>
  <si>
    <t>B260521-L4B</t>
  </si>
  <si>
    <t>PR-0369</t>
  </si>
  <si>
    <t>B260504-L4C</t>
  </si>
  <si>
    <t>PR-0569</t>
  </si>
  <si>
    <t>B260522-L4C</t>
  </si>
  <si>
    <t>PR-0626</t>
  </si>
  <si>
    <t>B260528-L4A</t>
  </si>
  <si>
    <t>PR-0584</t>
  </si>
  <si>
    <t>B260524-L4A</t>
  </si>
  <si>
    <t>PR-0622</t>
  </si>
  <si>
    <t>B260527-L4C</t>
  </si>
  <si>
    <t>PR-0533</t>
  </si>
  <si>
    <t>B260519-L4C</t>
  </si>
  <si>
    <t>PR-0344</t>
  </si>
  <si>
    <t>B260502-L4A</t>
  </si>
  <si>
    <t>PR-0361</t>
  </si>
  <si>
    <t>B260504-L4A</t>
  </si>
  <si>
    <t>PR-0389</t>
  </si>
  <si>
    <t>B260506-L4B</t>
  </si>
  <si>
    <t>PR-0417</t>
  </si>
  <si>
    <t>B260508-L4C</t>
  </si>
  <si>
    <t>PR-0405</t>
  </si>
  <si>
    <t>B260507-L4C</t>
  </si>
  <si>
    <t>PR-0409</t>
  </si>
  <si>
    <t>B260508-L4A</t>
  </si>
  <si>
    <t>PR-0529</t>
  </si>
  <si>
    <t>B260519-L4B</t>
  </si>
  <si>
    <t>PR-0430</t>
  </si>
  <si>
    <t>B260510-L4A</t>
  </si>
  <si>
    <t>PR-0336</t>
  </si>
  <si>
    <t>B260501-L4B</t>
  </si>
  <si>
    <t>PR-0465</t>
  </si>
  <si>
    <t>B260513-L4B</t>
  </si>
  <si>
    <t>PR-0497</t>
  </si>
  <si>
    <t>B260516-L4A</t>
  </si>
  <si>
    <t>PR-0509</t>
  </si>
  <si>
    <t>B260517-L4B</t>
  </si>
  <si>
    <t>PR-0441</t>
  </si>
  <si>
    <t>B260511-L4B</t>
  </si>
  <si>
    <t>PR-0489</t>
  </si>
  <si>
    <t>B260515-L4B</t>
  </si>
  <si>
    <t>PR-0473</t>
  </si>
  <si>
    <t>B260514-L4A</t>
  </si>
  <si>
    <t>PR-0429</t>
  </si>
  <si>
    <t>B260509-L4C</t>
  </si>
  <si>
    <t>PR-0445</t>
  </si>
  <si>
    <t>B260511-L4C</t>
  </si>
  <si>
    <t>PR-0660</t>
  </si>
  <si>
    <t>B260531-L4A</t>
  </si>
  <si>
    <t>PR-0593</t>
  </si>
  <si>
    <t>B260525-L3B</t>
  </si>
  <si>
    <t>PR-0449</t>
  </si>
  <si>
    <t>B260512-L4A</t>
  </si>
  <si>
    <t>PR-0650</t>
  </si>
  <si>
    <t>B260530-L4A</t>
  </si>
  <si>
    <t>PR-0453</t>
  </si>
  <si>
    <t>B260512-L4B</t>
  </si>
  <si>
    <t>PR-0638</t>
  </si>
  <si>
    <t>B260529-L4A</t>
  </si>
  <si>
    <t>PR-0617</t>
  </si>
  <si>
    <t>B260527-L3B</t>
  </si>
  <si>
    <t>PR-0477</t>
  </si>
  <si>
    <t>B260514-L4B</t>
  </si>
  <si>
    <t>PR-0506</t>
  </si>
  <si>
    <t>B260517-L1A</t>
  </si>
  <si>
    <t>PR-0614</t>
  </si>
  <si>
    <t>B260527-L4A</t>
  </si>
  <si>
    <t>PR-0652</t>
  </si>
  <si>
    <t>B260530-L2B</t>
  </si>
  <si>
    <t>PR-0469</t>
  </si>
  <si>
    <t>B260513-L4C</t>
  </si>
  <si>
    <t>PR-0576</t>
  </si>
  <si>
    <t>B260523-L3B</t>
  </si>
  <si>
    <t>PR-0536</t>
  </si>
  <si>
    <t>B260520-L3A</t>
  </si>
  <si>
    <t>PR-0425</t>
  </si>
  <si>
    <t>B260509-L4B</t>
  </si>
  <si>
    <t>PR-0481</t>
  </si>
  <si>
    <t>B260514-L4C</t>
  </si>
  <si>
    <t>PR-0560</t>
  </si>
  <si>
    <t>B260522-L3A</t>
  </si>
  <si>
    <t>PR-0544</t>
  </si>
  <si>
    <t>B260520-L3C</t>
  </si>
  <si>
    <t>PR-0458</t>
  </si>
  <si>
    <t>B260513-L1A</t>
  </si>
  <si>
    <t>PR-0386</t>
  </si>
  <si>
    <t>B260506-L1B</t>
  </si>
  <si>
    <t>PR-0502</t>
  </si>
  <si>
    <t>B260516-L1C</t>
  </si>
  <si>
    <t>PR-0537</t>
  </si>
  <si>
    <t>B260520-L4A</t>
  </si>
  <si>
    <t>PR-0542</t>
  </si>
  <si>
    <t>B260520-L1C</t>
  </si>
  <si>
    <t>PR-0513</t>
  </si>
  <si>
    <t>B260518-L4A</t>
  </si>
  <si>
    <t>PR-0485</t>
  </si>
  <si>
    <t>B260515-L4A</t>
  </si>
  <si>
    <t>PR-0534</t>
  </si>
  <si>
    <t>B260520-L1A</t>
  </si>
  <si>
    <t>PR-0577</t>
  </si>
  <si>
    <t>B260523-L4B</t>
  </si>
  <si>
    <t>PR-0370</t>
  </si>
  <si>
    <t>B260505-L1A</t>
  </si>
  <si>
    <t>PR-0460</t>
  </si>
  <si>
    <t>B260513-L3A</t>
  </si>
  <si>
    <t>PR-0384</t>
  </si>
  <si>
    <t>B260506-L3A</t>
  </si>
  <si>
    <t>PR-0528</t>
  </si>
  <si>
    <t>B260519-L3B</t>
  </si>
  <si>
    <t>PR-0388</t>
  </si>
  <si>
    <t>B260506-L3B</t>
  </si>
  <si>
    <t>PR-0393</t>
  </si>
  <si>
    <t>B260506-L4C</t>
  </si>
  <si>
    <t>PR-0466</t>
  </si>
  <si>
    <t>B260513-L1C</t>
  </si>
  <si>
    <t>PR-0581</t>
  </si>
  <si>
    <t>B260523-L4C</t>
  </si>
  <si>
    <t>PR-0493</t>
  </si>
  <si>
    <t>B260515-L4C</t>
  </si>
  <si>
    <t>PR-0636</t>
  </si>
  <si>
    <t>B260529-L2A</t>
  </si>
  <si>
    <t>PR-0397</t>
  </si>
  <si>
    <t>B260507-L4A</t>
  </si>
  <si>
    <t>PR-0492</t>
  </si>
  <si>
    <t>B260515-L3C</t>
  </si>
  <si>
    <t>PR-0526</t>
  </si>
  <si>
    <t>B260519-L1B</t>
  </si>
  <si>
    <t>PR-0517</t>
  </si>
  <si>
    <t>B260518-L4B</t>
  </si>
  <si>
    <t>PR-0520</t>
  </si>
  <si>
    <t>B260518-L3C</t>
  </si>
  <si>
    <t>PR-0406</t>
  </si>
  <si>
    <t>B260508-L1A</t>
  </si>
  <si>
    <t>PR-0365</t>
  </si>
  <si>
    <t>B260504-L4B</t>
  </si>
  <si>
    <t>PR-0448</t>
  </si>
  <si>
    <t>B260512-L3A</t>
  </si>
  <si>
    <t>PR-0562</t>
  </si>
  <si>
    <t>B260522-L1B</t>
  </si>
  <si>
    <t>PR-0508</t>
  </si>
  <si>
    <t>B260517-L4A</t>
  </si>
  <si>
    <t>PR-0400</t>
  </si>
  <si>
    <t>B260507-L3B</t>
  </si>
  <si>
    <t>PR-0456</t>
  </si>
  <si>
    <t>B260512-L3C</t>
  </si>
  <si>
    <t>PR-0426</t>
  </si>
  <si>
    <t>B260509-L1C</t>
  </si>
  <si>
    <t>PR-0561</t>
  </si>
  <si>
    <t>B260522-L4A</t>
  </si>
  <si>
    <t>PR-0586</t>
  </si>
  <si>
    <t>B260524-L4B</t>
  </si>
  <si>
    <t>PR-0602</t>
  </si>
  <si>
    <t>B260526-L4A</t>
  </si>
  <si>
    <t>PR-0570</t>
  </si>
  <si>
    <t>B260523-L1A</t>
  </si>
  <si>
    <t>PR-0408</t>
  </si>
  <si>
    <t>B260508-L3A</t>
  </si>
  <si>
    <t>PR-0541</t>
  </si>
  <si>
    <t>B260520-L4B</t>
  </si>
  <si>
    <t>PR-0362</t>
  </si>
  <si>
    <t>B260504-L1B</t>
  </si>
  <si>
    <t>PR-0355</t>
  </si>
  <si>
    <t>B260503-L1B</t>
  </si>
  <si>
    <t>PR-0347</t>
  </si>
  <si>
    <t>B260502-L3B</t>
  </si>
  <si>
    <t>PR-0332</t>
  </si>
  <si>
    <t>B260501-L4A</t>
  </si>
  <si>
    <t>PR-0333</t>
  </si>
  <si>
    <t>B260501-L1B</t>
  </si>
  <si>
    <t>PR-0474</t>
  </si>
  <si>
    <t>B260514-L1B</t>
  </si>
  <si>
    <t>PR-0446</t>
  </si>
  <si>
    <t>B260512-L1A</t>
  </si>
  <si>
    <t>PR-0339</t>
  </si>
  <si>
    <t>B260501-L3C</t>
  </si>
  <si>
    <t>PR-0624</t>
  </si>
  <si>
    <t>B260528-L2A</t>
  </si>
  <si>
    <t>PR-0357</t>
  </si>
  <si>
    <t>B260503-L3B</t>
  </si>
  <si>
    <t>PR-0549</t>
  </si>
  <si>
    <t>B260521-L4A</t>
  </si>
  <si>
    <t>PR-0628</t>
  </si>
  <si>
    <t>B260528-L2B</t>
  </si>
  <si>
    <t>PR-0515</t>
  </si>
  <si>
    <t>B260518-L2B</t>
  </si>
  <si>
    <t>PR-0578</t>
  </si>
  <si>
    <t>B260523-L1C</t>
  </si>
  <si>
    <t>PR-0416</t>
  </si>
  <si>
    <t>B260508-L3C</t>
  </si>
  <si>
    <t>PR-0657</t>
  </si>
  <si>
    <t>B260530-L3C</t>
  </si>
  <si>
    <t>PR-0495</t>
  </si>
  <si>
    <t>B260516-L2A</t>
  </si>
  <si>
    <t>PR-0545</t>
  </si>
  <si>
    <t>B260520-L4C</t>
  </si>
  <si>
    <t>PR-0645</t>
  </si>
  <si>
    <t>B260529-L3C</t>
  </si>
  <si>
    <t>PR-0641</t>
  </si>
  <si>
    <t>B260529-L3B</t>
  </si>
  <si>
    <t>PR-0616</t>
  </si>
  <si>
    <t>B260527-L2B</t>
  </si>
  <si>
    <t>PR-0653</t>
  </si>
  <si>
    <t>B260530-L3B</t>
  </si>
  <si>
    <t>PR-0519</t>
  </si>
  <si>
    <t>B260518-L2C</t>
  </si>
  <si>
    <t>PR-0531</t>
  </si>
  <si>
    <t>B260519-L2C</t>
  </si>
  <si>
    <t>PR-0649</t>
  </si>
  <si>
    <t>B260530-L3A</t>
  </si>
  <si>
    <t>PR-0629</t>
  </si>
  <si>
    <t>B260528-L3B</t>
  </si>
  <si>
    <t>PR-0547</t>
  </si>
  <si>
    <t>B260521-L2A</t>
  </si>
  <si>
    <t>PR-0637</t>
  </si>
  <si>
    <t>B260529-L3A</t>
  </si>
  <si>
    <t>PR-0623</t>
  </si>
  <si>
    <t>B260528-L1A</t>
  </si>
  <si>
    <t>PR-0591</t>
  </si>
  <si>
    <t>B260525-L1B</t>
  </si>
  <si>
    <t>PR-0582</t>
  </si>
  <si>
    <t>B260524-L1A</t>
  </si>
  <si>
    <t>PR-0643</t>
  </si>
  <si>
    <t>B260529-L1C</t>
  </si>
  <si>
    <t>PR-0535</t>
  </si>
  <si>
    <t>B260520-L2A</t>
  </si>
  <si>
    <t>PR-0491</t>
  </si>
  <si>
    <t>B260515-L2C</t>
  </si>
  <si>
    <t>PR-0600</t>
  </si>
  <si>
    <t>B260526-L2A</t>
  </si>
  <si>
    <t>PR-0551</t>
  </si>
  <si>
    <t>B260521-L2B</t>
  </si>
  <si>
    <t>PR-0607</t>
  </si>
  <si>
    <t>B260526-L1C</t>
  </si>
  <si>
    <t>PR-0633</t>
  </si>
  <si>
    <t>B260528-L3C</t>
  </si>
  <si>
    <t>PR-0608</t>
  </si>
  <si>
    <t>B260526-L2C</t>
  </si>
  <si>
    <t>PR-0613</t>
  </si>
  <si>
    <t>B260527-L3A</t>
  </si>
  <si>
    <t>PR-0583</t>
  </si>
  <si>
    <t>B260524-L2A</t>
  </si>
  <si>
    <t>PR-0605</t>
  </si>
  <si>
    <t>B260526-L3B</t>
  </si>
  <si>
    <t>PR-0487</t>
  </si>
  <si>
    <t>B260515-L2B</t>
  </si>
  <si>
    <t>PR-0635</t>
  </si>
  <si>
    <t>B260529-L1A</t>
  </si>
  <si>
    <t>PR-0580</t>
  </si>
  <si>
    <t>B260523-L3C</t>
  </si>
  <si>
    <t>PR-0619</t>
  </si>
  <si>
    <t>B260527-L1C</t>
  </si>
  <si>
    <t>PR-0479</t>
  </si>
  <si>
    <t>B260514-L2C</t>
  </si>
  <si>
    <t>PR-0604</t>
  </si>
  <si>
    <t>B260526-L2B</t>
  </si>
  <si>
    <t>PR-0555</t>
  </si>
  <si>
    <t>B260521-L2C</t>
  </si>
  <si>
    <t>PR-0609</t>
  </si>
  <si>
    <t>B260526-L3C</t>
  </si>
  <si>
    <t>PR-0659</t>
  </si>
  <si>
    <t>B260531-L1A</t>
  </si>
  <si>
    <t>PR-0597</t>
  </si>
  <si>
    <t>B260525-L3C</t>
  </si>
  <si>
    <t>PR-0471</t>
  </si>
  <si>
    <t>B260514-L2A</t>
  </si>
  <si>
    <t>PR-0589</t>
  </si>
  <si>
    <t>B260525-L3A</t>
  </si>
  <si>
    <t>PR-0447</t>
  </si>
  <si>
    <t>B260512-L2A</t>
  </si>
  <si>
    <t>PR-0490</t>
  </si>
  <si>
    <t>B260515-L1C</t>
  </si>
  <si>
    <t>PR-0475</t>
  </si>
  <si>
    <t>B260514-L2B</t>
  </si>
  <si>
    <t>PR-0518</t>
  </si>
  <si>
    <t>B260518-L1C</t>
  </si>
  <si>
    <t>PR-0572</t>
  </si>
  <si>
    <t>B260523-L3A</t>
  </si>
  <si>
    <t>PR-0459</t>
  </si>
  <si>
    <t>B260513-L2A</t>
  </si>
  <si>
    <t>PR-0564</t>
  </si>
  <si>
    <t>B260522-L3B</t>
  </si>
  <si>
    <t>PR-0478</t>
  </si>
  <si>
    <t>B260514-L1C</t>
  </si>
  <si>
    <t>PR-0403</t>
  </si>
  <si>
    <t>B260507-L2C</t>
  </si>
  <si>
    <t>PR-0382</t>
  </si>
  <si>
    <t>B260506-L1A</t>
  </si>
  <si>
    <t>PR-0375</t>
  </si>
  <si>
    <t>B260505-L2B</t>
  </si>
  <si>
    <t>PR-0379</t>
  </si>
  <si>
    <t>B260505-L2C</t>
  </si>
  <si>
    <t>PR-0568</t>
  </si>
  <si>
    <t>B260522-L3C</t>
  </si>
  <si>
    <t>PR-0530</t>
  </si>
  <si>
    <t>B260519-L1C</t>
  </si>
  <si>
    <t>PR-0470</t>
  </si>
  <si>
    <t>B260514-L1A</t>
  </si>
  <si>
    <t>PR-0353</t>
  </si>
  <si>
    <t>B260503-L1A</t>
  </si>
  <si>
    <t>PR-0349</t>
  </si>
  <si>
    <t>B260502-L1C</t>
  </si>
  <si>
    <t>PR-0496</t>
  </si>
  <si>
    <t>B260516-L3A</t>
  </si>
  <si>
    <t>PR-0504</t>
  </si>
  <si>
    <t>B260516-L3C</t>
  </si>
  <si>
    <t>PR-0516</t>
  </si>
  <si>
    <t>B260518-L3B</t>
  </si>
  <si>
    <t>PR-0434</t>
  </si>
  <si>
    <t>B260511-L1A</t>
  </si>
  <si>
    <t>PR-0438</t>
  </si>
  <si>
    <t>B260511-L1B</t>
  </si>
  <si>
    <t>PR-0387</t>
  </si>
  <si>
    <t>B260506-L2B</t>
  </si>
  <si>
    <t>PR-0418</t>
  </si>
  <si>
    <t>B260509-L1A</t>
  </si>
  <si>
    <t>PR-0372</t>
  </si>
  <si>
    <t>B260505-L3A</t>
  </si>
  <si>
    <t>PR-0540</t>
  </si>
  <si>
    <t>B260520-L3B</t>
  </si>
  <si>
    <t>PR-0548</t>
  </si>
  <si>
    <t>B260521-L3A</t>
  </si>
  <si>
    <t>PR-0507</t>
  </si>
  <si>
    <t>B260517-L3A</t>
  </si>
  <si>
    <t>PR-0444</t>
  </si>
  <si>
    <t>B260511-L3C</t>
  </si>
  <si>
    <t>PR-0431</t>
  </si>
  <si>
    <t>B260510-L1B</t>
  </si>
  <si>
    <t>PR-0476</t>
  </si>
  <si>
    <t>B260514-L3B</t>
  </si>
  <si>
    <t>PR-0442</t>
  </si>
  <si>
    <t>B260511-L1C</t>
  </si>
  <si>
    <t>PR-0346</t>
  </si>
  <si>
    <t>B260502-L2B</t>
  </si>
  <si>
    <t>PR-0380</t>
  </si>
  <si>
    <t>B260505-L3C</t>
  </si>
  <si>
    <t>PR-0407</t>
  </si>
  <si>
    <t>B260508-L2A</t>
  </si>
  <si>
    <t>PR-0412</t>
  </si>
  <si>
    <t>B260508-L3B</t>
  </si>
  <si>
    <t>PR-0391</t>
  </si>
  <si>
    <t>B260506-L2C</t>
  </si>
  <si>
    <t>PR-0558</t>
  </si>
  <si>
    <t>B260522-L1A</t>
  </si>
  <si>
    <t>PR-0334</t>
  </si>
  <si>
    <t>B260501-L2B</t>
  </si>
  <si>
    <t>PR-0383</t>
  </si>
  <si>
    <t>B260506-L2A</t>
  </si>
  <si>
    <t>PR-0440</t>
  </si>
  <si>
    <t>B260511-L3B</t>
  </si>
  <si>
    <t>PR-0420</t>
  </si>
  <si>
    <t>B260509-L3A</t>
  </si>
  <si>
    <t>PR-0414</t>
  </si>
  <si>
    <t>B260508-L1C</t>
  </si>
  <si>
    <t>PR-0436</t>
  </si>
  <si>
    <t>B260511-L3A</t>
  </si>
  <si>
    <t>PR-0550</t>
  </si>
  <si>
    <t>B260521-L1B</t>
  </si>
  <si>
    <t>PR-0366</t>
  </si>
  <si>
    <t>B260504-L1C</t>
  </si>
  <si>
    <t>PR-0488</t>
  </si>
  <si>
    <t>B260515-L3B</t>
  </si>
  <si>
    <t>PR-0411</t>
  </si>
  <si>
    <t>B260508-L2B</t>
  </si>
  <si>
    <t>PR-0404</t>
  </si>
  <si>
    <t>B260507-L3C</t>
  </si>
  <si>
    <t>PR-0451</t>
  </si>
  <si>
    <t>B260512-L2B</t>
  </si>
  <si>
    <t>PR-0433</t>
  </si>
  <si>
    <t>B260510-L3B</t>
  </si>
  <si>
    <t>PR-0443</t>
  </si>
  <si>
    <t>B260511-L2C</t>
  </si>
  <si>
    <t>PR-0351</t>
  </si>
  <si>
    <t>B260502-L3C</t>
  </si>
  <si>
    <t>PR-0575</t>
  </si>
  <si>
    <t>B260523-L2B</t>
  </si>
  <si>
    <t>PR-0427</t>
  </si>
  <si>
    <t>B260509-L2C</t>
  </si>
  <si>
    <t>PR-0363</t>
  </si>
  <si>
    <t>B260504-L2B</t>
  </si>
  <si>
    <t>PR-0455</t>
  </si>
  <si>
    <t>B260512-L2C</t>
  </si>
  <si>
    <t>PR-0335</t>
  </si>
  <si>
    <t>B260501-L3B</t>
  </si>
  <si>
    <t>PR-0523</t>
  </si>
  <si>
    <t>B260519-L2A</t>
  </si>
  <si>
    <t>PR-0579</t>
  </si>
  <si>
    <t>B260523-L2C</t>
  </si>
  <si>
    <t>PR-0539</t>
  </si>
  <si>
    <t>B260520-L2B</t>
  </si>
  <si>
    <t>PR-0571</t>
  </si>
  <si>
    <t>B260523-L2A</t>
  </si>
  <si>
    <t>PR-0499</t>
  </si>
  <si>
    <t>B260516-L2B</t>
  </si>
  <si>
    <t>PR-0338</t>
  </si>
  <si>
    <t>B260501-L2C</t>
  </si>
  <si>
    <t>PR-0330</t>
  </si>
  <si>
    <t>B260501-L2A</t>
  </si>
  <si>
    <t>PR-0503</t>
  </si>
  <si>
    <t>B260516-L2C</t>
  </si>
  <si>
    <t>PR-0527</t>
  </si>
  <si>
    <t>B260519-L2B</t>
  </si>
  <si>
    <t>PR-0588</t>
  </si>
  <si>
    <t>B260525-L2A</t>
  </si>
  <si>
    <t>PR-0463</t>
  </si>
  <si>
    <t>B260513-L2B</t>
  </si>
  <si>
    <t>PR-0640</t>
  </si>
  <si>
    <t>B260529-L2B</t>
  </si>
  <si>
    <t>PR-0543</t>
  </si>
  <si>
    <t>B260520-L2C</t>
  </si>
  <si>
    <t>PR-0356</t>
  </si>
  <si>
    <t>B260503-L2B</t>
  </si>
  <si>
    <t>PR-0639</t>
  </si>
  <si>
    <t>B260529-L1B</t>
  </si>
  <si>
    <t>PR-0661</t>
  </si>
  <si>
    <t>B260531-L1B</t>
  </si>
  <si>
    <t>PR-0359</t>
  </si>
  <si>
    <t>B260504-L2A</t>
  </si>
  <si>
    <t>PR-0596</t>
  </si>
  <si>
    <t>B260525-L2C</t>
  </si>
  <si>
    <t>PR-0627</t>
  </si>
  <si>
    <t>B260528-L1B</t>
  </si>
  <si>
    <t>PR-0655</t>
  </si>
  <si>
    <t>B260530-L1C</t>
  </si>
  <si>
    <t>PR-0563</t>
  </si>
  <si>
    <t>B260522-L2B</t>
  </si>
  <si>
    <t>PR-0599</t>
  </si>
  <si>
    <t>B260526-L1A</t>
  </si>
  <si>
    <t>PR-0559</t>
  </si>
  <si>
    <t>B260522-L2A</t>
  </si>
  <si>
    <t>PR-0644</t>
  </si>
  <si>
    <t>B260529-L2C</t>
  </si>
  <si>
    <t>PR-0648</t>
  </si>
  <si>
    <t>B260530-L2A</t>
  </si>
  <si>
    <t>PR-0603</t>
  </si>
  <si>
    <t>B260526-L1B</t>
  </si>
  <si>
    <t>PR-0647</t>
  </si>
  <si>
    <t>B260530-L1A</t>
  </si>
  <si>
    <t>PR-0615</t>
  </si>
  <si>
    <t>B260527-L1B</t>
  </si>
  <si>
    <t>PR-0574</t>
  </si>
  <si>
    <t>B260523-L1B</t>
  </si>
  <si>
    <t>PR-0631</t>
  </si>
  <si>
    <t>B260528-L1C</t>
  </si>
  <si>
    <t>PR-0595</t>
  </si>
  <si>
    <t>B260525-L1C</t>
  </si>
  <si>
    <t>PR-0566</t>
  </si>
  <si>
    <t>B260522-L1C</t>
  </si>
  <si>
    <t>PR-0611</t>
  </si>
  <si>
    <t>B260527-L1A</t>
  </si>
  <si>
    <t>PR-0651</t>
  </si>
  <si>
    <t>B260530-L1B</t>
  </si>
  <si>
    <t>PR-0587</t>
  </si>
  <si>
    <t>B260525-L1A</t>
  </si>
  <si>
    <t>PR-0554</t>
  </si>
  <si>
    <t>B260521-L1C</t>
  </si>
  <si>
    <t>PR-0546</t>
  </si>
  <si>
    <t>B260521-L1A</t>
  </si>
  <si>
    <t>PR-0538</t>
  </si>
  <si>
    <t>B260520-L1B</t>
  </si>
  <si>
    <t>PR-0486</t>
  </si>
  <si>
    <t>B260515-L1B</t>
  </si>
  <si>
    <t>PR-0494</t>
  </si>
  <si>
    <t>B260516-L1A</t>
  </si>
  <si>
    <t>PR-0422</t>
  </si>
  <si>
    <t>B260509-L1B</t>
  </si>
  <si>
    <t>PR-0510</t>
  </si>
  <si>
    <t>B260518-L1A</t>
  </si>
  <si>
    <t>PR-0522</t>
  </si>
  <si>
    <t>B260519-L1A</t>
  </si>
  <si>
    <t>PR-0482</t>
  </si>
  <si>
    <t>B260515-L1A</t>
  </si>
  <si>
    <t>PR-0514</t>
  </si>
  <si>
    <t>B260518-L1B</t>
  </si>
  <si>
    <t>PR-0454</t>
  </si>
  <si>
    <t>B260512-L1C</t>
  </si>
  <si>
    <t>PR-0450</t>
  </si>
  <si>
    <t>B260512-L1B</t>
  </si>
  <si>
    <t>PR-0390</t>
  </si>
  <si>
    <t>B260506-L1C</t>
  </si>
  <si>
    <t>PR-0410</t>
  </si>
  <si>
    <t>B260508-L1B</t>
  </si>
  <si>
    <t>PR-0398</t>
  </si>
  <si>
    <t>B260507-L1B</t>
  </si>
  <si>
    <t>PR-0394</t>
  </si>
  <si>
    <t>B260507-L1A</t>
  </si>
  <si>
    <t>PR-0498</t>
  </si>
  <si>
    <t>B260516-L1B</t>
  </si>
  <si>
    <t>PR-0402</t>
  </si>
  <si>
    <t>B260507-L1C</t>
  </si>
  <si>
    <t>PR-0462</t>
  </si>
  <si>
    <t>B260513-L1B</t>
  </si>
  <si>
    <t>PR-0396</t>
  </si>
  <si>
    <t>B260507-L3A</t>
  </si>
  <si>
    <t>PR-0378</t>
  </si>
  <si>
    <t>B260505-L1C</t>
  </si>
  <si>
    <t>PR-0345</t>
  </si>
  <si>
    <t>B260502-L1B</t>
  </si>
  <si>
    <t>PR-0392</t>
  </si>
  <si>
    <t>B260506-L3C</t>
  </si>
  <si>
    <t>PR-0376</t>
  </si>
  <si>
    <t>B260505-L3B</t>
  </si>
  <si>
    <t>PR-0368</t>
  </si>
  <si>
    <t>B260504-L3C</t>
  </si>
  <si>
    <t>PR-0329</t>
  </si>
  <si>
    <t>B260501-L1A</t>
  </si>
  <si>
    <t>PR-0452</t>
  </si>
  <si>
    <t>B260512-L3B</t>
  </si>
  <si>
    <t>PR-0358</t>
  </si>
  <si>
    <t>B260504-L1A</t>
  </si>
  <si>
    <t>PR-0468</t>
  </si>
  <si>
    <t>B260513-L3C</t>
  </si>
  <si>
    <t>PR-0364</t>
  </si>
  <si>
    <t>B260504-L3B</t>
  </si>
  <si>
    <t>PR-0472</t>
  </si>
  <si>
    <t>B260514-L3A</t>
  </si>
  <si>
    <t>PR-0337</t>
  </si>
  <si>
    <t>B260501-L1C</t>
  </si>
  <si>
    <t>PR-0464</t>
  </si>
  <si>
    <t>B260513-L3B</t>
  </si>
  <si>
    <t>PR-0374</t>
  </si>
  <si>
    <t>B260505-L1B</t>
  </si>
  <si>
    <t>PR-0585</t>
  </si>
  <si>
    <t>B260524-L3B</t>
  </si>
  <si>
    <t>PR-0341</t>
  </si>
  <si>
    <t>B260502-L1A</t>
  </si>
  <si>
    <t>PR-0424</t>
  </si>
  <si>
    <t>B260509-L3B</t>
  </si>
  <si>
    <t>PR-0354</t>
  </si>
  <si>
    <t>B260503-L3A</t>
  </si>
  <si>
    <t>PR-0360</t>
  </si>
  <si>
    <t>B260504-L3A</t>
  </si>
  <si>
    <t>PR-0428</t>
  </si>
  <si>
    <t>B260509-L3C</t>
  </si>
  <si>
    <t>PR-0500</t>
  </si>
  <si>
    <t>B260516-L3B</t>
  </si>
  <si>
    <t>PR-0435</t>
  </si>
  <si>
    <t>B260511-L2A</t>
  </si>
  <si>
    <t>PR-0601</t>
  </si>
  <si>
    <t>B260526-L3A</t>
  </si>
  <si>
    <t>PR-0552</t>
  </si>
  <si>
    <t>B260521-L3B</t>
  </si>
  <si>
    <t>PR-0432</t>
  </si>
  <si>
    <t>B260510-L2B</t>
  </si>
  <si>
    <t>PR-0423</t>
  </si>
  <si>
    <t>B260509-L2B</t>
  </si>
  <si>
    <t>PR-0415</t>
  </si>
  <si>
    <t>B260508-L2C</t>
  </si>
  <si>
    <t>PR-0656</t>
  </si>
  <si>
    <t>B260530-L2C</t>
  </si>
  <si>
    <t>PR-0556</t>
  </si>
  <si>
    <t>B260521-L3C</t>
  </si>
  <si>
    <t>PR-0331</t>
  </si>
  <si>
    <t>B260501-L3A</t>
  </si>
  <si>
    <t>PR-0343</t>
  </si>
  <si>
    <t>B260502-L3A</t>
  </si>
  <si>
    <t>PR-0512</t>
  </si>
  <si>
    <t>B260518-L3A</t>
  </si>
  <si>
    <t>PR-0524</t>
  </si>
  <si>
    <t>B260519-L3A</t>
  </si>
  <si>
    <t>PR-0632</t>
  </si>
  <si>
    <t>B260528-L2C</t>
  </si>
  <si>
    <t>PR-0439</t>
  </si>
  <si>
    <t>B260511-L2B</t>
  </si>
  <si>
    <t>PR-0511</t>
  </si>
  <si>
    <t>B260518-L2A</t>
  </si>
  <si>
    <t>PR-0483</t>
  </si>
  <si>
    <t>B260515-L2A</t>
  </si>
  <si>
    <t>PR-0484</t>
  </si>
  <si>
    <t>B260515-L3A</t>
  </si>
  <si>
    <t>PR-0532</t>
  </si>
  <si>
    <t>B260519-L3C</t>
  </si>
  <si>
    <t>PR-0399</t>
  </si>
  <si>
    <t>B260507-L2B</t>
  </si>
  <si>
    <t>PR-0419</t>
  </si>
  <si>
    <t>B260509-L2A</t>
  </si>
  <si>
    <t>PR-0480</t>
  </si>
  <si>
    <t>B260514-L3C</t>
  </si>
  <si>
    <t>PR-0612</t>
  </si>
  <si>
    <t>B260527-L2A</t>
  </si>
  <si>
    <t>PR-0620</t>
  </si>
  <si>
    <t>B260527-L2C</t>
  </si>
  <si>
    <t>PR-0350</t>
  </si>
  <si>
    <t>B260502-L2C</t>
  </si>
  <si>
    <t>PR-0371</t>
  </si>
  <si>
    <t>B260505-L2A</t>
  </si>
  <si>
    <t>PR-0467</t>
  </si>
  <si>
    <t>B260513-L2C</t>
  </si>
  <si>
    <t>PR-0367</t>
  </si>
  <si>
    <t>B260504-L2C</t>
  </si>
  <si>
    <t>PR-0395</t>
  </si>
  <si>
    <t>B260507-L2A</t>
  </si>
  <si>
    <t>PR-0567</t>
  </si>
  <si>
    <t>B260522-L2C</t>
  </si>
  <si>
    <t>PR-0342</t>
  </si>
  <si>
    <t>B260502-L2A</t>
  </si>
  <si>
    <t>PR-0592</t>
  </si>
  <si>
    <t>B260525-L2B</t>
  </si>
  <si>
    <t>PR-0621</t>
  </si>
  <si>
    <t>B260527-L3C</t>
  </si>
  <si>
    <t>PR-0625</t>
  </si>
  <si>
    <t>B260528-L3A</t>
  </si>
  <si>
    <t>PR-0340</t>
  </si>
  <si>
    <t>B260501-L4C</t>
  </si>
  <si>
    <t>PR-0348</t>
  </si>
  <si>
    <t>B260502-L4B</t>
  </si>
  <si>
    <t>PR-0352</t>
  </si>
  <si>
    <t>B260502-L4C</t>
  </si>
  <si>
    <t>PR-0377</t>
  </si>
  <si>
    <t>B260505-L4B</t>
  </si>
  <si>
    <t>PR-0373</t>
  </si>
  <si>
    <t>B260505-L4A</t>
  </si>
  <si>
    <t>PR-0381</t>
  </si>
  <si>
    <t>B260505-L4C</t>
  </si>
  <si>
    <t>PR-0385</t>
  </si>
  <si>
    <t>B260506-L4A</t>
  </si>
  <si>
    <t>PR-0413</t>
  </si>
  <si>
    <t>B260508-L4B</t>
  </si>
  <si>
    <t>PR-0401</t>
  </si>
  <si>
    <t>B260507-L4B</t>
  </si>
  <si>
    <t>PR-0421</t>
  </si>
  <si>
    <t>B260509-L4A</t>
  </si>
  <si>
    <t>PR-0437</t>
  </si>
  <si>
    <t>B260511-L4A</t>
  </si>
  <si>
    <t>PR-0501</t>
  </si>
  <si>
    <t>B260516-L4B</t>
  </si>
  <si>
    <t>PR-0573</t>
  </si>
  <si>
    <t>B260523-L4A</t>
  </si>
  <si>
    <t>PR-0594</t>
  </si>
  <si>
    <t>B260525-L4B</t>
  </si>
  <si>
    <t>PR-0457</t>
  </si>
  <si>
    <t>B260512-L4C</t>
  </si>
  <si>
    <t>PR-0461</t>
  </si>
  <si>
    <t>B260513-L4A</t>
  </si>
  <si>
    <t>PR-0606</t>
  </si>
  <si>
    <t>B260526-L4B</t>
  </si>
  <si>
    <t>PR-0505</t>
  </si>
  <si>
    <t>B260516-L4C</t>
  </si>
  <si>
    <t>PR-0521</t>
  </si>
  <si>
    <t>B260518-L4C</t>
  </si>
  <si>
    <t>PR-0598</t>
  </si>
  <si>
    <t>B260525-L4C</t>
  </si>
  <si>
    <t>PR-0610</t>
  </si>
  <si>
    <t>B260526-L4C</t>
  </si>
  <si>
    <t>PR-0525</t>
  </si>
  <si>
    <t>B260519-L4A</t>
  </si>
  <si>
    <t>PR-0618</t>
  </si>
  <si>
    <t>B260527-L4B</t>
  </si>
  <si>
    <t>PR-0565</t>
  </si>
  <si>
    <t>B260522-L4B</t>
  </si>
  <si>
    <t>PR-0634</t>
  </si>
  <si>
    <t>B260528-L4C</t>
  </si>
  <si>
    <t>PR-0630</t>
  </si>
  <si>
    <t>B260528-L4B</t>
  </si>
  <si>
    <t>PR-0658</t>
  </si>
  <si>
    <t>B260530-L4C</t>
  </si>
  <si>
    <t>PR-0654</t>
  </si>
  <si>
    <t>B260530-L4B</t>
  </si>
  <si>
    <t>PR-0646</t>
  </si>
  <si>
    <t>B260529-L4C</t>
  </si>
  <si>
    <t>PR-0783</t>
  </si>
  <si>
    <t>Jun-2026</t>
  </si>
  <si>
    <t>B260611-L4B</t>
  </si>
  <si>
    <t>PR-0791</t>
  </si>
  <si>
    <t>B260612-L4A</t>
  </si>
  <si>
    <t>PR-0759</t>
  </si>
  <si>
    <t>B260609-L4B</t>
  </si>
  <si>
    <t>PR-0956</t>
  </si>
  <si>
    <t>B260627-L1A</t>
  </si>
  <si>
    <t>PR-0763</t>
  </si>
  <si>
    <t>B260609-L4C</t>
  </si>
  <si>
    <t>PR-0821</t>
  </si>
  <si>
    <t>B260615-L4A</t>
  </si>
  <si>
    <t>PR-0767</t>
  </si>
  <si>
    <t>B260610-L4A</t>
  </si>
  <si>
    <t>PR-0755</t>
  </si>
  <si>
    <t>B260609-L4A</t>
  </si>
  <si>
    <t>PR-0747</t>
  </si>
  <si>
    <t>B260608-L4B</t>
  </si>
  <si>
    <t>PR-0779</t>
  </si>
  <si>
    <t>B260611-L4A</t>
  </si>
  <si>
    <t>PR-0811</t>
  </si>
  <si>
    <t>B260613-L4C</t>
  </si>
  <si>
    <t>PR-0977</t>
  </si>
  <si>
    <t>B260629-L1B</t>
  </si>
  <si>
    <t>PR-0803</t>
  </si>
  <si>
    <t>B260613-L4A</t>
  </si>
  <si>
    <t>PR-0973</t>
  </si>
  <si>
    <t>B260629-L1A</t>
  </si>
  <si>
    <t>PR-0787</t>
  </si>
  <si>
    <t>B260611-L4C</t>
  </si>
  <si>
    <t>PR-0751</t>
  </si>
  <si>
    <t>B260608-L4C</t>
  </si>
  <si>
    <t>PR-0795</t>
  </si>
  <si>
    <t>B260612-L4B</t>
  </si>
  <si>
    <t>PR-0841</t>
  </si>
  <si>
    <t>B260616-L4C</t>
  </si>
  <si>
    <t>PR-0845</t>
  </si>
  <si>
    <t>B260617-L4A</t>
  </si>
  <si>
    <t>PR-0690</t>
  </si>
  <si>
    <t>B260603-L4A</t>
  </si>
  <si>
    <t>PR-0743</t>
  </si>
  <si>
    <t>B260608-L4A</t>
  </si>
  <si>
    <t>PR-0944</t>
  </si>
  <si>
    <t>B260626-L1A</t>
  </si>
  <si>
    <t>PR-0932</t>
  </si>
  <si>
    <t>B260625-L1A</t>
  </si>
  <si>
    <t>PR-0726</t>
  </si>
  <si>
    <t>B260606-L4A</t>
  </si>
  <si>
    <t>PR-0869</t>
  </si>
  <si>
    <t>B260619-L4A</t>
  </si>
  <si>
    <t>PR-0718</t>
  </si>
  <si>
    <t>B260605-L4B</t>
  </si>
  <si>
    <t>PR-0992</t>
  </si>
  <si>
    <t>B260630-L4B</t>
  </si>
  <si>
    <t>PR-0734</t>
  </si>
  <si>
    <t>B260606-L4C</t>
  </si>
  <si>
    <t>PR-0976</t>
  </si>
  <si>
    <t>B260629-L4A</t>
  </si>
  <si>
    <t>PR-0885</t>
  </si>
  <si>
    <t>B260620-L4B</t>
  </si>
  <si>
    <t>PR-0670</t>
  </si>
  <si>
    <t>B260601-L4B</t>
  </si>
  <si>
    <t>PR-0933</t>
  </si>
  <si>
    <t>B260625-L2A</t>
  </si>
  <si>
    <t>PR-0909</t>
  </si>
  <si>
    <t>B260623-L2A</t>
  </si>
  <si>
    <t>PR-0924</t>
  </si>
  <si>
    <t>B260624-L1B</t>
  </si>
  <si>
    <t>PR-0893</t>
  </si>
  <si>
    <t>B260621-L2B</t>
  </si>
  <si>
    <t>PR-0919</t>
  </si>
  <si>
    <t>B260623-L4C</t>
  </si>
  <si>
    <t>PR-0913</t>
  </si>
  <si>
    <t>B260623-L2B</t>
  </si>
  <si>
    <t>PR-0937</t>
  </si>
  <si>
    <t>B260625-L2B</t>
  </si>
  <si>
    <t>PR-0925</t>
  </si>
  <si>
    <t>B260624-L2B</t>
  </si>
  <si>
    <t>PR-0959</t>
  </si>
  <si>
    <t>B260627-L4A</t>
  </si>
  <si>
    <t>PR-0887</t>
  </si>
  <si>
    <t>B260620-L2C</t>
  </si>
  <si>
    <t>PR-0883</t>
  </si>
  <si>
    <t>B260620-L2B</t>
  </si>
  <si>
    <t>PR-0920</t>
  </si>
  <si>
    <t>B260624-L1A</t>
  </si>
  <si>
    <t>PR-0963</t>
  </si>
  <si>
    <t>B260627-L4B</t>
  </si>
  <si>
    <t>PR-0879</t>
  </si>
  <si>
    <t>B260620-L2A</t>
  </si>
  <si>
    <t>PR-0935</t>
  </si>
  <si>
    <t>B260625-L4A</t>
  </si>
  <si>
    <t>PR-0930</t>
  </si>
  <si>
    <t>B260624-L3C</t>
  </si>
  <si>
    <t>PR-0878</t>
  </si>
  <si>
    <t>B260620-L1A</t>
  </si>
  <si>
    <t>PR-0908</t>
  </si>
  <si>
    <t>B260623-L1A</t>
  </si>
  <si>
    <t>PR-0970</t>
  </si>
  <si>
    <t>B260628-L4A</t>
  </si>
  <si>
    <t>PR-0946</t>
  </si>
  <si>
    <t>B260626-L3A</t>
  </si>
  <si>
    <t>PR-0955</t>
  </si>
  <si>
    <t>B260626-L4C</t>
  </si>
  <si>
    <t>PR-0806</t>
  </si>
  <si>
    <t>B260613-L3B</t>
  </si>
  <si>
    <t>PR-0827</t>
  </si>
  <si>
    <t>B260615-L2C</t>
  </si>
  <si>
    <t>PR-0794</t>
  </si>
  <si>
    <t>B260612-L3B</t>
  </si>
  <si>
    <t>PR-0813</t>
  </si>
  <si>
    <t>B260614-L3A</t>
  </si>
  <si>
    <t>PR-0926</t>
  </si>
  <si>
    <t>B260624-L3B</t>
  </si>
  <si>
    <t>PR-0941</t>
  </si>
  <si>
    <t>B260625-L2C</t>
  </si>
  <si>
    <t>PR-0986</t>
  </si>
  <si>
    <t>B260630-L2A</t>
  </si>
  <si>
    <t>PR-0855</t>
  </si>
  <si>
    <t>B260618-L2A</t>
  </si>
  <si>
    <t>PR-0859</t>
  </si>
  <si>
    <t>B260618-L2B</t>
  </si>
  <si>
    <t>PR-0978</t>
  </si>
  <si>
    <t>B260629-L2B</t>
  </si>
  <si>
    <t>PR-0987</t>
  </si>
  <si>
    <t>B260630-L3A</t>
  </si>
  <si>
    <t>PR-0943</t>
  </si>
  <si>
    <t>B260625-L4C</t>
  </si>
  <si>
    <t>PR-0823</t>
  </si>
  <si>
    <t>B260615-L2B</t>
  </si>
  <si>
    <t>PR-0840</t>
  </si>
  <si>
    <t>B260616-L3C</t>
  </si>
  <si>
    <t>PR-0766</t>
  </si>
  <si>
    <t>B260610-L3A</t>
  </si>
  <si>
    <t>PR-0725</t>
  </si>
  <si>
    <t>B260606-L3A</t>
  </si>
  <si>
    <t>PR-0733</t>
  </si>
  <si>
    <t>B260606-L3C</t>
  </si>
  <si>
    <t>PR-0872</t>
  </si>
  <si>
    <t>B260619-L3B</t>
  </si>
  <si>
    <t>PR-0965</t>
  </si>
  <si>
    <t>B260627-L2C</t>
  </si>
  <si>
    <t>PR-0836</t>
  </si>
  <si>
    <t>B260616-L3B</t>
  </si>
  <si>
    <t>PR-0709</t>
  </si>
  <si>
    <t>B260604-L3C</t>
  </si>
  <si>
    <t>PR-0839</t>
  </si>
  <si>
    <t>B260616-L2C</t>
  </si>
  <si>
    <t>PR-0847</t>
  </si>
  <si>
    <t>B260617-L2B</t>
  </si>
  <si>
    <t>PR-0954</t>
  </si>
  <si>
    <t>B260626-L3C</t>
  </si>
  <si>
    <t>PR-0975</t>
  </si>
  <si>
    <t>B260629-L3A</t>
  </si>
  <si>
    <t>PR-0874</t>
  </si>
  <si>
    <t>B260619-L1C</t>
  </si>
  <si>
    <t>PR-0922</t>
  </si>
  <si>
    <t>B260624-L3A</t>
  </si>
  <si>
    <t>PR-0705</t>
  </si>
  <si>
    <t>B260604-L3B</t>
  </si>
  <si>
    <t>PR-0979</t>
  </si>
  <si>
    <t>B260629-L3B</t>
  </si>
  <si>
    <t>PR-0950</t>
  </si>
  <si>
    <t>B260626-L3B</t>
  </si>
  <si>
    <t>PR-0843</t>
  </si>
  <si>
    <t>B260617-L2A</t>
  </si>
  <si>
    <t>PR-0884</t>
  </si>
  <si>
    <t>B260620-L3B</t>
  </si>
  <si>
    <t>PR-0934</t>
  </si>
  <si>
    <t>B260625-L3A</t>
  </si>
  <si>
    <t>PR-0738</t>
  </si>
  <si>
    <t>B260607-L3B</t>
  </si>
  <si>
    <t>PR-0832</t>
  </si>
  <si>
    <t>B260616-L3A</t>
  </si>
  <si>
    <t>PR-0820</t>
  </si>
  <si>
    <t>B260615-L3A</t>
  </si>
  <si>
    <t>PR-0918</t>
  </si>
  <si>
    <t>B260623-L3C</t>
  </si>
  <si>
    <t>PR-0774</t>
  </si>
  <si>
    <t>B260610-L3C</t>
  </si>
  <si>
    <t>PR-0888</t>
  </si>
  <si>
    <t>B260620-L3C</t>
  </si>
  <si>
    <t>PR-0898</t>
  </si>
  <si>
    <t>B260622-L3A</t>
  </si>
  <si>
    <t>PR-0914</t>
  </si>
  <si>
    <t>B260623-L3B</t>
  </si>
  <si>
    <t>PR-0702</t>
  </si>
  <si>
    <t>B260604-L4A</t>
  </si>
  <si>
    <t>PR-0722</t>
  </si>
  <si>
    <t>B260605-L4C</t>
  </si>
  <si>
    <t>PR-0866</t>
  </si>
  <si>
    <t>B260619-L1A</t>
  </si>
  <si>
    <t>PR-0824</t>
  </si>
  <si>
    <t>B260615-L3B</t>
  </si>
  <si>
    <t>PR-0899</t>
  </si>
  <si>
    <t>B260622-L4A</t>
  </si>
  <si>
    <t>PR-0809</t>
  </si>
  <si>
    <t>B260613-L2C</t>
  </si>
  <si>
    <t>PR-0947</t>
  </si>
  <si>
    <t>B260626-L4A</t>
  </si>
  <si>
    <t>PR-0870</t>
  </si>
  <si>
    <t>B260619-L1B</t>
  </si>
  <si>
    <t>PR-0903</t>
  </si>
  <si>
    <t>B260622-L4B</t>
  </si>
  <si>
    <t>PR-0812</t>
  </si>
  <si>
    <t>B260614-L2A</t>
  </si>
  <si>
    <t>PR-0693</t>
  </si>
  <si>
    <t>B260603-L3B</t>
  </si>
  <si>
    <t>PR-0962</t>
  </si>
  <si>
    <t>B260627-L3B</t>
  </si>
  <si>
    <t>PR-0814</t>
  </si>
  <si>
    <t>B260614-L4A</t>
  </si>
  <si>
    <t>PR-0685</t>
  </si>
  <si>
    <t>B260602-L3C</t>
  </si>
  <si>
    <t>PR-0861</t>
  </si>
  <si>
    <t>B260618-L4B</t>
  </si>
  <si>
    <t>PR-0889</t>
  </si>
  <si>
    <t>B260620-L4C</t>
  </si>
  <si>
    <t>PR-0951</t>
  </si>
  <si>
    <t>B260626-L4B</t>
  </si>
  <si>
    <t>PR-0967</t>
  </si>
  <si>
    <t>B260627-L4C</t>
  </si>
  <si>
    <t>PR-0911</t>
  </si>
  <si>
    <t>B260623-L4A</t>
  </si>
  <si>
    <t>PR-0910</t>
  </si>
  <si>
    <t>B260623-L3A</t>
  </si>
  <si>
    <t>PR-0996</t>
  </si>
  <si>
    <t>B260630-L4C</t>
  </si>
  <si>
    <t>PR-0833</t>
  </si>
  <si>
    <t>B260616-L4A</t>
  </si>
  <si>
    <t>PR-0892</t>
  </si>
  <si>
    <t>B260621-L4A</t>
  </si>
  <si>
    <t>PR-0980</t>
  </si>
  <si>
    <t>B260629-L4B</t>
  </si>
  <si>
    <t>PR-0906</t>
  </si>
  <si>
    <t>B260622-L3C</t>
  </si>
  <si>
    <t>PR-0846</t>
  </si>
  <si>
    <t>B260617-L1B</t>
  </si>
  <si>
    <t>PR-0966</t>
  </si>
  <si>
    <t>B260627-L3C</t>
  </si>
  <si>
    <t>PR-0873</t>
  </si>
  <si>
    <t>B260619-L4B</t>
  </si>
  <si>
    <t>PR-0694</t>
  </si>
  <si>
    <t>B260603-L4B</t>
  </si>
  <si>
    <t>PR-0829</t>
  </si>
  <si>
    <t>B260615-L4C</t>
  </si>
  <si>
    <t>PR-0881</t>
  </si>
  <si>
    <t>B260620-L4A</t>
  </si>
  <si>
    <t>PR-0984</t>
  </si>
  <si>
    <t>B260629-L4C</t>
  </si>
  <si>
    <t>PR-0689</t>
  </si>
  <si>
    <t>B260603-L3A</t>
  </si>
  <si>
    <t>PR-0789</t>
  </si>
  <si>
    <t>B260612-L2A</t>
  </si>
  <si>
    <t>PR-0995</t>
  </si>
  <si>
    <t>B260630-L3C</t>
  </si>
  <si>
    <t>PR-0907</t>
  </si>
  <si>
    <t>B260622-L4C</t>
  </si>
  <si>
    <t>PR-0895</t>
  </si>
  <si>
    <t>B260621-L4B</t>
  </si>
  <si>
    <t>PR-0902</t>
  </si>
  <si>
    <t>B260622-L3B</t>
  </si>
  <si>
    <t>PR-0686</t>
  </si>
  <si>
    <t>B260602-L4C</t>
  </si>
  <si>
    <t>PR-0781</t>
  </si>
  <si>
    <t>B260611-L2B</t>
  </si>
  <si>
    <t>PR-0681</t>
  </si>
  <si>
    <t>B260602-L3B</t>
  </si>
  <si>
    <t>PR-0677</t>
  </si>
  <si>
    <t>B260602-L3A</t>
  </si>
  <si>
    <t>PR-0877</t>
  </si>
  <si>
    <t>B260619-L4C</t>
  </si>
  <si>
    <t>PR-0688</t>
  </si>
  <si>
    <t>B260603-L2A</t>
  </si>
  <si>
    <t>PR-0876</t>
  </si>
  <si>
    <t>B260619-L3C</t>
  </si>
  <si>
    <t>PR-0838</t>
  </si>
  <si>
    <t>B260616-L1C</t>
  </si>
  <si>
    <t>PR-0777</t>
  </si>
  <si>
    <t>B260611-L2A</t>
  </si>
  <si>
    <t>PR-0790</t>
  </si>
  <si>
    <t>B260612-L3A</t>
  </si>
  <si>
    <t>PR-0664</t>
  </si>
  <si>
    <t>B260601-L2A</t>
  </si>
  <si>
    <t>PR-0754</t>
  </si>
  <si>
    <t>B260609-L3A</t>
  </si>
  <si>
    <t>PR-0724</t>
  </si>
  <si>
    <t>B260606-L2A</t>
  </si>
  <si>
    <t>PR-0822</t>
  </si>
  <si>
    <t>B260615-L1B</t>
  </si>
  <si>
    <t>PR-0665</t>
  </si>
  <si>
    <t>B260601-L3A</t>
  </si>
  <si>
    <t>PR-0778</t>
  </si>
  <si>
    <t>B260611-L3A</t>
  </si>
  <si>
    <t>PR-0676</t>
  </si>
  <si>
    <t>B260602-L2A</t>
  </si>
  <si>
    <t>PR-0749</t>
  </si>
  <si>
    <t>B260608-L2C</t>
  </si>
  <si>
    <t>PR-0770</t>
  </si>
  <si>
    <t>B260610-L3B</t>
  </si>
  <si>
    <t>PR-0742</t>
  </si>
  <si>
    <t>B260608-L3A</t>
  </si>
  <si>
    <t>PR-0782</t>
  </si>
  <si>
    <t>B260611-L3B</t>
  </si>
  <si>
    <t>PR-0762</t>
  </si>
  <si>
    <t>B260609-L3C</t>
  </si>
  <si>
    <t>PR-0989</t>
  </si>
  <si>
    <t>B260630-L1B</t>
  </si>
  <si>
    <t>PR-0864</t>
  </si>
  <si>
    <t>B260618-L3C</t>
  </si>
  <si>
    <t>PR-0761</t>
  </si>
  <si>
    <t>B260609-L2C</t>
  </si>
  <si>
    <t>PR-0852</t>
  </si>
  <si>
    <t>B260617-L3C</t>
  </si>
  <si>
    <t>PR-0810</t>
  </si>
  <si>
    <t>B260613-L3C</t>
  </si>
  <si>
    <t>PR-0713</t>
  </si>
  <si>
    <t>B260605-L3A</t>
  </si>
  <si>
    <t>PR-0697</t>
  </si>
  <si>
    <t>B260603-L3C</t>
  </si>
  <si>
    <t>PR-0798</t>
  </si>
  <si>
    <t>B260612-L3C</t>
  </si>
  <si>
    <t>PR-0729</t>
  </si>
  <si>
    <t>B260606-L3B</t>
  </si>
  <si>
    <t>PR-0816</t>
  </si>
  <si>
    <t>B260614-L3B</t>
  </si>
  <si>
    <t>PR-0717</t>
  </si>
  <si>
    <t>B260605-L3B</t>
  </si>
  <si>
    <t>PR-0757</t>
  </si>
  <si>
    <t>B260609-L2B</t>
  </si>
  <si>
    <t>PR-0818</t>
  </si>
  <si>
    <t>B260615-L1A</t>
  </si>
  <si>
    <t>PR-0985</t>
  </si>
  <si>
    <t>B260630-L1A</t>
  </si>
  <si>
    <t>PR-0993</t>
  </si>
  <si>
    <t>B260630-L1C</t>
  </si>
  <si>
    <t>PR-0669</t>
  </si>
  <si>
    <t>B260601-L3B</t>
  </si>
  <si>
    <t>PR-0981</t>
  </si>
  <si>
    <t>B260629-L1C</t>
  </si>
  <si>
    <t>PR-0964</t>
  </si>
  <si>
    <t>B260627-L1C</t>
  </si>
  <si>
    <t>PR-0912</t>
  </si>
  <si>
    <t>B260623-L1B</t>
  </si>
  <si>
    <t>PR-0960</t>
  </si>
  <si>
    <t>B260627-L1B</t>
  </si>
  <si>
    <t>PR-0904</t>
  </si>
  <si>
    <t>B260622-L1C</t>
  </si>
  <si>
    <t>PR-0808</t>
  </si>
  <si>
    <t>B260613-L1C</t>
  </si>
  <si>
    <t>PR-0900</t>
  </si>
  <si>
    <t>B260622-L1B</t>
  </si>
  <si>
    <t>PR-0663</t>
  </si>
  <si>
    <t>B260601-L1A</t>
  </si>
  <si>
    <t>PR-0800</t>
  </si>
  <si>
    <t>B260613-L1A</t>
  </si>
  <si>
    <t>PR-0796</t>
  </si>
  <si>
    <t>B260612-L1C</t>
  </si>
  <si>
    <t>PR-0792</t>
  </si>
  <si>
    <t>B260612-L1B</t>
  </si>
  <si>
    <t>PR-0667</t>
  </si>
  <si>
    <t>B260601-L1B</t>
  </si>
  <si>
    <t>PR-0788</t>
  </si>
  <si>
    <t>B260612-L1A</t>
  </si>
  <si>
    <t>PR-0683</t>
  </si>
  <si>
    <t>B260602-L1C</t>
  </si>
  <si>
    <t>PR-0916</t>
  </si>
  <si>
    <t>B260623-L1C</t>
  </si>
  <si>
    <t>PR-0703</t>
  </si>
  <si>
    <t>B260604-L1B</t>
  </si>
  <si>
    <t>PR-0882</t>
  </si>
  <si>
    <t>B260620-L1B</t>
  </si>
  <si>
    <t>PR-0695</t>
  </si>
  <si>
    <t>B260603-L1C</t>
  </si>
  <si>
    <t>PR-0727</t>
  </si>
  <si>
    <t>B260606-L1B</t>
  </si>
  <si>
    <t>PR-0862</t>
  </si>
  <si>
    <t>B260618-L1C</t>
  </si>
  <si>
    <t>PR-0952</t>
  </si>
  <si>
    <t>B260626-L1C</t>
  </si>
  <si>
    <t>PR-0711</t>
  </si>
  <si>
    <t>B260605-L1A</t>
  </si>
  <si>
    <t>PR-0723</t>
  </si>
  <si>
    <t>B260606-L1A</t>
  </si>
  <si>
    <t>PR-0740</t>
  </si>
  <si>
    <t>B260608-L1A</t>
  </si>
  <si>
    <t>PR-0768</t>
  </si>
  <si>
    <t>B260610-L1B</t>
  </si>
  <si>
    <t>PR-0744</t>
  </si>
  <si>
    <t>B260608-L1B</t>
  </si>
  <si>
    <t>PR-0961</t>
  </si>
  <si>
    <t>B260627-L2B</t>
  </si>
  <si>
    <t>PR-0748</t>
  </si>
  <si>
    <t>B260608-L1C</t>
  </si>
  <si>
    <t>PR-0974</t>
  </si>
  <si>
    <t>B260629-L2A</t>
  </si>
  <si>
    <t>PR-0772</t>
  </si>
  <si>
    <t>B260610-L1C</t>
  </si>
  <si>
    <t>PR-0972</t>
  </si>
  <si>
    <t>B260628-L2B</t>
  </si>
  <si>
    <t>PR-0735</t>
  </si>
  <si>
    <t>B260607-L1A</t>
  </si>
  <si>
    <t>PR-0731</t>
  </si>
  <si>
    <t>B260606-L1C</t>
  </si>
  <si>
    <t>PR-0752</t>
  </si>
  <si>
    <t>B260609-L1A</t>
  </si>
  <si>
    <t>PR-0949</t>
  </si>
  <si>
    <t>B260626-L2B</t>
  </si>
  <si>
    <t>PR-0858</t>
  </si>
  <si>
    <t>B260618-L1B</t>
  </si>
  <si>
    <t>PR-0756</t>
  </si>
  <si>
    <t>B260609-L1B</t>
  </si>
  <si>
    <t>PR-0715</t>
  </si>
  <si>
    <t>B260605-L1B</t>
  </si>
  <si>
    <t>PR-0736</t>
  </si>
  <si>
    <t>B260607-L1B</t>
  </si>
  <si>
    <t>PR-0921</t>
  </si>
  <si>
    <t>B260624-L2A</t>
  </si>
  <si>
    <t>PR-0854</t>
  </si>
  <si>
    <t>B260618-L1A</t>
  </si>
  <si>
    <t>PR-0917</t>
  </si>
  <si>
    <t>B260623-L2C</t>
  </si>
  <si>
    <t>PR-0834</t>
  </si>
  <si>
    <t>B260616-L1B</t>
  </si>
  <si>
    <t>PR-0901</t>
  </si>
  <si>
    <t>B260622-L2B</t>
  </si>
  <si>
    <t>PR-0780</t>
  </si>
  <si>
    <t>B260611-L1B</t>
  </si>
  <si>
    <t>PR-0897</t>
  </si>
  <si>
    <t>B260622-L2A</t>
  </si>
  <si>
    <t>PR-0719</t>
  </si>
  <si>
    <t>B260605-L1C</t>
  </si>
  <si>
    <t>PR-0826</t>
  </si>
  <si>
    <t>B260615-L1C</t>
  </si>
  <si>
    <t>PR-0687</t>
  </si>
  <si>
    <t>B260603-L1A</t>
  </si>
  <si>
    <t>PR-0871</t>
  </si>
  <si>
    <t>B260619-L2B</t>
  </si>
  <si>
    <t>PR-0707</t>
  </si>
  <si>
    <t>B260604-L1C</t>
  </si>
  <si>
    <t>PR-0891</t>
  </si>
  <si>
    <t>B260621-L2A</t>
  </si>
  <si>
    <t>PR-0679</t>
  </si>
  <si>
    <t>B260602-L1B</t>
  </si>
  <si>
    <t>PR-0863</t>
  </si>
  <si>
    <t>B260618-L2C</t>
  </si>
  <si>
    <t>PR-0851</t>
  </si>
  <si>
    <t>B260617-L2C</t>
  </si>
  <si>
    <t>PR-0716</t>
  </si>
  <si>
    <t>B260605-L2B</t>
  </si>
  <si>
    <t>PR-0720</t>
  </si>
  <si>
    <t>B260605-L2C</t>
  </si>
  <si>
    <t>PR-0835</t>
  </si>
  <si>
    <t>B260616-L2B</t>
  </si>
  <si>
    <t>PR-0753</t>
  </si>
  <si>
    <t>B260609-L2A</t>
  </si>
  <si>
    <t>PR-0765</t>
  </si>
  <si>
    <t>B260610-L2A</t>
  </si>
  <si>
    <t>PR-0815</t>
  </si>
  <si>
    <t>B260614-L2B</t>
  </si>
  <si>
    <t>PR-0741</t>
  </si>
  <si>
    <t>B260608-L2A</t>
  </si>
  <si>
    <t>PR-0700</t>
  </si>
  <si>
    <t>B260604-L2A</t>
  </si>
  <si>
    <t>PR-0805</t>
  </si>
  <si>
    <t>B260613-L2B</t>
  </si>
  <si>
    <t>PR-0732</t>
  </si>
  <si>
    <t>B260606-L2C</t>
  </si>
  <si>
    <t>PR-0769</t>
  </si>
  <si>
    <t>B260610-L2B</t>
  </si>
  <si>
    <t>PR-0668</t>
  </si>
  <si>
    <t>B260601-L2B</t>
  </si>
  <si>
    <t>PR-0971</t>
  </si>
  <si>
    <t>B260628-L1B</t>
  </si>
  <si>
    <t>PR-0793</t>
  </si>
  <si>
    <t>B260612-L2B</t>
  </si>
  <si>
    <t>PR-0797</t>
  </si>
  <si>
    <t>B260612-L2C</t>
  </si>
  <si>
    <t>PR-0948</t>
  </si>
  <si>
    <t>B260626-L1B</t>
  </si>
  <si>
    <t>PR-0945</t>
  </si>
  <si>
    <t>B260626-L2A</t>
  </si>
  <si>
    <t>PR-0684</t>
  </si>
  <si>
    <t>B260602-L2C</t>
  </si>
  <si>
    <t>PR-0957</t>
  </si>
  <si>
    <t>B260627-L2A</t>
  </si>
  <si>
    <t>PR-0968</t>
  </si>
  <si>
    <t>B260628-L2A</t>
  </si>
  <si>
    <t>PR-0953</t>
  </si>
  <si>
    <t>B260626-L2C</t>
  </si>
  <si>
    <t>PR-0940</t>
  </si>
  <si>
    <t>B260625-L1C</t>
  </si>
  <si>
    <t>PR-0776</t>
  </si>
  <si>
    <t>B260611-L1A</t>
  </si>
  <si>
    <t>PR-0867</t>
  </si>
  <si>
    <t>B260619-L2A</t>
  </si>
  <si>
    <t>PR-0831</t>
  </si>
  <si>
    <t>B260616-L2A</t>
  </si>
  <si>
    <t>PR-0929</t>
  </si>
  <si>
    <t>B260624-L2C</t>
  </si>
  <si>
    <t>PR-0994</t>
  </si>
  <si>
    <t>B260630-L2C</t>
  </si>
  <si>
    <t>PR-0990</t>
  </si>
  <si>
    <t>B260630-L2B</t>
  </si>
  <si>
    <t>PR-0936</t>
  </si>
  <si>
    <t>B260625-L1B</t>
  </si>
  <si>
    <t>PR-0982</t>
  </si>
  <si>
    <t>B260629-L2C</t>
  </si>
  <si>
    <t>PR-0928</t>
  </si>
  <si>
    <t>B260624-L1C</t>
  </si>
  <si>
    <t>PR-0804</t>
  </si>
  <si>
    <t>B260613-L1B</t>
  </si>
  <si>
    <t>PR-0671</t>
  </si>
  <si>
    <t>B260601-L1C</t>
  </si>
  <si>
    <t>PR-0842</t>
  </si>
  <si>
    <t>B260617-L1A</t>
  </si>
  <si>
    <t>PR-0784</t>
  </si>
  <si>
    <t>B260611-L1C</t>
  </si>
  <si>
    <t>PR-0850</t>
  </si>
  <si>
    <t>B260617-L1C</t>
  </si>
  <si>
    <t>PR-0896</t>
  </si>
  <si>
    <t>B260622-L1A</t>
  </si>
  <si>
    <t>PR-0764</t>
  </si>
  <si>
    <t>B260610-L1A</t>
  </si>
  <si>
    <t>PR-0905</t>
  </si>
  <si>
    <t>B260622-L2C</t>
  </si>
  <si>
    <t>PR-0819</t>
  </si>
  <si>
    <t>B260615-L2A</t>
  </si>
  <si>
    <t>PR-0691</t>
  </si>
  <si>
    <t>B260603-L1B</t>
  </si>
  <si>
    <t>PR-0875</t>
  </si>
  <si>
    <t>B260619-L2C</t>
  </si>
  <si>
    <t>PR-0830</t>
  </si>
  <si>
    <t>B260616-L1A</t>
  </si>
  <si>
    <t>PR-0675</t>
  </si>
  <si>
    <t>B260602-L1A</t>
  </si>
  <si>
    <t>PR-0760</t>
  </si>
  <si>
    <t>B260609-L1C</t>
  </si>
  <si>
    <t>PR-0890</t>
  </si>
  <si>
    <t>B260621-L1A</t>
  </si>
  <si>
    <t>PR-0886</t>
  </si>
  <si>
    <t>B260620-L1C</t>
  </si>
  <si>
    <t>PR-0801</t>
  </si>
  <si>
    <t>B260613-L2A</t>
  </si>
  <si>
    <t>PR-0699</t>
  </si>
  <si>
    <t>B260604-L1A</t>
  </si>
  <si>
    <t>PR-0712</t>
  </si>
  <si>
    <t>B260605-L2A</t>
  </si>
  <si>
    <t>PR-0745</t>
  </si>
  <si>
    <t>B260608-L2B</t>
  </si>
  <si>
    <t>PR-0785</t>
  </si>
  <si>
    <t>B260611-L2C</t>
  </si>
  <si>
    <t>PR-0708</t>
  </si>
  <si>
    <t>B260604-L2C</t>
  </si>
  <si>
    <t>PR-0773</t>
  </si>
  <si>
    <t>B260610-L2C</t>
  </si>
  <si>
    <t>PR-0728</t>
  </si>
  <si>
    <t>B260606-L2B</t>
  </si>
  <si>
    <t>PR-0737</t>
  </si>
  <si>
    <t>B260607-L2B</t>
  </si>
  <si>
    <t>PR-0704</t>
  </si>
  <si>
    <t>B260604-L2B</t>
  </si>
  <si>
    <t>PR-0696</t>
  </si>
  <si>
    <t>B260603-L2C</t>
  </si>
  <si>
    <t>PR-0692</t>
  </si>
  <si>
    <t>B260603-L2B</t>
  </si>
  <si>
    <t>PR-0991</t>
  </si>
  <si>
    <t>B260630-L3B</t>
  </si>
  <si>
    <t>PR-0680</t>
  </si>
  <si>
    <t>B260602-L2B</t>
  </si>
  <si>
    <t>PR-0942</t>
  </si>
  <si>
    <t>B260625-L3C</t>
  </si>
  <si>
    <t>PR-0983</t>
  </si>
  <si>
    <t>B260629-L3C</t>
  </si>
  <si>
    <t>PR-0969</t>
  </si>
  <si>
    <t>B260628-L3A</t>
  </si>
  <si>
    <t>PR-0938</t>
  </si>
  <si>
    <t>B260625-L3B</t>
  </si>
  <si>
    <t>PR-0958</t>
  </si>
  <si>
    <t>B260627-L3A</t>
  </si>
  <si>
    <t>PR-0894</t>
  </si>
  <si>
    <t>B260621-L3B</t>
  </si>
  <si>
    <t>PR-0672</t>
  </si>
  <si>
    <t>B260601-L2C</t>
  </si>
  <si>
    <t>PR-0880</t>
  </si>
  <si>
    <t>B260620-L3A</t>
  </si>
  <si>
    <t>PR-0868</t>
  </si>
  <si>
    <t>B260619-L3A</t>
  </si>
  <si>
    <t>PR-0860</t>
  </si>
  <si>
    <t>B260618-L3B</t>
  </si>
  <si>
    <t>PR-0750</t>
  </si>
  <si>
    <t>B260608-L3C</t>
  </si>
  <si>
    <t>PR-0701</t>
  </si>
  <si>
    <t>B260604-L3A</t>
  </si>
  <si>
    <t>PR-0673</t>
  </si>
  <si>
    <t>B260601-L3C</t>
  </si>
  <si>
    <t>PR-0856</t>
  </si>
  <si>
    <t>B260618-L3A</t>
  </si>
  <si>
    <t>PR-0721</t>
  </si>
  <si>
    <t>B260605-L3C</t>
  </si>
  <si>
    <t>PR-0746</t>
  </si>
  <si>
    <t>B260608-L3B</t>
  </si>
  <si>
    <t>PR-0758</t>
  </si>
  <si>
    <t>B260609-L3B</t>
  </si>
  <si>
    <t>PR-0802</t>
  </si>
  <si>
    <t>B260613-L3A</t>
  </si>
  <si>
    <t>PR-0786</t>
  </si>
  <si>
    <t>B260611-L3C</t>
  </si>
  <si>
    <t>PR-0848</t>
  </si>
  <si>
    <t>B260617-L3B</t>
  </si>
  <si>
    <t>PR-0828</t>
  </si>
  <si>
    <t>B260615-L3C</t>
  </si>
  <si>
    <t>PR-0844</t>
  </si>
  <si>
    <t>B260617-L3A</t>
  </si>
  <si>
    <t>PR-0674</t>
  </si>
  <si>
    <t>B260601-L4C</t>
  </si>
  <si>
    <t>PR-0678</t>
  </si>
  <si>
    <t>B260602-L4A</t>
  </si>
  <si>
    <t>PR-0666</t>
  </si>
  <si>
    <t>B260601-L4A</t>
  </si>
  <si>
    <t>PR-0682</t>
  </si>
  <si>
    <t>B260602-L4B</t>
  </si>
  <si>
    <t>PR-0714</t>
  </si>
  <si>
    <t>B260605-L4A</t>
  </si>
  <si>
    <t>PR-0698</t>
  </si>
  <si>
    <t>B260603-L4C</t>
  </si>
  <si>
    <t>PR-0706</t>
  </si>
  <si>
    <t>B260604-L4B</t>
  </si>
  <si>
    <t>PR-0730</t>
  </si>
  <si>
    <t>B260606-L4B</t>
  </si>
  <si>
    <t>PR-0739</t>
  </si>
  <si>
    <t>B260607-L4B</t>
  </si>
  <si>
    <t>PR-0710</t>
  </si>
  <si>
    <t>B260604-L4C</t>
  </si>
  <si>
    <t>PR-0771</t>
  </si>
  <si>
    <t>B260610-L4B</t>
  </si>
  <si>
    <t>PR-0857</t>
  </si>
  <si>
    <t>B260618-L4A</t>
  </si>
  <si>
    <t>PR-0865</t>
  </si>
  <si>
    <t>B260618-L4C</t>
  </si>
  <si>
    <t>PR-0988</t>
  </si>
  <si>
    <t>B260630-L4A</t>
  </si>
  <si>
    <t>PR-0923</t>
  </si>
  <si>
    <t>B260624-L4A</t>
  </si>
  <si>
    <t>PR-0939</t>
  </si>
  <si>
    <t>B260625-L4B</t>
  </si>
  <si>
    <t>PR-0915</t>
  </si>
  <si>
    <t>B260623-L4B</t>
  </si>
  <si>
    <t>PR-0799</t>
  </si>
  <si>
    <t>B260612-L4C</t>
  </si>
  <si>
    <t>PR-0931</t>
  </si>
  <si>
    <t>B260624-L4C</t>
  </si>
  <si>
    <t>PR-0817</t>
  </si>
  <si>
    <t>B260614-L4B</t>
  </si>
  <si>
    <t>PR-0807</t>
  </si>
  <si>
    <t>B260613-L4B</t>
  </si>
  <si>
    <t>PR-0849</t>
  </si>
  <si>
    <t>B260617-L4B</t>
  </si>
  <si>
    <t>PR-0775</t>
  </si>
  <si>
    <t>B260610-L4C</t>
  </si>
  <si>
    <t>PR-0927</t>
  </si>
  <si>
    <t>B260624-L4B</t>
  </si>
  <si>
    <t>PR-0853</t>
  </si>
  <si>
    <t>B260617-L4C</t>
  </si>
  <si>
    <t>PR-0825</t>
  </si>
  <si>
    <t>B260615-L4B</t>
  </si>
  <si>
    <t>PR-0837</t>
  </si>
  <si>
    <t>B260616-L4B</t>
  </si>
  <si>
    <t>PR-1339</t>
  </si>
  <si>
    <t>Jul-2026</t>
  </si>
  <si>
    <t>B260731-L4C</t>
  </si>
  <si>
    <t>PR-1331</t>
  </si>
  <si>
    <t>B260731-L4A</t>
  </si>
  <si>
    <t>PR-1100</t>
  </si>
  <si>
    <t>B260710-L4A</t>
  </si>
  <si>
    <t>PR-1096</t>
  </si>
  <si>
    <t>B260709-L4C</t>
  </si>
  <si>
    <t>PR-1116</t>
  </si>
  <si>
    <t>B260711-L4B</t>
  </si>
  <si>
    <t>PR-1279</t>
  </si>
  <si>
    <t>B260726-L4B</t>
  </si>
  <si>
    <t>PR-1307</t>
  </si>
  <si>
    <t>B260729-L4A</t>
  </si>
  <si>
    <t>PR-1076</t>
  </si>
  <si>
    <t>B260708-L4A</t>
  </si>
  <si>
    <t>PR-1120</t>
  </si>
  <si>
    <t>B260711-L4C</t>
  </si>
  <si>
    <t>PR-1259</t>
  </si>
  <si>
    <t>B260724-L4B</t>
  </si>
  <si>
    <t>PR-1122</t>
  </si>
  <si>
    <t>B260712-L4A</t>
  </si>
  <si>
    <t>PR-1072</t>
  </si>
  <si>
    <t>B260707-L4C</t>
  </si>
  <si>
    <t>PR-1161</t>
  </si>
  <si>
    <t>B260715-L4C</t>
  </si>
  <si>
    <t>PR-1255</t>
  </si>
  <si>
    <t>B260724-L4A</t>
  </si>
  <si>
    <t>PR-1247</t>
  </si>
  <si>
    <t>B260723-L4B</t>
  </si>
  <si>
    <t>PR-1060</t>
  </si>
  <si>
    <t>B260706-L4C</t>
  </si>
  <si>
    <t>PR-1185</t>
  </si>
  <si>
    <t>B260717-L4C</t>
  </si>
  <si>
    <t>PR-1202</t>
  </si>
  <si>
    <t>B260719-L1B</t>
  </si>
  <si>
    <t>PR-1190</t>
  </si>
  <si>
    <t>B260718-L1B</t>
  </si>
  <si>
    <t>PR-1186</t>
  </si>
  <si>
    <t>B260718-L1A</t>
  </si>
  <si>
    <t>PR-1073</t>
  </si>
  <si>
    <t>B260708-L1A</t>
  </si>
  <si>
    <t>PR-1138</t>
  </si>
  <si>
    <t>B260714-L1A</t>
  </si>
  <si>
    <t>PR-1256</t>
  </si>
  <si>
    <t>B260724-L1B</t>
  </si>
  <si>
    <t>PR-1224</t>
  </si>
  <si>
    <t>B260721-L1C</t>
  </si>
  <si>
    <t>PR-1264</t>
  </si>
  <si>
    <t>B260725-L1A</t>
  </si>
  <si>
    <t>PR-1142</t>
  </si>
  <si>
    <t>B260714-L1B</t>
  </si>
  <si>
    <t>PR-1126</t>
  </si>
  <si>
    <t>B260713-L1A</t>
  </si>
  <si>
    <t>PR-1085</t>
  </si>
  <si>
    <t>B260709-L1A</t>
  </si>
  <si>
    <t>PR-1162</t>
  </si>
  <si>
    <t>B260716-L1A</t>
  </si>
  <si>
    <t>PR-1268</t>
  </si>
  <si>
    <t>B260725-L1B</t>
  </si>
  <si>
    <t>PR-1046</t>
  </si>
  <si>
    <t>B260705-L4A</t>
  </si>
  <si>
    <t>PR-1228</t>
  </si>
  <si>
    <t>B260722-L1A</t>
  </si>
  <si>
    <t>PR-1284</t>
  </si>
  <si>
    <t>B260727-L1B</t>
  </si>
  <si>
    <t>PR-1324</t>
  </si>
  <si>
    <t>B260730-L1C</t>
  </si>
  <si>
    <t>PR-1288</t>
  </si>
  <si>
    <t>B260727-L1C</t>
  </si>
  <si>
    <t>PR-1057</t>
  </si>
  <si>
    <t>B260706-L1C</t>
  </si>
  <si>
    <t>PR-1047</t>
  </si>
  <si>
    <t>B260705-L1B</t>
  </si>
  <si>
    <t>PR-1029</t>
  </si>
  <si>
    <t>B260703-L1C</t>
  </si>
  <si>
    <t>PR-1036</t>
  </si>
  <si>
    <t>B260704-L4A</t>
  </si>
  <si>
    <t>PR-1296</t>
  </si>
  <si>
    <t>B260728-L1B</t>
  </si>
  <si>
    <t>PR-1308</t>
  </si>
  <si>
    <t>B260729-L1B</t>
  </si>
  <si>
    <t>PR-1017</t>
  </si>
  <si>
    <t>B260702-L1C</t>
  </si>
  <si>
    <t>PR-1004</t>
  </si>
  <si>
    <t>B260701-L4B</t>
  </si>
  <si>
    <t>PR-1218</t>
  </si>
  <si>
    <t>B260721-L3A</t>
  </si>
  <si>
    <t>PR-1242</t>
  </si>
  <si>
    <t>B260723-L3A</t>
  </si>
  <si>
    <t>PR-1214</t>
  </si>
  <si>
    <t>B260720-L3C</t>
  </si>
  <si>
    <t>PR-1000</t>
  </si>
  <si>
    <t>B260701-L4A</t>
  </si>
  <si>
    <t>PR-1290</t>
  </si>
  <si>
    <t>B260727-L3C</t>
  </si>
  <si>
    <t>PR-1184</t>
  </si>
  <si>
    <t>B260717-L3C</t>
  </si>
  <si>
    <t>PR-1250</t>
  </si>
  <si>
    <t>B260723-L3C</t>
  </si>
  <si>
    <t>PR-1262</t>
  </si>
  <si>
    <t>B260724-L3C</t>
  </si>
  <si>
    <t>PR-1274</t>
  </si>
  <si>
    <t>B260725-L3C</t>
  </si>
  <si>
    <t>PR-1168</t>
  </si>
  <si>
    <t>B260716-L3B</t>
  </si>
  <si>
    <t>PR-1298</t>
  </si>
  <si>
    <t>B260728-L3B</t>
  </si>
  <si>
    <t>PR-1176</t>
  </si>
  <si>
    <t>B260717-L3A</t>
  </si>
  <si>
    <t>PR-1314</t>
  </si>
  <si>
    <t>B260729-L3C</t>
  </si>
  <si>
    <t>PR-1322</t>
  </si>
  <si>
    <t>B260730-L3B</t>
  </si>
  <si>
    <t>PR-1164</t>
  </si>
  <si>
    <t>B260716-L3A</t>
  </si>
  <si>
    <t>PR-1160</t>
  </si>
  <si>
    <t>B260715-L3C</t>
  </si>
  <si>
    <t>PR-1152</t>
  </si>
  <si>
    <t>B260715-L3A</t>
  </si>
  <si>
    <t>PR-1087</t>
  </si>
  <si>
    <t>B260709-L3A</t>
  </si>
  <si>
    <t>PR-1075</t>
  </si>
  <si>
    <t>B260708-L3A</t>
  </si>
  <si>
    <t>PR-1227</t>
  </si>
  <si>
    <t>B260721-L4C</t>
  </si>
  <si>
    <t>PR-1003</t>
  </si>
  <si>
    <t>B260701-L3B</t>
  </si>
  <si>
    <t>PR-0999</t>
  </si>
  <si>
    <t>B260701-L3A</t>
  </si>
  <si>
    <t>PR-1115</t>
  </si>
  <si>
    <t>B260711-L3B</t>
  </si>
  <si>
    <t>PR-1140</t>
  </si>
  <si>
    <t>B260714-L3A</t>
  </si>
  <si>
    <t>PR-1119</t>
  </si>
  <si>
    <t>B260711-L3C</t>
  </si>
  <si>
    <t>PR-1136</t>
  </si>
  <si>
    <t>B260713-L3C</t>
  </si>
  <si>
    <t>PR-1125</t>
  </si>
  <si>
    <t>B260712-L3B</t>
  </si>
  <si>
    <t>PR-1055</t>
  </si>
  <si>
    <t>B260706-L3B</t>
  </si>
  <si>
    <t>PR-1132</t>
  </si>
  <si>
    <t>B260713-L3B</t>
  </si>
  <si>
    <t>PR-1026</t>
  </si>
  <si>
    <t>B260703-L2B</t>
  </si>
  <si>
    <t>PR-1107</t>
  </si>
  <si>
    <t>B260710-L3C</t>
  </si>
  <si>
    <t>PR-1022</t>
  </si>
  <si>
    <t>B260703-L2A</t>
  </si>
  <si>
    <t>PR-1099</t>
  </si>
  <si>
    <t>B260710-L3A</t>
  </si>
  <si>
    <t>PR-1189</t>
  </si>
  <si>
    <t>B260718-L4A</t>
  </si>
  <si>
    <t>PR-1010</t>
  </si>
  <si>
    <t>B260702-L2A</t>
  </si>
  <si>
    <t>Cap Seal Leakage</t>
  </si>
  <si>
    <t>PR-1181</t>
  </si>
  <si>
    <t>B260717-L4B</t>
  </si>
  <si>
    <t>PR-1083</t>
  </si>
  <si>
    <t>B260708-L3C</t>
  </si>
  <si>
    <t>PR-1177</t>
  </si>
  <si>
    <t>B260717-L4A</t>
  </si>
  <si>
    <t>PR-1211</t>
  </si>
  <si>
    <t>B260720-L4B</t>
  </si>
  <si>
    <t>PR-1015</t>
  </si>
  <si>
    <t>B260702-L3B</t>
  </si>
  <si>
    <t>PR-1095</t>
  </si>
  <si>
    <t>B260709-L3C</t>
  </si>
  <si>
    <t>PR-1027</t>
  </si>
  <si>
    <t>B260703-L3B</t>
  </si>
  <si>
    <t>PR-1235</t>
  </si>
  <si>
    <t>B260722-L4B</t>
  </si>
  <si>
    <t>PR-1019</t>
  </si>
  <si>
    <t>B260702-L3C</t>
  </si>
  <si>
    <t>PR-1169</t>
  </si>
  <si>
    <t>B260716-L4B</t>
  </si>
  <si>
    <t>PR-1215</t>
  </si>
  <si>
    <t>B260720-L4C</t>
  </si>
  <si>
    <t>PR-1051</t>
  </si>
  <si>
    <t>B260706-L3A</t>
  </si>
  <si>
    <t>PR-1042</t>
  </si>
  <si>
    <t>B260704-L2C</t>
  </si>
  <si>
    <t>PR-1144</t>
  </si>
  <si>
    <t>B260714-L3B</t>
  </si>
  <si>
    <t>PR-1023</t>
  </si>
  <si>
    <t>B260703-L3A</t>
  </si>
  <si>
    <t>PR-1149</t>
  </si>
  <si>
    <t>B260714-L4C</t>
  </si>
  <si>
    <t>PR-1303</t>
  </si>
  <si>
    <t>B260728-L4C</t>
  </si>
  <si>
    <t>PR-1050</t>
  </si>
  <si>
    <t>B260706-L2A</t>
  </si>
  <si>
    <t>PR-1299</t>
  </si>
  <si>
    <t>B260728-L4B</t>
  </si>
  <si>
    <t>PR-1148</t>
  </si>
  <si>
    <t>B260714-L3C</t>
  </si>
  <si>
    <t>PR-1031</t>
  </si>
  <si>
    <t>B260703-L3C</t>
  </si>
  <si>
    <t>PR-1123</t>
  </si>
  <si>
    <t>B260712-L1B</t>
  </si>
  <si>
    <t>PR-1054</t>
  </si>
  <si>
    <t>B260706-L2B</t>
  </si>
  <si>
    <t>PR-1035</t>
  </si>
  <si>
    <t>B260704-L3A</t>
  </si>
  <si>
    <t>PR-1145</t>
  </si>
  <si>
    <t>B260714-L4B</t>
  </si>
  <si>
    <t>PR-1109</t>
  </si>
  <si>
    <t>B260711-L1A</t>
  </si>
  <si>
    <t>PR-1304</t>
  </si>
  <si>
    <t>B260729-L1A</t>
  </si>
  <si>
    <t>PR-1312</t>
  </si>
  <si>
    <t>B260729-L1C</t>
  </si>
  <si>
    <t>PR-1244</t>
  </si>
  <si>
    <t>B260723-L1B</t>
  </si>
  <si>
    <t>PR-1011</t>
  </si>
  <si>
    <t>B260702-L3A</t>
  </si>
  <si>
    <t>PR-1216</t>
  </si>
  <si>
    <t>B260721-L1A</t>
  </si>
  <si>
    <t>PR-1272</t>
  </si>
  <si>
    <t>B260725-L1C</t>
  </si>
  <si>
    <t>PR-1316</t>
  </si>
  <si>
    <t>B260730-L1A</t>
  </si>
  <si>
    <t>PR-1094</t>
  </si>
  <si>
    <t>B260709-L2C</t>
  </si>
  <si>
    <t>PR-1275</t>
  </si>
  <si>
    <t>B260725-L4C</t>
  </si>
  <si>
    <t>PR-1081</t>
  </si>
  <si>
    <t>B260708-L1C</t>
  </si>
  <si>
    <t>PR-1008</t>
  </si>
  <si>
    <t>B260701-L4C</t>
  </si>
  <si>
    <t>PR-1263</t>
  </si>
  <si>
    <t>B260724-L4C</t>
  </si>
  <si>
    <t>PR-1236</t>
  </si>
  <si>
    <t>B260722-L1C</t>
  </si>
  <si>
    <t>PR-1267</t>
  </si>
  <si>
    <t>B260725-L4A</t>
  </si>
  <si>
    <t>PR-1028</t>
  </si>
  <si>
    <t>B260703-L4B</t>
  </si>
  <si>
    <t>PR-1077</t>
  </si>
  <si>
    <t>B260708-L1B</t>
  </si>
  <si>
    <t>PR-1156</t>
  </si>
  <si>
    <t>B260715-L3B</t>
  </si>
  <si>
    <t>PR-1311</t>
  </si>
  <si>
    <t>B260729-L4B</t>
  </si>
  <si>
    <t>PR-1146</t>
  </si>
  <si>
    <t>B260714-L1C</t>
  </si>
  <si>
    <t>PR-1192</t>
  </si>
  <si>
    <t>B260718-L3B</t>
  </si>
  <si>
    <t>PR-1271</t>
  </si>
  <si>
    <t>B260725-L4B</t>
  </si>
  <si>
    <t>PR-1248</t>
  </si>
  <si>
    <t>B260723-L1C</t>
  </si>
  <si>
    <t>PR-1150</t>
  </si>
  <si>
    <t>B260715-L1A</t>
  </si>
  <si>
    <t>PR-1174</t>
  </si>
  <si>
    <t>B260717-L1A</t>
  </si>
  <si>
    <t>PR-1319</t>
  </si>
  <si>
    <t>B260730-L4A</t>
  </si>
  <si>
    <t>PR-1158</t>
  </si>
  <si>
    <t>B260715-L1C</t>
  </si>
  <si>
    <t>PR-1283</t>
  </si>
  <si>
    <t>B260727-L4A</t>
  </si>
  <si>
    <t>PR-1141</t>
  </si>
  <si>
    <t>B260714-L4A</t>
  </si>
  <si>
    <t>PR-1194</t>
  </si>
  <si>
    <t>B260718-L1C</t>
  </si>
  <si>
    <t>PR-1170</t>
  </si>
  <si>
    <t>B260716-L1C</t>
  </si>
  <si>
    <t>PR-1287</t>
  </si>
  <si>
    <t>B260727-L4B</t>
  </si>
  <si>
    <t>PR-1320</t>
  </si>
  <si>
    <t>B260730-L1B</t>
  </si>
  <si>
    <t>PR-1206</t>
  </si>
  <si>
    <t>B260720-L3A</t>
  </si>
  <si>
    <t>PR-1212</t>
  </si>
  <si>
    <t>B260720-L1C</t>
  </si>
  <si>
    <t>PR-1127</t>
  </si>
  <si>
    <t>B260713-L2A</t>
  </si>
  <si>
    <t>PR-1106</t>
  </si>
  <si>
    <t>B260710-L2C</t>
  </si>
  <si>
    <t>PR-1198</t>
  </si>
  <si>
    <t>B260719-L1A</t>
  </si>
  <si>
    <t>PR-1053</t>
  </si>
  <si>
    <t>B260706-L1B</t>
  </si>
  <si>
    <t>PR-1137</t>
  </si>
  <si>
    <t>B260713-L4C</t>
  </si>
  <si>
    <t>PR-1009</t>
  </si>
  <si>
    <t>B260702-L1A</t>
  </si>
  <si>
    <t>PR-1330</t>
  </si>
  <si>
    <t>B260731-L3A</t>
  </si>
  <si>
    <t>PR-1061</t>
  </si>
  <si>
    <t>B260707-L1A</t>
  </si>
  <si>
    <t>PR-1049</t>
  </si>
  <si>
    <t>B260706-L1A</t>
  </si>
  <si>
    <t>PR-1154</t>
  </si>
  <si>
    <t>B260715-L1B</t>
  </si>
  <si>
    <t>PR-1222</t>
  </si>
  <si>
    <t>B260721-L3B</t>
  </si>
  <si>
    <t>PR-1210</t>
  </si>
  <si>
    <t>B260720-L3B</t>
  </si>
  <si>
    <t>PR-1069</t>
  </si>
  <si>
    <t>B260707-L1C</t>
  </si>
  <si>
    <t>PR-1230</t>
  </si>
  <si>
    <t>B260722-L3A</t>
  </si>
  <si>
    <t>PR-1151</t>
  </si>
  <si>
    <t>B260715-L2A</t>
  </si>
  <si>
    <t>PR-1166</t>
  </si>
  <si>
    <t>B260716-L1B</t>
  </si>
  <si>
    <t>PR-1033</t>
  </si>
  <si>
    <t>B260704-L1A</t>
  </si>
  <si>
    <t>PR-1110</t>
  </si>
  <si>
    <t>B260711-L2A</t>
  </si>
  <si>
    <t>PR-1294</t>
  </si>
  <si>
    <t>B260728-L3A</t>
  </si>
  <si>
    <t>PR-1327</t>
  </si>
  <si>
    <t>B260730-L4C</t>
  </si>
  <si>
    <t>PR-1159</t>
  </si>
  <si>
    <t>B260715-L2C</t>
  </si>
  <si>
    <t>PR-1302</t>
  </si>
  <si>
    <t>B260728-L3C</t>
  </si>
  <si>
    <t>PR-1338</t>
  </si>
  <si>
    <t>B260731-L3C</t>
  </si>
  <si>
    <t>PR-1326</t>
  </si>
  <si>
    <t>B260730-L3C</t>
  </si>
  <si>
    <t>PR-1040</t>
  </si>
  <si>
    <t>B260704-L4B</t>
  </si>
  <si>
    <t>PR-0997</t>
  </si>
  <si>
    <t>B260701-L1A</t>
  </si>
  <si>
    <t>PR-1258</t>
  </si>
  <si>
    <t>B260724-L3B</t>
  </si>
  <si>
    <t>PR-1080</t>
  </si>
  <si>
    <t>B260708-L4B</t>
  </si>
  <si>
    <t>PR-1335</t>
  </si>
  <si>
    <t>B260731-L4B</t>
  </si>
  <si>
    <t>PR-1204</t>
  </si>
  <si>
    <t>B260720-L1A</t>
  </si>
  <si>
    <t>PR-1238</t>
  </si>
  <si>
    <t>B260722-L3C</t>
  </si>
  <si>
    <t>PR-1306</t>
  </si>
  <si>
    <t>B260729-L3A</t>
  </si>
  <si>
    <t>PR-1068</t>
  </si>
  <si>
    <t>B260707-L4B</t>
  </si>
  <si>
    <t>PR-1041</t>
  </si>
  <si>
    <t>B260704-L1C</t>
  </si>
  <si>
    <t>PR-1104</t>
  </si>
  <si>
    <t>B260710-L4B</t>
  </si>
  <si>
    <t>PR-1270</t>
  </si>
  <si>
    <t>B260725-L3B</t>
  </si>
  <si>
    <t>PR-1056</t>
  </si>
  <si>
    <t>B260706-L4B</t>
  </si>
  <si>
    <t>PR-1088</t>
  </si>
  <si>
    <t>B260709-L4A</t>
  </si>
  <si>
    <t>PR-1334</t>
  </si>
  <si>
    <t>B260731-L3B</t>
  </si>
  <si>
    <t>PR-1129</t>
  </si>
  <si>
    <t>B260713-L4A</t>
  </si>
  <si>
    <t>PR-1133</t>
  </si>
  <si>
    <t>B260713-L4B</t>
  </si>
  <si>
    <t>PR-1254</t>
  </si>
  <si>
    <t>B260724-L3A</t>
  </si>
  <si>
    <t>PR-1092</t>
  </si>
  <si>
    <t>B260709-L4B</t>
  </si>
  <si>
    <t>PR-1108</t>
  </si>
  <si>
    <t>B260710-L4C</t>
  </si>
  <si>
    <t>PR-1163</t>
  </si>
  <si>
    <t>B260716-L2A</t>
  </si>
  <si>
    <t>PR-1167</t>
  </si>
  <si>
    <t>B260716-L2B</t>
  </si>
  <si>
    <t>PR-1195</t>
  </si>
  <si>
    <t>B260718-L2C</t>
  </si>
  <si>
    <t>PR-1199</t>
  </si>
  <si>
    <t>B260719-L2A</t>
  </si>
  <si>
    <t>PR-1205</t>
  </si>
  <si>
    <t>B260720-L2A</t>
  </si>
  <si>
    <t>PR-0998</t>
  </si>
  <si>
    <t>B260701-L2A</t>
  </si>
  <si>
    <t>PR-1213</t>
  </si>
  <si>
    <t>B260720-L2C</t>
  </si>
  <si>
    <t>PR-1034</t>
  </si>
  <si>
    <t>B260704-L2A</t>
  </si>
  <si>
    <t>PR-1014</t>
  </si>
  <si>
    <t>B260702-L2B</t>
  </si>
  <si>
    <t>PR-1002</t>
  </si>
  <si>
    <t>B260701-L2B</t>
  </si>
  <si>
    <t>PR-1038</t>
  </si>
  <si>
    <t>B260704-L2B</t>
  </si>
  <si>
    <t>PR-1062</t>
  </si>
  <si>
    <t>B260707-L2A</t>
  </si>
  <si>
    <t>PR-1070</t>
  </si>
  <si>
    <t>B260707-L2C</t>
  </si>
  <si>
    <t>PR-1225</t>
  </si>
  <si>
    <t>B260721-L2C</t>
  </si>
  <si>
    <t>PR-1277</t>
  </si>
  <si>
    <t>B260726-L1B</t>
  </si>
  <si>
    <t>PR-1260</t>
  </si>
  <si>
    <t>B260724-L1C</t>
  </si>
  <si>
    <t>PR-1292</t>
  </si>
  <si>
    <t>B260728-L1A</t>
  </si>
  <si>
    <t>PR-1237</t>
  </si>
  <si>
    <t>B260722-L2C</t>
  </si>
  <si>
    <t>PR-1280</t>
  </si>
  <si>
    <t>B260727-L1A</t>
  </si>
  <si>
    <t>PR-1241</t>
  </si>
  <si>
    <t>B260723-L2A</t>
  </si>
  <si>
    <t>PR-1240</t>
  </si>
  <si>
    <t>B260723-L1A</t>
  </si>
  <si>
    <t>PR-1220</t>
  </si>
  <si>
    <t>B260721-L1B</t>
  </si>
  <si>
    <t>PR-1300</t>
  </si>
  <si>
    <t>B260728-L1C</t>
  </si>
  <si>
    <t>PR-1090</t>
  </si>
  <si>
    <t>B260709-L2B</t>
  </si>
  <si>
    <t>PR-1252</t>
  </si>
  <si>
    <t>B260724-L1A</t>
  </si>
  <si>
    <t>PR-1336</t>
  </si>
  <si>
    <t>B260731-L1C</t>
  </si>
  <si>
    <t>PR-1332</t>
  </si>
  <si>
    <t>B260731-L1B</t>
  </si>
  <si>
    <t>PR-1232</t>
  </si>
  <si>
    <t>B260722-L1B</t>
  </si>
  <si>
    <t>PR-1328</t>
  </si>
  <si>
    <t>B260731-L1A</t>
  </si>
  <si>
    <t>PR-1098</t>
  </si>
  <si>
    <t>B260710-L2A</t>
  </si>
  <si>
    <t>PR-1245</t>
  </si>
  <si>
    <t>B260723-L2B</t>
  </si>
  <si>
    <t>PR-1178</t>
  </si>
  <si>
    <t>B260717-L1B</t>
  </si>
  <si>
    <t>PR-1182</t>
  </si>
  <si>
    <t>B260717-L1C</t>
  </si>
  <si>
    <t>PR-1208</t>
  </si>
  <si>
    <t>B260720-L1B</t>
  </si>
  <si>
    <t>PR-1265</t>
  </si>
  <si>
    <t>B260725-L2A</t>
  </si>
  <si>
    <t>PR-1131</t>
  </si>
  <si>
    <t>B260713-L2B</t>
  </si>
  <si>
    <t>PR-1276</t>
  </si>
  <si>
    <t>B260726-L2A</t>
  </si>
  <si>
    <t>PR-1117</t>
  </si>
  <si>
    <t>B260711-L1C</t>
  </si>
  <si>
    <t>PR-1124</t>
  </si>
  <si>
    <t>B260712-L2B</t>
  </si>
  <si>
    <t>PR-1278</t>
  </si>
  <si>
    <t>B260726-L2B</t>
  </si>
  <si>
    <t>PR-1130</t>
  </si>
  <si>
    <t>B260713-L1B</t>
  </si>
  <si>
    <t>PR-1118</t>
  </si>
  <si>
    <t>B260711-L2C</t>
  </si>
  <si>
    <t>PR-1101</t>
  </si>
  <si>
    <t>B260710-L1B</t>
  </si>
  <si>
    <t>PR-1134</t>
  </si>
  <si>
    <t>B260713-L1C</t>
  </si>
  <si>
    <t>PR-1139</t>
  </si>
  <si>
    <t>B260714-L2A</t>
  </si>
  <si>
    <t>PR-1089</t>
  </si>
  <si>
    <t>B260709-L1B</t>
  </si>
  <si>
    <t>PR-1135</t>
  </si>
  <si>
    <t>B260713-L2C</t>
  </si>
  <si>
    <t>PR-1113</t>
  </si>
  <si>
    <t>B260711-L1B</t>
  </si>
  <si>
    <t>PR-1093</t>
  </si>
  <si>
    <t>B260709-L1C</t>
  </si>
  <si>
    <t>PR-1065</t>
  </si>
  <si>
    <t>B260707-L1B</t>
  </si>
  <si>
    <t>PR-1105</t>
  </si>
  <si>
    <t>B260710-L1C</t>
  </si>
  <si>
    <t>PR-1097</t>
  </si>
  <si>
    <t>B260710-L1A</t>
  </si>
  <si>
    <t>PR-1021</t>
  </si>
  <si>
    <t>B260703-L1A</t>
  </si>
  <si>
    <t>PR-1037</t>
  </si>
  <si>
    <t>B260704-L1B</t>
  </si>
  <si>
    <t>PR-1005</t>
  </si>
  <si>
    <t>B260701-L1C</t>
  </si>
  <si>
    <t>PR-1013</t>
  </si>
  <si>
    <t>B260702-L1B</t>
  </si>
  <si>
    <t>PR-1001</t>
  </si>
  <si>
    <t>B260701-L1B</t>
  </si>
  <si>
    <t>PR-1025</t>
  </si>
  <si>
    <t>B260703-L1B</t>
  </si>
  <si>
    <t>PR-1147</t>
  </si>
  <si>
    <t>B260714-L2C</t>
  </si>
  <si>
    <t>PR-1289</t>
  </si>
  <si>
    <t>B260727-L2C</t>
  </si>
  <si>
    <t>PR-1155</t>
  </si>
  <si>
    <t>B260715-L2B</t>
  </si>
  <si>
    <t>PR-1297</t>
  </si>
  <si>
    <t>B260728-L2B</t>
  </si>
  <si>
    <t>PR-1171</t>
  </si>
  <si>
    <t>B260716-L2C</t>
  </si>
  <si>
    <t>PR-1006</t>
  </si>
  <si>
    <t>B260701-L2C</t>
  </si>
  <si>
    <t>PR-1018</t>
  </si>
  <si>
    <t>B260702-L2C</t>
  </si>
  <si>
    <t>PR-1179</t>
  </si>
  <si>
    <t>B260717-L2B</t>
  </si>
  <si>
    <t>PR-1048</t>
  </si>
  <si>
    <t>B260705-L2B</t>
  </si>
  <si>
    <t>PR-1045</t>
  </si>
  <si>
    <t>B260705-L2A</t>
  </si>
  <si>
    <t>PR-1030</t>
  </si>
  <si>
    <t>B260703-L2C</t>
  </si>
  <si>
    <t>PR-1317</t>
  </si>
  <si>
    <t>B260730-L2A</t>
  </si>
  <si>
    <t>PR-1078</t>
  </si>
  <si>
    <t>B260708-L2B</t>
  </si>
  <si>
    <t>PR-1066</t>
  </si>
  <si>
    <t>B260707-L2B</t>
  </si>
  <si>
    <t>PR-1058</t>
  </si>
  <si>
    <t>B260706-L2C</t>
  </si>
  <si>
    <t>PR-1074</t>
  </si>
  <si>
    <t>B260708-L2A</t>
  </si>
  <si>
    <t>PR-1183</t>
  </si>
  <si>
    <t>B260717-L2C</t>
  </si>
  <si>
    <t>PR-1067</t>
  </si>
  <si>
    <t>B260707-L3B</t>
  </si>
  <si>
    <t>PR-1082</t>
  </si>
  <si>
    <t>B260708-L2C</t>
  </si>
  <si>
    <t>PR-1071</t>
  </si>
  <si>
    <t>B260707-L3C</t>
  </si>
  <si>
    <t>PR-1091</t>
  </si>
  <si>
    <t>B260709-L3B</t>
  </si>
  <si>
    <t>PR-1111</t>
  </si>
  <si>
    <t>B260711-L3A</t>
  </si>
  <si>
    <t>PR-1086</t>
  </si>
  <si>
    <t>B260709-L2A</t>
  </si>
  <si>
    <t>PR-1063</t>
  </si>
  <si>
    <t>B260707-L3A</t>
  </si>
  <si>
    <t>PR-1007</t>
  </si>
  <si>
    <t>B260701-L3C</t>
  </si>
  <si>
    <t>PR-1249</t>
  </si>
  <si>
    <t>B260723-L2C</t>
  </si>
  <si>
    <t>PR-1039</t>
  </si>
  <si>
    <t>B260704-L3B</t>
  </si>
  <si>
    <t>PR-1229</t>
  </si>
  <si>
    <t>B260722-L2A</t>
  </si>
  <si>
    <t>PR-1103</t>
  </si>
  <si>
    <t>B260710-L3B</t>
  </si>
  <si>
    <t>PR-1121</t>
  </si>
  <si>
    <t>B260712-L3A</t>
  </si>
  <si>
    <t>PR-1180</t>
  </si>
  <si>
    <t>B260717-L3B</t>
  </si>
  <si>
    <t>PR-1102</t>
  </si>
  <si>
    <t>B260710-L2B</t>
  </si>
  <si>
    <t>PR-1059</t>
  </si>
  <si>
    <t>B260706-L3C</t>
  </si>
  <si>
    <t>PR-1079</t>
  </si>
  <si>
    <t>B260708-L3B</t>
  </si>
  <si>
    <t>PR-1043</t>
  </si>
  <si>
    <t>B260704-L3C</t>
  </si>
  <si>
    <t>PR-1172</t>
  </si>
  <si>
    <t>B260716-L3C</t>
  </si>
  <si>
    <t>PR-1188</t>
  </si>
  <si>
    <t>B260718-L3A</t>
  </si>
  <si>
    <t>PR-1128</t>
  </si>
  <si>
    <t>B260713-L3A</t>
  </si>
  <si>
    <t>PR-1203</t>
  </si>
  <si>
    <t>B260719-L3B</t>
  </si>
  <si>
    <t>PR-1261</t>
  </si>
  <si>
    <t>B260724-L2C</t>
  </si>
  <si>
    <t>PR-1286</t>
  </si>
  <si>
    <t>B260727-L3B</t>
  </si>
  <si>
    <t>PR-1282</t>
  </si>
  <si>
    <t>B260727-L3A</t>
  </si>
  <si>
    <t>PR-1200</t>
  </si>
  <si>
    <t>B260719-L3A</t>
  </si>
  <si>
    <t>PR-1318</t>
  </si>
  <si>
    <t>B260730-L3A</t>
  </si>
  <si>
    <t>PR-1321</t>
  </si>
  <si>
    <t>B260730-L2B</t>
  </si>
  <si>
    <t>PR-1310</t>
  </si>
  <si>
    <t>B260729-L3B</t>
  </si>
  <si>
    <t>PR-1333</t>
  </si>
  <si>
    <t>B260731-L2B</t>
  </si>
  <si>
    <t>PR-1114</t>
  </si>
  <si>
    <t>B260711-L2B</t>
  </si>
  <si>
    <t>PR-1313</t>
  </si>
  <si>
    <t>B260729-L2C</t>
  </si>
  <si>
    <t>PR-1285</t>
  </si>
  <si>
    <t>B260727-L2B</t>
  </si>
  <si>
    <t>PR-1196</t>
  </si>
  <si>
    <t>B260718-L3C</t>
  </si>
  <si>
    <t>PR-1309</t>
  </si>
  <si>
    <t>B260729-L2B</t>
  </si>
  <si>
    <t>PR-1226</t>
  </si>
  <si>
    <t>B260721-L3C</t>
  </si>
  <si>
    <t>PR-1273</t>
  </si>
  <si>
    <t>B260725-L2C</t>
  </si>
  <si>
    <t>PR-1143</t>
  </si>
  <si>
    <t>B260714-L2B</t>
  </si>
  <si>
    <t>PR-1175</t>
  </si>
  <si>
    <t>B260717-L2A</t>
  </si>
  <si>
    <t>PR-1281</t>
  </si>
  <si>
    <t>B260727-L2A</t>
  </si>
  <si>
    <t>PR-1266</t>
  </si>
  <si>
    <t>B260725-L3A</t>
  </si>
  <si>
    <t>PR-1329</t>
  </si>
  <si>
    <t>B260731-L2A</t>
  </si>
  <si>
    <t>PR-1246</t>
  </si>
  <si>
    <t>B260723-L3B</t>
  </si>
  <si>
    <t>PR-1234</t>
  </si>
  <si>
    <t>B260722-L3B</t>
  </si>
  <si>
    <t>PR-1293</t>
  </si>
  <si>
    <t>B260728-L2A</t>
  </si>
  <si>
    <t>PR-1187</t>
  </si>
  <si>
    <t>B260718-L2A</t>
  </si>
  <si>
    <t>PR-1191</t>
  </si>
  <si>
    <t>B260718-L2B</t>
  </si>
  <si>
    <t>PR-1209</t>
  </si>
  <si>
    <t>B260720-L2B</t>
  </si>
  <si>
    <t>PR-1305</t>
  </si>
  <si>
    <t>B260729-L2A</t>
  </si>
  <si>
    <t>PR-1269</t>
  </si>
  <si>
    <t>B260725-L2B</t>
  </si>
  <si>
    <t>PR-1221</t>
  </si>
  <si>
    <t>B260721-L2B</t>
  </si>
  <si>
    <t>PR-1217</t>
  </si>
  <si>
    <t>B260721-L2A</t>
  </si>
  <si>
    <t>PR-1325</t>
  </si>
  <si>
    <t>B260730-L2C</t>
  </si>
  <si>
    <t>PR-1301</t>
  </si>
  <si>
    <t>B260728-L2C</t>
  </si>
  <si>
    <t>PR-1257</t>
  </si>
  <si>
    <t>B260724-L2B</t>
  </si>
  <si>
    <t>=SUMIFS('Data'!R2:R2001,'Data'!I2:I2001 ="</t>
  </si>
  <si>
    <t>B260722-L2B</t>
  </si>
  <si>
    <t>PR-1253</t>
  </si>
  <si>
    <t>B260724-L2A</t>
  </si>
  <si>
    <t>PR-1337</t>
  </si>
  <si>
    <t>B260731-L2C</t>
  </si>
  <si>
    <t>PR-1112</t>
  </si>
  <si>
    <t>B260711-L4A</t>
  </si>
  <si>
    <t>PR-1153</t>
  </si>
  <si>
    <t>B260715-L4A</t>
  </si>
  <si>
    <t>PR-1295</t>
  </si>
  <si>
    <t>B260728-L4A</t>
  </si>
  <si>
    <t>PR-1315</t>
  </si>
  <si>
    <t>B260729-L4C</t>
  </si>
  <si>
    <t>PR-1032</t>
  </si>
  <si>
    <t>B260703-L4C</t>
  </si>
  <si>
    <t>PR-1016</t>
  </si>
  <si>
    <t>B260702-L4B</t>
  </si>
  <si>
    <t>PR-1012</t>
  </si>
  <si>
    <t>B260702-L4A</t>
  </si>
  <si>
    <t>PR-1052</t>
  </si>
  <si>
    <t>B260706-L4A</t>
  </si>
  <si>
    <t>PR-1239</t>
  </si>
  <si>
    <t>B260722-L4C</t>
  </si>
  <si>
    <t>PR-1173</t>
  </si>
  <si>
    <t>B260716-L4C</t>
  </si>
  <si>
    <t>PR-1323</t>
  </si>
  <si>
    <t>B260730-L4B</t>
  </si>
  <si>
    <t>PR-1084</t>
  </si>
  <si>
    <t>B260708-L4C</t>
  </si>
  <si>
    <t>PR-1020</t>
  </si>
  <si>
    <t>B260702-L4C</t>
  </si>
  <si>
    <t>PR-1165</t>
  </si>
  <si>
    <t>B260716-L4A</t>
  </si>
  <si>
    <t>PR-1064</t>
  </si>
  <si>
    <t>B260707-L4A</t>
  </si>
  <si>
    <t>PR-1291</t>
  </si>
  <si>
    <t>B260727-L4C</t>
  </si>
  <si>
    <t>PR-1024</t>
  </si>
  <si>
    <t>B260703-L4A</t>
  </si>
  <si>
    <t>PR-1157</t>
  </si>
  <si>
    <t>B260715-L4B</t>
  </si>
  <si>
    <t>PR-1231</t>
  </si>
  <si>
    <t>B260722-L4A</t>
  </si>
  <si>
    <t>PR-1044</t>
  </si>
  <si>
    <t>B260704-L4C</t>
  </si>
  <si>
    <t>PR-1223</t>
  </si>
  <si>
    <t>B260721-L4B</t>
  </si>
  <si>
    <t>PR-1193</t>
  </si>
  <si>
    <t>B260718-L4B</t>
  </si>
  <si>
    <t>PR-1243</t>
  </si>
  <si>
    <t>B260723-L4A</t>
  </si>
  <si>
    <t>PR-1251</t>
  </si>
  <si>
    <t>B260723-L4C</t>
  </si>
  <si>
    <t>PR-1197</t>
  </si>
  <si>
    <t>B260718-L4C</t>
  </si>
  <si>
    <t>PR-1201</t>
  </si>
  <si>
    <t>B260719-L4A</t>
  </si>
  <si>
    <t>PR-1207</t>
  </si>
  <si>
    <t>B260720-L4A</t>
  </si>
  <si>
    <t>PR-1219</t>
  </si>
  <si>
    <t>B260721-L4A</t>
  </si>
  <si>
    <t>PR-1450</t>
  </si>
  <si>
    <t>Aug-2026</t>
  </si>
  <si>
    <t>B260811-L4A</t>
  </si>
  <si>
    <t>PR-1395</t>
  </si>
  <si>
    <t>B260806-L4A</t>
  </si>
  <si>
    <t>PR-1399</t>
  </si>
  <si>
    <t>B260806-L4B</t>
  </si>
  <si>
    <t>PR-1458</t>
  </si>
  <si>
    <t>B260811-L4C</t>
  </si>
  <si>
    <t>PR-1403</t>
  </si>
  <si>
    <t>B260806-L4C</t>
  </si>
  <si>
    <t>PR-1442</t>
  </si>
  <si>
    <t>B260810-L4B</t>
  </si>
  <si>
    <t>PR-1498</t>
  </si>
  <si>
    <t>B260815-L4A</t>
  </si>
  <si>
    <t>PR-1560</t>
  </si>
  <si>
    <t>B260821-L4A</t>
  </si>
  <si>
    <t>PR-1415</t>
  </si>
  <si>
    <t>B260807-L4C</t>
  </si>
  <si>
    <t>PR-1564</t>
  </si>
  <si>
    <t>B260821-L4B</t>
  </si>
  <si>
    <t>PR-1391</t>
  </si>
  <si>
    <t>B260805-L4C</t>
  </si>
  <si>
    <t>PR-1423</t>
  </si>
  <si>
    <t>B260808-L4B</t>
  </si>
  <si>
    <t>PR-1661</t>
  </si>
  <si>
    <t>B260831-L1A</t>
  </si>
  <si>
    <t>PR-1520</t>
  </si>
  <si>
    <t>B260817-L4C</t>
  </si>
  <si>
    <t>PR-1343</t>
  </si>
  <si>
    <t>B260801-L4A</t>
  </si>
  <si>
    <t>PR-1363</t>
  </si>
  <si>
    <t>B260803-L4B</t>
  </si>
  <si>
    <t>PR-1576</t>
  </si>
  <si>
    <t>B260822-L4B</t>
  </si>
  <si>
    <t>PR-1656</t>
  </si>
  <si>
    <t>B260829-L4C</t>
  </si>
  <si>
    <t>PR-1657</t>
  </si>
  <si>
    <t>B260830-L1A</t>
  </si>
  <si>
    <t>PR-1672</t>
  </si>
  <si>
    <t>B260831-L4C</t>
  </si>
  <si>
    <t>PR-1580</t>
  </si>
  <si>
    <t>B260822-L4C</t>
  </si>
  <si>
    <t>PR-1633</t>
  </si>
  <si>
    <t>B260828-L1A</t>
  </si>
  <si>
    <t>PR-1649</t>
  </si>
  <si>
    <t>B260829-L1B</t>
  </si>
  <si>
    <t>PR-1644</t>
  </si>
  <si>
    <t>B260828-L4C</t>
  </si>
  <si>
    <t>PR-1529</t>
  </si>
  <si>
    <t>B260818-L1C</t>
  </si>
  <si>
    <t>PR-1561</t>
  </si>
  <si>
    <t>B260821-L1B</t>
  </si>
  <si>
    <t>PR-1525</t>
  </si>
  <si>
    <t>B260818-L1B</t>
  </si>
  <si>
    <t>PR-1609</t>
  </si>
  <si>
    <t>B260826-L1A</t>
  </si>
  <si>
    <t>PR-1600</t>
  </si>
  <si>
    <t>B260825-L4A</t>
  </si>
  <si>
    <t>PR-1640</t>
  </si>
  <si>
    <t>B260828-L4B</t>
  </si>
  <si>
    <t>PR-1616</t>
  </si>
  <si>
    <t>B260826-L4B</t>
  </si>
  <si>
    <t>PR-1581</t>
  </si>
  <si>
    <t>B260823-L1A</t>
  </si>
  <si>
    <t>PR-1617</t>
  </si>
  <si>
    <t>B260826-L1C</t>
  </si>
  <si>
    <t>PR-1601</t>
  </si>
  <si>
    <t>B260825-L1B</t>
  </si>
  <si>
    <t>PR-1613</t>
  </si>
  <si>
    <t>B260826-L1B</t>
  </si>
  <si>
    <t>PR-1632</t>
  </si>
  <si>
    <t>B260827-L4C</t>
  </si>
  <si>
    <t>PR-1636</t>
  </si>
  <si>
    <t>B260828-L4A</t>
  </si>
  <si>
    <t>PR-1513</t>
  </si>
  <si>
    <t>B260817-L1B</t>
  </si>
  <si>
    <t>PR-1605</t>
  </si>
  <si>
    <t>B260825-L1C</t>
  </si>
  <si>
    <t>PR-1573</t>
  </si>
  <si>
    <t>B260822-L1B</t>
  </si>
  <si>
    <t>PR-1604</t>
  </si>
  <si>
    <t>B260825-L4B</t>
  </si>
  <si>
    <t>PR-1507</t>
  </si>
  <si>
    <t>B260816-L1B</t>
  </si>
  <si>
    <t>PR-1455</t>
  </si>
  <si>
    <t>B260811-L1C</t>
  </si>
  <si>
    <t>PR-1459</t>
  </si>
  <si>
    <t>B260812-L1A</t>
  </si>
  <si>
    <t>PR-1569</t>
  </si>
  <si>
    <t>B260822-L1A</t>
  </si>
  <si>
    <t>PR-1624</t>
  </si>
  <si>
    <t>B260827-L4A</t>
  </si>
  <si>
    <t>PR-1495</t>
  </si>
  <si>
    <t>B260815-L1A</t>
  </si>
  <si>
    <t>PR-1541</t>
  </si>
  <si>
    <t>B260819-L1C</t>
  </si>
  <si>
    <t>PR-1447</t>
  </si>
  <si>
    <t>B260811-L1A</t>
  </si>
  <si>
    <t>PR-1565</t>
  </si>
  <si>
    <t>B260821-L1C</t>
  </si>
  <si>
    <t>PR-1635</t>
  </si>
  <si>
    <t>B260828-L3A</t>
  </si>
  <si>
    <t>PR-1639</t>
  </si>
  <si>
    <t>B260828-L3B</t>
  </si>
  <si>
    <t>PR-1651</t>
  </si>
  <si>
    <t>B260829-L3B</t>
  </si>
  <si>
    <t>PR-1655</t>
  </si>
  <si>
    <t>B260829-L3C</t>
  </si>
  <si>
    <t>PR-1631</t>
  </si>
  <si>
    <t>B260827-L3C</t>
  </si>
  <si>
    <t>PR-1663</t>
  </si>
  <si>
    <t>B260831-L3A</t>
  </si>
  <si>
    <t>PR-1435</t>
  </si>
  <si>
    <t>B260810-L1A</t>
  </si>
  <si>
    <t>PR-1443</t>
  </si>
  <si>
    <t>B260810-L1C</t>
  </si>
  <si>
    <t>PR-1416</t>
  </si>
  <si>
    <t>B260808-L1A</t>
  </si>
  <si>
    <t>PR-1627</t>
  </si>
  <si>
    <t>B260827-L3B</t>
  </si>
  <si>
    <t>PR-1611</t>
  </si>
  <si>
    <t>B260826-L3A</t>
  </si>
  <si>
    <t>PR-1603</t>
  </si>
  <si>
    <t>B260825-L3B</t>
  </si>
  <si>
    <t>PR-1599</t>
  </si>
  <si>
    <t>B260825-L3A</t>
  </si>
  <si>
    <t>PR-1575</t>
  </si>
  <si>
    <t>B260822-L3B</t>
  </si>
  <si>
    <t>PR-1356</t>
  </si>
  <si>
    <t>B260803-L1A</t>
  </si>
  <si>
    <t>PR-1579</t>
  </si>
  <si>
    <t>B260822-L3C</t>
  </si>
  <si>
    <t>PR-1364</t>
  </si>
  <si>
    <t>B260803-L1C</t>
  </si>
  <si>
    <t>PR-1571</t>
  </si>
  <si>
    <t>B260822-L3A</t>
  </si>
  <si>
    <t>PR-1563</t>
  </si>
  <si>
    <t>B260821-L3B</t>
  </si>
  <si>
    <t>PR-1404</t>
  </si>
  <si>
    <t>B260807-L1A</t>
  </si>
  <si>
    <t>PR-1372</t>
  </si>
  <si>
    <t>B260804-L1B</t>
  </si>
  <si>
    <t>PR-1368</t>
  </si>
  <si>
    <t>B260804-L1A</t>
  </si>
  <si>
    <t>PR-1539</t>
  </si>
  <si>
    <t>B260819-L3B</t>
  </si>
  <si>
    <t>PR-1493</t>
  </si>
  <si>
    <t>B260814-L3C</t>
  </si>
  <si>
    <t>PR-1396</t>
  </si>
  <si>
    <t>B260806-L1B</t>
  </si>
  <si>
    <t>PR-1485</t>
  </si>
  <si>
    <t>B260814-L3A</t>
  </si>
  <si>
    <t>PR-1380</t>
  </si>
  <si>
    <t>B260805-L1A</t>
  </si>
  <si>
    <t>PR-1384</t>
  </si>
  <si>
    <t>B260805-L1B</t>
  </si>
  <si>
    <t>PR-1473</t>
  </si>
  <si>
    <t>B260813-L3A</t>
  </si>
  <si>
    <t>PR-1625</t>
  </si>
  <si>
    <t>B260827-L1B</t>
  </si>
  <si>
    <t>PR-1461</t>
  </si>
  <si>
    <t>B260812-L3A</t>
  </si>
  <si>
    <t>PR-1358</t>
  </si>
  <si>
    <t>B260803-L3A</t>
  </si>
  <si>
    <t>PR-1453</t>
  </si>
  <si>
    <t>B260811-L3B</t>
  </si>
  <si>
    <t>PR-1637</t>
  </si>
  <si>
    <t>B260828-L1B</t>
  </si>
  <si>
    <t>PR-1445</t>
  </si>
  <si>
    <t>B260810-L3C</t>
  </si>
  <si>
    <t>PR-1669</t>
  </si>
  <si>
    <t>B260831-L1C</t>
  </si>
  <si>
    <t>PR-1390</t>
  </si>
  <si>
    <t>B260805-L3C</t>
  </si>
  <si>
    <t>PR-1355</t>
  </si>
  <si>
    <t>B260802-L3B</t>
  </si>
  <si>
    <t>PR-1457</t>
  </si>
  <si>
    <t>B260811-L3C</t>
  </si>
  <si>
    <t>PR-1386</t>
  </si>
  <si>
    <t>B260805-L3B</t>
  </si>
  <si>
    <t>PR-1370</t>
  </si>
  <si>
    <t>B260804-L3A</t>
  </si>
  <si>
    <t>PR-1597</t>
  </si>
  <si>
    <t>B260825-L1A</t>
  </si>
  <si>
    <t>PR-1398</t>
  </si>
  <si>
    <t>B260806-L3B</t>
  </si>
  <si>
    <t>PR-1422</t>
  </si>
  <si>
    <t>B260808-L3B</t>
  </si>
  <si>
    <t>PR-1589</t>
  </si>
  <si>
    <t>B260824-L1B</t>
  </si>
  <si>
    <t>PR-1593</t>
  </si>
  <si>
    <t>B260824-L1C</t>
  </si>
  <si>
    <t>PR-1517</t>
  </si>
  <si>
    <t>B260817-L1C</t>
  </si>
  <si>
    <t>PR-1499</t>
  </si>
  <si>
    <t>B260815-L1B</t>
  </si>
  <si>
    <t>PR-1491</t>
  </si>
  <si>
    <t>B260814-L1C</t>
  </si>
  <si>
    <t>PR-1557</t>
  </si>
  <si>
    <t>B260821-L1A</t>
  </si>
  <si>
    <t>PR-1509</t>
  </si>
  <si>
    <t>B260817-L1A</t>
  </si>
  <si>
    <t>PR-1471</t>
  </si>
  <si>
    <t>B260813-L1A</t>
  </si>
  <si>
    <t>PR-1467</t>
  </si>
  <si>
    <t>B260812-L1C</t>
  </si>
  <si>
    <t>PR-1479</t>
  </si>
  <si>
    <t>B260813-L1C</t>
  </si>
  <si>
    <t>PR-1451</t>
  </si>
  <si>
    <t>B260811-L1B</t>
  </si>
  <si>
    <t>PR-1568</t>
  </si>
  <si>
    <t>B260821-L4C</t>
  </si>
  <si>
    <t>PR-1516</t>
  </si>
  <si>
    <t>B260817-L4B</t>
  </si>
  <si>
    <t>PR-1528</t>
  </si>
  <si>
    <t>B260818-L4B</t>
  </si>
  <si>
    <t>PR-1540</t>
  </si>
  <si>
    <t>B260819-L4B</t>
  </si>
  <si>
    <t>PR-1652</t>
  </si>
  <si>
    <t>B260829-L4B</t>
  </si>
  <si>
    <t>PR-1360</t>
  </si>
  <si>
    <t>B260803-L1B</t>
  </si>
  <si>
    <t>PR-1420</t>
  </si>
  <si>
    <t>B260808-L1B</t>
  </si>
  <si>
    <t>PR-1392</t>
  </si>
  <si>
    <t>B260806-L1A</t>
  </si>
  <si>
    <t>PR-1494</t>
  </si>
  <si>
    <t>B260814-L4C</t>
  </si>
  <si>
    <t>PR-1659</t>
  </si>
  <si>
    <t>B260830-L4A</t>
  </si>
  <si>
    <t>PR-1596</t>
  </si>
  <si>
    <t>B260824-L4C</t>
  </si>
  <si>
    <t>PR-1532</t>
  </si>
  <si>
    <t>B260818-L4C</t>
  </si>
  <si>
    <t>PR-1668</t>
  </si>
  <si>
    <t>B260831-L4B</t>
  </si>
  <si>
    <t>PR-1660</t>
  </si>
  <si>
    <t>B260830-L4B</t>
  </si>
  <si>
    <t>PR-1412</t>
  </si>
  <si>
    <t>B260807-L1C</t>
  </si>
  <si>
    <t>PR-1354</t>
  </si>
  <si>
    <t>B260802-L1B</t>
  </si>
  <si>
    <t>PR-1482</t>
  </si>
  <si>
    <t>B260813-L4C</t>
  </si>
  <si>
    <t>PR-1348</t>
  </si>
  <si>
    <t>B260801-L1C</t>
  </si>
  <si>
    <t>PR-1344</t>
  </si>
  <si>
    <t>B260801-L1B</t>
  </si>
  <si>
    <t>PR-1371</t>
  </si>
  <si>
    <t>B260804-L4A</t>
  </si>
  <si>
    <t>PR-1647</t>
  </si>
  <si>
    <t>B260829-L3A</t>
  </si>
  <si>
    <t>PR-1375</t>
  </si>
  <si>
    <t>B260804-L4B</t>
  </si>
  <si>
    <t>PR-1486</t>
  </si>
  <si>
    <t>B260814-L4A</t>
  </si>
  <si>
    <t>PR-1388</t>
  </si>
  <si>
    <t>B260805-L1C</t>
  </si>
  <si>
    <t>PR-1383</t>
  </si>
  <si>
    <t>B260805-L4A</t>
  </si>
  <si>
    <t>PR-1376</t>
  </si>
  <si>
    <t>B260804-L1C</t>
  </si>
  <si>
    <t>PR-1623</t>
  </si>
  <si>
    <t>B260827-L3A</t>
  </si>
  <si>
    <t>PR-1410</t>
  </si>
  <si>
    <t>B260807-L3B</t>
  </si>
  <si>
    <t>PR-1462</t>
  </si>
  <si>
    <t>B260812-L4A</t>
  </si>
  <si>
    <t>PR-1438</t>
  </si>
  <si>
    <t>B260810-L4A</t>
  </si>
  <si>
    <t>PR-1346</t>
  </si>
  <si>
    <t>B260801-L3B</t>
  </si>
  <si>
    <t>PR-1350</t>
  </si>
  <si>
    <t>B260801-L3C</t>
  </si>
  <si>
    <t>PR-1474</t>
  </si>
  <si>
    <t>B260813-L4A</t>
  </si>
  <si>
    <t>PR-1667</t>
  </si>
  <si>
    <t>B260831-L3B</t>
  </si>
  <si>
    <t>PR-1407</t>
  </si>
  <si>
    <t>B260807-L4A</t>
  </si>
  <si>
    <t>PR-1367</t>
  </si>
  <si>
    <t>B260803-L4C</t>
  </si>
  <si>
    <t>PR-1382</t>
  </si>
  <si>
    <t>B260805-L3A</t>
  </si>
  <si>
    <t>PR-1419</t>
  </si>
  <si>
    <t>B260808-L4A</t>
  </si>
  <si>
    <t>PR-1434</t>
  </si>
  <si>
    <t>B260809-L4B</t>
  </si>
  <si>
    <t>PR-1619</t>
  </si>
  <si>
    <t>B260826-L3C</t>
  </si>
  <si>
    <t>PR-1615</t>
  </si>
  <si>
    <t>B260826-L3B</t>
  </si>
  <si>
    <t>PR-1362</t>
  </si>
  <si>
    <t>B260803-L3B</t>
  </si>
  <si>
    <t>PR-1374</t>
  </si>
  <si>
    <t>B260804-L3B</t>
  </si>
  <si>
    <t>PR-1414</t>
  </si>
  <si>
    <t>B260807-L3C</t>
  </si>
  <si>
    <t>PR-1366</t>
  </si>
  <si>
    <t>B260803-L3C</t>
  </si>
  <si>
    <t>PR-1555</t>
  </si>
  <si>
    <t>B260820-L3C</t>
  </si>
  <si>
    <t>PR-1591</t>
  </si>
  <si>
    <t>B260824-L3B</t>
  </si>
  <si>
    <t>PR-1477</t>
  </si>
  <si>
    <t>B260813-L3B</t>
  </si>
  <si>
    <t>PR-1547</t>
  </si>
  <si>
    <t>B260820-L3A</t>
  </si>
  <si>
    <t>PR-1433</t>
  </si>
  <si>
    <t>B260809-L3B</t>
  </si>
  <si>
    <t>PR-1430</t>
  </si>
  <si>
    <t>B260809-L3A</t>
  </si>
  <si>
    <t>PR-1449</t>
  </si>
  <si>
    <t>B260811-L3A</t>
  </si>
  <si>
    <t>PR-1587</t>
  </si>
  <si>
    <t>B260824-L3A</t>
  </si>
  <si>
    <t>PR-1426</t>
  </si>
  <si>
    <t>B260808-L3C</t>
  </si>
  <si>
    <t>PR-1501</t>
  </si>
  <si>
    <t>B260815-L3B</t>
  </si>
  <si>
    <t>PR-1465</t>
  </si>
  <si>
    <t>B260812-L3B</t>
  </si>
  <si>
    <t>PR-1481</t>
  </si>
  <si>
    <t>B260813-L3C</t>
  </si>
  <si>
    <t>PR-1469</t>
  </si>
  <si>
    <t>B260812-L3C</t>
  </si>
  <si>
    <t>PR-1511</t>
  </si>
  <si>
    <t>B260817-L3A</t>
  </si>
  <si>
    <t>PR-1531</t>
  </si>
  <si>
    <t>B260818-L3C</t>
  </si>
  <si>
    <t>PR-1515</t>
  </si>
  <si>
    <t>B260817-L3B</t>
  </si>
  <si>
    <t>PR-1523</t>
  </si>
  <si>
    <t>B260818-L3A</t>
  </si>
  <si>
    <t>PR-1665</t>
  </si>
  <si>
    <t>B260831-L1B</t>
  </si>
  <si>
    <t>PR-1653</t>
  </si>
  <si>
    <t>B260829-L1C</t>
  </si>
  <si>
    <t>PR-1543</t>
  </si>
  <si>
    <t>B260819-L3C</t>
  </si>
  <si>
    <t>PR-1629</t>
  </si>
  <si>
    <t>B260827-L1C</t>
  </si>
  <si>
    <t>PR-1645</t>
  </si>
  <si>
    <t>B260829-L1A</t>
  </si>
  <si>
    <t>PR-1641</t>
  </si>
  <si>
    <t>B260828-L1C</t>
  </si>
  <si>
    <t>PR-1621</t>
  </si>
  <si>
    <t>B260827-L1A</t>
  </si>
  <si>
    <t>PR-1585</t>
  </si>
  <si>
    <t>B260824-L1A</t>
  </si>
  <si>
    <t>PR-1577</t>
  </si>
  <si>
    <t>B260822-L1C</t>
  </si>
  <si>
    <t>PR-1553</t>
  </si>
  <si>
    <t>B260820-L1C</t>
  </si>
  <si>
    <t>PR-1439</t>
  </si>
  <si>
    <t>B260810-L1B</t>
  </si>
  <si>
    <t>PR-1463</t>
  </si>
  <si>
    <t>B260812-L1B</t>
  </si>
  <si>
    <t>PR-1549</t>
  </si>
  <si>
    <t>B260820-L1B</t>
  </si>
  <si>
    <t>PR-1537</t>
  </si>
  <si>
    <t>B260819-L1B</t>
  </si>
  <si>
    <t>PR-1483</t>
  </si>
  <si>
    <t>B260814-L1A</t>
  </si>
  <si>
    <t>PR-1475</t>
  </si>
  <si>
    <t>B260813-L1B</t>
  </si>
  <si>
    <t>PR-1545</t>
  </si>
  <si>
    <t>B260820-L1A</t>
  </si>
  <si>
    <t>PR-1503</t>
  </si>
  <si>
    <t>B260815-L1C</t>
  </si>
  <si>
    <t>PR-1521</t>
  </si>
  <si>
    <t>B260818-L1A</t>
  </si>
  <si>
    <t>PR-1533</t>
  </si>
  <si>
    <t>B260819-L1A</t>
  </si>
  <si>
    <t>PR-1428</t>
  </si>
  <si>
    <t>B260809-L1A</t>
  </si>
  <si>
    <t>PR-1487</t>
  </si>
  <si>
    <t>B260814-L1B</t>
  </si>
  <si>
    <t>PR-1408</t>
  </si>
  <si>
    <t>B260807-L1B</t>
  </si>
  <si>
    <t>PR-1352</t>
  </si>
  <si>
    <t>B260802-L1A</t>
  </si>
  <si>
    <t>PR-1424</t>
  </si>
  <si>
    <t>B260808-L1C</t>
  </si>
  <si>
    <t>PR-1340</t>
  </si>
  <si>
    <t>B260801-L1A</t>
  </si>
  <si>
    <t>PR-1400</t>
  </si>
  <si>
    <t>B260806-L1C</t>
  </si>
  <si>
    <t>PR-1584</t>
  </si>
  <si>
    <t>B260823-L3B</t>
  </si>
  <si>
    <t>PR-1607</t>
  </si>
  <si>
    <t>B260825-L3C</t>
  </si>
  <si>
    <t>PR-1595</t>
  </si>
  <si>
    <t>B260824-L3C</t>
  </si>
  <si>
    <t>PR-1643</t>
  </si>
  <si>
    <t>B260828-L3C</t>
  </si>
  <si>
    <t>PR-1658</t>
  </si>
  <si>
    <t>B260830-L3A</t>
  </si>
  <si>
    <t>PR-1559</t>
  </si>
  <si>
    <t>B260821-L3A</t>
  </si>
  <si>
    <t>PR-1349</t>
  </si>
  <si>
    <t>B260801-L2C</t>
  </si>
  <si>
    <t>PR-1567</t>
  </si>
  <si>
    <t>B260821-L3C</t>
  </si>
  <si>
    <t>PR-1551</t>
  </si>
  <si>
    <t>B260820-L3B</t>
  </si>
  <si>
    <t>PR-1671</t>
  </si>
  <si>
    <t>B260831-L3C</t>
  </si>
  <si>
    <t>PR-1535</t>
  </si>
  <si>
    <t>B260819-L3A</t>
  </si>
  <si>
    <t>PR-1489</t>
  </si>
  <si>
    <t>B260814-L3B</t>
  </si>
  <si>
    <t>PR-1497</t>
  </si>
  <si>
    <t>B260815-L3A</t>
  </si>
  <si>
    <t>PR-1527</t>
  </si>
  <si>
    <t>B260818-L3B</t>
  </si>
  <si>
    <t>PR-1441</t>
  </si>
  <si>
    <t>B260810-L3B</t>
  </si>
  <si>
    <t>PR-1519</t>
  </si>
  <si>
    <t>B260817-L3C</t>
  </si>
  <si>
    <t>PR-1437</t>
  </si>
  <si>
    <t>B260810-L3A</t>
  </si>
  <si>
    <t>PR-1361</t>
  </si>
  <si>
    <t>B260803-L2B</t>
  </si>
  <si>
    <t>PR-1393</t>
  </si>
  <si>
    <t>B260806-L2A</t>
  </si>
  <si>
    <t>PR-1505</t>
  </si>
  <si>
    <t>B260815-L3C</t>
  </si>
  <si>
    <t>PR-1418</t>
  </si>
  <si>
    <t>B260808-L3A</t>
  </si>
  <si>
    <t>PR-1385</t>
  </si>
  <si>
    <t>B260805-L2B</t>
  </si>
  <si>
    <t>PR-1381</t>
  </si>
  <si>
    <t>B260805-L2A</t>
  </si>
  <si>
    <t>PR-1378</t>
  </si>
  <si>
    <t>B260804-L3C</t>
  </si>
  <si>
    <t>PR-1394</t>
  </si>
  <si>
    <t>B260806-L3A</t>
  </si>
  <si>
    <t>PR-1369</t>
  </si>
  <si>
    <t>B260804-L2A</t>
  </si>
  <si>
    <t>PR-1342</t>
  </si>
  <si>
    <t>B260801-L3A</t>
  </si>
  <si>
    <t>PR-1402</t>
  </si>
  <si>
    <t>B260806-L3C</t>
  </si>
  <si>
    <t>PR-1406</t>
  </si>
  <si>
    <t>B260807-L3A</t>
  </si>
  <si>
    <t>PR-1409</t>
  </si>
  <si>
    <t>B260807-L2B</t>
  </si>
  <si>
    <t>PR-1365</t>
  </si>
  <si>
    <t>B260803-L2C</t>
  </si>
  <si>
    <t>PR-1357</t>
  </si>
  <si>
    <t>B260803-L2A</t>
  </si>
  <si>
    <t>PR-1341</t>
  </si>
  <si>
    <t>B260801-L2A</t>
  </si>
  <si>
    <t>PR-1401</t>
  </si>
  <si>
    <t>B260806-L2C</t>
  </si>
  <si>
    <t>PR-1425</t>
  </si>
  <si>
    <t>B260808-L2C</t>
  </si>
  <si>
    <t>PR-1389</t>
  </si>
  <si>
    <t>B260805-L2C</t>
  </si>
  <si>
    <t>PR-1397</t>
  </si>
  <si>
    <t>B260806-L2B</t>
  </si>
  <si>
    <t>PR-1452</t>
  </si>
  <si>
    <t>B260811-L2B</t>
  </si>
  <si>
    <t>PR-1436</t>
  </si>
  <si>
    <t>B260810-L2A</t>
  </si>
  <si>
    <t>PR-1464</t>
  </si>
  <si>
    <t>B260812-L2B</t>
  </si>
  <si>
    <t>PR-1510</t>
  </si>
  <si>
    <t>B260817-L2A</t>
  </si>
  <si>
    <t>PR-1488</t>
  </si>
  <si>
    <t>B260814-L2B</t>
  </si>
  <si>
    <t>PR-1492</t>
  </si>
  <si>
    <t>B260814-L2C</t>
  </si>
  <si>
    <t>PR-1448</t>
  </si>
  <si>
    <t>B260811-L2A</t>
  </si>
  <si>
    <t>PR-1413</t>
  </si>
  <si>
    <t>B260807-L2C</t>
  </si>
  <si>
    <t>PR-1432</t>
  </si>
  <si>
    <t>B260809-L2B</t>
  </si>
  <si>
    <t>PR-1542</t>
  </si>
  <si>
    <t>B260819-L2C</t>
  </si>
  <si>
    <t>PR-1444</t>
  </si>
  <si>
    <t>B260810-L2C</t>
  </si>
  <si>
    <t>PR-1590</t>
  </si>
  <si>
    <t>B260824-L2B</t>
  </si>
  <si>
    <t>PR-1586</t>
  </si>
  <si>
    <t>B260824-L2A</t>
  </si>
  <si>
    <t>PR-1550</t>
  </si>
  <si>
    <t>B260820-L2B</t>
  </si>
  <si>
    <t>PR-1345</t>
  </si>
  <si>
    <t>B260801-L2B</t>
  </si>
  <si>
    <t>PR-1500</t>
  </si>
  <si>
    <t>B260815-L2B</t>
  </si>
  <si>
    <t>PR-1598</t>
  </si>
  <si>
    <t>B260825-L2A</t>
  </si>
  <si>
    <t>PR-1353</t>
  </si>
  <si>
    <t>B260802-L2A</t>
  </si>
  <si>
    <t>PR-1594</t>
  </si>
  <si>
    <t>B260824-L2C</t>
  </si>
  <si>
    <t>PR-1373</t>
  </si>
  <si>
    <t>B260804-L2B</t>
  </si>
  <si>
    <t>PR-1377</t>
  </si>
  <si>
    <t>B260804-L2C</t>
  </si>
  <si>
    <t>PR-1622</t>
  </si>
  <si>
    <t>B260827-L2A</t>
  </si>
  <si>
    <t>PR-1405</t>
  </si>
  <si>
    <t>B260807-L2A</t>
  </si>
  <si>
    <t>PR-1666</t>
  </si>
  <si>
    <t>B260831-L2B</t>
  </si>
  <si>
    <t>PR-1417</t>
  </si>
  <si>
    <t>B260808-L2A</t>
  </si>
  <si>
    <t>PR-1618</t>
  </si>
  <si>
    <t>B260826-L2C</t>
  </si>
  <si>
    <t>PR-1630</t>
  </si>
  <si>
    <t>B260827-L2C</t>
  </si>
  <si>
    <t>PR-1514</t>
  </si>
  <si>
    <t>B260817-L2B</t>
  </si>
  <si>
    <t>PR-1460</t>
  </si>
  <si>
    <t>B260812-L2A</t>
  </si>
  <si>
    <t>PR-1646</t>
  </si>
  <si>
    <t>B260829-L2A</t>
  </si>
  <si>
    <t>PR-1421</t>
  </si>
  <si>
    <t>B260808-L2B</t>
  </si>
  <si>
    <t>PR-1476</t>
  </si>
  <si>
    <t>B260813-L2B</t>
  </si>
  <si>
    <t>PR-1472</t>
  </si>
  <si>
    <t>B260813-L2A</t>
  </si>
  <si>
    <t>PR-1440</t>
  </si>
  <si>
    <t>B260810-L2B</t>
  </si>
  <si>
    <t>PR-1429</t>
  </si>
  <si>
    <t>B260809-L2A</t>
  </si>
  <si>
    <t>PR-1468</t>
  </si>
  <si>
    <t>B260812-L2C</t>
  </si>
  <si>
    <t>PR-1456</t>
  </si>
  <si>
    <t>B260811-L2C</t>
  </si>
  <si>
    <t>PR-1484</t>
  </si>
  <si>
    <t>B260814-L2A</t>
  </si>
  <si>
    <t>PR-1351</t>
  </si>
  <si>
    <t>B260801-L4C</t>
  </si>
  <si>
    <t>PR-1347</t>
  </si>
  <si>
    <t>B260801-L4B</t>
  </si>
  <si>
    <t>PR-1480</t>
  </si>
  <si>
    <t>B260813-L2C</t>
  </si>
  <si>
    <t>PR-1558</t>
  </si>
  <si>
    <t>B260821-L2A</t>
  </si>
  <si>
    <t>PR-1496</t>
  </si>
  <si>
    <t>B260815-L2A</t>
  </si>
  <si>
    <t>PR-1359</t>
  </si>
  <si>
    <t>B260803-L4A</t>
  </si>
  <si>
    <t>PR-1518</t>
  </si>
  <si>
    <t>B260817-L2C</t>
  </si>
  <si>
    <t>PR-1562</t>
  </si>
  <si>
    <t>B260821-L2B</t>
  </si>
  <si>
    <t>PR-1526</t>
  </si>
  <si>
    <t>B260818-L2B</t>
  </si>
  <si>
    <t>PR-1570</t>
  </si>
  <si>
    <t>B260822-L2A</t>
  </si>
  <si>
    <t>PR-1566</t>
  </si>
  <si>
    <t>B260821-L2C</t>
  </si>
  <si>
    <t>PR-1538</t>
  </si>
  <si>
    <t>B260819-L2B</t>
  </si>
  <si>
    <t>PR-1387</t>
  </si>
  <si>
    <t>B260805-L4B</t>
  </si>
  <si>
    <t>PR-1411</t>
  </si>
  <si>
    <t>B260807-L4B</t>
  </si>
  <si>
    <t>PR-1379</t>
  </si>
  <si>
    <t>B260804-L4C</t>
  </si>
  <si>
    <t>PR-1504</t>
  </si>
  <si>
    <t>B260815-L2C</t>
  </si>
  <si>
    <t>PR-1574</t>
  </si>
  <si>
    <t>B260822-L2B</t>
  </si>
  <si>
    <t>PR-1508</t>
  </si>
  <si>
    <t>B260816-L2B</t>
  </si>
  <si>
    <t>PR-1522</t>
  </si>
  <si>
    <t>B260818-L2A</t>
  </si>
  <si>
    <t>PR-1427</t>
  </si>
  <si>
    <t>B260808-L4C</t>
  </si>
  <si>
    <t>PR-1446</t>
  </si>
  <si>
    <t>B260810-L4C</t>
  </si>
  <si>
    <t>PR-1466</t>
  </si>
  <si>
    <t>B260812-L4B</t>
  </si>
  <si>
    <t>PR-1578</t>
  </si>
  <si>
    <t>B260822-L2C</t>
  </si>
  <si>
    <t>PR-1431</t>
  </si>
  <si>
    <t>B260809-L4A</t>
  </si>
  <si>
    <t>PR-1506</t>
  </si>
  <si>
    <t>B260815-L4C</t>
  </si>
  <si>
    <t>PR-1626</t>
  </si>
  <si>
    <t>B260827-L2B</t>
  </si>
  <si>
    <t>PR-1524</t>
  </si>
  <si>
    <t>B260818-L4A</t>
  </si>
  <si>
    <t>PR-1512</t>
  </si>
  <si>
    <t>B260817-L4A</t>
  </si>
  <si>
    <t>PR-1502</t>
  </si>
  <si>
    <t>B260815-L4B</t>
  </si>
  <si>
    <t>PR-1490</t>
  </si>
  <si>
    <t>B260814-L4B</t>
  </si>
  <si>
    <t>PR-1478</t>
  </si>
  <si>
    <t>B260813-L4B</t>
  </si>
  <si>
    <t>PR-1470</t>
  </si>
  <si>
    <t>B260812-L4C</t>
  </si>
  <si>
    <t>PR-1454</t>
  </si>
  <si>
    <t>B260811-L4B</t>
  </si>
  <si>
    <t>PR-1534</t>
  </si>
  <si>
    <t>B260819-L2A</t>
  </si>
  <si>
    <t>PR-1536</t>
  </si>
  <si>
    <t>B260819-L4A</t>
  </si>
  <si>
    <t>PR-1610</t>
  </si>
  <si>
    <t>B260826-L2A</t>
  </si>
  <si>
    <t>PR-1548</t>
  </si>
  <si>
    <t>B260820-L4A</t>
  </si>
  <si>
    <t>PR-1544</t>
  </si>
  <si>
    <t>B260819-L4C</t>
  </si>
  <si>
    <t>PR-1583</t>
  </si>
  <si>
    <t>B260823-L2B</t>
  </si>
  <si>
    <t>PR-1552</t>
  </si>
  <si>
    <t>B260820-L4B</t>
  </si>
  <si>
    <t>PR-1530</t>
  </si>
  <si>
    <t>B260818-L2C</t>
  </si>
  <si>
    <t>PR-1642</t>
  </si>
  <si>
    <t>B260828-L2C</t>
  </si>
  <si>
    <t>PR-1650</t>
  </si>
  <si>
    <t>B260829-L2B</t>
  </si>
  <si>
    <t>PR-1606</t>
  </si>
  <si>
    <t>B260825-L2C</t>
  </si>
  <si>
    <t>PR-1572</t>
  </si>
  <si>
    <t>B260822-L4A</t>
  </si>
  <si>
    <t>PR-1556</t>
  </si>
  <si>
    <t>B260820-L4C</t>
  </si>
  <si>
    <t>PR-1588</t>
  </si>
  <si>
    <t>B260824-L4A</t>
  </si>
  <si>
    <t>PR-1592</t>
  </si>
  <si>
    <t>B260824-L4B</t>
  </si>
  <si>
    <t>PR-1546</t>
  </si>
  <si>
    <t>B260820-L2A</t>
  </si>
  <si>
    <t>PR-1612</t>
  </si>
  <si>
    <t>B260826-L4A</t>
  </si>
  <si>
    <t>PR-1648</t>
  </si>
  <si>
    <t>B260829-L4A</t>
  </si>
  <si>
    <t>PR-1628</t>
  </si>
  <si>
    <t>B260827-L4B</t>
  </si>
  <si>
    <t>PR-1608</t>
  </si>
  <si>
    <t>B260825-L4C</t>
  </si>
  <si>
    <t>PR-1620</t>
  </si>
  <si>
    <t>B260826-L4C</t>
  </si>
  <si>
    <t>PR-1664</t>
  </si>
  <si>
    <t>B260831-L4A</t>
  </si>
  <si>
    <t>PR-1602</t>
  </si>
  <si>
    <t>B260825-L2B</t>
  </si>
  <si>
    <t>PR-1582</t>
  </si>
  <si>
    <t>B260823-L2A</t>
  </si>
  <si>
    <t>PR-1554</t>
  </si>
  <si>
    <t>B260820-L2C</t>
  </si>
  <si>
    <t>PR-1614</t>
  </si>
  <si>
    <t>B260826-L2B</t>
  </si>
  <si>
    <t>PR-1634</t>
  </si>
  <si>
    <t>B260828-L2A</t>
  </si>
  <si>
    <t>PR-1638</t>
  </si>
  <si>
    <t>B260828-L2B</t>
  </si>
  <si>
    <t>PR-1662</t>
  </si>
  <si>
    <t>B260831-L2A</t>
  </si>
  <si>
    <t>PR-1654</t>
  </si>
  <si>
    <t>B260829-L2C</t>
  </si>
  <si>
    <t>PR-1670</t>
  </si>
  <si>
    <t>B260831-L2C</t>
  </si>
  <si>
    <t>PR-1984</t>
  </si>
  <si>
    <t>B260929-L4B</t>
  </si>
  <si>
    <t>PR-1972</t>
  </si>
  <si>
    <t>B260928-L4B</t>
  </si>
  <si>
    <t>PR-2000</t>
  </si>
  <si>
    <t>B260930-L4C</t>
  </si>
  <si>
    <t>PR-1981</t>
  </si>
  <si>
    <t>B260929-L1B</t>
  </si>
  <si>
    <t>PR-1988</t>
  </si>
  <si>
    <t>B260929-L4C</t>
  </si>
  <si>
    <t>PR-1965</t>
  </si>
  <si>
    <t>B260928-L1A</t>
  </si>
  <si>
    <t>PR-1948</t>
  </si>
  <si>
    <t>B260925-L4C</t>
  </si>
  <si>
    <t>PR-1944</t>
  </si>
  <si>
    <t>B260925-L4B</t>
  </si>
  <si>
    <t>PR-1960</t>
  </si>
  <si>
    <t>B260926-L4C</t>
  </si>
  <si>
    <t>PR-1924</t>
  </si>
  <si>
    <t>B260923-L4C</t>
  </si>
  <si>
    <t>PR-1916</t>
  </si>
  <si>
    <t>B260923-L4A</t>
  </si>
  <si>
    <t>PR-1953</t>
  </si>
  <si>
    <t>B260926-L1B</t>
  </si>
  <si>
    <t>PR-1912</t>
  </si>
  <si>
    <t>B260922-L4C</t>
  </si>
  <si>
    <t>PR-1961</t>
  </si>
  <si>
    <t>B260927-L1A</t>
  </si>
  <si>
    <t>PR-1941</t>
  </si>
  <si>
    <t>B260925-L1B</t>
  </si>
  <si>
    <t>PR-1827</t>
  </si>
  <si>
    <t>B260915-L1B</t>
  </si>
  <si>
    <t>PR-1863</t>
  </si>
  <si>
    <t>B260918-L1B</t>
  </si>
  <si>
    <t>PR-1945</t>
  </si>
  <si>
    <t>B260925-L1C</t>
  </si>
  <si>
    <t>PR-1883</t>
  </si>
  <si>
    <t>B260920-L1A</t>
  </si>
  <si>
    <t>PR-1900</t>
  </si>
  <si>
    <t>B260921-L4C</t>
  </si>
  <si>
    <t>PR-1937</t>
  </si>
  <si>
    <t>B260925-L1A</t>
  </si>
  <si>
    <t>PR-1913</t>
  </si>
  <si>
    <t>B260923-L1A</t>
  </si>
  <si>
    <t>PR-1875</t>
  </si>
  <si>
    <t>B260919-L1B</t>
  </si>
  <si>
    <t>PR-1800</t>
  </si>
  <si>
    <t>B260912-L1B</t>
  </si>
  <si>
    <t>PR-1892</t>
  </si>
  <si>
    <t>B260921-L4A</t>
  </si>
  <si>
    <t>PR-1792</t>
  </si>
  <si>
    <t>B260911-L1C</t>
  </si>
  <si>
    <t>PR-1759</t>
  </si>
  <si>
    <t>B260908-L4C</t>
  </si>
  <si>
    <t>PR-1803</t>
  </si>
  <si>
    <t>B260912-L4B</t>
  </si>
  <si>
    <t>PR-1783</t>
  </si>
  <si>
    <t>B260910-L4C</t>
  </si>
  <si>
    <t>PR-1779</t>
  </si>
  <si>
    <t>B260910-L4B</t>
  </si>
  <si>
    <t>PR-1689</t>
  </si>
  <si>
    <t>B260902-L1B</t>
  </si>
  <si>
    <t>PR-1854</t>
  </si>
  <si>
    <t>B260917-L4B</t>
  </si>
  <si>
    <t>PR-1744</t>
  </si>
  <si>
    <t>B260907-L1C</t>
  </si>
  <si>
    <t>PR-1767</t>
  </si>
  <si>
    <t>B260909-L4B</t>
  </si>
  <si>
    <t>PR-1780</t>
  </si>
  <si>
    <t>B260910-L1C</t>
  </si>
  <si>
    <t>PR-1752</t>
  </si>
  <si>
    <t>B260908-L1B</t>
  </si>
  <si>
    <t>PR-1788</t>
  </si>
  <si>
    <t>B260911-L1B</t>
  </si>
  <si>
    <t>PR-1756</t>
  </si>
  <si>
    <t>B260908-L1C</t>
  </si>
  <si>
    <t>PR-1705</t>
  </si>
  <si>
    <t>B260903-L1C</t>
  </si>
  <si>
    <t>PR-1740</t>
  </si>
  <si>
    <t>B260907-L1B</t>
  </si>
  <si>
    <t>PR-1795</t>
  </si>
  <si>
    <t>B260911-L4C</t>
  </si>
  <si>
    <t>PR-1743</t>
  </si>
  <si>
    <t>B260907-L4B</t>
  </si>
  <si>
    <t>PR-1685</t>
  </si>
  <si>
    <t>B260902-L1A</t>
  </si>
  <si>
    <t>PR-1784</t>
  </si>
  <si>
    <t>B260911-L1A</t>
  </si>
  <si>
    <t>PR-1775</t>
  </si>
  <si>
    <t>B260910-L4A</t>
  </si>
  <si>
    <t>PR-1747</t>
  </si>
  <si>
    <t>B260907-L4C</t>
  </si>
  <si>
    <t>PR-1701</t>
  </si>
  <si>
    <t>B260903-L1B</t>
  </si>
  <si>
    <t>PR-1693</t>
  </si>
  <si>
    <t>B260902-L1C</t>
  </si>
  <si>
    <t>PR-1713</t>
  </si>
  <si>
    <t>B260904-L1B</t>
  </si>
  <si>
    <t>PR-1791</t>
  </si>
  <si>
    <t>B260911-L4B</t>
  </si>
  <si>
    <t>PR-1830</t>
  </si>
  <si>
    <t>B260915-L4B</t>
  </si>
  <si>
    <t>PR-1677</t>
  </si>
  <si>
    <t>B260901-L1B</t>
  </si>
  <si>
    <t>PR-1724</t>
  </si>
  <si>
    <t>B260905-L4A</t>
  </si>
  <si>
    <t>PR-1673</t>
  </si>
  <si>
    <t>B260901-L1A</t>
  </si>
  <si>
    <t>PR-1712</t>
  </si>
  <si>
    <t>B260904-L4A</t>
  </si>
  <si>
    <t>PR-1720</t>
  </si>
  <si>
    <t>B260904-L4C</t>
  </si>
  <si>
    <t>PR-1676</t>
  </si>
  <si>
    <t>B260901-L4A</t>
  </si>
  <si>
    <t>PR-1999</t>
  </si>
  <si>
    <t>B260930-L3C</t>
  </si>
  <si>
    <t>PR-1987</t>
  </si>
  <si>
    <t>B260929-L3C</t>
  </si>
  <si>
    <t>PR-1877</t>
  </si>
  <si>
    <t>B260919-L3B</t>
  </si>
  <si>
    <t>PR-1983</t>
  </si>
  <si>
    <t>B260929-L3B</t>
  </si>
  <si>
    <t>PR-1837</t>
  </si>
  <si>
    <t>B260916-L3A</t>
  </si>
  <si>
    <t>PR-1955</t>
  </si>
  <si>
    <t>B260926-L3B</t>
  </si>
  <si>
    <t>PR-1873</t>
  </si>
  <si>
    <t>B260919-L3A</t>
  </si>
  <si>
    <t>PR-1895</t>
  </si>
  <si>
    <t>B260921-L3B</t>
  </si>
  <si>
    <t>PR-1891</t>
  </si>
  <si>
    <t>B260921-L3A</t>
  </si>
  <si>
    <t>PR-1964</t>
  </si>
  <si>
    <t>B260927-L3B</t>
  </si>
  <si>
    <t>PR-1967</t>
  </si>
  <si>
    <t>B260928-L3A</t>
  </si>
  <si>
    <t>PR-1849</t>
  </si>
  <si>
    <t>B260917-L3A</t>
  </si>
  <si>
    <t>PR-1841</t>
  </si>
  <si>
    <t>B260916-L3B</t>
  </si>
  <si>
    <t>PR-1861</t>
  </si>
  <si>
    <t>B260918-L3A</t>
  </si>
  <si>
    <t>PR-1821</t>
  </si>
  <si>
    <t>B260914-L3C</t>
  </si>
  <si>
    <t>PR-1931</t>
  </si>
  <si>
    <t>B260924-L3B</t>
  </si>
  <si>
    <t>PR-1899</t>
  </si>
  <si>
    <t>B260921-L3C</t>
  </si>
  <si>
    <t>PR-1817</t>
  </si>
  <si>
    <t>B260914-L3B</t>
  </si>
  <si>
    <t>PR-1813</t>
  </si>
  <si>
    <t>B260914-L3A</t>
  </si>
  <si>
    <t>PR-1802</t>
  </si>
  <si>
    <t>B260912-L3B</t>
  </si>
  <si>
    <t>PR-1915</t>
  </si>
  <si>
    <t>B260923-L3A</t>
  </si>
  <si>
    <t>PR-1687</t>
  </si>
  <si>
    <t>B260902-L3A</t>
  </si>
  <si>
    <t>PR-1703</t>
  </si>
  <si>
    <t>B260903-L3B</t>
  </si>
  <si>
    <t>PR-1798</t>
  </si>
  <si>
    <t>B260912-L3A</t>
  </si>
  <si>
    <t>PR-1707</t>
  </si>
  <si>
    <t>B260903-L3C</t>
  </si>
  <si>
    <t>PR-1695</t>
  </si>
  <si>
    <t>B260902-L3C</t>
  </si>
  <si>
    <t>PR-1679</t>
  </si>
  <si>
    <t>B260901-L3B</t>
  </si>
  <si>
    <t>PR-1715</t>
  </si>
  <si>
    <t>B260904-L3B</t>
  </si>
  <si>
    <t>PR-1786</t>
  </si>
  <si>
    <t>B260911-L3A</t>
  </si>
  <si>
    <t>PR-1742</t>
  </si>
  <si>
    <t>B260907-L3B</t>
  </si>
  <si>
    <t>PR-1727</t>
  </si>
  <si>
    <t>B260905-L3B</t>
  </si>
  <si>
    <t>PR-1993</t>
  </si>
  <si>
    <t>B260930-L1B</t>
  </si>
  <si>
    <t>PR-1989</t>
  </si>
  <si>
    <t>B260930-L1A</t>
  </si>
  <si>
    <t>PR-1969</t>
  </si>
  <si>
    <t>B260928-L1B</t>
  </si>
  <si>
    <t>PR-1985</t>
  </si>
  <si>
    <t>B260929-L1C</t>
  </si>
  <si>
    <t>PR-1991</t>
  </si>
  <si>
    <t>B260930-L3A</t>
  </si>
  <si>
    <t>PR-1725</t>
  </si>
  <si>
    <t>B260905-L1B</t>
  </si>
  <si>
    <t>PR-1681</t>
  </si>
  <si>
    <t>B260901-L1C</t>
  </si>
  <si>
    <t>PR-1957</t>
  </si>
  <si>
    <t>B260926-L1C</t>
  </si>
  <si>
    <t>PR-1917</t>
  </si>
  <si>
    <t>B260923-L1B</t>
  </si>
  <si>
    <t>PR-1721</t>
  </si>
  <si>
    <t>B260905-L1A</t>
  </si>
  <si>
    <t>PR-1975</t>
  </si>
  <si>
    <t>B260928-L3C</t>
  </si>
  <si>
    <t>PR-1921</t>
  </si>
  <si>
    <t>B260923-L1C</t>
  </si>
  <si>
    <t>PR-1995</t>
  </si>
  <si>
    <t>B260930-L3B</t>
  </si>
  <si>
    <t>PR-1729</t>
  </si>
  <si>
    <t>B260905-L1C</t>
  </si>
  <si>
    <t>PR-1979</t>
  </si>
  <si>
    <t>B260929-L3A</t>
  </si>
  <si>
    <t>PR-1905</t>
  </si>
  <si>
    <t>B260922-L1B</t>
  </si>
  <si>
    <t>PR-1909</t>
  </si>
  <si>
    <t>B260922-L1C</t>
  </si>
  <si>
    <t>PR-1897</t>
  </si>
  <si>
    <t>B260921-L1C</t>
  </si>
  <si>
    <t>PR-1893</t>
  </si>
  <si>
    <t>B260921-L1B</t>
  </si>
  <si>
    <t>PR-1811</t>
  </si>
  <si>
    <t>B260914-L1A</t>
  </si>
  <si>
    <t>PR-1764</t>
  </si>
  <si>
    <t>B260909-L1B</t>
  </si>
  <si>
    <t>PR-1819</t>
  </si>
  <si>
    <t>B260914-L1C</t>
  </si>
  <si>
    <t>PR-1929</t>
  </si>
  <si>
    <t>B260924-L1B</t>
  </si>
  <si>
    <t>PR-1809</t>
  </si>
  <si>
    <t>B260913-L1B</t>
  </si>
  <si>
    <t>PR-1760</t>
  </si>
  <si>
    <t>B260909-L1A</t>
  </si>
  <si>
    <t>PR-1951</t>
  </si>
  <si>
    <t>B260926-L3A</t>
  </si>
  <si>
    <t>PR-1835</t>
  </si>
  <si>
    <t>B260916-L1A</t>
  </si>
  <si>
    <t>PR-1796</t>
  </si>
  <si>
    <t>B260912-L1A</t>
  </si>
  <si>
    <t>PR-1949</t>
  </si>
  <si>
    <t>B260926-L1A</t>
  </si>
  <si>
    <t>PR-1879</t>
  </si>
  <si>
    <t>B260919-L1C</t>
  </si>
  <si>
    <t>PR-1963</t>
  </si>
  <si>
    <t>B260927-L3A</t>
  </si>
  <si>
    <t>PR-1887</t>
  </si>
  <si>
    <t>B260920-L3B</t>
  </si>
  <si>
    <t>PR-1736</t>
  </si>
  <si>
    <t>B260907-L1A</t>
  </si>
  <si>
    <t>PR-1885</t>
  </si>
  <si>
    <t>B260920-L3A</t>
  </si>
  <si>
    <t>PR-1843</t>
  </si>
  <si>
    <t>B260916-L1C</t>
  </si>
  <si>
    <t>PR-1903</t>
  </si>
  <si>
    <t>B260922-L3A</t>
  </si>
  <si>
    <t>PR-1980</t>
  </si>
  <si>
    <t>B260929-L4A</t>
  </si>
  <si>
    <t>PR-1992</t>
  </si>
  <si>
    <t>B260930-L4A</t>
  </si>
  <si>
    <t>PR-1869</t>
  </si>
  <si>
    <t>B260918-L3C</t>
  </si>
  <si>
    <t>PR-1940</t>
  </si>
  <si>
    <t>B260925-L4A</t>
  </si>
  <si>
    <t>PR-1851</t>
  </si>
  <si>
    <t>B260917-L1B</t>
  </si>
  <si>
    <t>PR-1857</t>
  </si>
  <si>
    <t>B260917-L3C</t>
  </si>
  <si>
    <t>PR-1853</t>
  </si>
  <si>
    <t>B260917-L3B</t>
  </si>
  <si>
    <t>PR-1711</t>
  </si>
  <si>
    <t>B260904-L3A</t>
  </si>
  <si>
    <t>PR-1936</t>
  </si>
  <si>
    <t>B260924-L4C</t>
  </si>
  <si>
    <t>PR-1699</t>
  </si>
  <si>
    <t>B260903-L3A</t>
  </si>
  <si>
    <t>PR-1845</t>
  </si>
  <si>
    <t>B260916-L3C</t>
  </si>
  <si>
    <t>PR-1719</t>
  </si>
  <si>
    <t>B260904-L3C</t>
  </si>
  <si>
    <t>PR-1808</t>
  </si>
  <si>
    <t>B260913-L3A</t>
  </si>
  <si>
    <t>PR-1829</t>
  </si>
  <si>
    <t>B260915-L3B</t>
  </si>
  <si>
    <t>PR-1691</t>
  </si>
  <si>
    <t>B260902-L3B</t>
  </si>
  <si>
    <t>PR-1782</t>
  </si>
  <si>
    <t>B260910-L3C</t>
  </si>
  <si>
    <t>PR-1731</t>
  </si>
  <si>
    <t>B260905-L3C</t>
  </si>
  <si>
    <t>PR-1932</t>
  </si>
  <si>
    <t>B260924-L4B</t>
  </si>
  <si>
    <t>PR-1684</t>
  </si>
  <si>
    <t>B260901-L4C</t>
  </si>
  <si>
    <t>PR-1680</t>
  </si>
  <si>
    <t>B260901-L4B</t>
  </si>
  <si>
    <t>PR-1774</t>
  </si>
  <si>
    <t>B260910-L3A</t>
  </si>
  <si>
    <t>PR-1766</t>
  </si>
  <si>
    <t>B260909-L3B</t>
  </si>
  <si>
    <t>PR-1838</t>
  </si>
  <si>
    <t>B260916-L4A</t>
  </si>
  <si>
    <t>PR-1846</t>
  </si>
  <si>
    <t>B260916-L4C</t>
  </si>
  <si>
    <t>PR-1771</t>
  </si>
  <si>
    <t>B260909-L4C</t>
  </si>
  <si>
    <t>PR-1807</t>
  </si>
  <si>
    <t>B260912-L4C</t>
  </si>
  <si>
    <t>PR-1746</t>
  </si>
  <si>
    <t>B260907-L3C</t>
  </si>
  <si>
    <t>PR-1696</t>
  </si>
  <si>
    <t>B260902-L4C</t>
  </si>
  <si>
    <t>PR-1928</t>
  </si>
  <si>
    <t>B260924-L4A</t>
  </si>
  <si>
    <t>PR-1675</t>
  </si>
  <si>
    <t>B260901-L3A</t>
  </si>
  <si>
    <t>PR-1787</t>
  </si>
  <si>
    <t>B260911-L4A</t>
  </si>
  <si>
    <t>PR-1708</t>
  </si>
  <si>
    <t>B260903-L4C</t>
  </si>
  <si>
    <t>PR-1750</t>
  </si>
  <si>
    <t>B260908-L3A</t>
  </si>
  <si>
    <t>PR-1818</t>
  </si>
  <si>
    <t>B260914-L4B</t>
  </si>
  <si>
    <t>PR-1758</t>
  </si>
  <si>
    <t>B260908-L3C</t>
  </si>
  <si>
    <t>PR-1704</t>
  </si>
  <si>
    <t>B260903-L4B</t>
  </si>
  <si>
    <t>PR-1762</t>
  </si>
  <si>
    <t>B260909-L3A</t>
  </si>
  <si>
    <t>PR-1870</t>
  </si>
  <si>
    <t>B260918-L4C</t>
  </si>
  <si>
    <t>PR-1908</t>
  </si>
  <si>
    <t>B260922-L4B</t>
  </si>
  <si>
    <t>PR-1732</t>
  </si>
  <si>
    <t>B260905-L4C</t>
  </si>
  <si>
    <t>PR-1920</t>
  </si>
  <si>
    <t>B260923-L4B</t>
  </si>
  <si>
    <t>PR-1874</t>
  </si>
  <si>
    <t>B260919-L4A</t>
  </si>
  <si>
    <t>PR-1904</t>
  </si>
  <si>
    <t>B260922-L4A</t>
  </si>
  <si>
    <t>PR-1997</t>
  </si>
  <si>
    <t>B260930-L1C</t>
  </si>
  <si>
    <t>PR-1776</t>
  </si>
  <si>
    <t>B260910-L1B</t>
  </si>
  <si>
    <t>PR-1855</t>
  </si>
  <si>
    <t>B260917-L1C</t>
  </si>
  <si>
    <t>PR-1977</t>
  </si>
  <si>
    <t>B260929-L1A</t>
  </si>
  <si>
    <t>PR-1859</t>
  </si>
  <si>
    <t>B260918-L1A</t>
  </si>
  <si>
    <t>PR-1871</t>
  </si>
  <si>
    <t>B260919-L1A</t>
  </si>
  <si>
    <t>PR-1878</t>
  </si>
  <si>
    <t>B260919-L4B</t>
  </si>
  <si>
    <t>PR-1889</t>
  </si>
  <si>
    <t>B260921-L1A</t>
  </si>
  <si>
    <t>PR-1839</t>
  </si>
  <si>
    <t>B260916-L1B</t>
  </si>
  <si>
    <t>PR-1867</t>
  </si>
  <si>
    <t>B260918-L1C</t>
  </si>
  <si>
    <t>PR-1847</t>
  </si>
  <si>
    <t>B260917-L1A</t>
  </si>
  <si>
    <t>PR-1896</t>
  </si>
  <si>
    <t>B260921-L4B</t>
  </si>
  <si>
    <t>PR-1772</t>
  </si>
  <si>
    <t>B260910-L1A</t>
  </si>
  <si>
    <t>PR-1815</t>
  </si>
  <si>
    <t>B260914-L1B</t>
  </si>
  <si>
    <t>PR-1901</t>
  </si>
  <si>
    <t>B260922-L1A</t>
  </si>
  <si>
    <t>PR-1973</t>
  </si>
  <si>
    <t>B260928-L1C</t>
  </si>
  <si>
    <t>PR-1804</t>
  </si>
  <si>
    <t>B260912-L1C</t>
  </si>
  <si>
    <t>PR-1831</t>
  </si>
  <si>
    <t>B260915-L1C</t>
  </si>
  <si>
    <t>PR-1823</t>
  </si>
  <si>
    <t>B260915-L1A</t>
  </si>
  <si>
    <t>PR-1925</t>
  </si>
  <si>
    <t>B260924-L1A</t>
  </si>
  <si>
    <t>PR-1768</t>
  </si>
  <si>
    <t>B260909-L1C</t>
  </si>
  <si>
    <t>PR-1933</t>
  </si>
  <si>
    <t>B260924-L1C</t>
  </si>
  <si>
    <t>PR-1697</t>
  </si>
  <si>
    <t>B260903-L1A</t>
  </si>
  <si>
    <t>PR-1709</t>
  </si>
  <si>
    <t>B260904-L1A</t>
  </si>
  <si>
    <t>PR-1748</t>
  </si>
  <si>
    <t>B260908-L1A</t>
  </si>
  <si>
    <t>PR-1717</t>
  </si>
  <si>
    <t>B260904-L1C</t>
  </si>
  <si>
    <t>PR-1825</t>
  </si>
  <si>
    <t>B260915-L3A</t>
  </si>
  <si>
    <t>PR-1794</t>
  </si>
  <si>
    <t>B260911-L3C</t>
  </si>
  <si>
    <t>PR-1790</t>
  </si>
  <si>
    <t>B260911-L3B</t>
  </si>
  <si>
    <t>PR-1683</t>
  </si>
  <si>
    <t>B260901-L3C</t>
  </si>
  <si>
    <t>PR-1943</t>
  </si>
  <si>
    <t>B260925-L3B</t>
  </si>
  <si>
    <t>PR-1738</t>
  </si>
  <si>
    <t>B260907-L3A</t>
  </si>
  <si>
    <t>PR-1806</t>
  </si>
  <si>
    <t>B260912-L3C</t>
  </si>
  <si>
    <t>PR-1935</t>
  </si>
  <si>
    <t>B260924-L3C</t>
  </si>
  <si>
    <t>PR-1833</t>
  </si>
  <si>
    <t>B260915-L3C</t>
  </si>
  <si>
    <t>PR-1723</t>
  </si>
  <si>
    <t>B260905-L3A</t>
  </si>
  <si>
    <t>PR-1881</t>
  </si>
  <si>
    <t>B260919-L3C</t>
  </si>
  <si>
    <t>PR-1865</t>
  </si>
  <si>
    <t>B260918-L3B</t>
  </si>
  <si>
    <t>PR-1778</t>
  </si>
  <si>
    <t>B260910-L3B</t>
  </si>
  <si>
    <t>PR-1770</t>
  </si>
  <si>
    <t>B260909-L3C</t>
  </si>
  <si>
    <t>PR-1947</t>
  </si>
  <si>
    <t>B260925-L3C</t>
  </si>
  <si>
    <t>PR-1734</t>
  </si>
  <si>
    <t>B260906-L3A</t>
  </si>
  <si>
    <t>PR-1939</t>
  </si>
  <si>
    <t>B260925-L3A</t>
  </si>
  <si>
    <t>PR-1911</t>
  </si>
  <si>
    <t>B260922-L3C</t>
  </si>
  <si>
    <t>PR-1927</t>
  </si>
  <si>
    <t>B260924-L3A</t>
  </si>
  <si>
    <t>PR-1754</t>
  </si>
  <si>
    <t>B260908-L3B</t>
  </si>
  <si>
    <t>PR-1907</t>
  </si>
  <si>
    <t>B260922-L3B</t>
  </si>
  <si>
    <t>PR-1919</t>
  </si>
  <si>
    <t>B260923-L3B</t>
  </si>
  <si>
    <t>PR-1923</t>
  </si>
  <si>
    <t>B260923-L3C</t>
  </si>
  <si>
    <t>PR-1971</t>
  </si>
  <si>
    <t>B260928-L3B</t>
  </si>
  <si>
    <t>PR-1959</t>
  </si>
  <si>
    <t>B260926-L3C</t>
  </si>
  <si>
    <t>PR-1674</t>
  </si>
  <si>
    <t>B260901-L2A</t>
  </si>
  <si>
    <t>PR-1678</t>
  </si>
  <si>
    <t>B260901-L2B</t>
  </si>
  <si>
    <t>PR-1686</t>
  </si>
  <si>
    <t>B260902-L2A</t>
  </si>
  <si>
    <t>PR-1694</t>
  </si>
  <si>
    <t>B260902-L2C</t>
  </si>
  <si>
    <t>PR-1714</t>
  </si>
  <si>
    <t>B260904-L2B</t>
  </si>
  <si>
    <t>PR-1862</t>
  </si>
  <si>
    <t>B260918-L4A</t>
  </si>
  <si>
    <t>PR-1858</t>
  </si>
  <si>
    <t>B260917-L4C</t>
  </si>
  <si>
    <t>PR-1850</t>
  </si>
  <si>
    <t>B260917-L4A</t>
  </si>
  <si>
    <t>PR-1866</t>
  </si>
  <si>
    <t>B260918-L4B</t>
  </si>
  <si>
    <t>PR-1952</t>
  </si>
  <si>
    <t>B260926-L4A</t>
  </si>
  <si>
    <t>PR-1888</t>
  </si>
  <si>
    <t>B260920-L4B</t>
  </si>
  <si>
    <t>PR-1842</t>
  </si>
  <si>
    <t>B260916-L4B</t>
  </si>
  <si>
    <t>PR-1882</t>
  </si>
  <si>
    <t>B260919-L4C</t>
  </si>
  <si>
    <t>PR-1826</t>
  </si>
  <si>
    <t>B260915-L4A</t>
  </si>
  <si>
    <t>PR-1822</t>
  </si>
  <si>
    <t>B260914-L4C</t>
  </si>
  <si>
    <t>PR-1834</t>
  </si>
  <si>
    <t>B260915-L4C</t>
  </si>
  <si>
    <t>PR-1968</t>
  </si>
  <si>
    <t>B260928-L4A</t>
  </si>
  <si>
    <t>PR-1741</t>
  </si>
  <si>
    <t>B260907-L2B</t>
  </si>
  <si>
    <t>PR-1956</t>
  </si>
  <si>
    <t>B260926-L4B</t>
  </si>
  <si>
    <t>PR-1797</t>
  </si>
  <si>
    <t>B260912-L2A</t>
  </si>
  <si>
    <t>PR-1749</t>
  </si>
  <si>
    <t>B260908-L2A</t>
  </si>
  <si>
    <t>PR-1814</t>
  </si>
  <si>
    <t>B260914-L4A</t>
  </si>
  <si>
    <t>PR-1996</t>
  </si>
  <si>
    <t>B260930-L4B</t>
  </si>
  <si>
    <t>PR-1976</t>
  </si>
  <si>
    <t>B260928-L4C</t>
  </si>
  <si>
    <t>PR-1781</t>
  </si>
  <si>
    <t>B260910-L2C</t>
  </si>
  <si>
    <t>PR-1728</t>
  </si>
  <si>
    <t>B260905-L4B</t>
  </si>
  <si>
    <t>PR-1773</t>
  </si>
  <si>
    <t>B260910-L2A</t>
  </si>
  <si>
    <t>PR-1799</t>
  </si>
  <si>
    <t>B260912-L4A</t>
  </si>
  <si>
    <t>PR-1735</t>
  </si>
  <si>
    <t>B260906-L4B</t>
  </si>
  <si>
    <t>PR-1716</t>
  </si>
  <si>
    <t>B260904-L4B</t>
  </si>
  <si>
    <t>PR-1777</t>
  </si>
  <si>
    <t>B260910-L2B</t>
  </si>
  <si>
    <t>PR-1700</t>
  </si>
  <si>
    <t>B260903-L4A</t>
  </si>
  <si>
    <t>PR-1682</t>
  </si>
  <si>
    <t>B260901-L2C</t>
  </si>
  <si>
    <t>PR-1763</t>
  </si>
  <si>
    <t>B260909-L4A</t>
  </si>
  <si>
    <t>PR-1739</t>
  </si>
  <si>
    <t>B260907-L4A</t>
  </si>
  <si>
    <t>PR-1692</t>
  </si>
  <si>
    <t>B260902-L4B</t>
  </si>
  <si>
    <t>PR-1702</t>
  </si>
  <si>
    <t>B260903-L2B</t>
  </si>
  <si>
    <t>PR-1688</t>
  </si>
  <si>
    <t>B260902-L4A</t>
  </si>
  <si>
    <t>PR-1755</t>
  </si>
  <si>
    <t>B260908-L4B</t>
  </si>
  <si>
    <t>PR-1805</t>
  </si>
  <si>
    <t>B260912-L2C</t>
  </si>
  <si>
    <t>PR-1751</t>
  </si>
  <si>
    <t>B260908-L4A</t>
  </si>
  <si>
    <t>PR-1812</t>
  </si>
  <si>
    <t>B260914-L2A</t>
  </si>
  <si>
    <t>PR-1706</t>
  </si>
  <si>
    <t>B260903-L2C</t>
  </si>
  <si>
    <t>PR-1710</t>
  </si>
  <si>
    <t>B260904-L2A</t>
  </si>
  <si>
    <t>PR-1690</t>
  </si>
  <si>
    <t>B260902-L2B</t>
  </si>
  <si>
    <t>PR-1737</t>
  </si>
  <si>
    <t>B260907-L2A</t>
  </si>
  <si>
    <t>PR-1730</t>
  </si>
  <si>
    <t>B260905-L2C</t>
  </si>
  <si>
    <t>PR-1757</t>
  </si>
  <si>
    <t>B260908-L2C</t>
  </si>
  <si>
    <t>PR-1820</t>
  </si>
  <si>
    <t>B260914-L2C</t>
  </si>
  <si>
    <t>PR-1769</t>
  </si>
  <si>
    <t>B260909-L2C</t>
  </si>
  <si>
    <t>PR-1816</t>
  </si>
  <si>
    <t>B260914-L2B</t>
  </si>
  <si>
    <t>PR-1860</t>
  </si>
  <si>
    <t>B260918-L2A</t>
  </si>
  <si>
    <t>PR-1824</t>
  </si>
  <si>
    <t>B260915-L2A</t>
  </si>
  <si>
    <t>PR-1856</t>
  </si>
  <si>
    <t>B260917-L2C</t>
  </si>
  <si>
    <t>PR-1801</t>
  </si>
  <si>
    <t>B260912-L2B</t>
  </si>
  <si>
    <t>PR-1844</t>
  </si>
  <si>
    <t>B260916-L2C</t>
  </si>
  <si>
    <t>PR-1793</t>
  </si>
  <si>
    <t>B260911-L2C</t>
  </si>
  <si>
    <t>PR-1864</t>
  </si>
  <si>
    <t>B260918-L2B</t>
  </si>
  <si>
    <t>PR-1832</t>
  </si>
  <si>
    <t>B260915-L2C</t>
  </si>
  <si>
    <t>PR-1836</t>
  </si>
  <si>
    <t>B260916-L2A</t>
  </si>
  <si>
    <t>PR-1902</t>
  </si>
  <si>
    <t>B260922-L2A</t>
  </si>
  <si>
    <t>PR-1852</t>
  </si>
  <si>
    <t>B260917-L2B</t>
  </si>
  <si>
    <t>PR-1886</t>
  </si>
  <si>
    <t>B260920-L2B</t>
  </si>
  <si>
    <t>PR-1880</t>
  </si>
  <si>
    <t>B260919-L2C</t>
  </si>
  <si>
    <t>PR-1998</t>
  </si>
  <si>
    <t>B260930-L2C</t>
  </si>
  <si>
    <t>PR-1950</t>
  </si>
  <si>
    <t>B260926-L2A</t>
  </si>
  <si>
    <t>PR-1898</t>
  </si>
  <si>
    <t>B260921-L2C</t>
  </si>
  <si>
    <t>PR-1942</t>
  </si>
  <si>
    <t>B260925-L2B</t>
  </si>
  <si>
    <t>PR-1938</t>
  </si>
  <si>
    <t>B260925-L2A</t>
  </si>
  <si>
    <t>PR-1698</t>
  </si>
  <si>
    <t>B260903-L2A</t>
  </si>
  <si>
    <t>PR-1974</t>
  </si>
  <si>
    <t>B260928-L2C</t>
  </si>
  <si>
    <t>PR-1994</t>
  </si>
  <si>
    <t>B260930-L2B</t>
  </si>
  <si>
    <t>PR-1906</t>
  </si>
  <si>
    <t>B260922-L2B</t>
  </si>
  <si>
    <t>PR-1914</t>
  </si>
  <si>
    <t>B260923-L2A</t>
  </si>
  <si>
    <t>PR-1922</t>
  </si>
  <si>
    <t>B260923-L2C</t>
  </si>
  <si>
    <t>PR-1930</t>
  </si>
  <si>
    <t>B260924-L2B</t>
  </si>
  <si>
    <t>PR-1970</t>
  </si>
  <si>
    <t>B260928-L2B</t>
  </si>
  <si>
    <t>PR-1978</t>
  </si>
  <si>
    <t>B260929-L2A</t>
  </si>
  <si>
    <t>PR-1966</t>
  </si>
  <si>
    <t>B260928-L2A</t>
  </si>
  <si>
    <t>PR-1918</t>
  </si>
  <si>
    <t>B260923-L2B</t>
  </si>
  <si>
    <t>PR-1926</t>
  </si>
  <si>
    <t>B260924-L2A</t>
  </si>
  <si>
    <t>PR-1946</t>
  </si>
  <si>
    <t>B260925-L2C</t>
  </si>
  <si>
    <t>PR-1765</t>
  </si>
  <si>
    <t>B260909-L2B</t>
  </si>
  <si>
    <t>PR-1718</t>
  </si>
  <si>
    <t>B260904-L2C</t>
  </si>
  <si>
    <t>PR-1910</t>
  </si>
  <si>
    <t>B260922-L2C</t>
  </si>
  <si>
    <t>PR-1954</t>
  </si>
  <si>
    <t>B260926-L2B</t>
  </si>
  <si>
    <t>PR-1733</t>
  </si>
  <si>
    <t>B260906-L2A</t>
  </si>
  <si>
    <t>PR-1934</t>
  </si>
  <si>
    <t>B260924-L2C</t>
  </si>
  <si>
    <t>PR-1986</t>
  </si>
  <si>
    <t>B260929-L2C</t>
  </si>
  <si>
    <t>PR-1894</t>
  </si>
  <si>
    <t>B260921-L2B</t>
  </si>
  <si>
    <t>PR-1726</t>
  </si>
  <si>
    <t>B260905-L2B</t>
  </si>
  <si>
    <t>PR-1745</t>
  </si>
  <si>
    <t>B260907-L2C</t>
  </si>
  <si>
    <t>PR-1753</t>
  </si>
  <si>
    <t>B260908-L2B</t>
  </si>
  <si>
    <t>PR-1761</t>
  </si>
  <si>
    <t>B260909-L2A</t>
  </si>
  <si>
    <t>PR-1785</t>
  </si>
  <si>
    <t>B260911-L2A</t>
  </si>
  <si>
    <t>PR-1789</t>
  </si>
  <si>
    <t>B260911-L2B</t>
  </si>
  <si>
    <t>PR-1810</t>
  </si>
  <si>
    <t>B260913-L2B</t>
  </si>
  <si>
    <t>PR-1828</t>
  </si>
  <si>
    <t>B260915-L2B</t>
  </si>
  <si>
    <t>PR-1840</t>
  </si>
  <si>
    <t>B260916-L2B</t>
  </si>
  <si>
    <t>PR-1848</t>
  </si>
  <si>
    <t>B260917-L2A</t>
  </si>
  <si>
    <t>PR-1868</t>
  </si>
  <si>
    <t>B260918-L2C</t>
  </si>
  <si>
    <t>PR-1872</t>
  </si>
  <si>
    <t>B260919-L2A</t>
  </si>
  <si>
    <t>PR-1876</t>
  </si>
  <si>
    <t>B260919-L2B</t>
  </si>
  <si>
    <t>B260920-L2A</t>
  </si>
  <si>
    <t>PR-1890</t>
  </si>
  <si>
    <t>B260921-L2A</t>
  </si>
  <si>
    <t>PR-1958</t>
  </si>
  <si>
    <t>B260926-L2C</t>
  </si>
  <si>
    <t>PR-1962</t>
  </si>
  <si>
    <t>B260927-L2A</t>
  </si>
  <si>
    <t>PR-1982</t>
  </si>
  <si>
    <t>B260929-L2B</t>
  </si>
  <si>
    <t>PR-1990</t>
  </si>
  <si>
    <t>B260930-L2A</t>
  </si>
  <si>
    <t xml:space="preserve">summary by month </t>
  </si>
  <si>
    <t>Sum of Planned_Qty</t>
  </si>
  <si>
    <t>Sum of Produced_Qty</t>
  </si>
  <si>
    <t>Sum of Rejected_Qty</t>
  </si>
  <si>
    <t>Average of Rejection%</t>
  </si>
  <si>
    <t>Average of Plan_Achievement %</t>
  </si>
  <si>
    <t>Sum of Downtime_Hour</t>
  </si>
  <si>
    <t>Grand Total</t>
  </si>
  <si>
    <t xml:space="preserve">Data Accuracy </t>
  </si>
  <si>
    <t>Check whether closing stocks = openingstocks +(produced-rejectd) -dispatched</t>
  </si>
  <si>
    <t>Check whether  rejected &gt; produced</t>
  </si>
  <si>
    <t xml:space="preserve">Check whether present &gt; planned manpower </t>
  </si>
  <si>
    <t xml:space="preserve">Check whether there exist duplicate record_id </t>
  </si>
  <si>
    <t>Check whether there exist duplicate batch_id</t>
  </si>
  <si>
    <t>Which line shows a change in rejection % over the six months, and from which month?</t>
  </si>
  <si>
    <t>4 Total</t>
  </si>
  <si>
    <t>5 Total</t>
  </si>
  <si>
    <t>6 Total</t>
  </si>
  <si>
    <t>7 Total</t>
  </si>
  <si>
    <t>8 Total</t>
  </si>
  <si>
    <t>9 Total</t>
  </si>
  <si>
    <t>Other lines have approximately same % of rejection, but rejection % of "Mouthwash Bottling" has increased from 2.5% to 6.73 % from july  to september.</t>
  </si>
  <si>
    <t>Which shift has the highest rejection %? Is that the whole story?</t>
  </si>
  <si>
    <t xml:space="preserve">Does manpower attendance (Present / Planned) explain rejection %? </t>
  </si>
  <si>
    <t>10 Total</t>
  </si>
  <si>
    <t>14 Total</t>
  </si>
  <si>
    <t>16 Total</t>
  </si>
  <si>
    <t>18 Total</t>
  </si>
  <si>
    <t>Overall there is no major change reject % is 2.5% to 3.4%  there is no drastic change in it  respective of manpower</t>
  </si>
  <si>
    <t>Compare rejection % by Packaging_Supplier for each line. What stands out?</t>
  </si>
  <si>
    <t>Floss &amp; Interdental Total</t>
  </si>
  <si>
    <t>Mouthwash Bottling Total</t>
  </si>
  <si>
    <t>Toothbrush Assembly Total</t>
  </si>
  <si>
    <t>Toothpaste Tube Filling Total</t>
  </si>
  <si>
    <t>Packright Industries packaging  has highest rejection %  for Mouthwash Bottling line (L2)</t>
  </si>
  <si>
    <t>For Line L2 from July, break down rejected qty by Defect_Type. What is the dominant defect?</t>
  </si>
  <si>
    <t>Jul-2026 Total</t>
  </si>
  <si>
    <t>Aug-2026 Total</t>
  </si>
  <si>
    <t>Sep-2026 Total</t>
  </si>
  <si>
    <t>Cap Seal Leakage has highest rejected quantities from july to september for Mouthwash Bottling line (L2)</t>
  </si>
  <si>
    <t>Compare rejection % by Shift within each supplier on L2. Does the shift effect survive once supplier is controlled?</t>
  </si>
  <si>
    <t>Delhi Poly Pack Total</t>
  </si>
  <si>
    <t>PackRight Industries Total</t>
  </si>
  <si>
    <t>Sunrise Packaging Total</t>
  </si>
  <si>
    <t xml:space="preserve">Rejection on the mouthwash line is driven by the packaging supplier, not the shift. </t>
  </si>
  <si>
    <t xml:space="preserve">PackRight batches reject at about 10.4% against about 2.4% to 2.5% for other suppliers, and this holds on every shift (all within 0.5 percentage points of each other). </t>
  </si>
  <si>
    <t>Shift C only looked worse because it ran more PackRight batches.</t>
  </si>
  <si>
    <t>On which date was the new supplier first used? What share of L2 batches use it, overall and by shift?</t>
  </si>
  <si>
    <t>Count of Record_ID</t>
  </si>
  <si>
    <t>A Total</t>
  </si>
  <si>
    <t>B Total</t>
  </si>
  <si>
    <t>C Total</t>
  </si>
  <si>
    <t>Shift, supervisor and attendance don’t explain it, and shift C only looked worse because it ran PackRight on 94% of its batches.</t>
  </si>
  <si>
    <t>Which SKUs closed below their Reorder_Level, and how often, by month?</t>
  </si>
  <si>
    <t>Sum of Closing_FG_Stock</t>
  </si>
  <si>
    <t>Sum of Reorder_Level</t>
  </si>
  <si>
    <t>Sum of Opening_FG_Stock</t>
  </si>
  <si>
    <t>Sum of Dispatched_Qty</t>
  </si>
  <si>
    <t>Apr-2026 Total</t>
  </si>
  <si>
    <t>May-2026 Total</t>
  </si>
  <si>
    <t>Jun-2026 Total</t>
  </si>
  <si>
    <t>In August only SKU  MW-MT-250  got out of stock  and in September all three SKU got out of stock for mouthwash line(L2)</t>
  </si>
  <si>
    <t>From July, mouthwash rejection rose from about 2.5% to about 6.5% (7.98% for MW-MT-250), so good output fell below dispatch (dispatch was 104% to 107% of good output against about 98% before). With demand and the production plan unchanged, stock drained each month, fell below the reorder level in August and reached zero in September.</t>
  </si>
  <si>
    <t>How many records show zero closing stock? Which SKUs and months?</t>
  </si>
  <si>
    <t>MW-AF-250 Total</t>
  </si>
  <si>
    <t>MW-MT-250 Total</t>
  </si>
  <si>
    <t>Estimate unmet demand (Demand - Dispatched) in units and in INR at unit cost, by SKU.</t>
  </si>
  <si>
    <t>Unmet Demand</t>
  </si>
  <si>
    <t>Value At Cost</t>
  </si>
  <si>
    <t>Calculate rejection loss in INR (Rejected qty x Unit cost) by line (L2) and month.</t>
  </si>
  <si>
    <t>Sum of Rejection_Loss_INR</t>
  </si>
  <si>
    <t>How much of the L2 loss since July is excess over the normal baseline rejection rate? Quantify in units and INR.</t>
  </si>
  <si>
    <t>Average rejection rate for L2 ( if packright is excluded)</t>
  </si>
  <si>
    <t>Overall rejection rate for L2(packright including)</t>
  </si>
  <si>
    <t>Excess rejection rate for L2</t>
  </si>
  <si>
    <t>Excess Units</t>
  </si>
  <si>
    <t>Exces loss by packright</t>
  </si>
  <si>
    <t xml:space="preserve">Rejection % </t>
  </si>
  <si>
    <t>Rejection% of L2</t>
  </si>
  <si>
    <t xml:space="preserve">Plan Achievement % </t>
  </si>
  <si>
    <t>L2 Total</t>
  </si>
  <si>
    <t>rejection loss amount</t>
  </si>
  <si>
    <t>Normal Loss Amount</t>
  </si>
  <si>
    <t>Excess Loss Amount</t>
  </si>
  <si>
    <t>Total Loss Amount</t>
  </si>
  <si>
    <t>Zero stocks runs</t>
  </si>
  <si>
    <t>Average of Closing_FG_Stock</t>
  </si>
  <si>
    <t>Average of Reorder_Level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</si>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</sst>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m\-yyyy"/>
    <numFmt numFmtId="165" formatCode="[$-409]mmmm\-yy;@"/>
    <numFmt numFmtId="166" formatCode="0.000%"/>
    <numFmt numFmtId="167" formatCode="_(* #,##0_);_(* \(#,##0\);_(* &quot;-&quot;??_);_(@_)"/>
    <numFmt numFmtId="168" formatCode="_ [$₹-4009]\ * #,##0_ ;_ [$₹-4009]\ * \-#,##0_ ;_ [$₹-4009]\ * &quot;-&quot;_ ;_ @_ "/>
    <numFmt numFmtId="169" formatCode="_ [$₹-439]* #,##0_ ;_ [$₹-439]* \-#,##0_ ;_ [$₹-439]* &quot;-&quot;_ ;_ @_ "/>
    <numFmt numFmtId="170" formatCode="[$₹-439]#,##0.0"/>
    <numFmt numFmtId="171" formatCode="[$₹-439]#,##0"/>
  </numFmts>
  <fonts count="12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0"/>
      <color rgb="FF000000"/>
      <name val="Arial"/>
      <charset val="1"/>
    </font>
    <font>
      <sz val="11"/>
      <color rgb="FF000000"/>
      <name val="Calibri"/>
      <charset val="1"/>
    </font>
    <font>
      <b/>
      <sz val="28"/>
      <color rgb="FF000000"/>
      <name val="Calibri"/>
      <scheme val="minor"/>
    </font>
    <font>
      <b/>
      <sz val="28"/>
      <color rgb="FF00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1" fillId="2" borderId="0" xfId="0" applyFont="1" applyFill="1"/>
    <xf numFmtId="3" fontId="0" fillId="0" borderId="0" xfId="0" applyNumberFormat="1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2" fillId="0" borderId="0" xfId="0" applyNumberFormat="1" applyFont="1"/>
    <xf numFmtId="0" fontId="1" fillId="2" borderId="0" xfId="0" applyNumberFormat="1" applyFont="1" applyFill="1" applyAlignment="1">
      <alignment horizontal="center" vertical="center" wrapText="1"/>
    </xf>
    <xf numFmtId="1" fontId="2" fillId="0" borderId="0" xfId="0" applyNumberFormat="1" applyFont="1"/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0" fontId="0" fillId="0" borderId="0" xfId="0" applyAlignment="1"/>
    <xf numFmtId="10" fontId="0" fillId="0" borderId="0" xfId="0" applyNumberFormat="1"/>
    <xf numFmtId="10" fontId="1" fillId="2" borderId="0" xfId="0" applyNumberFormat="1" applyFont="1" applyFill="1" applyAlignment="1">
      <alignment horizontal="center" vertical="center" wrapText="1"/>
    </xf>
    <xf numFmtId="10" fontId="2" fillId="0" borderId="0" xfId="0" applyNumberFormat="1" applyFont="1"/>
    <xf numFmtId="0" fontId="5" fillId="0" borderId="0" xfId="0" applyFont="1"/>
    <xf numFmtId="0" fontId="0" fillId="0" borderId="0" xfId="0" applyFont="1"/>
    <xf numFmtId="0" fontId="4" fillId="0" borderId="0" xfId="0" applyFont="1" applyAlignment="1"/>
    <xf numFmtId="0" fontId="4" fillId="0" borderId="0" xfId="0" applyFont="1"/>
    <xf numFmtId="0" fontId="6" fillId="0" borderId="0" xfId="0" applyFont="1"/>
    <xf numFmtId="0" fontId="0" fillId="3" borderId="0" xfId="0" applyFill="1"/>
    <xf numFmtId="10" fontId="0" fillId="3" borderId="0" xfId="0" applyNumberFormat="1" applyFill="1"/>
    <xf numFmtId="0" fontId="3" fillId="0" borderId="0" xfId="0" applyFont="1" applyAlignment="1">
      <alignment vertical="top"/>
    </xf>
    <xf numFmtId="3" fontId="0" fillId="3" borderId="0" xfId="0" applyNumberFormat="1" applyFill="1"/>
    <xf numFmtId="0" fontId="0" fillId="4" borderId="0" xfId="0" applyFill="1"/>
    <xf numFmtId="0" fontId="7" fillId="0" borderId="0" xfId="0" applyFon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14" fontId="2" fillId="0" borderId="0" xfId="0" applyNumberFormat="1" applyFont="1"/>
    <xf numFmtId="1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0" fontId="8" fillId="4" borderId="0" xfId="0" applyNumberFormat="1" applyFont="1" applyFill="1" applyAlignment="1">
      <alignment horizontal="center" vertical="top"/>
    </xf>
    <xf numFmtId="0" fontId="9" fillId="4" borderId="0" xfId="0" applyFont="1" applyFill="1" applyAlignment="1">
      <alignment horizontal="center" vertical="top"/>
    </xf>
    <xf numFmtId="0" fontId="11" fillId="5" borderId="0" xfId="0" applyFont="1" applyFill="1" applyAlignment="1">
      <alignment horizontal="center"/>
    </xf>
    <xf numFmtId="10" fontId="10" fillId="4" borderId="0" xfId="0" applyNumberFormat="1" applyFont="1" applyFill="1" applyAlignment="1">
      <alignment horizontal="center" vertical="top"/>
    </xf>
    <xf numFmtId="0" fontId="10" fillId="4" borderId="0" xfId="0" applyFont="1" applyFill="1" applyAlignment="1">
      <alignment horizontal="center" vertical="top"/>
    </xf>
    <xf numFmtId="168" fontId="10" fillId="4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25">
    <dxf>
      <numFmt numFmtId="170" formatCode="[$₹-439]#,##0.0"/>
    </dxf>
    <dxf>
      <numFmt numFmtId="171" formatCode="[$₹-439]#,##0"/>
    </dxf>
    <dxf>
      <numFmt numFmtId="169" formatCode="_ [$₹-439]* #,##0_ ;_ [$₹-439]* \-#,##0_ ;_ [$₹-439]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numFmt numFmtId="19" formatCode="m/d/yyyy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14" formatCode="0.00%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19" formatCode="m/d/yyyy"/>
    </dxf>
    <dxf>
      <numFmt numFmtId="14" formatCode="0.00%"/>
    </dxf>
    <dxf>
      <numFmt numFmtId="13" formatCode="0%"/>
    </dxf>
  </dxfs>
  <tableStyles count="0" defaultTableStyle="TableStyleMedium9" defaultPivotStyle="PivotStyleLight16"/>
  <colors>
    <mruColors>
      <color rgb="FFECD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[Perfora_Production_MIS_Dataset.xlsx]Sheet1!PivotTable2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Rejection% by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9525" cap="flat" cmpd="sng" algn="ctr">
            <a:solidFill>
              <a:srgbClr val="E26B0A"/>
            </a:solidFill>
            <a:prstDash val="sysDot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rgbClr val="E26B0A"/>
            </a:solidFill>
            <a:ln w="9525" cap="flat" cmpd="sng" algn="ctr">
              <a:solidFill>
                <a:srgbClr val="E26B0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12700" cap="rnd" cmpd="sng" algn="ctr">
            <a:solidFill>
              <a:srgbClr val="9BBB59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6350" cap="flat" cmpd="sng" algn="ctr">
            <a:solidFill>
              <a:srgbClr val="31869B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rgbClr val="31869B"/>
            </a:solidFill>
            <a:ln w="9525" cap="flat" cmpd="sng" algn="ctr">
              <a:solidFill>
                <a:srgbClr val="31869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Sheet1!$C$35:$C$36</c:f>
              <c:strCache>
                <c:ptCount val="1"/>
                <c:pt idx="0">
                  <c:v>L1</c:v>
                </c:pt>
              </c:strCache>
            </c:strRef>
          </c:tx>
          <c:spPr>
            <a:ln w="9525" cap="flat" cmpd="sng" algn="ctr">
              <a:solidFill>
                <a:srgbClr val="E26B0A"/>
              </a:solidFill>
              <a:prstDash val="sysDot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E26B0A"/>
              </a:solidFill>
              <a:ln w="9525" cap="flat" cmpd="sng" algn="ctr">
                <a:solidFill>
                  <a:srgbClr val="E26B0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multiLvlStrRef>
              <c:f>Sheet1!$A$37:$B$49</c:f>
              <c:multiLvlStrCache>
                <c:ptCount val="6"/>
                <c:lvl>
                  <c:pt idx="0">
                    <c:v>Apr-2026</c:v>
                  </c:pt>
                  <c:pt idx="1">
                    <c:v>May-2026</c:v>
                  </c:pt>
                  <c:pt idx="2">
                    <c:v>Jun-2026</c:v>
                  </c:pt>
                  <c:pt idx="3">
                    <c:v>Jul-2026</c:v>
                  </c:pt>
                  <c:pt idx="4">
                    <c:v>Aug-2026</c:v>
                  </c:pt>
                  <c:pt idx="5">
                    <c:v>Sep-2026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</c:lvl>
              </c:multiLvlStrCache>
            </c:multiLvlStrRef>
          </c:cat>
          <c:val>
            <c:numRef>
              <c:f>Sheet1!$C$37:$C$49</c:f>
              <c:numCache>
                <c:formatCode>0.00%</c:formatCode>
                <c:ptCount val="6"/>
                <c:pt idx="0">
                  <c:v>2.3400662550517683E-2</c:v>
                </c:pt>
                <c:pt idx="1">
                  <c:v>2.5455747711959464E-2</c:v>
                </c:pt>
                <c:pt idx="2">
                  <c:v>2.3903496834582545E-2</c:v>
                </c:pt>
                <c:pt idx="3">
                  <c:v>2.5225824557875809E-2</c:v>
                </c:pt>
                <c:pt idx="4">
                  <c:v>2.407421842211354E-2</c:v>
                </c:pt>
                <c:pt idx="5">
                  <c:v>2.3887272887806128E-2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D-4A23-A16B-17B1FAB5373A}"/>
            </c:ext>
          </c:extLst>
        </c:ser>
        <c:ser>
          <c:idx val="1"/>
          <c:order val="1"/>
          <c:tx>
            <c:strRef>
              <c:f>Sheet1!$D$35:$D$36</c:f>
              <c:strCache>
                <c:ptCount val="1"/>
                <c:pt idx="0">
                  <c:v>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Sheet1!$A$37:$B$49</c:f>
              <c:multiLvlStrCache>
                <c:ptCount val="6"/>
                <c:lvl>
                  <c:pt idx="0">
                    <c:v>Apr-2026</c:v>
                  </c:pt>
                  <c:pt idx="1">
                    <c:v>May-2026</c:v>
                  </c:pt>
                  <c:pt idx="2">
                    <c:v>Jun-2026</c:v>
                  </c:pt>
                  <c:pt idx="3">
                    <c:v>Jul-2026</c:v>
                  </c:pt>
                  <c:pt idx="4">
                    <c:v>Aug-2026</c:v>
                  </c:pt>
                  <c:pt idx="5">
                    <c:v>Sep-2026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</c:lvl>
              </c:multiLvlStrCache>
            </c:multiLvlStrRef>
          </c:cat>
          <c:val>
            <c:numRef>
              <c:f>Sheet1!$D$37:$D$49</c:f>
              <c:numCache>
                <c:formatCode>0.00%</c:formatCode>
                <c:ptCount val="6"/>
                <c:pt idx="0">
                  <c:v>2.3874114306422247E-2</c:v>
                </c:pt>
                <c:pt idx="1">
                  <c:v>2.5900515935398289E-2</c:v>
                </c:pt>
                <c:pt idx="2">
                  <c:v>2.5052130988041942E-2</c:v>
                </c:pt>
                <c:pt idx="3">
                  <c:v>6.3972517035168097E-2</c:v>
                </c:pt>
                <c:pt idx="4">
                  <c:v>6.3035660079753669E-2</c:v>
                </c:pt>
                <c:pt idx="5">
                  <c:v>6.7346625259948556E-2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CD-42B4-B676-9CD9019BA44B}"/>
            </c:ext>
          </c:extLst>
        </c:ser>
        <c:ser>
          <c:idx val="2"/>
          <c:order val="2"/>
          <c:tx>
            <c:strRef>
              <c:f>Sheet1!$E$35:$E$36</c:f>
              <c:strCache>
                <c:ptCount val="1"/>
                <c:pt idx="0">
                  <c:v>L3</c:v>
                </c:pt>
              </c:strCache>
            </c:strRef>
          </c:tx>
          <c:spPr>
            <a:ln w="12700" cap="rnd" cmpd="sng" algn="ctr">
              <a:solidFill>
                <a:srgbClr val="9BBB59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Sheet1!$A$37:$B$49</c:f>
              <c:multiLvlStrCache>
                <c:ptCount val="6"/>
                <c:lvl>
                  <c:pt idx="0">
                    <c:v>Apr-2026</c:v>
                  </c:pt>
                  <c:pt idx="1">
                    <c:v>May-2026</c:v>
                  </c:pt>
                  <c:pt idx="2">
                    <c:v>Jun-2026</c:v>
                  </c:pt>
                  <c:pt idx="3">
                    <c:v>Jul-2026</c:v>
                  </c:pt>
                  <c:pt idx="4">
                    <c:v>Aug-2026</c:v>
                  </c:pt>
                  <c:pt idx="5">
                    <c:v>Sep-2026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</c:lvl>
              </c:multiLvlStrCache>
            </c:multiLvlStrRef>
          </c:cat>
          <c:val>
            <c:numRef>
              <c:f>Sheet1!$E$37:$E$49</c:f>
              <c:numCache>
                <c:formatCode>0.00%</c:formatCode>
                <c:ptCount val="6"/>
                <c:pt idx="0">
                  <c:v>2.405450400333151E-2</c:v>
                </c:pt>
                <c:pt idx="1">
                  <c:v>2.5575152768210794E-2</c:v>
                </c:pt>
                <c:pt idx="2">
                  <c:v>2.5014338706911835E-2</c:v>
                </c:pt>
                <c:pt idx="3">
                  <c:v>2.4982457495331165E-2</c:v>
                </c:pt>
                <c:pt idx="4">
                  <c:v>2.4635577788756316E-2</c:v>
                </c:pt>
                <c:pt idx="5">
                  <c:v>2.565580114622289E-2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CD-42B4-B676-9CD9019BA44B}"/>
            </c:ext>
          </c:extLst>
        </c:ser>
        <c:ser>
          <c:idx val="3"/>
          <c:order val="3"/>
          <c:tx>
            <c:strRef>
              <c:f>Sheet1!$F$35:$F$36</c:f>
              <c:strCache>
                <c:ptCount val="1"/>
                <c:pt idx="0">
                  <c:v>L4</c:v>
                </c:pt>
              </c:strCache>
            </c:strRef>
          </c:tx>
          <c:spPr>
            <a:ln w="6350" cap="flat" cmpd="sng" algn="ctr">
              <a:solidFill>
                <a:srgbClr val="31869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31869B"/>
              </a:solidFill>
              <a:ln w="9525" cap="flat" cmpd="sng" algn="ctr">
                <a:solidFill>
                  <a:srgbClr val="31869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multiLvlStrRef>
              <c:f>Sheet1!$A$37:$B$49</c:f>
              <c:multiLvlStrCache>
                <c:ptCount val="6"/>
                <c:lvl>
                  <c:pt idx="0">
                    <c:v>Apr-2026</c:v>
                  </c:pt>
                  <c:pt idx="1">
                    <c:v>May-2026</c:v>
                  </c:pt>
                  <c:pt idx="2">
                    <c:v>Jun-2026</c:v>
                  </c:pt>
                  <c:pt idx="3">
                    <c:v>Jul-2026</c:v>
                  </c:pt>
                  <c:pt idx="4">
                    <c:v>Aug-2026</c:v>
                  </c:pt>
                  <c:pt idx="5">
                    <c:v>Sep-2026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</c:lvl>
              </c:multiLvlStrCache>
            </c:multiLvlStrRef>
          </c:cat>
          <c:val>
            <c:numRef>
              <c:f>Sheet1!$F$37:$F$49</c:f>
              <c:numCache>
                <c:formatCode>0.00%</c:formatCode>
                <c:ptCount val="6"/>
                <c:pt idx="0">
                  <c:v>2.4410944801358248E-2</c:v>
                </c:pt>
                <c:pt idx="1">
                  <c:v>2.5977222026101768E-2</c:v>
                </c:pt>
                <c:pt idx="2">
                  <c:v>2.541976288532256E-2</c:v>
                </c:pt>
                <c:pt idx="3">
                  <c:v>2.4096896702701674E-2</c:v>
                </c:pt>
                <c:pt idx="4">
                  <c:v>2.4757978559676107E-2</c:v>
                </c:pt>
                <c:pt idx="5">
                  <c:v>2.3976175967199594E-2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CD-42B4-B676-9CD9019BA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414920"/>
        <c:axId val="1079181320"/>
      </c:lineChart>
      <c:catAx>
        <c:axId val="85414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079181320"/>
        <c:crosses val="autoZero"/>
        <c:auto val="1"/>
        <c:lblAlgn val="ctr"/>
        <c:lblOffset val="100"/>
        <c:noMultiLvlLbl val="0"/>
      </c:catAx>
      <c:valAx>
        <c:axId val="107918132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8541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[Perfora_Production_MIS_Dataset.xlsx]KPI!PivotTable4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Rejection% of L2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2CDDC"/>
          </a:solidFill>
          <a:ln w="12700" cap="flat" cmpd="sng" algn="ctr">
            <a:solidFill>
              <a:srgbClr val="92CDDC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504D"/>
          </a:solidFill>
          <a:ln w="12700" cap="flat" cmpd="sng" algn="ctr">
            <a:solidFill>
              <a:srgbClr val="C0504D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KPI!$D$24:$D$25</c:f>
              <c:strCache>
                <c:ptCount val="1"/>
                <c:pt idx="0">
                  <c:v>Delhi Poly Pack</c:v>
                </c:pt>
              </c:strCache>
            </c:strRef>
          </c:tx>
          <c:spPr>
            <a:solidFill>
              <a:srgbClr val="92CDDC"/>
            </a:solidFill>
            <a:ln w="12700" cap="flat" cmpd="sng" algn="ctr">
              <a:solidFill>
                <a:srgbClr val="92CDDC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multiLvlStrRef>
              <c:f>KPI!$A$26:$C$39</c:f>
              <c:multiLvlStrCache>
                <c:ptCount val="6"/>
                <c:lvl>
                  <c:pt idx="0">
                    <c:v>Apr-2026</c:v>
                  </c:pt>
                  <c:pt idx="1">
                    <c:v>May-2026</c:v>
                  </c:pt>
                  <c:pt idx="2">
                    <c:v>Jun-2026</c:v>
                  </c:pt>
                  <c:pt idx="3">
                    <c:v>Jul-2026</c:v>
                  </c:pt>
                  <c:pt idx="4">
                    <c:v>Aug-2026</c:v>
                  </c:pt>
                  <c:pt idx="5">
                    <c:v>Sep-2026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</c:lvl>
                <c:lvl>
                  <c:pt idx="0">
                    <c:v>L2</c:v>
                  </c:pt>
                </c:lvl>
              </c:multiLvlStrCache>
            </c:multiLvlStrRef>
          </c:cat>
          <c:val>
            <c:numRef>
              <c:f>KPI!$D$26:$D$39</c:f>
              <c:numCache>
                <c:formatCode>0.00%</c:formatCode>
                <c:ptCount val="6"/>
                <c:pt idx="0">
                  <c:v>2.3153439104232718E-2</c:v>
                </c:pt>
                <c:pt idx="1">
                  <c:v>2.4570151455190821E-2</c:v>
                </c:pt>
                <c:pt idx="2">
                  <c:v>2.464216170900542E-2</c:v>
                </c:pt>
                <c:pt idx="3">
                  <c:v>2.3067955410398473E-2</c:v>
                </c:pt>
                <c:pt idx="4">
                  <c:v>2.4909069794841605E-2</c:v>
                </c:pt>
                <c:pt idx="5">
                  <c:v>2.5659549448325481E-2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A-46D0-9BC8-1CFD7A029E08}"/>
            </c:ext>
          </c:extLst>
        </c:ser>
        <c:ser>
          <c:idx val="1"/>
          <c:order val="1"/>
          <c:tx>
            <c:strRef>
              <c:f>KPI!$E$24:$E$25</c:f>
              <c:strCache>
                <c:ptCount val="1"/>
                <c:pt idx="0">
                  <c:v>PackRight Industries</c:v>
                </c:pt>
              </c:strCache>
            </c:strRef>
          </c:tx>
          <c:spPr>
            <a:solidFill>
              <a:srgbClr val="C0504D"/>
            </a:solidFill>
            <a:ln w="12700" cap="flat" cmpd="sng" algn="ctr">
              <a:solidFill>
                <a:srgbClr val="C0504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multiLvlStrRef>
              <c:f>KPI!$A$26:$C$39</c:f>
              <c:multiLvlStrCache>
                <c:ptCount val="6"/>
                <c:lvl>
                  <c:pt idx="0">
                    <c:v>Apr-2026</c:v>
                  </c:pt>
                  <c:pt idx="1">
                    <c:v>May-2026</c:v>
                  </c:pt>
                  <c:pt idx="2">
                    <c:v>Jun-2026</c:v>
                  </c:pt>
                  <c:pt idx="3">
                    <c:v>Jul-2026</c:v>
                  </c:pt>
                  <c:pt idx="4">
                    <c:v>Aug-2026</c:v>
                  </c:pt>
                  <c:pt idx="5">
                    <c:v>Sep-2026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</c:lvl>
                <c:lvl>
                  <c:pt idx="0">
                    <c:v>L2</c:v>
                  </c:pt>
                </c:lvl>
              </c:multiLvlStrCache>
            </c:multiLvlStrRef>
          </c:cat>
          <c:val>
            <c:numRef>
              <c:f>KPI!$E$26:$E$39</c:f>
              <c:numCache>
                <c:formatCode>0.00%</c:formatCode>
                <c:ptCount val="6"/>
                <c:pt idx="3">
                  <c:v>0.1032219499203188</c:v>
                </c:pt>
                <c:pt idx="4">
                  <c:v>0.10240047808139072</c:v>
                </c:pt>
                <c:pt idx="5">
                  <c:v>0.10580394405622734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FA-46D0-9BC8-1CFD7A029E08}"/>
            </c:ext>
          </c:extLst>
        </c:ser>
        <c:ser>
          <c:idx val="2"/>
          <c:order val="2"/>
          <c:tx>
            <c:strRef>
              <c:f>KPI!$F$24:$F$25</c:f>
              <c:strCache>
                <c:ptCount val="1"/>
                <c:pt idx="0">
                  <c:v>Sunrise Packaging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KPI!$A$26:$C$39</c:f>
              <c:multiLvlStrCache>
                <c:ptCount val="6"/>
                <c:lvl>
                  <c:pt idx="0">
                    <c:v>Apr-2026</c:v>
                  </c:pt>
                  <c:pt idx="1">
                    <c:v>May-2026</c:v>
                  </c:pt>
                  <c:pt idx="2">
                    <c:v>Jun-2026</c:v>
                  </c:pt>
                  <c:pt idx="3">
                    <c:v>Jul-2026</c:v>
                  </c:pt>
                  <c:pt idx="4">
                    <c:v>Aug-2026</c:v>
                  </c:pt>
                  <c:pt idx="5">
                    <c:v>Sep-2026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</c:lvl>
                <c:lvl>
                  <c:pt idx="0">
                    <c:v>L2</c:v>
                  </c:pt>
                </c:lvl>
              </c:multiLvlStrCache>
            </c:multiLvlStrRef>
          </c:cat>
          <c:val>
            <c:numRef>
              <c:f>KPI!$F$26:$F$39</c:f>
              <c:numCache>
                <c:formatCode>0.00%</c:formatCode>
                <c:ptCount val="6"/>
                <c:pt idx="0">
                  <c:v>2.4527749954919749E-2</c:v>
                </c:pt>
                <c:pt idx="1">
                  <c:v>2.6815141515540913E-2</c:v>
                </c:pt>
                <c:pt idx="2">
                  <c:v>2.5559198254218679E-2</c:v>
                </c:pt>
                <c:pt idx="3">
                  <c:v>2.4841350016979666E-2</c:v>
                </c:pt>
                <c:pt idx="4">
                  <c:v>2.2828847230743549E-2</c:v>
                </c:pt>
                <c:pt idx="5">
                  <c:v>2.635046565957231E-2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FA-46D0-9BC8-1CFD7A029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6542728"/>
        <c:axId val="650761224"/>
      </c:barChart>
      <c:catAx>
        <c:axId val="129654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650761224"/>
        <c:crosses val="autoZero"/>
        <c:auto val="1"/>
        <c:lblAlgn val="ctr"/>
        <c:lblOffset val="100"/>
        <c:noMultiLvlLbl val="0"/>
      </c:catAx>
      <c:valAx>
        <c:axId val="65076122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96542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[Perfora_Production_MIS_Dataset.xlsx]KPI!PivotTable5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Mouthwash Stock (L2) v/s Reorder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9050" cap="flat" cmpd="sng" algn="ctr">
            <a:solidFill>
              <a:srgbClr val="31869B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KPI!$D$50</c:f>
              <c:strCache>
                <c:ptCount val="1"/>
                <c:pt idx="0">
                  <c:v>Average of Closing_FG_Stock</c:v>
                </c:pt>
              </c:strCache>
            </c:strRef>
          </c:tx>
          <c:spPr>
            <a:ln w="19050" cap="flat" cmpd="sng" algn="ctr">
              <a:solidFill>
                <a:srgbClr val="31869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KPI!$A$51:$C$64</c:f>
              <c:multiLvlStrCache>
                <c:ptCount val="6"/>
                <c:lvl>
                  <c:pt idx="0">
                    <c:v>Apr-2026</c:v>
                  </c:pt>
                  <c:pt idx="1">
                    <c:v>May-2026</c:v>
                  </c:pt>
                  <c:pt idx="2">
                    <c:v>Jun-2026</c:v>
                  </c:pt>
                  <c:pt idx="3">
                    <c:v>Jul-2026</c:v>
                  </c:pt>
                  <c:pt idx="4">
                    <c:v>Aug-2026</c:v>
                  </c:pt>
                  <c:pt idx="5">
                    <c:v>Sep-2026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</c:lvl>
                <c:lvl>
                  <c:pt idx="0">
                    <c:v>L2</c:v>
                  </c:pt>
                </c:lvl>
              </c:multiLvlStrCache>
            </c:multiLvlStrRef>
          </c:cat>
          <c:val>
            <c:numRef>
              <c:f>KPI!$D$51:$D$64</c:f>
              <c:numCache>
                <c:formatCode>#,##0</c:formatCode>
                <c:ptCount val="6"/>
                <c:pt idx="0">
                  <c:v>18938.768292682926</c:v>
                </c:pt>
                <c:pt idx="1">
                  <c:v>21451.123456790123</c:v>
                </c:pt>
                <c:pt idx="2">
                  <c:v>24034.882352941175</c:v>
                </c:pt>
                <c:pt idx="3">
                  <c:v>19701.482758620688</c:v>
                </c:pt>
                <c:pt idx="4">
                  <c:v>9887.5</c:v>
                </c:pt>
                <c:pt idx="5">
                  <c:v>2818.5301204819275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D-4B64-808C-992DB180BEE5}"/>
            </c:ext>
          </c:extLst>
        </c:ser>
        <c:ser>
          <c:idx val="1"/>
          <c:order val="1"/>
          <c:tx>
            <c:strRef>
              <c:f>KPI!$E$50</c:f>
              <c:strCache>
                <c:ptCount val="1"/>
                <c:pt idx="0">
                  <c:v>Average of Reorder_Level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KPI!$A$51:$C$64</c:f>
              <c:multiLvlStrCache>
                <c:ptCount val="6"/>
                <c:lvl>
                  <c:pt idx="0">
                    <c:v>Apr-2026</c:v>
                  </c:pt>
                  <c:pt idx="1">
                    <c:v>May-2026</c:v>
                  </c:pt>
                  <c:pt idx="2">
                    <c:v>Jun-2026</c:v>
                  </c:pt>
                  <c:pt idx="3">
                    <c:v>Jul-2026</c:v>
                  </c:pt>
                  <c:pt idx="4">
                    <c:v>Aug-2026</c:v>
                  </c:pt>
                  <c:pt idx="5">
                    <c:v>Sep-2026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</c:lvl>
                <c:lvl>
                  <c:pt idx="0">
                    <c:v>L2</c:v>
                  </c:pt>
                </c:lvl>
              </c:multiLvlStrCache>
            </c:multiLvlStrRef>
          </c:cat>
          <c:val>
            <c:numRef>
              <c:f>KPI!$E$51:$E$64</c:f>
              <c:numCache>
                <c:formatCode>#,##0</c:formatCode>
                <c:ptCount val="6"/>
                <c:pt idx="0">
                  <c:v>8963.414634146342</c:v>
                </c:pt>
                <c:pt idx="1">
                  <c:v>9009.2592592592591</c:v>
                </c:pt>
                <c:pt idx="2">
                  <c:v>8876.4705882352937</c:v>
                </c:pt>
                <c:pt idx="3">
                  <c:v>8758.6206896551721</c:v>
                </c:pt>
                <c:pt idx="4">
                  <c:v>8580.3571428571431</c:v>
                </c:pt>
                <c:pt idx="5">
                  <c:v>8756.0240963855413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ED-4B64-808C-992DB180B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768392"/>
        <c:axId val="650770952"/>
      </c:lineChart>
      <c:catAx>
        <c:axId val="650768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650770952"/>
        <c:crosses val="autoZero"/>
        <c:auto val="1"/>
        <c:lblAlgn val="ctr"/>
        <c:lblOffset val="100"/>
        <c:noMultiLvlLbl val="0"/>
      </c:catAx>
      <c:valAx>
        <c:axId val="65077095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65076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PackRight Loss (July - Sept)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KPI!$E$16</c:f>
              <c:strCache>
                <c:ptCount val="1"/>
                <c:pt idx="0">
                  <c:v>Normal Loss Amount</c:v>
                </c:pt>
              </c:strCache>
            </c:strRef>
          </c:tx>
          <c:spPr>
            <a:solidFill>
              <a:srgbClr val="9BBB59"/>
            </a:solidFill>
            <a:ln w="12700" cap="flat" cmpd="sng" algn="ctr">
              <a:solidFill>
                <a:srgbClr val="9BBB59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404040"/>
                    </a:solidFill>
                    <a:latin typeface="Arial Black"/>
                    <a:ea typeface="Arial Black"/>
                    <a:cs typeface="Arial Black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KPI!$E$17</c:f>
              <c:numCache>
                <c:formatCode>_ [$₹-439]* #,##0_ ;_ [$₹-439]* \-#,##0_ ;_ [$₹-439]* "-"_ ;_ @_ </c:formatCode>
                <c:ptCount val="1"/>
                <c:pt idx="0">
                  <c:v>1010847.25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1-4AA4-A6C3-871DA8DF91B8}"/>
            </c:ext>
          </c:extLst>
        </c:ser>
        <c:ser>
          <c:idx val="1"/>
          <c:order val="1"/>
          <c:tx>
            <c:strRef>
              <c:f>KPI!$F$16</c:f>
              <c:strCache>
                <c:ptCount val="1"/>
                <c:pt idx="0">
                  <c:v>Excess Loss Amount</c:v>
                </c:pt>
              </c:strCache>
            </c:strRef>
          </c:tx>
          <c:spPr>
            <a:solidFill>
              <a:schemeClr val="accent2"/>
            </a:solidFill>
            <a:ln w="12700" cap="flat" cmpd="sng" algn="ctr">
              <a:solidFill>
                <a:srgbClr val="C0504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KPI!$F$17</c:f>
              <c:numCache>
                <c:formatCode>[$₹-439]#,##0</c:formatCode>
                <c:ptCount val="1"/>
                <c:pt idx="0">
                  <c:v>3180159.75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E1-4AA4-A6C3-871DA8DF91B8}"/>
            </c:ext>
          </c:extLst>
        </c:ser>
        <c:ser>
          <c:idx val="2"/>
          <c:order val="2"/>
          <c:tx>
            <c:strRef>
              <c:f>KPI!$G$16</c:f>
              <c:strCache>
                <c:ptCount val="1"/>
                <c:pt idx="0">
                  <c:v>Total Loss Amount</c:v>
                </c:pt>
              </c:strCache>
            </c:strRef>
          </c:tx>
          <c:spPr>
            <a:solidFill>
              <a:srgbClr val="92CDDC"/>
            </a:solidFill>
            <a:ln w="12700" cap="flat" cmpd="sng" algn="ctr">
              <a:solidFill>
                <a:srgbClr val="92CDDC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KPI!$G$17</c:f>
              <c:numCache>
                <c:formatCode>[$₹-439]#,##0.0</c:formatCode>
                <c:ptCount val="1"/>
                <c:pt idx="0">
                  <c:v>4191007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E1-4AA4-A6C3-871DA8DF91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1"/>
        <c:axId val="1161491464"/>
        <c:axId val="1161494024"/>
      </c:barChart>
      <c:catAx>
        <c:axId val="11614914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161494024"/>
        <c:crosses val="autoZero"/>
        <c:auto val="1"/>
        <c:lblAlgn val="ctr"/>
        <c:lblOffset val="100"/>
        <c:noMultiLvlLbl val="0"/>
      </c:catAx>
      <c:valAx>
        <c:axId val="1161494024"/>
        <c:scaling>
          <c:orientation val="minMax"/>
        </c:scaling>
        <c:delete val="1"/>
        <c:axPos val="l"/>
        <c:numFmt formatCode="_ [$₹-439]* #,##0_ ;_ [$₹-439]* \-#,##0_ ;_ [$₹-439]* &quot;-&quot;_ ;_ @_ " sourceLinked="1"/>
        <c:majorTickMark val="none"/>
        <c:minorTickMark val="none"/>
        <c:tickLblPos val="nextTo"/>
        <c:crossAx val="116149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4</xdr:row>
      <xdr:rowOff>28575</xdr:rowOff>
    </xdr:from>
    <xdr:to>
      <xdr:col>9</xdr:col>
      <xdr:colOff>171450</xdr:colOff>
      <xdr:row>8</xdr:row>
      <xdr:rowOff>19050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3EB2C509-FAD0-4560-8D16-769548BFF601}"/>
            </a:ext>
            <a:ext uri="{147F2762-F138-4A5C-976F-8EAC2B608ADB}">
              <a16:predDERef xmlns:a16="http://schemas.microsoft.com/office/drawing/2014/main" pred="{7101A920-F4A7-4F71-BA5E-2A124463A447}"/>
            </a:ext>
          </a:extLst>
        </xdr:cNvPr>
        <xdr:cNvSpPr/>
      </xdr:nvSpPr>
      <xdr:spPr>
        <a:xfrm>
          <a:off x="2857500" y="790575"/>
          <a:ext cx="2800350" cy="752475"/>
        </a:xfrm>
        <a:prstGeom prst="roundRect">
          <a:avLst/>
        </a:prstGeom>
        <a:noFill/>
        <a:ln w="63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4800" b="0">
              <a:solidFill>
                <a:srgbClr val="C00000"/>
              </a:solidFill>
              <a:latin typeface="+mn-lt"/>
              <a:ea typeface="+mn-lt"/>
              <a:cs typeface="+mn-lt"/>
            </a:rPr>
            <a:t>⚠</a:t>
          </a:r>
        </a:p>
      </xdr:txBody>
    </xdr:sp>
    <xdr:clientData/>
  </xdr:twoCellAnchor>
  <xdr:twoCellAnchor>
    <xdr:from>
      <xdr:col>9</xdr:col>
      <xdr:colOff>342900</xdr:colOff>
      <xdr:row>4</xdr:row>
      <xdr:rowOff>47625</xdr:rowOff>
    </xdr:from>
    <xdr:to>
      <xdr:col>14</xdr:col>
      <xdr:colOff>47625</xdr:colOff>
      <xdr:row>8</xdr:row>
      <xdr:rowOff>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79C88D3-A806-4449-A881-15C8DF108B3F}"/>
            </a:ext>
            <a:ext uri="{147F2762-F138-4A5C-976F-8EAC2B608ADB}">
              <a16:predDERef xmlns:a16="http://schemas.microsoft.com/office/drawing/2014/main" pred="{3EB2C509-FAD0-4560-8D16-769548BFF601}"/>
            </a:ext>
          </a:extLst>
        </xdr:cNvPr>
        <xdr:cNvSpPr/>
      </xdr:nvSpPr>
      <xdr:spPr>
        <a:xfrm>
          <a:off x="5829300" y="809625"/>
          <a:ext cx="2752725" cy="714375"/>
        </a:xfrm>
        <a:prstGeom prst="roundRect">
          <a:avLst/>
        </a:prstGeom>
        <a:noFill/>
        <a:ln w="952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14</xdr:col>
      <xdr:colOff>304800</xdr:colOff>
      <xdr:row>4</xdr:row>
      <xdr:rowOff>38100</xdr:rowOff>
    </xdr:from>
    <xdr:to>
      <xdr:col>19</xdr:col>
      <xdr:colOff>57150</xdr:colOff>
      <xdr:row>7</xdr:row>
      <xdr:rowOff>180975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90E613C7-B894-46EE-968C-7C27D7AA6494}"/>
            </a:ext>
            <a:ext uri="{147F2762-F138-4A5C-976F-8EAC2B608ADB}">
              <a16:predDERef xmlns:a16="http://schemas.microsoft.com/office/drawing/2014/main" pred="{079C88D3-A806-4449-A881-15C8DF108B3F}"/>
            </a:ext>
          </a:extLst>
        </xdr:cNvPr>
        <xdr:cNvSpPr/>
      </xdr:nvSpPr>
      <xdr:spPr>
        <a:xfrm>
          <a:off x="8839200" y="800100"/>
          <a:ext cx="2800350" cy="714375"/>
        </a:xfrm>
        <a:prstGeom prst="roundRect">
          <a:avLst/>
        </a:prstGeom>
        <a:noFill/>
        <a:ln w="63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=</a:t>
          </a:r>
        </a:p>
      </xdr:txBody>
    </xdr:sp>
    <xdr:clientData/>
  </xdr:twoCellAnchor>
  <xdr:twoCellAnchor>
    <xdr:from>
      <xdr:col>0</xdr:col>
      <xdr:colOff>409575</xdr:colOff>
      <xdr:row>11</xdr:row>
      <xdr:rowOff>152400</xdr:rowOff>
    </xdr:from>
    <xdr:to>
      <xdr:col>4</xdr:col>
      <xdr:colOff>142875</xdr:colOff>
      <xdr:row>17</xdr:row>
      <xdr:rowOff>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A8AC7F3E-2E5D-4C46-89F9-D846CD7F6319}"/>
            </a:ext>
            <a:ext uri="{147F2762-F138-4A5C-976F-8EAC2B608ADB}">
              <a16:predDERef xmlns:a16="http://schemas.microsoft.com/office/drawing/2014/main" pred="{90E613C7-B894-46EE-968C-7C27D7AA6494}"/>
            </a:ext>
          </a:extLst>
        </xdr:cNvPr>
        <xdr:cNvSpPr/>
      </xdr:nvSpPr>
      <xdr:spPr>
        <a:xfrm>
          <a:off x="409575" y="2238375"/>
          <a:ext cx="2171700" cy="990600"/>
        </a:xfrm>
        <a:prstGeom prst="roundRect">
          <a:avLst/>
        </a:prstGeom>
        <a:solidFill>
          <a:schemeClr val="bg1"/>
        </a:solidFill>
        <a:ln w="635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19</xdr:col>
      <xdr:colOff>323850</xdr:colOff>
      <xdr:row>4</xdr:row>
      <xdr:rowOff>47625</xdr:rowOff>
    </xdr:from>
    <xdr:to>
      <xdr:col>24</xdr:col>
      <xdr:colOff>9525</xdr:colOff>
      <xdr:row>8</xdr:row>
      <xdr:rowOff>9525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6531AD63-C94F-4793-814F-0F16C2987E6D}"/>
            </a:ext>
            <a:ext uri="{147F2762-F138-4A5C-976F-8EAC2B608ADB}">
              <a16:predDERef xmlns:a16="http://schemas.microsoft.com/office/drawing/2014/main" pred="{A8AC7F3E-2E5D-4C46-89F9-D846CD7F6319}"/>
            </a:ext>
          </a:extLst>
        </xdr:cNvPr>
        <xdr:cNvSpPr/>
      </xdr:nvSpPr>
      <xdr:spPr>
        <a:xfrm>
          <a:off x="11906250" y="809625"/>
          <a:ext cx="2733675" cy="723900"/>
        </a:xfrm>
        <a:prstGeom prst="roundRect">
          <a:avLst/>
        </a:prstGeom>
        <a:noFill/>
        <a:ln w="63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4800">
              <a:solidFill>
                <a:srgbClr val="C00000"/>
              </a:solidFill>
              <a:latin typeface="+mn-lt"/>
              <a:ea typeface="+mn-lt"/>
              <a:cs typeface="+mn-lt"/>
            </a:rPr>
            <a:t>✖</a:t>
          </a:r>
        </a:p>
      </xdr:txBody>
    </xdr:sp>
    <xdr:clientData/>
  </xdr:twoCellAnchor>
  <xdr:twoCellAnchor>
    <xdr:from>
      <xdr:col>0</xdr:col>
      <xdr:colOff>38100</xdr:colOff>
      <xdr:row>0</xdr:row>
      <xdr:rowOff>38100</xdr:rowOff>
    </xdr:from>
    <xdr:to>
      <xdr:col>20</xdr:col>
      <xdr:colOff>552450</xdr:colOff>
      <xdr:row>3</xdr:row>
      <xdr:rowOff>104775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C289D6D-D4DA-FE9D-B392-3D98E70D71A3}"/>
            </a:ext>
            <a:ext uri="{147F2762-F138-4A5C-976F-8EAC2B608ADB}">
              <a16:predDERef xmlns:a16="http://schemas.microsoft.com/office/drawing/2014/main" pred="{6531AD63-C94F-4793-814F-0F16C2987E6D}"/>
            </a:ext>
          </a:extLst>
        </xdr:cNvPr>
        <xdr:cNvSpPr txBox="1"/>
      </xdr:nvSpPr>
      <xdr:spPr>
        <a:xfrm>
          <a:off x="38100" y="38100"/>
          <a:ext cx="12706350" cy="6381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accent5">
              <a:lumMod val="60000"/>
              <a:lumOff val="4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1" i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Perfora Production, Quality &amp; Inventory MIS Dashboard</a:t>
          </a:r>
        </a:p>
      </xdr:txBody>
    </xdr:sp>
    <xdr:clientData/>
  </xdr:twoCellAnchor>
  <xdr:twoCellAnchor>
    <xdr:from>
      <xdr:col>0</xdr:col>
      <xdr:colOff>571500</xdr:colOff>
      <xdr:row>9</xdr:row>
      <xdr:rowOff>104775</xdr:rowOff>
    </xdr:from>
    <xdr:to>
      <xdr:col>3</xdr:col>
      <xdr:colOff>400050</xdr:colOff>
      <xdr:row>11</xdr:row>
      <xdr:rowOff>66675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1CB026-61CE-1D22-67B3-2441025FA9C3}"/>
            </a:ext>
            <a:ext uri="{147F2762-F138-4A5C-976F-8EAC2B608ADB}">
              <a16:predDERef xmlns:a16="http://schemas.microsoft.com/office/drawing/2014/main" pred="{1C289D6D-D4DA-FE9D-B392-3D98E70D71A3}"/>
            </a:ext>
          </a:extLst>
        </xdr:cNvPr>
        <xdr:cNvSpPr txBox="1"/>
      </xdr:nvSpPr>
      <xdr:spPr>
        <a:xfrm>
          <a:off x="571500" y="1819275"/>
          <a:ext cx="16573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Plan achievement %</a:t>
          </a:r>
        </a:p>
      </xdr:txBody>
    </xdr:sp>
    <xdr:clientData/>
  </xdr:twoCellAnchor>
  <xdr:twoCellAnchor>
    <xdr:from>
      <xdr:col>0</xdr:col>
      <xdr:colOff>514350</xdr:colOff>
      <xdr:row>6</xdr:row>
      <xdr:rowOff>171450</xdr:rowOff>
    </xdr:from>
    <xdr:to>
      <xdr:col>3</xdr:col>
      <xdr:colOff>342900</xdr:colOff>
      <xdr:row>8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D67E69F-D288-4417-94B6-B72550E1C6D5}"/>
            </a:ext>
            <a:ext uri="{147F2762-F138-4A5C-976F-8EAC2B608ADB}">
              <a16:predDERef xmlns:a16="http://schemas.microsoft.com/office/drawing/2014/main" pred="{4869AF74-6684-4C80-9A3A-70B76E84D851}"/>
            </a:ext>
          </a:extLst>
        </xdr:cNvPr>
        <xdr:cNvSpPr txBox="1"/>
      </xdr:nvSpPr>
      <xdr:spPr>
        <a:xfrm>
          <a:off x="514350" y="1314450"/>
          <a:ext cx="16573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Plan achievement %</a:t>
          </a:r>
        </a:p>
      </xdr:txBody>
    </xdr:sp>
    <xdr:clientData/>
  </xdr:twoCellAnchor>
  <xdr:twoCellAnchor>
    <xdr:from>
      <xdr:col>15</xdr:col>
      <xdr:colOff>400050</xdr:colOff>
      <xdr:row>6</xdr:row>
      <xdr:rowOff>76200</xdr:rowOff>
    </xdr:from>
    <xdr:to>
      <xdr:col>18</xdr:col>
      <xdr:colOff>228600</xdr:colOff>
      <xdr:row>7</xdr:row>
      <xdr:rowOff>76200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9E50B33-EACE-4629-BC9A-AABD3438114D}"/>
            </a:ext>
            <a:ext uri="{147F2762-F138-4A5C-976F-8EAC2B608ADB}">
              <a16:predDERef xmlns:a16="http://schemas.microsoft.com/office/drawing/2014/main" pred="{2D67E69F-D288-4417-94B6-B72550E1C6D5}"/>
            </a:ext>
          </a:extLst>
        </xdr:cNvPr>
        <xdr:cNvSpPr txBox="1"/>
      </xdr:nvSpPr>
      <xdr:spPr>
        <a:xfrm>
          <a:off x="9544050" y="1219200"/>
          <a:ext cx="165735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Excess Loss INR </a:t>
          </a:r>
        </a:p>
      </xdr:txBody>
    </xdr:sp>
    <xdr:clientData/>
  </xdr:twoCellAnchor>
  <xdr:twoCellAnchor>
    <xdr:from>
      <xdr:col>0</xdr:col>
      <xdr:colOff>114300</xdr:colOff>
      <xdr:row>8</xdr:row>
      <xdr:rowOff>114300</xdr:rowOff>
    </xdr:from>
    <xdr:to>
      <xdr:col>11</xdr:col>
      <xdr:colOff>333375</xdr:colOff>
      <xdr:row>19</xdr:row>
      <xdr:rowOff>47625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91B4FB47-3644-AD26-2B61-671615D239F9}"/>
            </a:ext>
            <a:ext uri="{147F2762-F138-4A5C-976F-8EAC2B608ADB}">
              <a16:predDERef xmlns:a16="http://schemas.microsoft.com/office/drawing/2014/main" pred="{39E50B33-EACE-4629-BC9A-AABD3438114D}"/>
            </a:ext>
          </a:extLst>
        </xdr:cNvPr>
        <xdr:cNvSpPr/>
      </xdr:nvSpPr>
      <xdr:spPr>
        <a:xfrm>
          <a:off x="114300" y="1638300"/>
          <a:ext cx="6924675" cy="20193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123825</xdr:colOff>
      <xdr:row>19</xdr:row>
      <xdr:rowOff>180975</xdr:rowOff>
    </xdr:from>
    <xdr:to>
      <xdr:col>11</xdr:col>
      <xdr:colOff>333375</xdr:colOff>
      <xdr:row>32</xdr:row>
      <xdr:rowOff>19050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FF19B896-BA36-48ED-B003-45AC0CF04452}"/>
            </a:ext>
            <a:ext uri="{147F2762-F138-4A5C-976F-8EAC2B608ADB}">
              <a16:predDERef xmlns:a16="http://schemas.microsoft.com/office/drawing/2014/main" pred="{91B4FB47-3644-AD26-2B61-671615D239F9}"/>
            </a:ext>
          </a:extLst>
        </xdr:cNvPr>
        <xdr:cNvSpPr/>
      </xdr:nvSpPr>
      <xdr:spPr>
        <a:xfrm>
          <a:off x="123825" y="3790950"/>
          <a:ext cx="6915150" cy="231457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11</xdr:col>
      <xdr:colOff>533400</xdr:colOff>
      <xdr:row>8</xdr:row>
      <xdr:rowOff>104775</xdr:rowOff>
    </xdr:from>
    <xdr:to>
      <xdr:col>23</xdr:col>
      <xdr:colOff>238125</xdr:colOff>
      <xdr:row>19</xdr:row>
      <xdr:rowOff>95250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68300F9-FDD7-44DA-AA70-A812DEEA43A8}"/>
            </a:ext>
            <a:ext uri="{147F2762-F138-4A5C-976F-8EAC2B608ADB}">
              <a16:predDERef xmlns:a16="http://schemas.microsoft.com/office/drawing/2014/main" pred="{FF19B896-BA36-48ED-B003-45AC0CF04452}"/>
            </a:ext>
          </a:extLst>
        </xdr:cNvPr>
        <xdr:cNvSpPr/>
      </xdr:nvSpPr>
      <xdr:spPr>
        <a:xfrm>
          <a:off x="7239000" y="1628775"/>
          <a:ext cx="7019925" cy="20764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20</xdr:col>
      <xdr:colOff>581025</xdr:colOff>
      <xdr:row>6</xdr:row>
      <xdr:rowOff>123825</xdr:rowOff>
    </xdr:from>
    <xdr:to>
      <xdr:col>23</xdr:col>
      <xdr:colOff>142875</xdr:colOff>
      <xdr:row>7</xdr:row>
      <xdr:rowOff>114300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E6D2E8B-DDC8-4458-B03E-1CBA4C7FD303}"/>
            </a:ext>
            <a:ext uri="{147F2762-F138-4A5C-976F-8EAC2B608ADB}">
              <a16:predDERef xmlns:a16="http://schemas.microsoft.com/office/drawing/2014/main" pred="{B7209FD3-905A-45E1-9B28-F7FA8768CE7E}"/>
            </a:ext>
          </a:extLst>
        </xdr:cNvPr>
        <xdr:cNvSpPr txBox="1"/>
      </xdr:nvSpPr>
      <xdr:spPr>
        <a:xfrm>
          <a:off x="12773025" y="1266825"/>
          <a:ext cx="139065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Zero Stocks Run</a:t>
          </a:r>
        </a:p>
      </xdr:txBody>
    </xdr:sp>
    <xdr:clientData/>
  </xdr:twoCellAnchor>
  <xdr:twoCellAnchor>
    <xdr:from>
      <xdr:col>0</xdr:col>
      <xdr:colOff>133350</xdr:colOff>
      <xdr:row>4</xdr:row>
      <xdr:rowOff>28575</xdr:rowOff>
    </xdr:from>
    <xdr:to>
      <xdr:col>4</xdr:col>
      <xdr:colOff>228600</xdr:colOff>
      <xdr:row>8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4C29EC7-F447-982C-93A0-406385F04ACD}"/>
            </a:ext>
            <a:ext uri="{147F2762-F138-4A5C-976F-8EAC2B608ADB}">
              <a16:predDERef xmlns:a16="http://schemas.microsoft.com/office/drawing/2014/main" pred="{6E6D2E8B-DDC8-4458-B03E-1CBA4C7FD303}"/>
            </a:ext>
          </a:extLst>
        </xdr:cNvPr>
        <xdr:cNvSpPr txBox="1"/>
      </xdr:nvSpPr>
      <xdr:spPr>
        <a:xfrm>
          <a:off x="133350" y="790575"/>
          <a:ext cx="2533650" cy="781050"/>
        </a:xfrm>
        <a:prstGeom prst="round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4800">
            <a:solidFill>
              <a:schemeClr val="accent5">
                <a:lumMod val="75000"/>
              </a:schemeClr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552450</xdr:colOff>
      <xdr:row>6</xdr:row>
      <xdr:rowOff>104775</xdr:rowOff>
    </xdr:from>
    <xdr:to>
      <xdr:col>8</xdr:col>
      <xdr:colOff>285750</xdr:colOff>
      <xdr:row>8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E35E27-2431-4593-7F4A-D7ACE34D0DEB}"/>
            </a:ext>
            <a:ext uri="{147F2762-F138-4A5C-976F-8EAC2B608ADB}">
              <a16:predDERef xmlns:a16="http://schemas.microsoft.com/office/drawing/2014/main" pred="{F4C29EC7-F447-982C-93A0-406385F04ACD}"/>
            </a:ext>
          </a:extLst>
        </xdr:cNvPr>
        <xdr:cNvSpPr txBox="1"/>
      </xdr:nvSpPr>
      <xdr:spPr>
        <a:xfrm>
          <a:off x="3600450" y="1247775"/>
          <a:ext cx="1562100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Overall Rejection %</a:t>
          </a:r>
        </a:p>
      </xdr:txBody>
    </xdr:sp>
    <xdr:clientData/>
  </xdr:twoCellAnchor>
  <xdr:twoCellAnchor>
    <xdr:from>
      <xdr:col>10</xdr:col>
      <xdr:colOff>114300</xdr:colOff>
      <xdr:row>6</xdr:row>
      <xdr:rowOff>76200</xdr:rowOff>
    </xdr:from>
    <xdr:to>
      <xdr:col>13</xdr:col>
      <xdr:colOff>581025</xdr:colOff>
      <xdr:row>7</xdr:row>
      <xdr:rowOff>85725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22176C9-5FEB-439F-BB05-630E9DA14A43}"/>
            </a:ext>
            <a:ext uri="{147F2762-F138-4A5C-976F-8EAC2B608ADB}">
              <a16:predDERef xmlns:a16="http://schemas.microsoft.com/office/drawing/2014/main" pred="{A6E35E27-2431-4593-7F4A-D7ACE34D0DEB}"/>
            </a:ext>
          </a:extLst>
        </xdr:cNvPr>
        <xdr:cNvSpPr txBox="1"/>
      </xdr:nvSpPr>
      <xdr:spPr>
        <a:xfrm>
          <a:off x="9258300" y="1219200"/>
          <a:ext cx="2295525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Rejection % of L2 from July - Sept </a:t>
          </a:r>
        </a:p>
      </xdr:txBody>
    </xdr:sp>
    <xdr:clientData/>
  </xdr:twoCellAnchor>
  <xdr:twoCellAnchor>
    <xdr:from>
      <xdr:col>0</xdr:col>
      <xdr:colOff>133350</xdr:colOff>
      <xdr:row>8</xdr:row>
      <xdr:rowOff>123825</xdr:rowOff>
    </xdr:from>
    <xdr:to>
      <xdr:col>11</xdr:col>
      <xdr:colOff>371475</xdr:colOff>
      <xdr:row>19</xdr:row>
      <xdr:rowOff>95250</xdr:rowOff>
    </xdr:to>
    <xdr:graphicFrame macro="">
      <xdr:nvGraphicFramePr>
        <xdr:cNvPr id="15" name="Chart 3">
          <a:extLst>
            <a:ext uri="{FF2B5EF4-FFF2-40B4-BE49-F238E27FC236}">
              <a16:creationId xmlns:a16="http://schemas.microsoft.com/office/drawing/2014/main" id="{8695E3F0-691B-485A-8A43-6985E28CC91F}"/>
            </a:ext>
            <a:ext uri="{147F2762-F138-4A5C-976F-8EAC2B608ADB}">
              <a16:predDERef xmlns:a16="http://schemas.microsoft.com/office/drawing/2014/main" pred="{B22176C9-5FEB-439F-BB05-630E9DA14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8</xdr:row>
      <xdr:rowOff>114300</xdr:rowOff>
    </xdr:from>
    <xdr:to>
      <xdr:col>24</xdr:col>
      <xdr:colOff>123825</xdr:colOff>
      <xdr:row>19</xdr:row>
      <xdr:rowOff>85725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A46354C3-01A2-2BA8-22A9-9DDCEE303BC7}"/>
            </a:ext>
            <a:ext uri="{147F2762-F138-4A5C-976F-8EAC2B608ADB}">
              <a16:predDERef xmlns:a16="http://schemas.microsoft.com/office/drawing/2014/main" pred="{8695E3F0-691B-485A-8A43-6985E28CC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19</xdr:row>
      <xdr:rowOff>152400</xdr:rowOff>
    </xdr:from>
    <xdr:to>
      <xdr:col>11</xdr:col>
      <xdr:colOff>381000</xdr:colOff>
      <xdr:row>31</xdr:row>
      <xdr:rowOff>161925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17DD76C-B96F-6604-DB95-98EE87F71F72}"/>
            </a:ext>
            <a:ext uri="{147F2762-F138-4A5C-976F-8EAC2B608ADB}">
              <a16:predDERef xmlns:a16="http://schemas.microsoft.com/office/drawing/2014/main" pred="{A46354C3-01A2-2BA8-22A9-9DDCEE303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485775</xdr:colOff>
      <xdr:row>19</xdr:row>
      <xdr:rowOff>152400</xdr:rowOff>
    </xdr:from>
    <xdr:to>
      <xdr:col>19</xdr:col>
      <xdr:colOff>323850</xdr:colOff>
      <xdr:row>31</xdr:row>
      <xdr:rowOff>95250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BE39929-102C-494A-DE45-3E4409FAC746}"/>
            </a:ext>
            <a:ext uri="{147F2762-F138-4A5C-976F-8EAC2B608ADB}">
              <a16:predDERef xmlns:a16="http://schemas.microsoft.com/office/drawing/2014/main" pred="{317DD76C-B96F-6604-DB95-98EE87F71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419100</xdr:colOff>
      <xdr:row>19</xdr:row>
      <xdr:rowOff>123825</xdr:rowOff>
    </xdr:from>
    <xdr:to>
      <xdr:col>24</xdr:col>
      <xdr:colOff>133350</xdr:colOff>
      <xdr:row>31</xdr:row>
      <xdr:rowOff>95250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BF2C19E-C487-F22C-90F4-27C2334DF07D}"/>
            </a:ext>
            <a:ext uri="{147F2762-F138-4A5C-976F-8EAC2B608ADB}">
              <a16:predDERef xmlns:a16="http://schemas.microsoft.com/office/drawing/2014/main" pred="{1BE39929-102C-494A-DE45-3E4409FAC746}"/>
            </a:ext>
          </a:extLst>
        </xdr:cNvPr>
        <xdr:cNvSpPr txBox="1"/>
      </xdr:nvSpPr>
      <xdr:spPr>
        <a:xfrm>
          <a:off x="12001500" y="3733800"/>
          <a:ext cx="2762250" cy="2257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Key Findings</a:t>
          </a:r>
          <a:endParaRPr lang="en-US" sz="1200" b="0">
            <a:latin typeface="+mn-lt"/>
            <a:ea typeface="+mn-lt"/>
            <a:cs typeface="+mn-lt"/>
          </a:endParaRPr>
        </a:p>
        <a:p>
          <a:pPr marL="0" indent="0" algn="l"/>
          <a:endParaRPr lang="en-US" sz="12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latin typeface="+mn-lt"/>
              <a:ea typeface="+mn-lt"/>
              <a:cs typeface="+mn-lt"/>
            </a:rPr>
            <a:t>• Plant rejection is 2.92%, under the        4% limit, so nothing was flagged.</a:t>
          </a:r>
        </a:p>
        <a:p>
          <a:pPr marL="0" indent="0" algn="l"/>
          <a:r>
            <a:rPr lang="en-US" sz="1200" b="0">
              <a:latin typeface="+mn-lt"/>
              <a:ea typeface="+mn-lt"/>
              <a:cs typeface="+mn-lt"/>
            </a:rPr>
            <a:t>•  Only L2 worsened, from about               2.4%  to 6.5% after July.</a:t>
          </a:r>
        </a:p>
        <a:p>
          <a:pPr marL="0" indent="0" algn="l"/>
          <a:r>
            <a:rPr lang="en-US" sz="1200" b="0">
              <a:latin typeface="+mn-lt"/>
              <a:ea typeface="+mn-lt"/>
              <a:cs typeface="+mn-lt"/>
            </a:rPr>
            <a:t>•  PackRight rejects 10.4% against             about 2.5% for other suppliers..</a:t>
          </a:r>
        </a:p>
        <a:p>
          <a:pPr marL="0" indent="0" algn="l"/>
          <a:r>
            <a:rPr lang="en-US" sz="1200" b="0">
              <a:latin typeface="+mn-lt"/>
              <a:ea typeface="+mn-lt"/>
              <a:cs typeface="+mn-lt"/>
            </a:rPr>
            <a:t>•   Excess loss is ₹31.8 lakh.</a:t>
          </a:r>
        </a:p>
        <a:p>
          <a:pPr marL="0" indent="0" algn="l"/>
          <a:r>
            <a:rPr lang="en-US" sz="1200" b="0">
              <a:latin typeface="+mn-lt"/>
              <a:ea typeface="+mn-lt"/>
              <a:cs typeface="+mn-lt"/>
            </a:rPr>
            <a:t>•   Mouthwash stock fell below the                 reorder level, with 20 zero-stock runs.</a:t>
          </a:r>
        </a:p>
      </xdr:txBody>
    </xdr:sp>
    <xdr:clientData/>
  </xdr:twoCellAnchor>
  <xdr:twoCellAnchor>
    <xdr:from>
      <xdr:col>24</xdr:col>
      <xdr:colOff>209550</xdr:colOff>
      <xdr:row>4</xdr:row>
      <xdr:rowOff>47625</xdr:rowOff>
    </xdr:from>
    <xdr:to>
      <xdr:col>27</xdr:col>
      <xdr:colOff>104775</xdr:colOff>
      <xdr:row>31</xdr:row>
      <xdr:rowOff>104775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C3ED552-263B-D95E-3287-97BB79DDC60D}"/>
            </a:ext>
            <a:ext uri="{147F2762-F138-4A5C-976F-8EAC2B608ADB}">
              <a16:predDERef xmlns:a16="http://schemas.microsoft.com/office/drawing/2014/main" pred="{9BF2C19E-C487-F22C-90F4-27C2334DF07D}"/>
            </a:ext>
          </a:extLst>
        </xdr:cNvPr>
        <xdr:cNvSpPr txBox="1"/>
      </xdr:nvSpPr>
      <xdr:spPr>
        <a:xfrm>
          <a:off x="14839950" y="809625"/>
          <a:ext cx="1724025" cy="5191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Recommendations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</a:t>
          </a:r>
          <a:r>
            <a:rPr lang="en-US" sz="1100">
              <a:latin typeface="+mn-lt"/>
              <a:ea typeface="+mn-lt"/>
              <a:cs typeface="+mn-lt"/>
            </a:rPr>
            <a:t>Put PackRight on hold          or under supplier                corrective action, and        confirm the cap fault          with a trial on another        supplier.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</a:t>
          </a:r>
          <a:r>
            <a:rPr lang="en-US" sz="1100">
              <a:latin typeface="+mn-lt"/>
              <a:ea typeface="+mn-lt"/>
              <a:cs typeface="+mn-lt"/>
            </a:rPr>
            <a:t>Add incoming                        inspection of cap                   before the bottling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latin typeface="+mn-lt"/>
              <a:ea typeface="+mn-lt"/>
              <a:cs typeface="+mn-lt"/>
            </a:rPr>
            <a:t>     line.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</a:t>
          </a:r>
          <a:r>
            <a:rPr lang="en-US" sz="1100">
              <a:latin typeface="+mn-lt"/>
              <a:ea typeface="+mn-lt"/>
              <a:cs typeface="+mn-lt"/>
            </a:rPr>
            <a:t>Raise mouthwash                safety stock and                  planning until                        quality recovers.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</a:t>
          </a:r>
          <a:r>
            <a:rPr lang="en-US" sz="1100">
              <a:latin typeface="+mn-lt"/>
              <a:ea typeface="+mn-lt"/>
              <a:cs typeface="+mn-lt"/>
            </a:rPr>
            <a:t>Report rejection by line,     supplier and defect              type, with a 3% line-           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level   limit. 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</a:t>
          </a:r>
          <a:r>
            <a:rPr lang="en-US" sz="1100">
              <a:latin typeface="+mn-lt"/>
              <a:ea typeface="+mn-lt"/>
              <a:cs typeface="+mn-lt"/>
            </a:rPr>
            <a:t>              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latin typeface="+mn-lt"/>
              <a:ea typeface="+mn-lt"/>
              <a:cs typeface="+mn-lt"/>
            </a:rPr>
            <a:t>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US" sz="1100">
              <a:latin typeface="+mn-lt"/>
              <a:ea typeface="+mn-lt"/>
              <a:cs typeface="+mn-lt"/>
            </a:rPr>
            <a:t> Add low-stock and zero-    stock alerts to the                 monthly MIS.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3.47519247685" createdVersion="8" refreshedVersion="8" minRefreshableVersion="3" recordCount="2000" xr:uid="{81B69ECA-6F94-4011-877B-8BAA322AF814}">
  <cacheSource type="worksheet">
    <worksheetSource ref="A1:AF2001" sheet="Data"/>
  </cacheSource>
  <cacheFields count="32">
    <cacheField name="Record_ID" numFmtId="0">
      <sharedItems containsMixedTypes="1" containsNumber="1" containsInteger="1" minValue="2000" maxValue="2000"/>
    </cacheField>
    <cacheField name="Production_Date" numFmtId="164">
      <sharedItems containsDate="1" containsMixedTypes="1" minDate="2026-04-01T00:00:00" maxDate="2026-10-01T00:00:00"/>
    </cacheField>
    <cacheField name="Month" numFmtId="165">
      <sharedItems containsBlank="1" count="7">
        <s v="Sep-2026"/>
        <s v="Aug-2026"/>
        <s v="Jul-2026"/>
        <s v="Jun-2026"/>
        <s v="May-2026"/>
        <s v="Apr-2026"/>
        <m u="1"/>
      </sharedItems>
    </cacheField>
    <cacheField name="Month_No." numFmtId="0">
      <sharedItems containsSemiMixedTypes="0" containsString="0" containsNumber="1" containsInteger="1" minValue="4" maxValue="9" count="6">
        <n v="9"/>
        <n v="8"/>
        <n v="7"/>
        <n v="6"/>
        <n v="5"/>
        <n v="4"/>
      </sharedItems>
    </cacheField>
    <cacheField name="Day_of_Week" numFmtId="0">
      <sharedItems/>
    </cacheField>
    <cacheField name="Shift" numFmtId="0">
      <sharedItems count="3">
        <s v="A"/>
        <s v="B"/>
        <s v="C"/>
      </sharedItems>
    </cacheField>
    <cacheField name="Line_ID" numFmtId="0">
      <sharedItems count="4">
        <s v="L2"/>
        <s v="L4"/>
        <s v="L3"/>
        <s v="L1"/>
      </sharedItems>
    </cacheField>
    <cacheField name="Line_Name" numFmtId="0">
      <sharedItems count="4">
        <s v="Mouthwash Bottling"/>
        <s v="Toothbrush Assembly"/>
        <s v="Floss &amp; Interdental"/>
        <s v="Toothpaste Tube Filling"/>
      </sharedItems>
    </cacheField>
    <cacheField name="Product_Category" numFmtId="0">
      <sharedItems/>
    </cacheField>
    <cacheField name="SKU_Code" numFmtId="0">
      <sharedItems count="12">
        <s v="MW-MT-250"/>
        <s v="MW-AF-250"/>
        <s v="MW-MT-500"/>
        <s v="TB-EL-01"/>
        <s v="IB-ST-10"/>
        <s v="TP-CH-150"/>
        <s v="FL-PK-100"/>
        <s v="TP-SN-100"/>
        <s v="TP-WH-100"/>
        <s v="FL-WX-50"/>
        <s v="TB-MD-01"/>
        <s v="TB-SF-01"/>
      </sharedItems>
    </cacheField>
    <cacheField name="SKU_Name" numFmtId="0">
      <sharedItems/>
    </cacheField>
    <cacheField name="Batch_No" numFmtId="0">
      <sharedItems/>
    </cacheField>
    <cacheField name="Supervisor" numFmtId="0">
      <sharedItems/>
    </cacheField>
    <cacheField name="Packaging_Supplier" numFmtId="0">
      <sharedItems count="3">
        <s v="PackRight Industries"/>
        <s v="Delhi Poly Pack"/>
        <s v="Sunrise Packaging"/>
      </sharedItems>
    </cacheField>
    <cacheField name="Manpower_Planned" numFmtId="0">
      <sharedItems containsSemiMixedTypes="0" containsString="0" containsNumber="1" containsInteger="1" minValue="10" maxValue="18" count="4">
        <n v="16"/>
        <n v="18"/>
        <n v="10"/>
        <n v="14"/>
      </sharedItems>
    </cacheField>
    <cacheField name="Manpower_Present" numFmtId="0">
      <sharedItems containsSemiMixedTypes="0" containsString="0" containsNumber="1" containsInteger="1" minValue="6" maxValue="18" count="13">
        <n v="16"/>
        <n v="15"/>
        <n v="14"/>
        <n v="13"/>
        <n v="12"/>
        <n v="11"/>
        <n v="17"/>
        <n v="18"/>
        <n v="9"/>
        <n v="8"/>
        <n v="10"/>
        <n v="7"/>
        <n v="6"/>
      </sharedItems>
    </cacheField>
    <cacheField name="Planned_Qty" numFmtId="3">
      <sharedItems containsSemiMixedTypes="0" containsString="0" containsNumber="1" containsInteger="1" minValue="2250" maxValue="10770"/>
    </cacheField>
    <cacheField name="Produced_Qty" numFmtId="3">
      <sharedItems containsSemiMixedTypes="0" containsString="0" containsNumber="1" containsInteger="1" minValue="1930" maxValue="10910"/>
    </cacheField>
    <cacheField name="Rejected_Qty" numFmtId="3">
      <sharedItems containsSemiMixedTypes="0" containsString="0" containsNumber="1" containsInteger="1" minValue="16" maxValue="1013"/>
    </cacheField>
    <cacheField name="Rejection%" numFmtId="10">
      <sharedItems containsSemiMixedTypes="0" containsString="0" containsNumber="1" minValue="3.8834951456310678E-3" maxValue="0.16005434782608696"/>
    </cacheField>
    <cacheField name="Plan_Achievement %" numFmtId="10">
      <sharedItems containsSemiMixedTypes="0" containsString="0" containsNumber="1" minValue="0.74901960784313726" maxValue="1.0405186385737439"/>
    </cacheField>
    <cacheField name="Defect_Type" numFmtId="0">
      <sharedItems count="6">
        <s v="Underfill"/>
        <s v="Cap Seal Leakage"/>
        <s v="Seal Defect (minor)"/>
        <s v="Damaged Packaging"/>
        <s v="Labeling Defect"/>
        <s v="Printing Misalignment"/>
      </sharedItems>
    </cacheField>
    <cacheField name="Downtime_Min" numFmtId="0">
      <sharedItems containsSemiMixedTypes="0" containsString="0" containsNumber="1" containsInteger="1" minValue="0" maxValue="74"/>
    </cacheField>
    <cacheField name="Downtime_Hour" numFmtId="1">
      <sharedItems containsSemiMixedTypes="0" containsString="0" containsNumber="1" minValue="0" maxValue="1.2333333333333334"/>
    </cacheField>
    <cacheField name="Downtime_Reason" numFmtId="0">
      <sharedItems/>
    </cacheField>
    <cacheField name="Unit_Cost_INR" numFmtId="0">
      <sharedItems containsSemiMixedTypes="0" containsString="0" containsNumber="1" containsInteger="1" minValue="17" maxValue="79"/>
    </cacheField>
    <cacheField name="Rejection_Loss_INR" numFmtId="0">
      <sharedItems containsSemiMixedTypes="0" containsString="0" containsNumber="1" containsInteger="1" minValue="816" maxValue="50007"/>
    </cacheField>
    <cacheField name="Opening_FG_Stock" numFmtId="3">
      <sharedItems containsSemiMixedTypes="0" containsString="0" containsNumber="1" containsInteger="1" minValue="0" maxValue="49893"/>
    </cacheField>
    <cacheField name="Demand_Qty" numFmtId="3">
      <sharedItems containsSemiMixedTypes="0" containsString="0" containsNumber="1" containsInteger="1" minValue="2000" maxValue="10640"/>
    </cacheField>
    <cacheField name="Dispatched_Qty" numFmtId="3">
      <sharedItems containsSemiMixedTypes="0" containsString="0" containsNumber="1" containsInteger="1" minValue="2000" maxValue="10640"/>
    </cacheField>
    <cacheField name="Closing_FG_Stock" numFmtId="3">
      <sharedItems containsSemiMixedTypes="0" containsString="0" containsNumber="1" containsInteger="1" minValue="0" maxValue="49893" count="1904">
        <n v="0"/>
        <n v="3"/>
        <n v="30"/>
        <n v="52"/>
        <n v="136"/>
        <n v="166"/>
        <n v="259"/>
        <n v="265"/>
        <n v="326"/>
        <n v="337"/>
        <n v="364"/>
        <n v="426"/>
        <n v="553"/>
        <n v="731"/>
        <n v="850"/>
        <n v="1560"/>
        <n v="2070"/>
        <n v="2213"/>
        <n v="2234"/>
        <n v="2378"/>
        <n v="2408"/>
        <n v="2410"/>
        <n v="2435"/>
        <n v="2542"/>
        <n v="2568"/>
        <n v="2569"/>
        <n v="2619"/>
        <n v="2727"/>
        <n v="2877"/>
        <n v="2885"/>
        <n v="3000"/>
        <n v="3052"/>
        <n v="3065"/>
        <n v="3137"/>
        <n v="3170"/>
        <n v="3216"/>
        <n v="3253"/>
        <n v="3256"/>
        <n v="3314"/>
        <n v="3484"/>
        <n v="3518"/>
        <n v="3758"/>
        <n v="3775"/>
        <n v="3928"/>
        <n v="3949"/>
        <n v="4074"/>
        <n v="4372"/>
        <n v="4532"/>
        <n v="4547"/>
        <n v="4645"/>
        <n v="4755"/>
        <n v="4763"/>
        <n v="4831"/>
        <n v="5071"/>
        <n v="5218"/>
        <n v="5391"/>
        <n v="5424"/>
        <n v="5483"/>
        <n v="5647"/>
        <n v="5702"/>
        <n v="5758"/>
        <n v="5774"/>
        <n v="5823"/>
        <n v="5830"/>
        <n v="5843"/>
        <n v="5846"/>
        <n v="5860"/>
        <n v="5932"/>
        <n v="5936"/>
        <n v="5938"/>
        <n v="6087"/>
        <n v="6090"/>
        <n v="6136"/>
        <n v="6142"/>
        <n v="6178"/>
        <n v="6187"/>
        <n v="6193"/>
        <n v="6217"/>
        <n v="6234"/>
        <n v="6259"/>
        <n v="6282"/>
        <n v="6422"/>
        <n v="6495"/>
        <n v="6504"/>
        <n v="6531"/>
        <n v="6564"/>
        <n v="6640"/>
        <n v="6642"/>
        <n v="6666"/>
        <n v="6715"/>
        <n v="6735"/>
        <n v="6749"/>
        <n v="6751"/>
        <n v="6752"/>
        <n v="6806"/>
        <n v="6820"/>
        <n v="6850"/>
        <n v="6907"/>
        <n v="6940"/>
        <n v="6946"/>
        <n v="6953"/>
        <n v="6961"/>
        <n v="6995"/>
        <n v="7022"/>
        <n v="7028"/>
        <n v="7042"/>
        <n v="7071"/>
        <n v="7081"/>
        <n v="7096"/>
        <n v="7154"/>
        <n v="7155"/>
        <n v="7194"/>
        <n v="7204"/>
        <n v="7208"/>
        <n v="7213"/>
        <n v="7229"/>
        <n v="7271"/>
        <n v="7283"/>
        <n v="7288"/>
        <n v="7302"/>
        <n v="7385"/>
        <n v="7402"/>
        <n v="7530"/>
        <n v="7536"/>
        <n v="7542"/>
        <n v="7680"/>
        <n v="7728"/>
        <n v="7741"/>
        <n v="7770"/>
        <n v="7798"/>
        <n v="7886"/>
        <n v="7888"/>
        <n v="7892"/>
        <n v="7901"/>
        <n v="7935"/>
        <n v="7946"/>
        <n v="7966"/>
        <n v="8032"/>
        <n v="8033"/>
        <n v="8076"/>
        <n v="8085"/>
        <n v="8095"/>
        <n v="8127"/>
        <n v="8192"/>
        <n v="8212"/>
        <n v="8232"/>
        <n v="8263"/>
        <n v="8283"/>
        <n v="8319"/>
        <n v="8323"/>
        <n v="8334"/>
        <n v="8368"/>
        <n v="8372"/>
        <n v="8379"/>
        <n v="8392"/>
        <n v="8399"/>
        <n v="8425"/>
        <n v="8477"/>
        <n v="8577"/>
        <n v="8584"/>
        <n v="8593"/>
        <n v="8597"/>
        <n v="8605"/>
        <n v="8609"/>
        <n v="8615"/>
        <n v="8618"/>
        <n v="8635"/>
        <n v="8636"/>
        <n v="8670"/>
        <n v="8671"/>
        <n v="8703"/>
        <n v="8710"/>
        <n v="8714"/>
        <n v="8737"/>
        <n v="8760"/>
        <n v="8761"/>
        <n v="8765"/>
        <n v="8769"/>
        <n v="8799"/>
        <n v="8804"/>
        <n v="8818"/>
        <n v="8824"/>
        <n v="8896"/>
        <n v="8901"/>
        <n v="8912"/>
        <n v="8951"/>
        <n v="8961"/>
        <n v="8988"/>
        <n v="9008"/>
        <n v="9019"/>
        <n v="9027"/>
        <n v="9090"/>
        <n v="9134"/>
        <n v="9240"/>
        <n v="9328"/>
        <n v="9334"/>
        <n v="9393"/>
        <n v="9455"/>
        <n v="9482"/>
        <n v="9546"/>
        <n v="9547"/>
        <n v="9553"/>
        <n v="9564"/>
        <n v="9689"/>
        <n v="9718"/>
        <n v="9721"/>
        <n v="9738"/>
        <n v="9772"/>
        <n v="9811"/>
        <n v="9839"/>
        <n v="9842"/>
        <n v="9898"/>
        <n v="9917"/>
        <n v="9954"/>
        <n v="9990"/>
        <n v="9994"/>
        <n v="10017"/>
        <n v="10035"/>
        <n v="10071"/>
        <n v="10096"/>
        <n v="10142"/>
        <n v="10188"/>
        <n v="10226"/>
        <n v="10238"/>
        <n v="10262"/>
        <n v="10323"/>
        <n v="10386"/>
        <n v="10406"/>
        <n v="10419"/>
        <n v="10430"/>
        <n v="10439"/>
        <n v="10477"/>
        <n v="10485"/>
        <n v="10524"/>
        <n v="10549"/>
        <n v="10559"/>
        <n v="10658"/>
        <n v="10708"/>
        <n v="10795"/>
        <n v="10825"/>
        <n v="10865"/>
        <n v="10873"/>
        <n v="10915"/>
        <n v="10928"/>
        <n v="11036"/>
        <n v="11116"/>
        <n v="11186"/>
        <n v="11235"/>
        <n v="11364"/>
        <n v="11367"/>
        <n v="11375"/>
        <n v="11401"/>
        <n v="11410"/>
        <n v="11411"/>
        <n v="11457"/>
        <n v="11483"/>
        <n v="11484"/>
        <n v="11501"/>
        <n v="11512"/>
        <n v="11517"/>
        <n v="11559"/>
        <n v="11585"/>
        <n v="11589"/>
        <n v="11595"/>
        <n v="11604"/>
        <n v="11614"/>
        <n v="11650"/>
        <n v="11700"/>
        <n v="11716"/>
        <n v="11740"/>
        <n v="11758"/>
        <n v="11760"/>
        <n v="11790"/>
        <n v="11800"/>
        <n v="11804"/>
        <n v="11810"/>
        <n v="11811"/>
        <n v="11855"/>
        <n v="11856"/>
        <n v="11909"/>
        <n v="11921"/>
        <n v="11931"/>
        <n v="11962"/>
        <n v="11968"/>
        <n v="11979"/>
        <n v="12006"/>
        <n v="12020"/>
        <n v="12059"/>
        <n v="12079"/>
        <n v="12098"/>
        <n v="12117"/>
        <n v="12125"/>
        <n v="12150"/>
        <n v="12265"/>
        <n v="12270"/>
        <n v="12294"/>
        <n v="12358"/>
        <n v="12383"/>
        <n v="12427"/>
        <n v="12468"/>
        <n v="12494"/>
        <n v="12518"/>
        <n v="12549"/>
        <n v="12618"/>
        <n v="12687"/>
        <n v="12694"/>
        <n v="12695"/>
        <n v="12717"/>
        <n v="12897"/>
        <n v="12914"/>
        <n v="12939"/>
        <n v="12947"/>
        <n v="12951"/>
        <n v="12993"/>
        <n v="13038"/>
        <n v="13054"/>
        <n v="13055"/>
        <n v="13095"/>
        <n v="13139"/>
        <n v="13185"/>
        <n v="13227"/>
        <n v="13277"/>
        <n v="13314"/>
        <n v="13403"/>
        <n v="13464"/>
        <n v="13474"/>
        <n v="13535"/>
        <n v="13551"/>
        <n v="13667"/>
        <n v="13695"/>
        <n v="13735"/>
        <n v="13741"/>
        <n v="13790"/>
        <n v="13802"/>
        <n v="13842"/>
        <n v="13915"/>
        <n v="13959"/>
        <n v="13978"/>
        <n v="13986"/>
        <n v="14042"/>
        <n v="14055"/>
        <n v="14099"/>
        <n v="14158"/>
        <n v="14161"/>
        <n v="14190"/>
        <n v="14204"/>
        <n v="14239"/>
        <n v="14276"/>
        <n v="14356"/>
        <n v="14393"/>
        <n v="14399"/>
        <n v="14432"/>
        <n v="14436"/>
        <n v="14449"/>
        <n v="14452"/>
        <n v="14462"/>
        <n v="14464"/>
        <n v="14472"/>
        <n v="14476"/>
        <n v="14480"/>
        <n v="14483"/>
        <n v="14490"/>
        <n v="14501"/>
        <n v="14507"/>
        <n v="14517"/>
        <n v="14530"/>
        <n v="14546"/>
        <n v="14552"/>
        <n v="14557"/>
        <n v="14579"/>
        <n v="14582"/>
        <n v="14659"/>
        <n v="14693"/>
        <n v="14704"/>
        <n v="14723"/>
        <n v="14727"/>
        <n v="14743"/>
        <n v="14757"/>
        <n v="14795"/>
        <n v="14806"/>
        <n v="14831"/>
        <n v="14836"/>
        <n v="14843"/>
        <n v="14847"/>
        <n v="14855"/>
        <n v="14868"/>
        <n v="14911"/>
        <n v="14914"/>
        <n v="14922"/>
        <n v="14923"/>
        <n v="14933"/>
        <n v="14937"/>
        <n v="14950"/>
        <n v="14963"/>
        <n v="14971"/>
        <n v="14976"/>
        <n v="14982"/>
        <n v="15045"/>
        <n v="15047"/>
        <n v="15074"/>
        <n v="15081"/>
        <n v="15090"/>
        <n v="15093"/>
        <n v="15097"/>
        <n v="15111"/>
        <n v="15119"/>
        <n v="15138"/>
        <n v="15142"/>
        <n v="15170"/>
        <n v="15189"/>
        <n v="15190"/>
        <n v="15200"/>
        <n v="15221"/>
        <n v="15229"/>
        <n v="15239"/>
        <n v="15243"/>
        <n v="15251"/>
        <n v="15264"/>
        <n v="15267"/>
        <n v="15276"/>
        <n v="15286"/>
        <n v="15308"/>
        <n v="15313"/>
        <n v="15315"/>
        <n v="15320"/>
        <n v="15392"/>
        <n v="15438"/>
        <n v="15487"/>
        <n v="15493"/>
        <n v="15502"/>
        <n v="15504"/>
        <n v="15511"/>
        <n v="15528"/>
        <n v="15534"/>
        <n v="15542"/>
        <n v="15547"/>
        <n v="15572"/>
        <n v="15580"/>
        <n v="15588"/>
        <n v="15596"/>
        <n v="15603"/>
        <n v="15605"/>
        <n v="15610"/>
        <n v="15612"/>
        <n v="15619"/>
        <n v="15620"/>
        <n v="15625"/>
        <n v="15630"/>
        <n v="15634"/>
        <n v="15665"/>
        <n v="15666"/>
        <n v="15674"/>
        <n v="15677"/>
        <n v="15685"/>
        <n v="15686"/>
        <n v="15688"/>
        <n v="15690"/>
        <n v="15698"/>
        <n v="15708"/>
        <n v="15717"/>
        <n v="15735"/>
        <n v="15743"/>
        <n v="15747"/>
        <n v="15753"/>
        <n v="15758"/>
        <n v="15764"/>
        <n v="15773"/>
        <n v="15778"/>
        <n v="15785"/>
        <n v="15792"/>
        <n v="15794"/>
        <n v="15807"/>
        <n v="15810"/>
        <n v="15816"/>
        <n v="15817"/>
        <n v="15818"/>
        <n v="15819"/>
        <n v="15823"/>
        <n v="15827"/>
        <n v="15831"/>
        <n v="15834"/>
        <n v="15837"/>
        <n v="15856"/>
        <n v="15862"/>
        <n v="15894"/>
        <n v="15906"/>
        <n v="15916"/>
        <n v="15917"/>
        <n v="15924"/>
        <n v="15940"/>
        <n v="15941"/>
        <n v="15957"/>
        <n v="15977"/>
        <n v="16000"/>
        <n v="16002"/>
        <n v="16007"/>
        <n v="16008"/>
        <n v="16017"/>
        <n v="16021"/>
        <n v="16033"/>
        <n v="16035"/>
        <n v="16036"/>
        <n v="16040"/>
        <n v="16064"/>
        <n v="16101"/>
        <n v="16108"/>
        <n v="16118"/>
        <n v="16119"/>
        <n v="16152"/>
        <n v="16168"/>
        <n v="16218"/>
        <n v="16221"/>
        <n v="16258"/>
        <n v="16265"/>
        <n v="16290"/>
        <n v="16294"/>
        <n v="16372"/>
        <n v="16385"/>
        <n v="16388"/>
        <n v="16399"/>
        <n v="16411"/>
        <n v="16417"/>
        <n v="16429"/>
        <n v="16430"/>
        <n v="16431"/>
        <n v="16437"/>
        <n v="16473"/>
        <n v="16554"/>
        <n v="16557"/>
        <n v="16562"/>
        <n v="16606"/>
        <n v="16620"/>
        <n v="16645"/>
        <n v="16658"/>
        <n v="16673"/>
        <n v="16699"/>
        <n v="16706"/>
        <n v="16720"/>
        <n v="16722"/>
        <n v="16738"/>
        <n v="16767"/>
        <n v="16769"/>
        <n v="16771"/>
        <n v="16799"/>
        <n v="16812"/>
        <n v="16818"/>
        <n v="16884"/>
        <n v="16961"/>
        <n v="16967"/>
        <n v="16976"/>
        <n v="16993"/>
        <n v="16997"/>
        <n v="17027"/>
        <n v="17041"/>
        <n v="17053"/>
        <n v="17062"/>
        <n v="17066"/>
        <n v="17089"/>
        <n v="17092"/>
        <n v="17105"/>
        <n v="17112"/>
        <n v="17166"/>
        <n v="17188"/>
        <n v="17218"/>
        <n v="17230"/>
        <n v="17275"/>
        <n v="17330"/>
        <n v="17333"/>
        <n v="17334"/>
        <n v="17393"/>
        <n v="17439"/>
        <n v="17472"/>
        <n v="17487"/>
        <n v="17488"/>
        <n v="17492"/>
        <n v="17503"/>
        <n v="17514"/>
        <n v="17566"/>
        <n v="17568"/>
        <n v="17637"/>
        <n v="17650"/>
        <n v="17673"/>
        <n v="17687"/>
        <n v="17752"/>
        <n v="17775"/>
        <n v="17833"/>
        <n v="17844"/>
        <n v="17857"/>
        <n v="17878"/>
        <n v="17934"/>
        <n v="17939"/>
        <n v="17966"/>
        <n v="17997"/>
        <n v="18042"/>
        <n v="18051"/>
        <n v="18070"/>
        <n v="18071"/>
        <n v="18077"/>
        <n v="18108"/>
        <n v="18111"/>
        <n v="18126"/>
        <n v="18146"/>
        <n v="18164"/>
        <n v="18193"/>
        <n v="18222"/>
        <n v="18316"/>
        <n v="18333"/>
        <n v="18355"/>
        <n v="18375"/>
        <n v="18401"/>
        <n v="18413"/>
        <n v="18427"/>
        <n v="18495"/>
        <n v="18515"/>
        <n v="18518"/>
        <n v="18528"/>
        <n v="18529"/>
        <n v="18532"/>
        <n v="18564"/>
        <n v="18575"/>
        <n v="18621"/>
        <n v="18638"/>
        <n v="18668"/>
        <n v="18743"/>
        <n v="18760"/>
        <n v="18797"/>
        <n v="18804"/>
        <n v="18811"/>
        <n v="18834"/>
        <n v="18852"/>
        <n v="18853"/>
        <n v="18864"/>
        <n v="18867"/>
        <n v="18890"/>
        <n v="18891"/>
        <n v="18944"/>
        <n v="18969"/>
        <n v="19044"/>
        <n v="19058"/>
        <n v="19060"/>
        <n v="19092"/>
        <n v="19121"/>
        <n v="19128"/>
        <n v="19132"/>
        <n v="19138"/>
        <n v="19157"/>
        <n v="19219"/>
        <n v="19231"/>
        <n v="19264"/>
        <n v="19366"/>
        <n v="19397"/>
        <n v="19414"/>
        <n v="19415"/>
        <n v="19420"/>
        <n v="19451"/>
        <n v="19457"/>
        <n v="19479"/>
        <n v="19511"/>
        <n v="19571"/>
        <n v="19576"/>
        <n v="19584"/>
        <n v="19616"/>
        <n v="19624"/>
        <n v="19628"/>
        <n v="19661"/>
        <n v="19666"/>
        <n v="19681"/>
        <n v="19698"/>
        <n v="19746"/>
        <n v="19755"/>
        <n v="19759"/>
        <n v="19774"/>
        <n v="19783"/>
        <n v="19798"/>
        <n v="19888"/>
        <n v="19891"/>
        <n v="19927"/>
        <n v="19932"/>
        <n v="19962"/>
        <n v="19990"/>
        <n v="19995"/>
        <n v="20057"/>
        <n v="20068"/>
        <n v="20130"/>
        <n v="20149"/>
        <n v="20187"/>
        <n v="20208"/>
        <n v="20210"/>
        <n v="20213"/>
        <n v="20235"/>
        <n v="20246"/>
        <n v="20288"/>
        <n v="20308"/>
        <n v="20333"/>
        <n v="20339"/>
        <n v="20382"/>
        <n v="20391"/>
        <n v="20407"/>
        <n v="20411"/>
        <n v="20436"/>
        <n v="20441"/>
        <n v="20460"/>
        <n v="20492"/>
        <n v="20504"/>
        <n v="20529"/>
        <n v="20531"/>
        <n v="20536"/>
        <n v="20545"/>
        <n v="20555"/>
        <n v="20562"/>
        <n v="20593"/>
        <n v="20605"/>
        <n v="20640"/>
        <n v="20659"/>
        <n v="20662"/>
        <n v="20676"/>
        <n v="20733"/>
        <n v="20744"/>
        <n v="20755"/>
        <n v="20762"/>
        <n v="20768"/>
        <n v="20789"/>
        <n v="20794"/>
        <n v="20834"/>
        <n v="20890"/>
        <n v="20896"/>
        <n v="20935"/>
        <n v="20939"/>
        <n v="20960"/>
        <n v="20967"/>
        <n v="21025"/>
        <n v="21044"/>
        <n v="21058"/>
        <n v="21095"/>
        <n v="21110"/>
        <n v="21169"/>
        <n v="21208"/>
        <n v="21214"/>
        <n v="21218"/>
        <n v="21249"/>
        <n v="21253"/>
        <n v="21254"/>
        <n v="21260"/>
        <n v="21263"/>
        <n v="21267"/>
        <n v="21274"/>
        <n v="21316"/>
        <n v="21358"/>
        <n v="21416"/>
        <n v="21444"/>
        <n v="21458"/>
        <n v="21466"/>
        <n v="21478"/>
        <n v="21500"/>
        <n v="21505"/>
        <n v="21540"/>
        <n v="21552"/>
        <n v="21558"/>
        <n v="21562"/>
        <n v="21587"/>
        <n v="21602"/>
        <n v="21619"/>
        <n v="21638"/>
        <n v="21670"/>
        <n v="21681"/>
        <n v="21721"/>
        <n v="21736"/>
        <n v="21746"/>
        <n v="21771"/>
        <n v="21777"/>
        <n v="21801"/>
        <n v="21808"/>
        <n v="21811"/>
        <n v="21819"/>
        <n v="21826"/>
        <n v="21857"/>
        <n v="21884"/>
        <n v="21885"/>
        <n v="21922"/>
        <n v="21925"/>
        <n v="21937"/>
        <n v="21976"/>
        <n v="21985"/>
        <n v="21999"/>
        <n v="22004"/>
        <n v="22009"/>
        <n v="22085"/>
        <n v="22092"/>
        <n v="22095"/>
        <n v="22111"/>
        <n v="22119"/>
        <n v="22126"/>
        <n v="22156"/>
        <n v="22157"/>
        <n v="22163"/>
        <n v="22183"/>
        <n v="22185"/>
        <n v="22215"/>
        <n v="22224"/>
        <n v="22279"/>
        <n v="22280"/>
        <n v="22325"/>
        <n v="22332"/>
        <n v="22372"/>
        <n v="22373"/>
        <n v="22397"/>
        <n v="22403"/>
        <n v="22422"/>
        <n v="22433"/>
        <n v="22436"/>
        <n v="22451"/>
        <n v="22456"/>
        <n v="22470"/>
        <n v="22480"/>
        <n v="22487"/>
        <n v="22504"/>
        <n v="22527"/>
        <n v="22537"/>
        <n v="22565"/>
        <n v="22566"/>
        <n v="22567"/>
        <n v="22575"/>
        <n v="22591"/>
        <n v="22598"/>
        <n v="22626"/>
        <n v="22643"/>
        <n v="22677"/>
        <n v="22679"/>
        <n v="22696"/>
        <n v="22720"/>
        <n v="22742"/>
        <n v="22751"/>
        <n v="22762"/>
        <n v="22769"/>
        <n v="22797"/>
        <n v="22807"/>
        <n v="22816"/>
        <n v="22845"/>
        <n v="22857"/>
        <n v="22880"/>
        <n v="22883"/>
        <n v="22924"/>
        <n v="22941"/>
        <n v="22947"/>
        <n v="22955"/>
        <n v="22957"/>
        <n v="22962"/>
        <n v="22971"/>
        <n v="22987"/>
        <n v="22989"/>
        <n v="22990"/>
        <n v="23006"/>
        <n v="23021"/>
        <n v="23043"/>
        <n v="23062"/>
        <n v="23074"/>
        <n v="23091"/>
        <n v="23093"/>
        <n v="23094"/>
        <n v="23101"/>
        <n v="23123"/>
        <n v="23127"/>
        <n v="23136"/>
        <n v="23150"/>
        <n v="23175"/>
        <n v="23186"/>
        <n v="23220"/>
        <n v="23227"/>
        <n v="23246"/>
        <n v="23254"/>
        <n v="23262"/>
        <n v="23265"/>
        <n v="23289"/>
        <n v="23299"/>
        <n v="23306"/>
        <n v="23308"/>
        <n v="23323"/>
        <n v="23330"/>
        <n v="23332"/>
        <n v="23341"/>
        <n v="23346"/>
        <n v="23352"/>
        <n v="23353"/>
        <n v="23364"/>
        <n v="23383"/>
        <n v="23411"/>
        <n v="23416"/>
        <n v="23419"/>
        <n v="23442"/>
        <n v="23479"/>
        <n v="23492"/>
        <n v="23493"/>
        <n v="23501"/>
        <n v="23502"/>
        <n v="23506"/>
        <n v="23515"/>
        <n v="23541"/>
        <n v="23566"/>
        <n v="23567"/>
        <n v="23582"/>
        <n v="23611"/>
        <n v="23615"/>
        <n v="23621"/>
        <n v="23622"/>
        <n v="23634"/>
        <n v="23636"/>
        <n v="23637"/>
        <n v="23673"/>
        <n v="23688"/>
        <n v="23693"/>
        <n v="23701"/>
        <n v="23707"/>
        <n v="23708"/>
        <n v="23731"/>
        <n v="23744"/>
        <n v="23752"/>
        <n v="23754"/>
        <n v="23759"/>
        <n v="23808"/>
        <n v="23819"/>
        <n v="23824"/>
        <n v="23829"/>
        <n v="23875"/>
        <n v="23880"/>
        <n v="23913"/>
        <n v="23916"/>
        <n v="23918"/>
        <n v="23933"/>
        <n v="23943"/>
        <n v="23960"/>
        <n v="23961"/>
        <n v="23965"/>
        <n v="23981"/>
        <n v="24005"/>
        <n v="24018"/>
        <n v="24042"/>
        <n v="24045"/>
        <n v="24066"/>
        <n v="24106"/>
        <n v="24111"/>
        <n v="24198"/>
        <n v="24205"/>
        <n v="24214"/>
        <n v="24226"/>
        <n v="24268"/>
        <n v="24282"/>
        <n v="24290"/>
        <n v="24300"/>
        <n v="24311"/>
        <n v="24330"/>
        <n v="24332"/>
        <n v="24342"/>
        <n v="24355"/>
        <n v="24358"/>
        <n v="24402"/>
        <n v="24404"/>
        <n v="24405"/>
        <n v="24413"/>
        <n v="24422"/>
        <n v="24439"/>
        <n v="24475"/>
        <n v="24477"/>
        <n v="24503"/>
        <n v="24545"/>
        <n v="24562"/>
        <n v="24570"/>
        <n v="24572"/>
        <n v="24584"/>
        <n v="24607"/>
        <n v="24617"/>
        <n v="24634"/>
        <n v="24653"/>
        <n v="24699"/>
        <n v="24727"/>
        <n v="24739"/>
        <n v="24767"/>
        <n v="24770"/>
        <n v="24780"/>
        <n v="24781"/>
        <n v="24802"/>
        <n v="24845"/>
        <n v="24865"/>
        <n v="24928"/>
        <n v="24933"/>
        <n v="24934"/>
        <n v="24946"/>
        <n v="24969"/>
        <n v="24999"/>
        <n v="25001"/>
        <n v="25017"/>
        <n v="25028"/>
        <n v="25029"/>
        <n v="25064"/>
        <n v="25089"/>
        <n v="25093"/>
        <n v="25100"/>
        <n v="25124"/>
        <n v="25138"/>
        <n v="25155"/>
        <n v="25189"/>
        <n v="25193"/>
        <n v="25198"/>
        <n v="25202"/>
        <n v="25215"/>
        <n v="25216"/>
        <n v="25253"/>
        <n v="25288"/>
        <n v="25292"/>
        <n v="25294"/>
        <n v="25321"/>
        <n v="25342"/>
        <n v="25364"/>
        <n v="25387"/>
        <n v="25397"/>
        <n v="25407"/>
        <n v="25413"/>
        <n v="25431"/>
        <n v="25448"/>
        <n v="25466"/>
        <n v="25474"/>
        <n v="25482"/>
        <n v="25486"/>
        <n v="25490"/>
        <n v="25497"/>
        <n v="25500"/>
        <n v="25511"/>
        <n v="25520"/>
        <n v="25527"/>
        <n v="25554"/>
        <n v="25558"/>
        <n v="25560"/>
        <n v="25563"/>
        <n v="25586"/>
        <n v="25619"/>
        <n v="25627"/>
        <n v="25644"/>
        <n v="25652"/>
        <n v="25673"/>
        <n v="25678"/>
        <n v="25683"/>
        <n v="25700"/>
        <n v="25708"/>
        <n v="25720"/>
        <n v="25727"/>
        <n v="25743"/>
        <n v="25751"/>
        <n v="25763"/>
        <n v="25768"/>
        <n v="25771"/>
        <n v="25773"/>
        <n v="25780"/>
        <n v="25813"/>
        <n v="25840"/>
        <n v="25885"/>
        <n v="25886"/>
        <n v="25905"/>
        <n v="25916"/>
        <n v="25939"/>
        <n v="25946"/>
        <n v="25954"/>
        <n v="25972"/>
        <n v="25999"/>
        <n v="26003"/>
        <n v="26023"/>
        <n v="26024"/>
        <n v="26026"/>
        <n v="26035"/>
        <n v="26040"/>
        <n v="26044"/>
        <n v="26059"/>
        <n v="26065"/>
        <n v="26079"/>
        <n v="26085"/>
        <n v="26149"/>
        <n v="26151"/>
        <n v="26173"/>
        <n v="26181"/>
        <n v="26200"/>
        <n v="26228"/>
        <n v="26229"/>
        <n v="26252"/>
        <n v="26260"/>
        <n v="26296"/>
        <n v="26313"/>
        <n v="26353"/>
        <n v="26365"/>
        <n v="26378"/>
        <n v="26382"/>
        <n v="26419"/>
        <n v="26428"/>
        <n v="26446"/>
        <n v="26462"/>
        <n v="26487"/>
        <n v="26502"/>
        <n v="26512"/>
        <n v="26552"/>
        <n v="26556"/>
        <n v="26558"/>
        <n v="26562"/>
        <n v="26567"/>
        <n v="26576"/>
        <n v="26623"/>
        <n v="26649"/>
        <n v="26660"/>
        <n v="26714"/>
        <n v="26717"/>
        <n v="26737"/>
        <n v="26745"/>
        <n v="26755"/>
        <n v="26759"/>
        <n v="26786"/>
        <n v="26791"/>
        <n v="26794"/>
        <n v="26882"/>
        <n v="26902"/>
        <n v="26906"/>
        <n v="26919"/>
        <n v="26927"/>
        <n v="26937"/>
        <n v="26948"/>
        <n v="26959"/>
        <n v="26962"/>
        <n v="26976"/>
        <n v="26977"/>
        <n v="26983"/>
        <n v="26989"/>
        <n v="26993"/>
        <n v="27010"/>
        <n v="27015"/>
        <n v="27037"/>
        <n v="27058"/>
        <n v="27063"/>
        <n v="27074"/>
        <n v="27084"/>
        <n v="27094"/>
        <n v="27097"/>
        <n v="27104"/>
        <n v="27108"/>
        <n v="27148"/>
        <n v="27175"/>
        <n v="27192"/>
        <n v="27229"/>
        <n v="27239"/>
        <n v="27242"/>
        <n v="27249"/>
        <n v="27269"/>
        <n v="27292"/>
        <n v="27304"/>
        <n v="27317"/>
        <n v="27321"/>
        <n v="27338"/>
        <n v="27345"/>
        <n v="27346"/>
        <n v="27378"/>
        <n v="27380"/>
        <n v="27383"/>
        <n v="27420"/>
        <n v="27421"/>
        <n v="27426"/>
        <n v="27436"/>
        <n v="27437"/>
        <n v="27447"/>
        <n v="27493"/>
        <n v="27496"/>
        <n v="27499"/>
        <n v="27514"/>
        <n v="27518"/>
        <n v="27520"/>
        <n v="27534"/>
        <n v="27545"/>
        <n v="27572"/>
        <n v="27588"/>
        <n v="27603"/>
        <n v="27615"/>
        <n v="27617"/>
        <n v="27651"/>
        <n v="27656"/>
        <n v="27679"/>
        <n v="27685"/>
        <n v="27686"/>
        <n v="27688"/>
        <n v="27701"/>
        <n v="27703"/>
        <n v="27708"/>
        <n v="27717"/>
        <n v="27718"/>
        <n v="27738"/>
        <n v="27742"/>
        <n v="27749"/>
        <n v="27784"/>
        <n v="27794"/>
        <n v="27805"/>
        <n v="27820"/>
        <n v="27823"/>
        <n v="27825"/>
        <n v="27827"/>
        <n v="27830"/>
        <n v="27839"/>
        <n v="27849"/>
        <n v="27852"/>
        <n v="27866"/>
        <n v="27871"/>
        <n v="27894"/>
        <n v="27901"/>
        <n v="27905"/>
        <n v="27910"/>
        <n v="27911"/>
        <n v="27915"/>
        <n v="27921"/>
        <n v="28008"/>
        <n v="28011"/>
        <n v="28014"/>
        <n v="28045"/>
        <n v="28072"/>
        <n v="28079"/>
        <n v="28094"/>
        <n v="28103"/>
        <n v="28104"/>
        <n v="28107"/>
        <n v="28136"/>
        <n v="28140"/>
        <n v="28141"/>
        <n v="28160"/>
        <n v="28167"/>
        <n v="28172"/>
        <n v="28202"/>
        <n v="28207"/>
        <n v="28210"/>
        <n v="28212"/>
        <n v="28215"/>
        <n v="28216"/>
        <n v="28242"/>
        <n v="28248"/>
        <n v="28253"/>
        <n v="28257"/>
        <n v="28264"/>
        <n v="28270"/>
        <n v="28285"/>
        <n v="28291"/>
        <n v="28308"/>
        <n v="28316"/>
        <n v="28337"/>
        <n v="28338"/>
        <n v="28350"/>
        <n v="28358"/>
        <n v="28359"/>
        <n v="28360"/>
        <n v="28362"/>
        <n v="28387"/>
        <n v="28418"/>
        <n v="28426"/>
        <n v="28430"/>
        <n v="28434"/>
        <n v="28437"/>
        <n v="28440"/>
        <n v="28477"/>
        <n v="28478"/>
        <n v="28481"/>
        <n v="28486"/>
        <n v="28487"/>
        <n v="28488"/>
        <n v="28489"/>
        <n v="28492"/>
        <n v="28493"/>
        <n v="28501"/>
        <n v="28508"/>
        <n v="28510"/>
        <n v="28521"/>
        <n v="28529"/>
        <n v="28535"/>
        <n v="28539"/>
        <n v="28557"/>
        <n v="28562"/>
        <n v="28563"/>
        <n v="28576"/>
        <n v="28580"/>
        <n v="28583"/>
        <n v="28591"/>
        <n v="28599"/>
        <n v="28600"/>
        <n v="28605"/>
        <n v="28613"/>
        <n v="28630"/>
        <n v="28641"/>
        <n v="28650"/>
        <n v="28654"/>
        <n v="28663"/>
        <n v="28671"/>
        <n v="28710"/>
        <n v="28716"/>
        <n v="28743"/>
        <n v="28762"/>
        <n v="28768"/>
        <n v="28779"/>
        <n v="28789"/>
        <n v="28793"/>
        <n v="28796"/>
        <n v="28816"/>
        <n v="28843"/>
        <n v="28848"/>
        <n v="28872"/>
        <n v="28875"/>
        <n v="28893"/>
        <n v="28902"/>
        <n v="28910"/>
        <n v="28912"/>
        <n v="28920"/>
        <n v="28921"/>
        <n v="28944"/>
        <n v="28952"/>
        <n v="28954"/>
        <n v="28966"/>
        <n v="28967"/>
        <n v="29026"/>
        <n v="29052"/>
        <n v="29110"/>
        <n v="29125"/>
        <n v="29137"/>
        <n v="29142"/>
        <n v="29153"/>
        <n v="29177"/>
        <n v="29185"/>
        <n v="29186"/>
        <n v="29192"/>
        <n v="29193"/>
        <n v="29197"/>
        <n v="29199"/>
        <n v="29203"/>
        <n v="29236"/>
        <n v="29242"/>
        <n v="29272"/>
        <n v="29285"/>
        <n v="29293"/>
        <n v="29298"/>
        <n v="29313"/>
        <n v="29322"/>
        <n v="29331"/>
        <n v="29333"/>
        <n v="29344"/>
        <n v="29371"/>
        <n v="29389"/>
        <n v="29394"/>
        <n v="29397"/>
        <n v="29408"/>
        <n v="29414"/>
        <n v="29419"/>
        <n v="29449"/>
        <n v="29486"/>
        <n v="29502"/>
        <n v="29510"/>
        <n v="29528"/>
        <n v="29539"/>
        <n v="29578"/>
        <n v="29590"/>
        <n v="29599"/>
        <n v="29610"/>
        <n v="29615"/>
        <n v="29627"/>
        <n v="29647"/>
        <n v="29672"/>
        <n v="29678"/>
        <n v="29690"/>
        <n v="29693"/>
        <n v="29704"/>
        <n v="29723"/>
        <n v="29735"/>
        <n v="29757"/>
        <n v="29780"/>
        <n v="29792"/>
        <n v="29802"/>
        <n v="29818"/>
        <n v="29826"/>
        <n v="29857"/>
        <n v="29897"/>
        <n v="29899"/>
        <n v="29904"/>
        <n v="29915"/>
        <n v="29920"/>
        <n v="29931"/>
        <n v="29969"/>
        <n v="29975"/>
        <n v="29984"/>
        <n v="29986"/>
        <n v="29994"/>
        <n v="30009"/>
        <n v="30030"/>
        <n v="30045"/>
        <n v="30052"/>
        <n v="30053"/>
        <n v="30080"/>
        <n v="30091"/>
        <n v="30098"/>
        <n v="30118"/>
        <n v="30127"/>
        <n v="30133"/>
        <n v="30135"/>
        <n v="30161"/>
        <n v="30168"/>
        <n v="30181"/>
        <n v="30229"/>
        <n v="30230"/>
        <n v="30245"/>
        <n v="30252"/>
        <n v="30254"/>
        <n v="30264"/>
        <n v="30276"/>
        <n v="30289"/>
        <n v="30292"/>
        <n v="30301"/>
        <n v="30321"/>
        <n v="30358"/>
        <n v="30372"/>
        <n v="30409"/>
        <n v="30411"/>
        <n v="30421"/>
        <n v="30435"/>
        <n v="30436"/>
        <n v="30462"/>
        <n v="30468"/>
        <n v="30475"/>
        <n v="30484"/>
        <n v="30490"/>
        <n v="30520"/>
        <n v="30521"/>
        <n v="30524"/>
        <n v="30547"/>
        <n v="30555"/>
        <n v="30587"/>
        <n v="30589"/>
        <n v="30595"/>
        <n v="30616"/>
        <n v="30622"/>
        <n v="30644"/>
        <n v="30713"/>
        <n v="30744"/>
        <n v="30747"/>
        <n v="30748"/>
        <n v="30762"/>
        <n v="30799"/>
        <n v="30802"/>
        <n v="30818"/>
        <n v="30823"/>
        <n v="30861"/>
        <n v="30888"/>
        <n v="30893"/>
        <n v="30915"/>
        <n v="30947"/>
        <n v="30952"/>
        <n v="30961"/>
        <n v="30977"/>
        <n v="30997"/>
        <n v="30999"/>
        <n v="31012"/>
        <n v="31032"/>
        <n v="31042"/>
        <n v="31055"/>
        <n v="31056"/>
        <n v="31059"/>
        <n v="31064"/>
        <n v="31078"/>
        <n v="31082"/>
        <n v="31089"/>
        <n v="31098"/>
        <n v="31108"/>
        <n v="31125"/>
        <n v="31139"/>
        <n v="31144"/>
        <n v="31172"/>
        <n v="31177"/>
        <n v="31181"/>
        <n v="31190"/>
        <n v="31192"/>
        <n v="31195"/>
        <n v="31196"/>
        <n v="31201"/>
        <n v="31205"/>
        <n v="31206"/>
        <n v="31227"/>
        <n v="31228"/>
        <n v="31273"/>
        <n v="31289"/>
        <n v="31290"/>
        <n v="31295"/>
        <n v="31301"/>
        <n v="31334"/>
        <n v="31337"/>
        <n v="31339"/>
        <n v="31353"/>
        <n v="31370"/>
        <n v="31373"/>
        <n v="31380"/>
        <n v="31391"/>
        <n v="31395"/>
        <n v="31405"/>
        <n v="31433"/>
        <n v="31444"/>
        <n v="31449"/>
        <n v="31465"/>
        <n v="31478"/>
        <n v="31487"/>
        <n v="31530"/>
        <n v="31546"/>
        <n v="31556"/>
        <n v="31586"/>
        <n v="31592"/>
        <n v="31598"/>
        <n v="31599"/>
        <n v="31685"/>
        <n v="31691"/>
        <n v="31695"/>
        <n v="31702"/>
        <n v="31707"/>
        <n v="31714"/>
        <n v="31718"/>
        <n v="31765"/>
        <n v="31772"/>
        <n v="31778"/>
        <n v="31791"/>
        <n v="31800"/>
        <n v="31802"/>
        <n v="31804"/>
        <n v="31818"/>
        <n v="31824"/>
        <n v="31864"/>
        <n v="31866"/>
        <n v="31894"/>
        <n v="31923"/>
        <n v="31951"/>
        <n v="31959"/>
        <n v="31974"/>
        <n v="31980"/>
        <n v="31991"/>
        <n v="31997"/>
        <n v="32025"/>
        <n v="32030"/>
        <n v="32033"/>
        <n v="32034"/>
        <n v="32038"/>
        <n v="32058"/>
        <n v="32072"/>
        <n v="32078"/>
        <n v="32104"/>
        <n v="32112"/>
        <n v="32114"/>
        <n v="32118"/>
        <n v="32121"/>
        <n v="32179"/>
        <n v="32181"/>
        <n v="32203"/>
        <n v="32225"/>
        <n v="32229"/>
        <n v="32242"/>
        <n v="32245"/>
        <n v="32246"/>
        <n v="32251"/>
        <n v="32261"/>
        <n v="32307"/>
        <n v="32318"/>
        <n v="32319"/>
        <n v="32328"/>
        <n v="32379"/>
        <n v="32391"/>
        <n v="32397"/>
        <n v="32427"/>
        <n v="32444"/>
        <n v="32516"/>
        <n v="32540"/>
        <n v="32599"/>
        <n v="32650"/>
        <n v="32721"/>
        <n v="32783"/>
        <n v="32798"/>
        <n v="32805"/>
        <n v="32820"/>
        <n v="32825"/>
        <n v="32834"/>
        <n v="32859"/>
        <n v="32863"/>
        <n v="32878"/>
        <n v="32920"/>
        <n v="32930"/>
        <n v="33006"/>
        <n v="33012"/>
        <n v="33041"/>
        <n v="33126"/>
        <n v="33135"/>
        <n v="33143"/>
        <n v="33182"/>
        <n v="33185"/>
        <n v="33237"/>
        <n v="33248"/>
        <n v="33284"/>
        <n v="33293"/>
        <n v="33299"/>
        <n v="33329"/>
        <n v="33334"/>
        <n v="33336"/>
        <n v="33368"/>
        <n v="33369"/>
        <n v="33386"/>
        <n v="33428"/>
        <n v="33454"/>
        <n v="33478"/>
        <n v="33493"/>
        <n v="33494"/>
        <n v="33499"/>
        <n v="33501"/>
        <n v="33505"/>
        <n v="33511"/>
        <n v="33536"/>
        <n v="33576"/>
        <n v="33580"/>
        <n v="33590"/>
        <n v="33601"/>
        <n v="33628"/>
        <n v="33653"/>
        <n v="33662"/>
        <n v="33681"/>
        <n v="33757"/>
        <n v="33770"/>
        <n v="33775"/>
        <n v="33799"/>
        <n v="33812"/>
        <n v="33838"/>
        <n v="33839"/>
        <n v="33864"/>
        <n v="33881"/>
        <n v="33908"/>
        <n v="33913"/>
        <n v="33916"/>
        <n v="33945"/>
        <n v="33992"/>
        <n v="34018"/>
        <n v="34029"/>
        <n v="34042"/>
        <n v="34093"/>
        <n v="34138"/>
        <n v="34195"/>
        <n v="34198"/>
        <n v="34210"/>
        <n v="34214"/>
        <n v="34220"/>
        <n v="34233"/>
        <n v="34234"/>
        <n v="34240"/>
        <n v="34247"/>
        <n v="34249"/>
        <n v="34279"/>
        <n v="34304"/>
        <n v="34310"/>
        <n v="34312"/>
        <n v="34324"/>
        <n v="34335"/>
        <n v="34338"/>
        <n v="34401"/>
        <n v="34412"/>
        <n v="34424"/>
        <n v="34428"/>
        <n v="34472"/>
        <n v="34478"/>
        <n v="34533"/>
        <n v="34576"/>
        <n v="34579"/>
        <n v="34639"/>
        <n v="34645"/>
        <n v="34653"/>
        <n v="34674"/>
        <n v="34697"/>
        <n v="34711"/>
        <n v="34718"/>
        <n v="34728"/>
        <n v="34752"/>
        <n v="34755"/>
        <n v="34872"/>
        <n v="34982"/>
        <n v="35029"/>
        <n v="35042"/>
        <n v="35156"/>
        <n v="35166"/>
        <n v="35220"/>
        <n v="35293"/>
        <n v="35466"/>
        <n v="35532"/>
        <n v="35559"/>
        <n v="35576"/>
        <n v="35583"/>
        <n v="35687"/>
        <n v="35772"/>
        <n v="35773"/>
        <n v="35828"/>
        <n v="35944"/>
        <n v="35983"/>
        <n v="35990"/>
        <n v="35999"/>
        <n v="36039"/>
        <n v="36049"/>
        <n v="36050"/>
        <n v="36068"/>
        <n v="36090"/>
        <n v="36164"/>
        <n v="36202"/>
        <n v="36207"/>
        <n v="36214"/>
        <n v="36225"/>
        <n v="36252"/>
        <n v="36339"/>
        <n v="36374"/>
        <n v="36401"/>
        <n v="36411"/>
        <n v="36426"/>
        <n v="36437"/>
        <n v="36448"/>
        <n v="36451"/>
        <n v="36469"/>
        <n v="36475"/>
        <n v="36506"/>
        <n v="36526"/>
        <n v="36541"/>
        <n v="36579"/>
        <n v="36580"/>
        <n v="36607"/>
        <n v="36664"/>
        <n v="36743"/>
        <n v="36758"/>
        <n v="36851"/>
        <n v="36876"/>
        <n v="36952"/>
        <n v="37021"/>
        <n v="37084"/>
        <n v="37221"/>
        <n v="37240"/>
        <n v="37277"/>
        <n v="37398"/>
        <n v="37439"/>
        <n v="37525"/>
        <n v="37571"/>
        <n v="37605"/>
        <n v="37670"/>
        <n v="37725"/>
        <n v="37734"/>
        <n v="37775"/>
        <n v="37777"/>
        <n v="37806"/>
        <n v="37810"/>
        <n v="37864"/>
        <n v="37891"/>
        <n v="37929"/>
        <n v="37981"/>
        <n v="37990"/>
        <n v="38053"/>
        <n v="38087"/>
        <n v="38092"/>
        <n v="38162"/>
        <n v="38224"/>
        <n v="38228"/>
        <n v="38233"/>
        <n v="38239"/>
        <n v="38322"/>
        <n v="38365"/>
        <n v="38429"/>
        <n v="38531"/>
        <n v="38547"/>
        <n v="38562"/>
        <n v="38628"/>
        <n v="38664"/>
        <n v="38668"/>
        <n v="38759"/>
        <n v="38812"/>
        <n v="38813"/>
        <n v="38889"/>
        <n v="38919"/>
        <n v="38929"/>
        <n v="38952"/>
        <n v="38980"/>
        <n v="38981"/>
        <n v="39022"/>
        <n v="39061"/>
        <n v="39062"/>
        <n v="39069"/>
        <n v="39077"/>
        <n v="39120"/>
        <n v="39121"/>
        <n v="39127"/>
        <n v="39132"/>
        <n v="39209"/>
        <n v="39211"/>
        <n v="39235"/>
        <n v="39242"/>
        <n v="39255"/>
        <n v="39270"/>
        <n v="39278"/>
        <n v="39297"/>
        <n v="39322"/>
        <n v="39343"/>
        <n v="39350"/>
        <n v="39378"/>
        <n v="39469"/>
        <n v="39483"/>
        <n v="39501"/>
        <n v="39551"/>
        <n v="39559"/>
        <n v="39614"/>
        <n v="39657"/>
        <n v="39663"/>
        <n v="39667"/>
        <n v="39695"/>
        <n v="39702"/>
        <n v="39752"/>
        <n v="39897"/>
        <n v="39969"/>
        <n v="39983"/>
        <n v="40073"/>
        <n v="40130"/>
        <n v="40131"/>
        <n v="40153"/>
        <n v="40353"/>
        <n v="40493"/>
        <n v="40673"/>
        <n v="40716"/>
        <n v="40961"/>
        <n v="41023"/>
        <n v="41174"/>
        <n v="41219"/>
        <n v="41238"/>
        <n v="41301"/>
        <n v="41310"/>
        <n v="41393"/>
        <n v="41407"/>
        <n v="41625"/>
        <n v="41691"/>
        <n v="41826"/>
        <n v="41827"/>
        <n v="41836"/>
        <n v="41852"/>
        <n v="41930"/>
        <n v="41934"/>
        <n v="42042"/>
        <n v="42450"/>
        <n v="42480"/>
        <n v="42493"/>
        <n v="42576"/>
        <n v="42602"/>
        <n v="42605"/>
        <n v="42789"/>
        <n v="42820"/>
        <n v="42854"/>
        <n v="42983"/>
        <n v="43023"/>
        <n v="43226"/>
        <n v="43259"/>
        <n v="43385"/>
        <n v="43934"/>
        <n v="43939"/>
        <n v="43950"/>
        <n v="43969"/>
        <n v="44000"/>
        <n v="44076"/>
        <n v="44085"/>
        <n v="44091"/>
        <n v="44111"/>
        <n v="44153"/>
        <n v="44159"/>
        <n v="44182"/>
        <n v="44194"/>
        <n v="44202"/>
        <n v="44302"/>
        <n v="44303"/>
        <n v="44357"/>
        <n v="44403"/>
        <n v="44578"/>
        <n v="44623"/>
        <n v="44684"/>
        <n v="44718"/>
        <n v="44830"/>
        <n v="44856"/>
        <n v="44865"/>
        <n v="44930"/>
        <n v="45036"/>
        <n v="45116"/>
        <n v="46059"/>
        <n v="46264"/>
        <n v="46525"/>
        <n v="46713"/>
        <n v="46755"/>
        <n v="46787"/>
        <n v="46825"/>
        <n v="47044"/>
        <n v="47132"/>
        <n v="47189"/>
        <n v="47223"/>
        <n v="47300"/>
        <n v="47495"/>
        <n v="47556"/>
        <n v="47826"/>
        <n v="48078"/>
        <n v="48260"/>
        <n v="48329"/>
        <n v="48511"/>
        <n v="48651"/>
        <n v="49129"/>
        <n v="49168"/>
        <n v="49488"/>
        <n v="49714"/>
        <n v="49893"/>
      </sharedItems>
    </cacheField>
    <cacheField name="Reorder_Level" numFmtId="3">
      <sharedItems containsSemiMixedTypes="0" containsString="0" containsNumber="1" containsInteger="1" minValue="5250" maxValue="15000"/>
    </cacheField>
  </cacheFields>
  <extLst>
    <ext xmlns:x14="http://schemas.microsoft.com/office/spreadsheetml/2009/9/main" uri="{725AE2AE-9491-48be-B2B4-4EB974FC3084}">
      <x14:pivotCacheDefinition pivotCacheId="371532716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PR-1722"/>
    <d v="2026-09-05T00:00:00"/>
    <x v="0"/>
    <x v="0"/>
    <s v="Saturday"/>
    <x v="0"/>
    <x v="0"/>
    <x v="0"/>
    <s v="Mouthwash"/>
    <x v="0"/>
    <s v="Mint Mouthwash 250ml"/>
    <s v="B260905-L2A"/>
    <s v="K. Verma"/>
    <x v="0"/>
    <x v="0"/>
    <x v="0"/>
    <n v="7560"/>
    <n v="7340"/>
    <n v="656"/>
    <n v="8.9373297002724797E-2"/>
    <n v="0.97089947089947093"/>
    <x v="0"/>
    <n v="55"/>
    <n v="0.91666666666666663"/>
    <s v="Machine Breakdown"/>
    <n v="46"/>
    <n v="30176"/>
    <n v="265"/>
    <n v="7200"/>
    <n v="6949"/>
    <x v="0"/>
    <n v="10500"/>
  </r>
  <r>
    <s v="PR-1726"/>
    <d v="2026-09-05T00:00:00"/>
    <x v="0"/>
    <x v="0"/>
    <s v="Saturday"/>
    <x v="1"/>
    <x v="0"/>
    <x v="0"/>
    <s v="Mouthwash"/>
    <x v="0"/>
    <s v="Mint Mouthwash 250ml"/>
    <s v="B260905-L2B"/>
    <s v="P. Singh"/>
    <x v="0"/>
    <x v="0"/>
    <x v="1"/>
    <n v="8140"/>
    <n v="7810"/>
    <n v="848"/>
    <n v="0.10857874519846351"/>
    <n v="0.95945945945945943"/>
    <x v="1"/>
    <n v="0"/>
    <n v="0"/>
    <s v="None"/>
    <n v="46"/>
    <n v="39008"/>
    <n v="0"/>
    <n v="7590"/>
    <n v="6962"/>
    <x v="0"/>
    <n v="10500"/>
  </r>
  <r>
    <s v="PR-1745"/>
    <d v="2026-09-07T00:00:00"/>
    <x v="0"/>
    <x v="0"/>
    <s v="Monday"/>
    <x v="2"/>
    <x v="0"/>
    <x v="0"/>
    <s v="Mouthwash"/>
    <x v="0"/>
    <s v="Mint Mouthwash 250ml"/>
    <s v="B260907-L2C"/>
    <s v="A. Gupta"/>
    <x v="0"/>
    <x v="0"/>
    <x v="2"/>
    <n v="7520"/>
    <n v="7010"/>
    <n v="908"/>
    <n v="0.12952924393723253"/>
    <n v="0.93218085106382975"/>
    <x v="1"/>
    <n v="0"/>
    <n v="0"/>
    <s v="None"/>
    <n v="46"/>
    <n v="41768"/>
    <n v="136"/>
    <n v="7320"/>
    <n v="6238"/>
    <x v="0"/>
    <n v="10500"/>
  </r>
  <r>
    <s v="PR-1753"/>
    <d v="2026-09-08T00:00:00"/>
    <x v="0"/>
    <x v="0"/>
    <s v="Tuesday"/>
    <x v="1"/>
    <x v="0"/>
    <x v="0"/>
    <s v="Mouthwash"/>
    <x v="0"/>
    <s v="Mint Mouthwash 250ml"/>
    <s v="B260908-L2B"/>
    <s v="S. Yadav"/>
    <x v="1"/>
    <x v="0"/>
    <x v="1"/>
    <n v="7250"/>
    <n v="6850"/>
    <n v="98"/>
    <n v="1.4306569343065694E-2"/>
    <n v="0.94482758620689655"/>
    <x v="2"/>
    <n v="70"/>
    <n v="1.1666666666666667"/>
    <s v="Changeover"/>
    <n v="46"/>
    <n v="4508"/>
    <n v="0"/>
    <n v="7550"/>
    <n v="6752"/>
    <x v="0"/>
    <n v="10500"/>
  </r>
  <r>
    <s v="PR-1761"/>
    <d v="2026-09-09T00:00:00"/>
    <x v="0"/>
    <x v="0"/>
    <s v="Wednesday"/>
    <x v="0"/>
    <x v="0"/>
    <x v="0"/>
    <s v="Mouthwash"/>
    <x v="0"/>
    <s v="Mint Mouthwash 250ml"/>
    <s v="B260909-L2A"/>
    <s v="R. Sharma"/>
    <x v="1"/>
    <x v="0"/>
    <x v="0"/>
    <n v="7370"/>
    <n v="7080"/>
    <n v="190"/>
    <n v="2.6836158192090395E-2"/>
    <n v="0.96065128900949792"/>
    <x v="3"/>
    <n v="0"/>
    <n v="0"/>
    <s v="None"/>
    <n v="46"/>
    <n v="8740"/>
    <n v="0"/>
    <n v="7150"/>
    <n v="6890"/>
    <x v="0"/>
    <n v="10500"/>
  </r>
  <r>
    <s v="PR-1785"/>
    <d v="2026-09-11T00:00:00"/>
    <x v="0"/>
    <x v="0"/>
    <s v="Friday"/>
    <x v="0"/>
    <x v="0"/>
    <x v="0"/>
    <s v="Mouthwash"/>
    <x v="0"/>
    <s v="Mint Mouthwash 250ml"/>
    <s v="B260911-L2A"/>
    <s v="R. Sharma"/>
    <x v="0"/>
    <x v="0"/>
    <x v="1"/>
    <n v="7970"/>
    <n v="7170"/>
    <n v="471"/>
    <n v="6.5690376569037659E-2"/>
    <n v="0.89962358845671264"/>
    <x v="1"/>
    <n v="0"/>
    <n v="0"/>
    <s v="None"/>
    <n v="46"/>
    <n v="21666"/>
    <n v="326"/>
    <n v="7600"/>
    <n v="7025"/>
    <x v="0"/>
    <n v="10500"/>
  </r>
  <r>
    <s v="PR-1789"/>
    <d v="2026-09-11T00:00:00"/>
    <x v="0"/>
    <x v="0"/>
    <s v="Friday"/>
    <x v="1"/>
    <x v="0"/>
    <x v="0"/>
    <s v="Mouthwash"/>
    <x v="0"/>
    <s v="Mint Mouthwash 250ml"/>
    <s v="B260911-L2B"/>
    <s v="S. Yadav"/>
    <x v="2"/>
    <x v="0"/>
    <x v="1"/>
    <n v="7200"/>
    <n v="6570"/>
    <n v="165"/>
    <n v="2.5114155251141551E-2"/>
    <n v="0.91249999999999998"/>
    <x v="2"/>
    <n v="0"/>
    <n v="0"/>
    <s v="None"/>
    <n v="46"/>
    <n v="7590"/>
    <n v="0"/>
    <n v="6950"/>
    <n v="6405"/>
    <x v="0"/>
    <n v="10500"/>
  </r>
  <r>
    <s v="PR-1810"/>
    <d v="2026-09-13T00:00:00"/>
    <x v="0"/>
    <x v="0"/>
    <s v="Sunday"/>
    <x v="1"/>
    <x v="0"/>
    <x v="0"/>
    <s v="Mouthwash"/>
    <x v="0"/>
    <s v="Mint Mouthwash 250ml"/>
    <s v="B260913-L2B"/>
    <s v="P. Singh"/>
    <x v="0"/>
    <x v="0"/>
    <x v="3"/>
    <n v="5240"/>
    <n v="4310"/>
    <n v="676"/>
    <n v="0.15684454756380511"/>
    <n v="0.8225190839694656"/>
    <x v="1"/>
    <n v="0"/>
    <n v="0"/>
    <s v="None"/>
    <n v="46"/>
    <n v="31096"/>
    <n v="0"/>
    <n v="4860"/>
    <n v="3634"/>
    <x v="0"/>
    <n v="10500"/>
  </r>
  <r>
    <s v="PR-1828"/>
    <d v="2026-09-15T00:00:00"/>
    <x v="0"/>
    <x v="0"/>
    <s v="Tuesday"/>
    <x v="1"/>
    <x v="0"/>
    <x v="0"/>
    <s v="Mouthwash"/>
    <x v="0"/>
    <s v="Mint Mouthwash 250ml"/>
    <s v="B260915-L2B"/>
    <s v="P. Singh"/>
    <x v="2"/>
    <x v="0"/>
    <x v="0"/>
    <n v="7060"/>
    <n v="6800"/>
    <n v="194"/>
    <n v="2.8529411764705883E-2"/>
    <n v="0.96317280453257792"/>
    <x v="0"/>
    <n v="11"/>
    <n v="0.18333333333333332"/>
    <s v="Machine Breakdown"/>
    <n v="46"/>
    <n v="8924"/>
    <n v="0"/>
    <n v="6710"/>
    <n v="6606"/>
    <x v="0"/>
    <n v="10500"/>
  </r>
  <r>
    <s v="PR-1840"/>
    <d v="2026-09-16T00:00:00"/>
    <x v="0"/>
    <x v="0"/>
    <s v="Wednesday"/>
    <x v="1"/>
    <x v="0"/>
    <x v="0"/>
    <s v="Mouthwash"/>
    <x v="0"/>
    <s v="Mint Mouthwash 250ml"/>
    <s v="B260916-L2B"/>
    <s v="S. Yadav"/>
    <x v="1"/>
    <x v="0"/>
    <x v="0"/>
    <n v="7270"/>
    <n v="7180"/>
    <n v="153"/>
    <n v="2.1309192200557103E-2"/>
    <n v="0.98762035763411282"/>
    <x v="0"/>
    <n v="0"/>
    <n v="0"/>
    <s v="None"/>
    <n v="46"/>
    <n v="7038"/>
    <n v="0"/>
    <n v="7540"/>
    <n v="7027"/>
    <x v="0"/>
    <n v="10500"/>
  </r>
  <r>
    <s v="PR-1848"/>
    <d v="2026-09-17T00:00:00"/>
    <x v="0"/>
    <x v="0"/>
    <s v="Thursday"/>
    <x v="0"/>
    <x v="0"/>
    <x v="0"/>
    <s v="Mouthwash"/>
    <x v="0"/>
    <s v="Mint Mouthwash 250ml"/>
    <s v="B260917-L2A"/>
    <s v="K. Verma"/>
    <x v="0"/>
    <x v="0"/>
    <x v="0"/>
    <n v="7620"/>
    <n v="7450"/>
    <n v="604"/>
    <n v="8.1073825503355706E-2"/>
    <n v="0.97769028871391073"/>
    <x v="1"/>
    <n v="0"/>
    <n v="0"/>
    <s v="None"/>
    <n v="46"/>
    <n v="27784"/>
    <n v="0"/>
    <n v="7390"/>
    <n v="6846"/>
    <x v="0"/>
    <n v="10500"/>
  </r>
  <r>
    <s v="PR-1868"/>
    <d v="2026-09-18T00:00:00"/>
    <x v="0"/>
    <x v="0"/>
    <s v="Friday"/>
    <x v="2"/>
    <x v="0"/>
    <x v="0"/>
    <s v="Mouthwash"/>
    <x v="0"/>
    <s v="Mint Mouthwash 250ml"/>
    <s v="B260918-L2C"/>
    <s v="A. Gupta"/>
    <x v="0"/>
    <x v="0"/>
    <x v="3"/>
    <n v="7700"/>
    <n v="7170"/>
    <n v="799"/>
    <n v="0.11143654114365412"/>
    <n v="0.9311688311688312"/>
    <x v="1"/>
    <n v="0"/>
    <n v="0"/>
    <s v="None"/>
    <n v="46"/>
    <n v="36754"/>
    <n v="0"/>
    <n v="7860"/>
    <n v="6371"/>
    <x v="0"/>
    <n v="10500"/>
  </r>
  <r>
    <s v="PR-1872"/>
    <d v="2026-09-19T00:00:00"/>
    <x v="0"/>
    <x v="0"/>
    <s v="Saturday"/>
    <x v="0"/>
    <x v="0"/>
    <x v="0"/>
    <s v="Mouthwash"/>
    <x v="0"/>
    <s v="Mint Mouthwash 250ml"/>
    <s v="B260919-L2A"/>
    <s v="K. Verma"/>
    <x v="0"/>
    <x v="0"/>
    <x v="0"/>
    <n v="7640"/>
    <n v="7310"/>
    <n v="679"/>
    <n v="9.2886456908344739E-2"/>
    <n v="0.95680628272251311"/>
    <x v="1"/>
    <n v="0"/>
    <n v="0"/>
    <s v="None"/>
    <n v="46"/>
    <n v="31234"/>
    <n v="0"/>
    <n v="8430"/>
    <n v="6631"/>
    <x v="0"/>
    <n v="10500"/>
  </r>
  <r>
    <s v="PR-1876"/>
    <d v="2026-09-19T00:00:00"/>
    <x v="0"/>
    <x v="0"/>
    <s v="Saturday"/>
    <x v="1"/>
    <x v="0"/>
    <x v="0"/>
    <s v="Mouthwash"/>
    <x v="0"/>
    <s v="Mint Mouthwash 250ml"/>
    <s v="B260919-L2B"/>
    <s v="P. Singh"/>
    <x v="2"/>
    <x v="0"/>
    <x v="1"/>
    <n v="7960"/>
    <n v="7390"/>
    <n v="114"/>
    <n v="1.5426251691474966E-2"/>
    <n v="0.92839195979899503"/>
    <x v="4"/>
    <n v="0"/>
    <n v="0"/>
    <s v="None"/>
    <n v="46"/>
    <n v="5244"/>
    <n v="0"/>
    <n v="7420"/>
    <n v="7276"/>
    <x v="0"/>
    <n v="10500"/>
  </r>
  <r>
    <s v="PR-1884"/>
    <d v="2026-09-20T00:00:00"/>
    <x v="0"/>
    <x v="0"/>
    <s v="Sunday"/>
    <x v="0"/>
    <x v="0"/>
    <x v="0"/>
    <s v="Mouthwash"/>
    <x v="0"/>
    <s v="Mint Mouthwash 250ml"/>
    <s v="B260920-L2A"/>
    <s v="K. Verma"/>
    <x v="2"/>
    <x v="0"/>
    <x v="1"/>
    <n v="4950"/>
    <n v="4890"/>
    <n v="159"/>
    <n v="3.2515337423312883E-2"/>
    <n v="0.98787878787878791"/>
    <x v="3"/>
    <n v="26"/>
    <n v="0.43333333333333335"/>
    <s v="Changeover"/>
    <n v="46"/>
    <n v="7314"/>
    <n v="0"/>
    <n v="4860"/>
    <n v="4731"/>
    <x v="0"/>
    <n v="10500"/>
  </r>
  <r>
    <s v="PR-1890"/>
    <d v="2026-09-21T00:00:00"/>
    <x v="0"/>
    <x v="0"/>
    <s v="Monday"/>
    <x v="0"/>
    <x v="0"/>
    <x v="0"/>
    <s v="Mouthwash"/>
    <x v="0"/>
    <s v="Mint Mouthwash 250ml"/>
    <s v="B260921-L2A"/>
    <s v="R. Sharma"/>
    <x v="0"/>
    <x v="0"/>
    <x v="2"/>
    <n v="7340"/>
    <n v="6650"/>
    <n v="783"/>
    <n v="0.11774436090225564"/>
    <n v="0.90599455040871935"/>
    <x v="1"/>
    <n v="0"/>
    <n v="0"/>
    <s v="None"/>
    <n v="46"/>
    <n v="36018"/>
    <n v="0"/>
    <n v="6310"/>
    <n v="5867"/>
    <x v="0"/>
    <n v="10500"/>
  </r>
  <r>
    <s v="PR-1958"/>
    <d v="2026-09-26T00:00:00"/>
    <x v="0"/>
    <x v="0"/>
    <s v="Saturday"/>
    <x v="2"/>
    <x v="0"/>
    <x v="0"/>
    <s v="Mouthwash"/>
    <x v="1"/>
    <s v="Alcohol-Free Mouthwash 250ml"/>
    <s v="B260926-L2C"/>
    <s v="M. Khan"/>
    <x v="0"/>
    <x v="0"/>
    <x v="1"/>
    <n v="6450"/>
    <n v="5750"/>
    <n v="488"/>
    <n v="8.4869565217391307E-2"/>
    <n v="0.89147286821705429"/>
    <x v="1"/>
    <n v="54"/>
    <n v="0.9"/>
    <s v="Changeover"/>
    <n v="58"/>
    <n v="28304"/>
    <n v="166"/>
    <n v="6460"/>
    <n v="5428"/>
    <x v="0"/>
    <n v="9000"/>
  </r>
  <r>
    <s v="PR-1962"/>
    <d v="2026-09-27T00:00:00"/>
    <x v="0"/>
    <x v="0"/>
    <s v="Sunday"/>
    <x v="0"/>
    <x v="0"/>
    <x v="0"/>
    <s v="Mouthwash"/>
    <x v="1"/>
    <s v="Alcohol-Free Mouthwash 250ml"/>
    <s v="B260927-L2A"/>
    <s v="K. Verma"/>
    <x v="0"/>
    <x v="0"/>
    <x v="2"/>
    <n v="4180"/>
    <n v="3810"/>
    <n v="449"/>
    <n v="0.1178477690288714"/>
    <n v="0.91148325358851678"/>
    <x v="1"/>
    <n v="0"/>
    <n v="0"/>
    <s v="None"/>
    <n v="58"/>
    <n v="26042"/>
    <n v="0"/>
    <n v="4090"/>
    <n v="3361"/>
    <x v="0"/>
    <n v="9000"/>
  </r>
  <r>
    <s v="PR-1982"/>
    <d v="2026-09-29T00:00:00"/>
    <x v="0"/>
    <x v="0"/>
    <s v="Tuesday"/>
    <x v="1"/>
    <x v="0"/>
    <x v="0"/>
    <s v="Mouthwash"/>
    <x v="1"/>
    <s v="Alcohol-Free Mouthwash 250ml"/>
    <s v="B260929-L2B"/>
    <s v="S. Yadav"/>
    <x v="0"/>
    <x v="0"/>
    <x v="2"/>
    <n v="6960"/>
    <n v="6400"/>
    <n v="698"/>
    <n v="0.10906250000000001"/>
    <n v="0.91954022988505746"/>
    <x v="4"/>
    <n v="0"/>
    <n v="0"/>
    <s v="None"/>
    <n v="58"/>
    <n v="40484"/>
    <n v="850"/>
    <n v="6670"/>
    <n v="6552"/>
    <x v="0"/>
    <n v="9000"/>
  </r>
  <r>
    <s v="PR-1990"/>
    <d v="2026-09-30T00:00:00"/>
    <x v="0"/>
    <x v="0"/>
    <s v="Wednesday"/>
    <x v="0"/>
    <x v="0"/>
    <x v="0"/>
    <s v="Mouthwash"/>
    <x v="0"/>
    <s v="Mint Mouthwash 250ml"/>
    <s v="B260930-L2A"/>
    <s v="K. Verma"/>
    <x v="0"/>
    <x v="0"/>
    <x v="0"/>
    <n v="7730"/>
    <n v="7550"/>
    <n v="635"/>
    <n v="8.4105960264900664E-2"/>
    <n v="0.97671410090556277"/>
    <x v="1"/>
    <n v="0"/>
    <n v="0"/>
    <s v="None"/>
    <n v="46"/>
    <n v="29210"/>
    <n v="731"/>
    <n v="8170"/>
    <n v="7646"/>
    <x v="0"/>
    <n v="10500"/>
  </r>
  <r>
    <s v="PR-1894"/>
    <d v="2026-09-21T00:00:00"/>
    <x v="0"/>
    <x v="0"/>
    <s v="Monday"/>
    <x v="1"/>
    <x v="0"/>
    <x v="0"/>
    <s v="Mouthwash"/>
    <x v="0"/>
    <s v="Mint Mouthwash 250ml"/>
    <s v="B260921-L2B"/>
    <s v="P. Singh"/>
    <x v="1"/>
    <x v="0"/>
    <x v="0"/>
    <n v="7050"/>
    <n v="6790"/>
    <n v="167"/>
    <n v="2.4594992636229749E-2"/>
    <n v="0.96312056737588647"/>
    <x v="4"/>
    <n v="0"/>
    <n v="0"/>
    <s v="None"/>
    <n v="46"/>
    <n v="7682"/>
    <n v="0"/>
    <n v="6620"/>
    <n v="6620"/>
    <x v="1"/>
    <n v="10500"/>
  </r>
  <r>
    <s v="PR-1986"/>
    <d v="2026-09-29T00:00:00"/>
    <x v="0"/>
    <x v="0"/>
    <s v="Tuesday"/>
    <x v="2"/>
    <x v="0"/>
    <x v="0"/>
    <s v="Mouthwash"/>
    <x v="1"/>
    <s v="Alcohol-Free Mouthwash 250ml"/>
    <s v="B260929-L2C"/>
    <s v="M. Khan"/>
    <x v="1"/>
    <x v="0"/>
    <x v="1"/>
    <n v="6370"/>
    <n v="5970"/>
    <n v="240"/>
    <n v="4.0201005025125629E-2"/>
    <n v="0.93720565149136581"/>
    <x v="0"/>
    <n v="0"/>
    <n v="0"/>
    <s v="None"/>
    <n v="58"/>
    <n v="13920"/>
    <n v="0"/>
    <n v="5700"/>
    <n v="5700"/>
    <x v="2"/>
    <n v="9000"/>
  </r>
  <r>
    <s v="PR-1934"/>
    <d v="2026-09-24T00:00:00"/>
    <x v="0"/>
    <x v="0"/>
    <s v="Thursday"/>
    <x v="2"/>
    <x v="0"/>
    <x v="0"/>
    <s v="Mouthwash"/>
    <x v="0"/>
    <s v="Mint Mouthwash 250ml"/>
    <s v="B260924-L2C"/>
    <s v="M. Khan"/>
    <x v="0"/>
    <x v="0"/>
    <x v="1"/>
    <n v="7180"/>
    <n v="7040"/>
    <n v="942"/>
    <n v="0.13380681818181819"/>
    <n v="0.98050139275766013"/>
    <x v="1"/>
    <n v="0"/>
    <n v="0"/>
    <s v="None"/>
    <n v="46"/>
    <n v="43332"/>
    <n v="364"/>
    <n v="6410"/>
    <n v="6410"/>
    <x v="3"/>
    <n v="10500"/>
  </r>
  <r>
    <s v="PR-1733"/>
    <d v="2026-09-06T00:00:00"/>
    <x v="0"/>
    <x v="0"/>
    <s v="Sunday"/>
    <x v="0"/>
    <x v="0"/>
    <x v="0"/>
    <s v="Mouthwash"/>
    <x v="0"/>
    <s v="Mint Mouthwash 250ml"/>
    <s v="B260906-L2A"/>
    <s v="K. Verma"/>
    <x v="2"/>
    <x v="0"/>
    <x v="1"/>
    <n v="4900"/>
    <n v="4840"/>
    <n v="114"/>
    <n v="2.3553719008264463E-2"/>
    <n v="0.98775510204081629"/>
    <x v="5"/>
    <n v="0"/>
    <n v="0"/>
    <s v="None"/>
    <n v="46"/>
    <n v="5244"/>
    <n v="0"/>
    <n v="4590"/>
    <n v="4590"/>
    <x v="4"/>
    <n v="10500"/>
  </r>
  <r>
    <s v="PR-1954"/>
    <d v="2026-09-26T00:00:00"/>
    <x v="0"/>
    <x v="0"/>
    <s v="Saturday"/>
    <x v="1"/>
    <x v="0"/>
    <x v="0"/>
    <s v="Mouthwash"/>
    <x v="1"/>
    <s v="Alcohol-Free Mouthwash 250ml"/>
    <s v="B260926-L2B"/>
    <s v="P. Singh"/>
    <x v="1"/>
    <x v="0"/>
    <x v="2"/>
    <n v="6560"/>
    <n v="5900"/>
    <n v="81"/>
    <n v="1.3728813559322034E-2"/>
    <n v="0.89939024390243905"/>
    <x v="2"/>
    <n v="64"/>
    <n v="1.0666666666666667"/>
    <s v="Cleaning / Sanitation"/>
    <n v="58"/>
    <n v="4698"/>
    <n v="337"/>
    <n v="5990"/>
    <n v="5990"/>
    <x v="5"/>
    <n v="9000"/>
  </r>
  <r>
    <s v="PR-1910"/>
    <d v="2026-09-22T00:00:00"/>
    <x v="0"/>
    <x v="0"/>
    <s v="Tuesday"/>
    <x v="2"/>
    <x v="0"/>
    <x v="0"/>
    <s v="Mouthwash"/>
    <x v="0"/>
    <s v="Mint Mouthwash 250ml"/>
    <s v="B260922-L2C"/>
    <s v="M. Khan"/>
    <x v="0"/>
    <x v="0"/>
    <x v="3"/>
    <n v="7540"/>
    <n v="6790"/>
    <n v="594"/>
    <n v="8.7481590574374074E-2"/>
    <n v="0.90053050397877987"/>
    <x v="1"/>
    <n v="0"/>
    <n v="0"/>
    <s v="None"/>
    <n v="46"/>
    <n v="27324"/>
    <n v="3"/>
    <n v="5940"/>
    <n v="5940"/>
    <x v="6"/>
    <n v="10500"/>
  </r>
  <r>
    <s v="PR-1718"/>
    <d v="2026-09-04T00:00:00"/>
    <x v="0"/>
    <x v="0"/>
    <s v="Friday"/>
    <x v="2"/>
    <x v="0"/>
    <x v="0"/>
    <s v="Mouthwash"/>
    <x v="0"/>
    <s v="Mint Mouthwash 250ml"/>
    <s v="B260904-L2C"/>
    <s v="M. Khan"/>
    <x v="0"/>
    <x v="0"/>
    <x v="4"/>
    <n v="7570"/>
    <n v="6220"/>
    <n v="713"/>
    <n v="0.11463022508038585"/>
    <n v="0.82166446499339496"/>
    <x v="1"/>
    <n v="0"/>
    <n v="0"/>
    <s v="None"/>
    <n v="46"/>
    <n v="32798"/>
    <n v="2568"/>
    <n v="7810"/>
    <n v="7810"/>
    <x v="7"/>
    <n v="10500"/>
  </r>
  <r>
    <s v="PR-1765"/>
    <d v="2026-09-09T00:00:00"/>
    <x v="0"/>
    <x v="0"/>
    <s v="Wednesday"/>
    <x v="1"/>
    <x v="0"/>
    <x v="0"/>
    <s v="Mouthwash"/>
    <x v="0"/>
    <s v="Mint Mouthwash 250ml"/>
    <s v="B260909-L2B"/>
    <s v="P. Singh"/>
    <x v="1"/>
    <x v="0"/>
    <x v="0"/>
    <n v="7880"/>
    <n v="6870"/>
    <n v="204"/>
    <n v="2.9694323144104803E-2"/>
    <n v="0.87182741116751272"/>
    <x v="5"/>
    <n v="64"/>
    <n v="1.0666666666666667"/>
    <s v="Machine Breakdown"/>
    <n v="46"/>
    <n v="9384"/>
    <n v="0"/>
    <n v="6340"/>
    <n v="6340"/>
    <x v="8"/>
    <n v="10500"/>
  </r>
  <r>
    <s v="PR-1946"/>
    <d v="2026-09-25T00:00:00"/>
    <x v="0"/>
    <x v="0"/>
    <s v="Friday"/>
    <x v="2"/>
    <x v="0"/>
    <x v="0"/>
    <s v="Mouthwash"/>
    <x v="1"/>
    <s v="Alcohol-Free Mouthwash 250ml"/>
    <s v="B260925-L2C"/>
    <s v="M. Khan"/>
    <x v="0"/>
    <x v="0"/>
    <x v="1"/>
    <n v="5930"/>
    <n v="5410"/>
    <n v="683"/>
    <n v="0.12624768946395565"/>
    <n v="0.91231028667790892"/>
    <x v="1"/>
    <n v="0"/>
    <n v="0"/>
    <s v="None"/>
    <n v="58"/>
    <n v="39614"/>
    <n v="1560"/>
    <n v="5950"/>
    <n v="5950"/>
    <x v="9"/>
    <n v="9000"/>
  </r>
  <r>
    <s v="PR-1926"/>
    <d v="2026-09-24T00:00:00"/>
    <x v="0"/>
    <x v="0"/>
    <s v="Thursday"/>
    <x v="0"/>
    <x v="0"/>
    <x v="0"/>
    <s v="Mouthwash"/>
    <x v="0"/>
    <s v="Mint Mouthwash 250ml"/>
    <s v="B260924-L2A"/>
    <s v="K. Verma"/>
    <x v="1"/>
    <x v="0"/>
    <x v="0"/>
    <n v="6970"/>
    <n v="6520"/>
    <n v="202"/>
    <n v="3.0981595092024541E-2"/>
    <n v="0.93543758967001434"/>
    <x v="4"/>
    <n v="0"/>
    <n v="0"/>
    <s v="None"/>
    <n v="46"/>
    <n v="9292"/>
    <n v="426"/>
    <n v="6380"/>
    <n v="6380"/>
    <x v="10"/>
    <n v="10500"/>
  </r>
  <r>
    <s v="PR-1918"/>
    <d v="2026-09-23T00:00:00"/>
    <x v="0"/>
    <x v="0"/>
    <s v="Wednesday"/>
    <x v="1"/>
    <x v="0"/>
    <x v="0"/>
    <s v="Mouthwash"/>
    <x v="0"/>
    <s v="Mint Mouthwash 250ml"/>
    <s v="B260923-L2B"/>
    <s v="S. Yadav"/>
    <x v="1"/>
    <x v="0"/>
    <x v="1"/>
    <n v="7770"/>
    <n v="7270"/>
    <n v="173"/>
    <n v="2.3796423658872076E-2"/>
    <n v="0.9356499356499357"/>
    <x v="0"/>
    <n v="0"/>
    <n v="0"/>
    <s v="None"/>
    <n v="46"/>
    <n v="7958"/>
    <n v="259"/>
    <n v="6930"/>
    <n v="6930"/>
    <x v="11"/>
    <n v="10500"/>
  </r>
  <r>
    <s v="PR-1966"/>
    <d v="2026-09-28T00:00:00"/>
    <x v="0"/>
    <x v="0"/>
    <s v="Monday"/>
    <x v="0"/>
    <x v="0"/>
    <x v="0"/>
    <s v="Mouthwash"/>
    <x v="1"/>
    <s v="Alcohol-Free Mouthwash 250ml"/>
    <s v="B260928-L2A"/>
    <s v="K. Verma"/>
    <x v="0"/>
    <x v="0"/>
    <x v="2"/>
    <n v="6500"/>
    <n v="6190"/>
    <n v="597"/>
    <n v="9.6445880452342495E-2"/>
    <n v="0.9523076923076923"/>
    <x v="1"/>
    <n v="47"/>
    <n v="0.78333333333333333"/>
    <s v="Machine Breakdown"/>
    <n v="58"/>
    <n v="34626"/>
    <n v="0"/>
    <n v="5040"/>
    <n v="5040"/>
    <x v="12"/>
    <n v="9000"/>
  </r>
  <r>
    <s v="PR-1978"/>
    <d v="2026-09-29T00:00:00"/>
    <x v="0"/>
    <x v="0"/>
    <s v="Tuesday"/>
    <x v="0"/>
    <x v="0"/>
    <x v="0"/>
    <s v="Mouthwash"/>
    <x v="0"/>
    <s v="Mint Mouthwash 250ml"/>
    <s v="B260929-L2A"/>
    <s v="K. Verma"/>
    <x v="2"/>
    <x v="0"/>
    <x v="1"/>
    <n v="7780"/>
    <n v="7420"/>
    <n v="101"/>
    <n v="1.3611859838274933E-2"/>
    <n v="0.95372750642673521"/>
    <x v="0"/>
    <n v="71"/>
    <n v="1.1833333333333333"/>
    <s v="Changeover"/>
    <n v="46"/>
    <n v="4646"/>
    <n v="52"/>
    <n v="6640"/>
    <n v="6640"/>
    <x v="13"/>
    <n v="10500"/>
  </r>
  <r>
    <s v="PR-1970"/>
    <d v="2026-09-28T00:00:00"/>
    <x v="0"/>
    <x v="0"/>
    <s v="Monday"/>
    <x v="1"/>
    <x v="0"/>
    <x v="0"/>
    <s v="Mouthwash"/>
    <x v="1"/>
    <s v="Alcohol-Free Mouthwash 250ml"/>
    <s v="B260928-L2B"/>
    <s v="S. Yadav"/>
    <x v="2"/>
    <x v="0"/>
    <x v="2"/>
    <n v="6020"/>
    <n v="5580"/>
    <n v="143"/>
    <n v="2.5627240143369177E-2"/>
    <n v="0.92691029900332222"/>
    <x v="0"/>
    <n v="16"/>
    <n v="0.26666666666666666"/>
    <s v="Manpower Shortage"/>
    <n v="58"/>
    <n v="8294"/>
    <n v="553"/>
    <n v="5140"/>
    <n v="5140"/>
    <x v="14"/>
    <n v="9000"/>
  </r>
  <r>
    <s v="PR-1930"/>
    <d v="2026-09-24T00:00:00"/>
    <x v="0"/>
    <x v="0"/>
    <s v="Thursday"/>
    <x v="1"/>
    <x v="0"/>
    <x v="0"/>
    <s v="Mouthwash"/>
    <x v="1"/>
    <s v="Alcohol-Free Mouthwash 250ml"/>
    <s v="B260924-L2B"/>
    <s v="S. Yadav"/>
    <x v="0"/>
    <x v="0"/>
    <x v="0"/>
    <n v="6760"/>
    <n v="6720"/>
    <n v="668"/>
    <n v="9.9404761904761899E-2"/>
    <n v="0.99408284023668636"/>
    <x v="2"/>
    <n v="0"/>
    <n v="0"/>
    <s v="None"/>
    <n v="58"/>
    <n v="38744"/>
    <n v="2408"/>
    <n v="6900"/>
    <n v="6900"/>
    <x v="15"/>
    <n v="9000"/>
  </r>
  <r>
    <s v="PR-1922"/>
    <d v="2026-09-23T00:00:00"/>
    <x v="0"/>
    <x v="0"/>
    <s v="Wednesday"/>
    <x v="2"/>
    <x v="0"/>
    <x v="0"/>
    <s v="Mouthwash"/>
    <x v="2"/>
    <s v="Mint Mouthwash 500ml"/>
    <s v="B260923-L2C"/>
    <s v="M. Khan"/>
    <x v="0"/>
    <x v="0"/>
    <x v="1"/>
    <n v="4530"/>
    <n v="4050"/>
    <n v="410"/>
    <n v="0.10123456790123457"/>
    <n v="0.89403973509933776"/>
    <x v="1"/>
    <n v="0"/>
    <n v="0"/>
    <s v="None"/>
    <n v="79"/>
    <n v="32390"/>
    <n v="2410"/>
    <n v="3980"/>
    <n v="3980"/>
    <x v="16"/>
    <n v="6750"/>
  </r>
  <r>
    <s v="PR-1670"/>
    <d v="2026-08-31T00:00:00"/>
    <x v="1"/>
    <x v="1"/>
    <s v="Monday"/>
    <x v="2"/>
    <x v="0"/>
    <x v="0"/>
    <s v="Mouthwash"/>
    <x v="0"/>
    <s v="Mint Mouthwash 250ml"/>
    <s v="B260831-L2C"/>
    <s v="M. Khan"/>
    <x v="0"/>
    <x v="0"/>
    <x v="2"/>
    <n v="6640"/>
    <n v="6180"/>
    <n v="675"/>
    <n v="0.10922330097087378"/>
    <n v="0.93072289156626509"/>
    <x v="1"/>
    <n v="0"/>
    <n v="0"/>
    <s v="None"/>
    <n v="46"/>
    <n v="31050"/>
    <n v="2378"/>
    <n v="5670"/>
    <n v="5670"/>
    <x v="17"/>
    <n v="10500"/>
  </r>
  <r>
    <s v="PR-1654"/>
    <d v="2026-08-29T00:00:00"/>
    <x v="1"/>
    <x v="1"/>
    <s v="Saturday"/>
    <x v="2"/>
    <x v="0"/>
    <x v="0"/>
    <s v="Mouthwash"/>
    <x v="0"/>
    <s v="Mint Mouthwash 250ml"/>
    <s v="B260829-L2C"/>
    <s v="M. Khan"/>
    <x v="0"/>
    <x v="0"/>
    <x v="5"/>
    <n v="6690"/>
    <n v="5540"/>
    <n v="441"/>
    <n v="7.9602888086642593E-2"/>
    <n v="0.82810164424514199"/>
    <x v="1"/>
    <n v="28"/>
    <n v="0.46666666666666667"/>
    <s v="Material Shortage"/>
    <n v="46"/>
    <n v="20286"/>
    <n v="3065"/>
    <n v="5930"/>
    <n v="5930"/>
    <x v="18"/>
    <n v="10500"/>
  </r>
  <r>
    <s v="PR-1662"/>
    <d v="2026-08-31T00:00:00"/>
    <x v="1"/>
    <x v="1"/>
    <s v="Monday"/>
    <x v="0"/>
    <x v="0"/>
    <x v="0"/>
    <s v="Mouthwash"/>
    <x v="0"/>
    <s v="Mint Mouthwash 250ml"/>
    <s v="B260831-L2A"/>
    <s v="R. Sharma"/>
    <x v="0"/>
    <x v="0"/>
    <x v="1"/>
    <n v="7290"/>
    <n v="7060"/>
    <n v="546"/>
    <n v="7.7337110481586396E-2"/>
    <n v="0.96844993141289437"/>
    <x v="1"/>
    <n v="0"/>
    <n v="0"/>
    <s v="None"/>
    <n v="46"/>
    <n v="25116"/>
    <n v="2234"/>
    <n v="6370"/>
    <n v="6370"/>
    <x v="19"/>
    <n v="10500"/>
  </r>
  <r>
    <s v="PR-1914"/>
    <d v="2026-09-23T00:00:00"/>
    <x v="0"/>
    <x v="0"/>
    <s v="Wednesday"/>
    <x v="0"/>
    <x v="0"/>
    <x v="0"/>
    <s v="Mouthwash"/>
    <x v="1"/>
    <s v="Alcohol-Free Mouthwash 250ml"/>
    <s v="B260923-L2A"/>
    <s v="R. Sharma"/>
    <x v="0"/>
    <x v="0"/>
    <x v="0"/>
    <n v="6880"/>
    <n v="6680"/>
    <n v="772"/>
    <n v="0.1155688622754491"/>
    <n v="0.97093023255813948"/>
    <x v="1"/>
    <n v="0"/>
    <n v="0"/>
    <s v="None"/>
    <n v="58"/>
    <n v="44776"/>
    <n v="3170"/>
    <n v="6670"/>
    <n v="6670"/>
    <x v="20"/>
    <n v="9000"/>
  </r>
  <r>
    <s v="PR-1906"/>
    <d v="2026-09-22T00:00:00"/>
    <x v="0"/>
    <x v="0"/>
    <s v="Tuesday"/>
    <x v="1"/>
    <x v="0"/>
    <x v="0"/>
    <s v="Mouthwash"/>
    <x v="2"/>
    <s v="Mint Mouthwash 500ml"/>
    <s v="B260922-L2B"/>
    <s v="S. Yadav"/>
    <x v="1"/>
    <x v="0"/>
    <x v="0"/>
    <n v="5050"/>
    <n v="4650"/>
    <n v="167"/>
    <n v="3.5913978494623654E-2"/>
    <n v="0.92079207920792083"/>
    <x v="2"/>
    <n v="0"/>
    <n v="0"/>
    <s v="None"/>
    <n v="79"/>
    <n v="13193"/>
    <n v="2727"/>
    <n v="4800"/>
    <n v="4800"/>
    <x v="21"/>
    <n v="6750"/>
  </r>
  <r>
    <s v="PR-1994"/>
    <d v="2026-09-30T00:00:00"/>
    <x v="0"/>
    <x v="0"/>
    <s v="Wednesday"/>
    <x v="1"/>
    <x v="0"/>
    <x v="0"/>
    <s v="Mouthwash"/>
    <x v="2"/>
    <s v="Mint Mouthwash 500ml"/>
    <s v="B260930-L2B"/>
    <s v="S. Yadav"/>
    <x v="2"/>
    <x v="0"/>
    <x v="0"/>
    <n v="5040"/>
    <n v="4770"/>
    <n v="127"/>
    <n v="2.6624737945492662E-2"/>
    <n v="0.9464285714285714"/>
    <x v="3"/>
    <n v="13"/>
    <n v="0.21666666666666667"/>
    <s v="Cleaning / Sanitation"/>
    <n v="79"/>
    <n v="10033"/>
    <n v="2542"/>
    <n v="4750"/>
    <n v="4750"/>
    <x v="22"/>
    <n v="6750"/>
  </r>
  <r>
    <s v="PR-1974"/>
    <d v="2026-09-28T00:00:00"/>
    <x v="0"/>
    <x v="0"/>
    <s v="Monday"/>
    <x v="2"/>
    <x v="0"/>
    <x v="0"/>
    <s v="Mouthwash"/>
    <x v="2"/>
    <s v="Mint Mouthwash 500ml"/>
    <s v="B260928-L2C"/>
    <s v="A. Gupta"/>
    <x v="0"/>
    <x v="0"/>
    <x v="2"/>
    <n v="4690"/>
    <n v="4320"/>
    <n v="515"/>
    <n v="0.11921296296296297"/>
    <n v="0.9211087420042644"/>
    <x v="1"/>
    <n v="0"/>
    <n v="0"/>
    <s v="None"/>
    <n v="79"/>
    <n v="40685"/>
    <n v="2877"/>
    <n v="4140"/>
    <n v="4140"/>
    <x v="23"/>
    <n v="6750"/>
  </r>
  <r>
    <s v="PR-1698"/>
    <d v="2026-09-03T00:00:00"/>
    <x v="0"/>
    <x v="0"/>
    <s v="Thursday"/>
    <x v="0"/>
    <x v="0"/>
    <x v="0"/>
    <s v="Mouthwash"/>
    <x v="0"/>
    <s v="Mint Mouthwash 250ml"/>
    <s v="B260903-L2A"/>
    <s v="K. Verma"/>
    <x v="2"/>
    <x v="0"/>
    <x v="0"/>
    <n v="7200"/>
    <n v="6900"/>
    <n v="245"/>
    <n v="3.5507246376811595E-2"/>
    <n v="0.95833333333333337"/>
    <x v="0"/>
    <n v="0"/>
    <n v="0"/>
    <s v="None"/>
    <n v="46"/>
    <n v="11270"/>
    <n v="2213"/>
    <n v="6300"/>
    <n v="6300"/>
    <x v="24"/>
    <n v="10500"/>
  </r>
  <r>
    <s v="PR-1938"/>
    <d v="2026-09-25T00:00:00"/>
    <x v="0"/>
    <x v="0"/>
    <s v="Friday"/>
    <x v="0"/>
    <x v="0"/>
    <x v="0"/>
    <s v="Mouthwash"/>
    <x v="2"/>
    <s v="Mint Mouthwash 500ml"/>
    <s v="B260925-L2A"/>
    <s v="R. Sharma"/>
    <x v="1"/>
    <x v="0"/>
    <x v="1"/>
    <n v="5040"/>
    <n v="5090"/>
    <n v="101"/>
    <n v="1.9842829076620824E-2"/>
    <n v="1.0099206349206349"/>
    <x v="0"/>
    <n v="0"/>
    <n v="0"/>
    <s v="None"/>
    <n v="79"/>
    <n v="7979"/>
    <n v="2070"/>
    <n v="4490"/>
    <n v="4490"/>
    <x v="25"/>
    <n v="6750"/>
  </r>
  <r>
    <s v="PR-1942"/>
    <d v="2026-09-25T00:00:00"/>
    <x v="0"/>
    <x v="0"/>
    <s v="Friday"/>
    <x v="1"/>
    <x v="0"/>
    <x v="0"/>
    <s v="Mouthwash"/>
    <x v="2"/>
    <s v="Mint Mouthwash 500ml"/>
    <s v="B260925-L2B"/>
    <s v="P. Singh"/>
    <x v="1"/>
    <x v="0"/>
    <x v="1"/>
    <n v="4810"/>
    <n v="4580"/>
    <n v="140"/>
    <n v="3.0567685589519649E-2"/>
    <n v="0.95218295218295224"/>
    <x v="3"/>
    <n v="0"/>
    <n v="0"/>
    <s v="None"/>
    <n v="79"/>
    <n v="11060"/>
    <n v="2569"/>
    <n v="4390"/>
    <n v="4390"/>
    <x v="26"/>
    <n v="6750"/>
  </r>
  <r>
    <s v="PR-1898"/>
    <d v="2026-09-21T00:00:00"/>
    <x v="0"/>
    <x v="0"/>
    <s v="Monday"/>
    <x v="2"/>
    <x v="0"/>
    <x v="0"/>
    <s v="Mouthwash"/>
    <x v="2"/>
    <s v="Mint Mouthwash 500ml"/>
    <s v="B260921-L2C"/>
    <s v="A. Gupta"/>
    <x v="0"/>
    <x v="0"/>
    <x v="2"/>
    <n v="4650"/>
    <n v="4100"/>
    <n v="375"/>
    <n v="9.1463414634146339E-2"/>
    <n v="0.88172043010752688"/>
    <x v="1"/>
    <n v="0"/>
    <n v="0"/>
    <s v="None"/>
    <n v="79"/>
    <n v="29625"/>
    <n v="3052"/>
    <n v="4050"/>
    <n v="4050"/>
    <x v="27"/>
    <n v="6750"/>
  </r>
  <r>
    <s v="PR-1950"/>
    <d v="2026-09-26T00:00:00"/>
    <x v="0"/>
    <x v="0"/>
    <s v="Saturday"/>
    <x v="0"/>
    <x v="0"/>
    <x v="0"/>
    <s v="Mouthwash"/>
    <x v="2"/>
    <s v="Mint Mouthwash 500ml"/>
    <s v="B260926-L2A"/>
    <s v="R. Sharma"/>
    <x v="2"/>
    <x v="0"/>
    <x v="0"/>
    <n v="5070"/>
    <n v="4920"/>
    <n v="132"/>
    <n v="2.6829268292682926E-2"/>
    <n v="0.97041420118343191"/>
    <x v="3"/>
    <n v="34"/>
    <n v="0.56666666666666665"/>
    <s v="Material Shortage"/>
    <n v="79"/>
    <n v="10428"/>
    <n v="2619"/>
    <n v="4530"/>
    <n v="4530"/>
    <x v="28"/>
    <n v="6750"/>
  </r>
  <r>
    <s v="PR-1998"/>
    <d v="2026-09-30T00:00:00"/>
    <x v="0"/>
    <x v="0"/>
    <s v="Wednesday"/>
    <x v="2"/>
    <x v="0"/>
    <x v="0"/>
    <s v="Mouthwash"/>
    <x v="2"/>
    <s v="Mint Mouthwash 500ml"/>
    <s v="B260930-L2C"/>
    <s v="A. Gupta"/>
    <x v="0"/>
    <x v="0"/>
    <x v="0"/>
    <n v="4980"/>
    <n v="4940"/>
    <n v="580"/>
    <n v="0.11740890688259109"/>
    <n v="0.99196787148594379"/>
    <x v="1"/>
    <n v="0"/>
    <n v="0"/>
    <s v="None"/>
    <n v="79"/>
    <n v="45820"/>
    <n v="2435"/>
    <n v="3910"/>
    <n v="3910"/>
    <x v="29"/>
    <n v="6750"/>
  </r>
  <r>
    <s v="PR-1880"/>
    <d v="2026-09-19T00:00:00"/>
    <x v="0"/>
    <x v="0"/>
    <s v="Saturday"/>
    <x v="2"/>
    <x v="0"/>
    <x v="0"/>
    <s v="Mouthwash"/>
    <x v="1"/>
    <s v="Alcohol-Free Mouthwash 250ml"/>
    <s v="B260919-L2C"/>
    <s v="A. Gupta"/>
    <x v="0"/>
    <x v="0"/>
    <x v="1"/>
    <n v="6440"/>
    <n v="5850"/>
    <n v="539"/>
    <n v="9.213675213675214E-2"/>
    <n v="0.90838509316770188"/>
    <x v="1"/>
    <n v="56"/>
    <n v="0.93333333333333335"/>
    <s v="Changeover"/>
    <n v="58"/>
    <n v="31262"/>
    <n v="3949"/>
    <n v="6260"/>
    <n v="6260"/>
    <x v="30"/>
    <n v="9000"/>
  </r>
  <r>
    <s v="PR-1886"/>
    <d v="2026-09-20T00:00:00"/>
    <x v="0"/>
    <x v="0"/>
    <s v="Sunday"/>
    <x v="1"/>
    <x v="0"/>
    <x v="0"/>
    <s v="Mouthwash"/>
    <x v="2"/>
    <s v="Mint Mouthwash 500ml"/>
    <s v="B260920-L2B"/>
    <s v="P. Singh"/>
    <x v="1"/>
    <x v="0"/>
    <x v="0"/>
    <n v="3220"/>
    <n v="2860"/>
    <n v="72"/>
    <n v="2.5174825174825177E-2"/>
    <n v="0.88819875776397517"/>
    <x v="5"/>
    <n v="56"/>
    <n v="0.93333333333333335"/>
    <s v="Machine Breakdown"/>
    <n v="79"/>
    <n v="5688"/>
    <n v="3314"/>
    <n v="3050"/>
    <n v="3050"/>
    <x v="31"/>
    <n v="6750"/>
  </r>
  <r>
    <s v="PR-1638"/>
    <d v="2026-08-28T00:00:00"/>
    <x v="1"/>
    <x v="1"/>
    <s v="Friday"/>
    <x v="1"/>
    <x v="0"/>
    <x v="0"/>
    <s v="Mouthwash"/>
    <x v="0"/>
    <s v="Mint Mouthwash 250ml"/>
    <s v="B260828-L2B"/>
    <s v="S. Yadav"/>
    <x v="2"/>
    <x v="0"/>
    <x v="1"/>
    <n v="7340"/>
    <n v="6610"/>
    <n v="141"/>
    <n v="2.1331316187594554E-2"/>
    <n v="0.90054495912806543"/>
    <x v="4"/>
    <n v="55"/>
    <n v="0.91666666666666663"/>
    <s v="Changeover"/>
    <n v="46"/>
    <n v="6486"/>
    <n v="3216"/>
    <n v="6620"/>
    <n v="6620"/>
    <x v="32"/>
    <n v="10500"/>
  </r>
  <r>
    <s v="PR-1852"/>
    <d v="2026-09-17T00:00:00"/>
    <x v="0"/>
    <x v="0"/>
    <s v="Thursday"/>
    <x v="1"/>
    <x v="0"/>
    <x v="0"/>
    <s v="Mouthwash"/>
    <x v="2"/>
    <s v="Mint Mouthwash 500ml"/>
    <s v="B260917-L2B"/>
    <s v="S. Yadav"/>
    <x v="0"/>
    <x v="0"/>
    <x v="0"/>
    <n v="5210"/>
    <n v="5000"/>
    <n v="456"/>
    <n v="9.1200000000000003E-2"/>
    <n v="0.95969289827255277"/>
    <x v="0"/>
    <n v="65"/>
    <n v="1.0833333333333333"/>
    <s v="Changeover"/>
    <n v="79"/>
    <n v="36024"/>
    <n v="3253"/>
    <n v="4660"/>
    <n v="4660"/>
    <x v="33"/>
    <n v="6750"/>
  </r>
  <r>
    <s v="PR-1902"/>
    <d v="2026-09-22T00:00:00"/>
    <x v="0"/>
    <x v="0"/>
    <s v="Tuesday"/>
    <x v="0"/>
    <x v="0"/>
    <x v="0"/>
    <s v="Mouthwash"/>
    <x v="1"/>
    <s v="Alcohol-Free Mouthwash 250ml"/>
    <s v="B260922-L2A"/>
    <s v="R. Sharma"/>
    <x v="1"/>
    <x v="0"/>
    <x v="1"/>
    <n v="6750"/>
    <n v="6430"/>
    <n v="160"/>
    <n v="2.4883359253499222E-2"/>
    <n v="0.95259259259259255"/>
    <x v="2"/>
    <n v="0"/>
    <n v="0"/>
    <s v="None"/>
    <n v="58"/>
    <n v="9280"/>
    <n v="3000"/>
    <n v="6100"/>
    <n v="6100"/>
    <x v="34"/>
    <n v="9000"/>
  </r>
  <r>
    <s v="PR-1634"/>
    <d v="2026-08-28T00:00:00"/>
    <x v="1"/>
    <x v="1"/>
    <s v="Friday"/>
    <x v="0"/>
    <x v="0"/>
    <x v="0"/>
    <s v="Mouthwash"/>
    <x v="0"/>
    <s v="Mint Mouthwash 250ml"/>
    <s v="B260828-L2A"/>
    <s v="R. Sharma"/>
    <x v="0"/>
    <x v="0"/>
    <x v="0"/>
    <n v="7130"/>
    <n v="6820"/>
    <n v="831"/>
    <n v="0.12184750733137829"/>
    <n v="0.95652173913043481"/>
    <x v="1"/>
    <n v="0"/>
    <n v="0"/>
    <s v="None"/>
    <n v="46"/>
    <n v="38226"/>
    <n v="4547"/>
    <n v="7320"/>
    <n v="7320"/>
    <x v="35"/>
    <n v="10500"/>
  </r>
  <r>
    <s v="PR-1836"/>
    <d v="2026-09-16T00:00:00"/>
    <x v="0"/>
    <x v="0"/>
    <s v="Wednesday"/>
    <x v="0"/>
    <x v="0"/>
    <x v="0"/>
    <s v="Mouthwash"/>
    <x v="2"/>
    <s v="Mint Mouthwash 500ml"/>
    <s v="B260916-L2A"/>
    <s v="R. Sharma"/>
    <x v="1"/>
    <x v="0"/>
    <x v="0"/>
    <n v="5180"/>
    <n v="4710"/>
    <n v="73"/>
    <n v="1.5498938428874735E-2"/>
    <n v="0.90926640926640923"/>
    <x v="4"/>
    <n v="0"/>
    <n v="0"/>
    <s v="None"/>
    <n v="79"/>
    <n v="5767"/>
    <n v="3256"/>
    <n v="4640"/>
    <n v="4640"/>
    <x v="36"/>
    <n v="6750"/>
  </r>
  <r>
    <s v="PR-1832"/>
    <d v="2026-09-15T00:00:00"/>
    <x v="0"/>
    <x v="0"/>
    <s v="Tuesday"/>
    <x v="2"/>
    <x v="0"/>
    <x v="0"/>
    <s v="Mouthwash"/>
    <x v="2"/>
    <s v="Mint Mouthwash 500ml"/>
    <s v="B260915-L2C"/>
    <s v="A. Gupta"/>
    <x v="0"/>
    <x v="0"/>
    <x v="1"/>
    <n v="4970"/>
    <n v="4590"/>
    <n v="532"/>
    <n v="0.1159041394335512"/>
    <n v="0.92354124748490951"/>
    <x v="1"/>
    <n v="40"/>
    <n v="0.66666666666666663"/>
    <s v="Cleaning / Sanitation"/>
    <n v="79"/>
    <n v="42028"/>
    <n v="3928"/>
    <n v="4730"/>
    <n v="4730"/>
    <x v="37"/>
    <n v="6750"/>
  </r>
  <r>
    <s v="PR-1864"/>
    <d v="2026-09-18T00:00:00"/>
    <x v="0"/>
    <x v="0"/>
    <s v="Friday"/>
    <x v="1"/>
    <x v="0"/>
    <x v="0"/>
    <s v="Mouthwash"/>
    <x v="2"/>
    <s v="Mint Mouthwash 500ml"/>
    <s v="B260918-L2B"/>
    <s v="S. Yadav"/>
    <x v="2"/>
    <x v="0"/>
    <x v="1"/>
    <n v="5030"/>
    <n v="4710"/>
    <n v="103"/>
    <n v="2.186836518046709E-2"/>
    <n v="0.93638170974155066"/>
    <x v="0"/>
    <n v="0"/>
    <n v="0"/>
    <s v="None"/>
    <n v="79"/>
    <n v="8137"/>
    <n v="3137"/>
    <n v="4430"/>
    <n v="4430"/>
    <x v="38"/>
    <n v="6750"/>
  </r>
  <r>
    <s v="PR-1793"/>
    <d v="2026-09-11T00:00:00"/>
    <x v="0"/>
    <x v="0"/>
    <s v="Friday"/>
    <x v="2"/>
    <x v="0"/>
    <x v="0"/>
    <s v="Mouthwash"/>
    <x v="2"/>
    <s v="Mint Mouthwash 500ml"/>
    <s v="B260911-L2C"/>
    <s v="A. Gupta"/>
    <x v="0"/>
    <x v="0"/>
    <x v="3"/>
    <n v="4600"/>
    <n v="4020"/>
    <n v="408"/>
    <n v="0.10149253731343283"/>
    <n v="0.87391304347826082"/>
    <x v="1"/>
    <n v="0"/>
    <n v="0"/>
    <s v="None"/>
    <n v="79"/>
    <n v="32232"/>
    <n v="4372"/>
    <n v="4500"/>
    <n v="4500"/>
    <x v="39"/>
    <n v="6750"/>
  </r>
  <r>
    <s v="PR-1844"/>
    <d v="2026-09-16T00:00:00"/>
    <x v="0"/>
    <x v="0"/>
    <s v="Wednesday"/>
    <x v="2"/>
    <x v="0"/>
    <x v="0"/>
    <s v="Mouthwash"/>
    <x v="1"/>
    <s v="Alcohol-Free Mouthwash 250ml"/>
    <s v="B260916-L2C"/>
    <s v="M. Khan"/>
    <x v="0"/>
    <x v="0"/>
    <x v="0"/>
    <n v="6000"/>
    <n v="5760"/>
    <n v="674"/>
    <n v="0.11701388888888889"/>
    <n v="0.96"/>
    <x v="1"/>
    <n v="0"/>
    <n v="0"/>
    <s v="None"/>
    <n v="58"/>
    <n v="39092"/>
    <n v="4532"/>
    <n v="6100"/>
    <n v="6100"/>
    <x v="40"/>
    <n v="9000"/>
  </r>
  <r>
    <s v="PR-1801"/>
    <d v="2026-09-12T00:00:00"/>
    <x v="0"/>
    <x v="0"/>
    <s v="Saturday"/>
    <x v="1"/>
    <x v="0"/>
    <x v="0"/>
    <s v="Mouthwash"/>
    <x v="2"/>
    <s v="Mint Mouthwash 500ml"/>
    <s v="B260912-L2B"/>
    <s v="P. Singh"/>
    <x v="2"/>
    <x v="0"/>
    <x v="1"/>
    <n v="4870"/>
    <n v="4620"/>
    <n v="86"/>
    <n v="1.8614718614718615E-2"/>
    <n v="0.94866529774127306"/>
    <x v="2"/>
    <n v="0"/>
    <n v="0"/>
    <s v="None"/>
    <n v="79"/>
    <n v="6794"/>
    <n v="3484"/>
    <n v="4260"/>
    <n v="4260"/>
    <x v="41"/>
    <n v="6750"/>
  </r>
  <r>
    <s v="PR-1856"/>
    <d v="2026-09-17T00:00:00"/>
    <x v="0"/>
    <x v="0"/>
    <s v="Thursday"/>
    <x v="2"/>
    <x v="0"/>
    <x v="0"/>
    <s v="Mouthwash"/>
    <x v="1"/>
    <s v="Alcohol-Free Mouthwash 250ml"/>
    <s v="B260917-L2C"/>
    <s v="M. Khan"/>
    <x v="2"/>
    <x v="0"/>
    <x v="0"/>
    <n v="6640"/>
    <n v="6490"/>
    <n v="263"/>
    <n v="4.052388289676425E-2"/>
    <n v="0.97740963855421692"/>
    <x v="0"/>
    <n v="11"/>
    <n v="0.18333333333333332"/>
    <s v="Machine Breakdown"/>
    <n v="58"/>
    <n v="15254"/>
    <n v="3518"/>
    <n v="5970"/>
    <n v="5970"/>
    <x v="42"/>
    <n v="9000"/>
  </r>
  <r>
    <s v="PR-1824"/>
    <d v="2026-09-15T00:00:00"/>
    <x v="0"/>
    <x v="0"/>
    <s v="Tuesday"/>
    <x v="0"/>
    <x v="0"/>
    <x v="0"/>
    <s v="Mouthwash"/>
    <x v="2"/>
    <s v="Mint Mouthwash 500ml"/>
    <s v="B260915-L2A"/>
    <s v="R. Sharma"/>
    <x v="1"/>
    <x v="0"/>
    <x v="0"/>
    <n v="4600"/>
    <n v="4400"/>
    <n v="136"/>
    <n v="3.090909090909091E-2"/>
    <n v="0.95652173913043481"/>
    <x v="4"/>
    <n v="0"/>
    <n v="0"/>
    <s v="None"/>
    <n v="79"/>
    <n v="10744"/>
    <n v="4074"/>
    <n v="4410"/>
    <n v="4410"/>
    <x v="43"/>
    <n v="6750"/>
  </r>
  <r>
    <s v="PR-1860"/>
    <d v="2026-09-18T00:00:00"/>
    <x v="0"/>
    <x v="0"/>
    <s v="Friday"/>
    <x v="0"/>
    <x v="0"/>
    <x v="0"/>
    <s v="Mouthwash"/>
    <x v="1"/>
    <s v="Alcohol-Free Mouthwash 250ml"/>
    <s v="B260918-L2A"/>
    <s v="R. Sharma"/>
    <x v="0"/>
    <x v="0"/>
    <x v="1"/>
    <n v="6770"/>
    <n v="6770"/>
    <n v="836"/>
    <n v="0.12348596750369276"/>
    <n v="1"/>
    <x v="1"/>
    <n v="23"/>
    <n v="0.38333333333333336"/>
    <s v="Changeover"/>
    <n v="58"/>
    <n v="48488"/>
    <n v="3775"/>
    <n v="5760"/>
    <n v="5760"/>
    <x v="44"/>
    <n v="9000"/>
  </r>
  <r>
    <s v="PR-1816"/>
    <d v="2026-09-14T00:00:00"/>
    <x v="0"/>
    <x v="0"/>
    <s v="Monday"/>
    <x v="1"/>
    <x v="0"/>
    <x v="0"/>
    <s v="Mouthwash"/>
    <x v="2"/>
    <s v="Mint Mouthwash 500ml"/>
    <s v="B260914-L2B"/>
    <s v="P. Singh"/>
    <x v="2"/>
    <x v="0"/>
    <x v="2"/>
    <n v="4880"/>
    <n v="4510"/>
    <n v="134"/>
    <n v="2.9711751662971176E-2"/>
    <n v="0.92418032786885251"/>
    <x v="4"/>
    <n v="0"/>
    <n v="0"/>
    <s v="None"/>
    <n v="79"/>
    <n v="10586"/>
    <n v="3758"/>
    <n v="4060"/>
    <n v="4060"/>
    <x v="45"/>
    <n v="6750"/>
  </r>
  <r>
    <s v="PR-1769"/>
    <d v="2026-09-09T00:00:00"/>
    <x v="0"/>
    <x v="0"/>
    <s v="Wednesday"/>
    <x v="2"/>
    <x v="0"/>
    <x v="0"/>
    <s v="Mouthwash"/>
    <x v="2"/>
    <s v="Mint Mouthwash 500ml"/>
    <s v="B260909-L2C"/>
    <s v="A. Gupta"/>
    <x v="0"/>
    <x v="0"/>
    <x v="1"/>
    <n v="4740"/>
    <n v="4460"/>
    <n v="413"/>
    <n v="9.2600896860986548E-2"/>
    <n v="0.94092827004219415"/>
    <x v="0"/>
    <n v="36"/>
    <n v="0.6"/>
    <s v="Changeover"/>
    <n v="79"/>
    <n v="32627"/>
    <n v="4755"/>
    <n v="4430"/>
    <n v="4430"/>
    <x v="46"/>
    <n v="6750"/>
  </r>
  <r>
    <s v="PR-1820"/>
    <d v="2026-09-14T00:00:00"/>
    <x v="0"/>
    <x v="0"/>
    <s v="Monday"/>
    <x v="2"/>
    <x v="0"/>
    <x v="0"/>
    <s v="Mouthwash"/>
    <x v="1"/>
    <s v="Alcohol-Free Mouthwash 250ml"/>
    <s v="B260914-L2C"/>
    <s v="A. Gupta"/>
    <x v="0"/>
    <x v="0"/>
    <x v="2"/>
    <n v="6100"/>
    <n v="5740"/>
    <n v="655"/>
    <n v="0.11411149825783973"/>
    <n v="0.94098360655737701"/>
    <x v="1"/>
    <n v="0"/>
    <n v="0"/>
    <s v="None"/>
    <n v="58"/>
    <n v="37990"/>
    <n v="5647"/>
    <n v="6200"/>
    <n v="6200"/>
    <x v="47"/>
    <n v="9000"/>
  </r>
  <r>
    <s v="PR-1614"/>
    <d v="2026-08-26T00:00:00"/>
    <x v="1"/>
    <x v="1"/>
    <s v="Wednesday"/>
    <x v="1"/>
    <x v="0"/>
    <x v="0"/>
    <s v="Mouthwash"/>
    <x v="0"/>
    <s v="Mint Mouthwash 250ml"/>
    <s v="B260826-L2B"/>
    <s v="S. Yadav"/>
    <x v="2"/>
    <x v="0"/>
    <x v="2"/>
    <n v="7140"/>
    <n v="6690"/>
    <n v="214"/>
    <n v="3.1988041853512707E-2"/>
    <n v="0.93697478991596639"/>
    <x v="3"/>
    <n v="0"/>
    <n v="0"/>
    <s v="None"/>
    <n v="46"/>
    <n v="9844"/>
    <n v="4831"/>
    <n v="6760"/>
    <n v="6760"/>
    <x v="48"/>
    <n v="10500"/>
  </r>
  <r>
    <s v="PR-1554"/>
    <d v="2026-08-20T00:00:00"/>
    <x v="1"/>
    <x v="1"/>
    <s v="Thursday"/>
    <x v="2"/>
    <x v="0"/>
    <x v="0"/>
    <s v="Mouthwash"/>
    <x v="0"/>
    <s v="Mint Mouthwash 250ml"/>
    <s v="B260820-L2C"/>
    <s v="M. Khan"/>
    <x v="0"/>
    <x v="0"/>
    <x v="2"/>
    <n v="7400"/>
    <n v="6920"/>
    <n v="721"/>
    <n v="0.1041907514450867"/>
    <n v="0.93513513513513513"/>
    <x v="1"/>
    <n v="0"/>
    <n v="0"/>
    <s v="None"/>
    <n v="46"/>
    <n v="33166"/>
    <n v="5936"/>
    <n v="7490"/>
    <n v="7490"/>
    <x v="49"/>
    <n v="10500"/>
  </r>
  <r>
    <s v="PR-1757"/>
    <d v="2026-09-08T00:00:00"/>
    <x v="0"/>
    <x v="0"/>
    <s v="Tuesday"/>
    <x v="2"/>
    <x v="0"/>
    <x v="0"/>
    <s v="Mouthwash"/>
    <x v="2"/>
    <s v="Mint Mouthwash 500ml"/>
    <s v="B260908-L2C"/>
    <s v="A. Gupta"/>
    <x v="0"/>
    <x v="0"/>
    <x v="1"/>
    <n v="4650"/>
    <n v="4160"/>
    <n v="473"/>
    <n v="0.11370192307692308"/>
    <n v="0.89462365591397852"/>
    <x v="1"/>
    <n v="35"/>
    <n v="0.58333333333333337"/>
    <s v="Machine Breakdown"/>
    <n v="79"/>
    <n v="37367"/>
    <n v="5218"/>
    <n v="4150"/>
    <n v="4150"/>
    <x v="50"/>
    <n v="6750"/>
  </r>
  <r>
    <s v="PR-1582"/>
    <d v="2026-08-23T00:00:00"/>
    <x v="1"/>
    <x v="1"/>
    <s v="Sunday"/>
    <x v="0"/>
    <x v="0"/>
    <x v="0"/>
    <s v="Mouthwash"/>
    <x v="0"/>
    <s v="Mint Mouthwash 250ml"/>
    <s v="B260823-L2A"/>
    <s v="K. Verma"/>
    <x v="2"/>
    <x v="0"/>
    <x v="1"/>
    <n v="5410"/>
    <n v="5220"/>
    <n v="172"/>
    <n v="3.2950191570881228E-2"/>
    <n v="0.96487985212569316"/>
    <x v="4"/>
    <n v="69"/>
    <n v="1.1499999999999999"/>
    <s v="Machine Breakdown"/>
    <n v="46"/>
    <n v="7912"/>
    <n v="4645"/>
    <n v="4930"/>
    <n v="4930"/>
    <x v="51"/>
    <n v="10500"/>
  </r>
  <r>
    <s v="PR-1602"/>
    <d v="2026-08-25T00:00:00"/>
    <x v="1"/>
    <x v="1"/>
    <s v="Tuesday"/>
    <x v="1"/>
    <x v="0"/>
    <x v="0"/>
    <s v="Mouthwash"/>
    <x v="0"/>
    <s v="Mint Mouthwash 250ml"/>
    <s v="B260825-L2B"/>
    <s v="P. Singh"/>
    <x v="0"/>
    <x v="0"/>
    <x v="0"/>
    <n v="6980"/>
    <n v="6730"/>
    <n v="702"/>
    <n v="0.10430906389301635"/>
    <n v="0.96418338108882518"/>
    <x v="1"/>
    <n v="0"/>
    <n v="0"/>
    <s v="None"/>
    <n v="46"/>
    <n v="32292"/>
    <n v="4763"/>
    <n v="5960"/>
    <n v="5960"/>
    <x v="52"/>
    <n v="10500"/>
  </r>
  <r>
    <s v="PR-1730"/>
    <d v="2026-09-05T00:00:00"/>
    <x v="0"/>
    <x v="0"/>
    <s v="Saturday"/>
    <x v="2"/>
    <x v="0"/>
    <x v="0"/>
    <s v="Mouthwash"/>
    <x v="2"/>
    <s v="Mint Mouthwash 500ml"/>
    <s v="B260905-L2C"/>
    <s v="M. Khan"/>
    <x v="0"/>
    <x v="0"/>
    <x v="3"/>
    <n v="4500"/>
    <n v="4090"/>
    <n v="453"/>
    <n v="0.11075794621026895"/>
    <n v="0.90888888888888886"/>
    <x v="1"/>
    <n v="0"/>
    <n v="0"/>
    <s v="None"/>
    <n v="79"/>
    <n v="35787"/>
    <n v="5424"/>
    <n v="3990"/>
    <n v="3990"/>
    <x v="53"/>
    <n v="6750"/>
  </r>
  <r>
    <s v="PR-1737"/>
    <d v="2026-09-07T00:00:00"/>
    <x v="0"/>
    <x v="0"/>
    <s v="Monday"/>
    <x v="0"/>
    <x v="0"/>
    <x v="0"/>
    <s v="Mouthwash"/>
    <x v="2"/>
    <s v="Mint Mouthwash 500ml"/>
    <s v="B260907-L2A"/>
    <s v="K. Verma"/>
    <x v="2"/>
    <x v="0"/>
    <x v="1"/>
    <n v="5130"/>
    <n v="4890"/>
    <n v="183"/>
    <n v="3.7423312883435582E-2"/>
    <n v="0.95321637426900585"/>
    <x v="0"/>
    <n v="20"/>
    <n v="0.33333333333333331"/>
    <s v="Changeover"/>
    <n v="79"/>
    <n v="14457"/>
    <n v="5071"/>
    <n v="4560"/>
    <n v="4560"/>
    <x v="54"/>
    <n v="6750"/>
  </r>
  <r>
    <s v="PR-1690"/>
    <d v="2026-09-02T00:00:00"/>
    <x v="0"/>
    <x v="0"/>
    <s v="Wednesday"/>
    <x v="1"/>
    <x v="0"/>
    <x v="0"/>
    <s v="Mouthwash"/>
    <x v="2"/>
    <s v="Mint Mouthwash 500ml"/>
    <s v="B260902-L2B"/>
    <s v="P. Singh"/>
    <x v="0"/>
    <x v="0"/>
    <x v="3"/>
    <n v="4990"/>
    <n v="4630"/>
    <n v="513"/>
    <n v="0.11079913606911447"/>
    <n v="0.92785571142284573"/>
    <x v="1"/>
    <n v="0"/>
    <n v="0"/>
    <s v="None"/>
    <n v="79"/>
    <n v="40527"/>
    <n v="6234"/>
    <n v="4960"/>
    <n v="4960"/>
    <x v="55"/>
    <n v="6750"/>
  </r>
  <r>
    <s v="PR-1710"/>
    <d v="2026-09-04T00:00:00"/>
    <x v="0"/>
    <x v="0"/>
    <s v="Friday"/>
    <x v="0"/>
    <x v="0"/>
    <x v="0"/>
    <s v="Mouthwash"/>
    <x v="2"/>
    <s v="Mint Mouthwash 500ml"/>
    <s v="B260904-L2A"/>
    <s v="R. Sharma"/>
    <x v="2"/>
    <x v="0"/>
    <x v="1"/>
    <n v="5030"/>
    <n v="4610"/>
    <n v="109"/>
    <n v="2.3644251626898049E-2"/>
    <n v="0.91650099403578533"/>
    <x v="4"/>
    <n v="45"/>
    <n v="0.75"/>
    <s v="Material Shortage"/>
    <n v="79"/>
    <n v="8611"/>
    <n v="5483"/>
    <n v="4560"/>
    <n v="4560"/>
    <x v="56"/>
    <n v="6750"/>
  </r>
  <r>
    <s v="PR-1706"/>
    <d v="2026-09-03T00:00:00"/>
    <x v="0"/>
    <x v="0"/>
    <s v="Thursday"/>
    <x v="2"/>
    <x v="0"/>
    <x v="0"/>
    <s v="Mouthwash"/>
    <x v="2"/>
    <s v="Mint Mouthwash 500ml"/>
    <s v="B260903-L2C"/>
    <s v="M. Khan"/>
    <x v="0"/>
    <x v="0"/>
    <x v="3"/>
    <n v="4430"/>
    <n v="3950"/>
    <n v="353"/>
    <n v="8.936708860759493E-2"/>
    <n v="0.89164785553047399"/>
    <x v="1"/>
    <n v="0"/>
    <n v="0"/>
    <s v="None"/>
    <n v="79"/>
    <n v="27887"/>
    <n v="6136"/>
    <n v="4250"/>
    <n v="4250"/>
    <x v="57"/>
    <n v="6750"/>
  </r>
  <r>
    <s v="PR-1812"/>
    <d v="2026-09-14T00:00:00"/>
    <x v="0"/>
    <x v="0"/>
    <s v="Monday"/>
    <x v="0"/>
    <x v="0"/>
    <x v="0"/>
    <s v="Mouthwash"/>
    <x v="1"/>
    <s v="Alcohol-Free Mouthwash 250ml"/>
    <s v="B260914-L2A"/>
    <s v="R. Sharma"/>
    <x v="1"/>
    <x v="0"/>
    <x v="0"/>
    <n v="6970"/>
    <n v="6880"/>
    <n v="143"/>
    <n v="2.0784883720930233E-2"/>
    <n v="0.98708751793400284"/>
    <x v="3"/>
    <n v="0"/>
    <n v="0"/>
    <s v="None"/>
    <n v="58"/>
    <n v="8294"/>
    <n v="5830"/>
    <n v="6920"/>
    <n v="6920"/>
    <x v="58"/>
    <n v="9000"/>
  </r>
  <r>
    <s v="PR-1664"/>
    <d v="2026-08-31T00:00:00"/>
    <x v="1"/>
    <x v="1"/>
    <s v="Monday"/>
    <x v="0"/>
    <x v="1"/>
    <x v="1"/>
    <s v="Toothbrush"/>
    <x v="3"/>
    <s v="Electric Toothbrush Head Pack"/>
    <s v="B260831-L4A"/>
    <s v="K. Verma"/>
    <x v="1"/>
    <x v="1"/>
    <x v="6"/>
    <n v="3280"/>
    <n v="3000"/>
    <n v="78"/>
    <n v="2.5999999999999999E-2"/>
    <n v="0.91463414634146345"/>
    <x v="2"/>
    <n v="0"/>
    <n v="0"/>
    <s v="None"/>
    <n v="64"/>
    <n v="4992"/>
    <n v="5860"/>
    <n v="3080"/>
    <n v="3080"/>
    <x v="59"/>
    <n v="5250"/>
  </r>
  <r>
    <s v="PR-1620"/>
    <d v="2026-08-26T00:00:00"/>
    <x v="1"/>
    <x v="1"/>
    <s v="Wednesday"/>
    <x v="2"/>
    <x v="1"/>
    <x v="1"/>
    <s v="Toothbrush"/>
    <x v="3"/>
    <s v="Electric Toothbrush Head Pack"/>
    <s v="B260826-L4C"/>
    <s v="A. Gupta"/>
    <x v="2"/>
    <x v="1"/>
    <x v="2"/>
    <n v="3230"/>
    <n v="2930"/>
    <n v="54"/>
    <n v="1.8430034129692834E-2"/>
    <n v="0.90712074303405577"/>
    <x v="0"/>
    <n v="0"/>
    <n v="0"/>
    <s v="None"/>
    <n v="64"/>
    <n v="3456"/>
    <n v="5932"/>
    <n v="3050"/>
    <n v="3050"/>
    <x v="60"/>
    <n v="5250"/>
  </r>
  <r>
    <s v="PR-1751"/>
    <d v="2026-09-08T00:00:00"/>
    <x v="0"/>
    <x v="0"/>
    <s v="Tuesday"/>
    <x v="0"/>
    <x v="1"/>
    <x v="1"/>
    <s v="Toothbrush"/>
    <x v="3"/>
    <s v="Electric Toothbrush Head Pack"/>
    <s v="B260908-L4A"/>
    <s v="R. Sharma"/>
    <x v="2"/>
    <x v="1"/>
    <x v="6"/>
    <n v="3440"/>
    <n v="3240"/>
    <n v="43"/>
    <n v="1.3271604938271606E-2"/>
    <n v="0.94186046511627908"/>
    <x v="0"/>
    <n v="31"/>
    <n v="0.51666666666666672"/>
    <s v="Material Shortage"/>
    <n v="64"/>
    <n v="2752"/>
    <n v="6187"/>
    <n v="3610"/>
    <n v="3610"/>
    <x v="61"/>
    <n v="5250"/>
  </r>
  <r>
    <s v="PR-1608"/>
    <d v="2026-08-25T00:00:00"/>
    <x v="1"/>
    <x v="1"/>
    <s v="Tuesday"/>
    <x v="2"/>
    <x v="1"/>
    <x v="1"/>
    <s v="Toothbrush"/>
    <x v="3"/>
    <s v="Electric Toothbrush Head Pack"/>
    <s v="B260825-L4C"/>
    <s v="M. Khan"/>
    <x v="2"/>
    <x v="1"/>
    <x v="2"/>
    <n v="3170"/>
    <n v="2850"/>
    <n v="104"/>
    <n v="3.6491228070175435E-2"/>
    <n v="0.89905362776025233"/>
    <x v="5"/>
    <n v="0"/>
    <n v="0"/>
    <s v="None"/>
    <n v="64"/>
    <n v="6656"/>
    <n v="6087"/>
    <n v="3010"/>
    <n v="3010"/>
    <x v="62"/>
    <n v="5250"/>
  </r>
  <r>
    <s v="PR-1805"/>
    <d v="2026-09-12T00:00:00"/>
    <x v="0"/>
    <x v="0"/>
    <s v="Saturday"/>
    <x v="2"/>
    <x v="0"/>
    <x v="0"/>
    <s v="Mouthwash"/>
    <x v="1"/>
    <s v="Alcohol-Free Mouthwash 250ml"/>
    <s v="B260912-L2C"/>
    <s v="M. Khan"/>
    <x v="0"/>
    <x v="0"/>
    <x v="3"/>
    <n v="5820"/>
    <n v="5080"/>
    <n v="605"/>
    <n v="0.11909448818897637"/>
    <n v="0.87285223367697595"/>
    <x v="1"/>
    <n v="0"/>
    <n v="0"/>
    <s v="None"/>
    <n v="58"/>
    <n v="35090"/>
    <n v="7155"/>
    <n v="5800"/>
    <n v="5800"/>
    <x v="63"/>
    <n v="9000"/>
  </r>
  <r>
    <s v="PR-1755"/>
    <d v="2026-09-08T00:00:00"/>
    <x v="0"/>
    <x v="0"/>
    <s v="Tuesday"/>
    <x v="1"/>
    <x v="1"/>
    <x v="1"/>
    <s v="Toothbrush"/>
    <x v="3"/>
    <s v="Electric Toothbrush Head Pack"/>
    <s v="B260908-L4B"/>
    <s v="S. Yadav"/>
    <x v="2"/>
    <x v="1"/>
    <x v="6"/>
    <n v="3600"/>
    <n v="3170"/>
    <n v="31"/>
    <n v="9.7791798107255516E-3"/>
    <n v="0.88055555555555554"/>
    <x v="0"/>
    <n v="0"/>
    <n v="0"/>
    <s v="None"/>
    <n v="64"/>
    <n v="1984"/>
    <n v="5774"/>
    <n v="3070"/>
    <n v="3070"/>
    <x v="64"/>
    <n v="5250"/>
  </r>
  <r>
    <s v="PR-1628"/>
    <d v="2026-08-27T00:00:00"/>
    <x v="1"/>
    <x v="1"/>
    <s v="Thursday"/>
    <x v="1"/>
    <x v="1"/>
    <x v="1"/>
    <s v="Toothbrush"/>
    <x v="3"/>
    <s v="Electric Toothbrush Head Pack"/>
    <s v="B260827-L4B"/>
    <s v="S. Yadav"/>
    <x v="1"/>
    <x v="1"/>
    <x v="0"/>
    <n v="3740"/>
    <n v="3600"/>
    <n v="112"/>
    <n v="3.111111111111111E-2"/>
    <n v="0.96256684491978606"/>
    <x v="4"/>
    <n v="0"/>
    <n v="0"/>
    <s v="None"/>
    <n v="64"/>
    <n v="7168"/>
    <n v="5758"/>
    <n v="3400"/>
    <n v="3400"/>
    <x v="65"/>
    <n v="5250"/>
  </r>
  <r>
    <s v="PR-1648"/>
    <d v="2026-08-29T00:00:00"/>
    <x v="1"/>
    <x v="1"/>
    <s v="Saturday"/>
    <x v="0"/>
    <x v="1"/>
    <x v="1"/>
    <s v="Toothbrush"/>
    <x v="3"/>
    <s v="Electric Toothbrush Head Pack"/>
    <s v="B260829-L4A"/>
    <s v="K. Verma"/>
    <x v="1"/>
    <x v="1"/>
    <x v="6"/>
    <n v="3770"/>
    <n v="3700"/>
    <n v="86"/>
    <n v="2.3243243243243242E-2"/>
    <n v="0.98143236074270557"/>
    <x v="0"/>
    <n v="64"/>
    <n v="1.0666666666666667"/>
    <s v="Power Interruption"/>
    <n v="64"/>
    <n v="5504"/>
    <n v="5846"/>
    <n v="3600"/>
    <n v="3600"/>
    <x v="66"/>
    <n v="5250"/>
  </r>
  <r>
    <s v="PR-1612"/>
    <d v="2026-08-26T00:00:00"/>
    <x v="1"/>
    <x v="1"/>
    <s v="Wednesday"/>
    <x v="0"/>
    <x v="1"/>
    <x v="1"/>
    <s v="Toothbrush"/>
    <x v="3"/>
    <s v="Electric Toothbrush Head Pack"/>
    <s v="B260826-L4A"/>
    <s v="K. Verma"/>
    <x v="1"/>
    <x v="1"/>
    <x v="7"/>
    <n v="3490"/>
    <n v="3260"/>
    <n v="81"/>
    <n v="2.4846625766871164E-2"/>
    <n v="0.93409742120343842"/>
    <x v="0"/>
    <n v="53"/>
    <n v="0.8833333333333333"/>
    <s v="Changeover"/>
    <n v="64"/>
    <n v="5184"/>
    <n v="5823"/>
    <n v="3070"/>
    <n v="3070"/>
    <x v="67"/>
    <n v="5250"/>
  </r>
  <r>
    <s v="PR-1546"/>
    <d v="2026-08-20T00:00:00"/>
    <x v="1"/>
    <x v="1"/>
    <s v="Thursday"/>
    <x v="0"/>
    <x v="0"/>
    <x v="0"/>
    <s v="Mouthwash"/>
    <x v="0"/>
    <s v="Mint Mouthwash 250ml"/>
    <s v="B260820-L2A"/>
    <s v="R. Sharma"/>
    <x v="0"/>
    <x v="0"/>
    <x v="0"/>
    <n v="7290"/>
    <n v="7250"/>
    <n v="861"/>
    <n v="0.11875862068965518"/>
    <n v="0.99451303155006854"/>
    <x v="1"/>
    <n v="0"/>
    <n v="0"/>
    <s v="None"/>
    <n v="46"/>
    <n v="39606"/>
    <n v="6907"/>
    <n v="7360"/>
    <n v="7360"/>
    <x v="68"/>
    <n v="10500"/>
  </r>
  <r>
    <s v="PR-1688"/>
    <d v="2026-09-02T00:00:00"/>
    <x v="0"/>
    <x v="0"/>
    <s v="Wednesday"/>
    <x v="0"/>
    <x v="1"/>
    <x v="1"/>
    <s v="Toothbrush"/>
    <x v="3"/>
    <s v="Electric Toothbrush Head Pack"/>
    <s v="B260902-L4A"/>
    <s v="K. Verma"/>
    <x v="2"/>
    <x v="1"/>
    <x v="6"/>
    <n v="3570"/>
    <n v="3310"/>
    <n v="124"/>
    <n v="3.7462235649546829E-2"/>
    <n v="0.92717086834733897"/>
    <x v="4"/>
    <n v="0"/>
    <n v="0"/>
    <s v="None"/>
    <n v="64"/>
    <n v="7936"/>
    <n v="5702"/>
    <n v="2950"/>
    <n v="2950"/>
    <x v="69"/>
    <n v="5250"/>
  </r>
  <r>
    <s v="PR-1592"/>
    <d v="2026-08-24T00:00:00"/>
    <x v="1"/>
    <x v="1"/>
    <s v="Monday"/>
    <x v="1"/>
    <x v="1"/>
    <x v="1"/>
    <s v="Toothbrush"/>
    <x v="3"/>
    <s v="Electric Toothbrush Head Pack"/>
    <s v="B260824-L4B"/>
    <s v="S. Yadav"/>
    <x v="1"/>
    <x v="1"/>
    <x v="7"/>
    <n v="3430"/>
    <n v="3240"/>
    <n v="83"/>
    <n v="2.5617283950617284E-2"/>
    <n v="0.94460641399416911"/>
    <x v="5"/>
    <n v="0"/>
    <n v="0"/>
    <s v="None"/>
    <n v="64"/>
    <n v="5312"/>
    <n v="6090"/>
    <n v="3160"/>
    <n v="3160"/>
    <x v="70"/>
    <n v="5250"/>
  </r>
  <r>
    <s v="PR-1588"/>
    <d v="2026-08-24T00:00:00"/>
    <x v="1"/>
    <x v="1"/>
    <s v="Monday"/>
    <x v="0"/>
    <x v="1"/>
    <x v="1"/>
    <s v="Toothbrush"/>
    <x v="3"/>
    <s v="Electric Toothbrush Head Pack"/>
    <s v="B260824-L4A"/>
    <s v="K. Verma"/>
    <x v="2"/>
    <x v="1"/>
    <x v="7"/>
    <n v="3520"/>
    <n v="3540"/>
    <n v="67"/>
    <n v="1.8926553672316385E-2"/>
    <n v="1.0056818181818181"/>
    <x v="4"/>
    <n v="0"/>
    <n v="0"/>
    <s v="None"/>
    <n v="64"/>
    <n v="4288"/>
    <n v="6217"/>
    <n v="3600"/>
    <n v="3600"/>
    <x v="71"/>
    <n v="5250"/>
  </r>
  <r>
    <s v="PR-1702"/>
    <d v="2026-09-03T00:00:00"/>
    <x v="0"/>
    <x v="0"/>
    <s v="Thursday"/>
    <x v="1"/>
    <x v="0"/>
    <x v="0"/>
    <s v="Mouthwash"/>
    <x v="2"/>
    <s v="Mint Mouthwash 500ml"/>
    <s v="B260903-L2B"/>
    <s v="S. Yadav"/>
    <x v="2"/>
    <x v="0"/>
    <x v="0"/>
    <n v="4700"/>
    <n v="4800"/>
    <n v="135"/>
    <n v="2.8125000000000001E-2"/>
    <n v="1.0212765957446808"/>
    <x v="5"/>
    <n v="0"/>
    <n v="0"/>
    <s v="None"/>
    <n v="79"/>
    <n v="10665"/>
    <n v="5391"/>
    <n v="3920"/>
    <n v="3920"/>
    <x v="72"/>
    <n v="6750"/>
  </r>
  <r>
    <s v="PR-1692"/>
    <d v="2026-09-02T00:00:00"/>
    <x v="0"/>
    <x v="0"/>
    <s v="Wednesday"/>
    <x v="1"/>
    <x v="1"/>
    <x v="1"/>
    <s v="Toothbrush"/>
    <x v="3"/>
    <s v="Electric Toothbrush Head Pack"/>
    <s v="B260902-L4B"/>
    <s v="P. Singh"/>
    <x v="1"/>
    <x v="1"/>
    <x v="6"/>
    <n v="3620"/>
    <n v="3350"/>
    <n v="66"/>
    <n v="1.9701492537313434E-2"/>
    <n v="0.925414364640884"/>
    <x v="3"/>
    <n v="59"/>
    <n v="0.98333333333333328"/>
    <s v="Changeover"/>
    <n v="64"/>
    <n v="4224"/>
    <n v="5938"/>
    <n v="3080"/>
    <n v="3080"/>
    <x v="73"/>
    <n v="5250"/>
  </r>
  <r>
    <s v="PR-1556"/>
    <d v="2026-08-20T00:00:00"/>
    <x v="1"/>
    <x v="1"/>
    <s v="Thursday"/>
    <x v="2"/>
    <x v="1"/>
    <x v="1"/>
    <s v="Toothbrush"/>
    <x v="3"/>
    <s v="Electric Toothbrush Head Pack"/>
    <s v="B260820-L4C"/>
    <s v="M. Khan"/>
    <x v="1"/>
    <x v="1"/>
    <x v="1"/>
    <n v="3170"/>
    <n v="2810"/>
    <n v="83"/>
    <n v="2.9537366548042704E-2"/>
    <n v="0.88643533123028395"/>
    <x v="3"/>
    <n v="0"/>
    <n v="0"/>
    <s v="None"/>
    <n v="64"/>
    <n v="5312"/>
    <n v="6531"/>
    <n v="3080"/>
    <n v="3080"/>
    <x v="74"/>
    <n v="5250"/>
  </r>
  <r>
    <s v="PR-1739"/>
    <d v="2026-09-07T00:00:00"/>
    <x v="0"/>
    <x v="0"/>
    <s v="Monday"/>
    <x v="0"/>
    <x v="1"/>
    <x v="1"/>
    <s v="Toothbrush"/>
    <x v="3"/>
    <s v="Electric Toothbrush Head Pack"/>
    <s v="B260907-L4A"/>
    <s v="R. Sharma"/>
    <x v="2"/>
    <x v="1"/>
    <x v="1"/>
    <n v="3280"/>
    <n v="2950"/>
    <n v="55"/>
    <n v="1.864406779661017E-2"/>
    <n v="0.89939024390243905"/>
    <x v="4"/>
    <n v="0"/>
    <n v="0"/>
    <s v="None"/>
    <n v="64"/>
    <n v="3520"/>
    <n v="6642"/>
    <n v="3350"/>
    <n v="3350"/>
    <x v="75"/>
    <n v="5250"/>
  </r>
  <r>
    <s v="PR-1763"/>
    <d v="2026-09-09T00:00:00"/>
    <x v="0"/>
    <x v="0"/>
    <s v="Wednesday"/>
    <x v="0"/>
    <x v="1"/>
    <x v="1"/>
    <s v="Toothbrush"/>
    <x v="3"/>
    <s v="Electric Toothbrush Head Pack"/>
    <s v="B260909-L4A"/>
    <s v="K. Verma"/>
    <x v="2"/>
    <x v="1"/>
    <x v="0"/>
    <n v="3750"/>
    <n v="3430"/>
    <n v="40"/>
    <n v="1.1661807580174927E-2"/>
    <n v="0.91466666666666663"/>
    <x v="4"/>
    <n v="24"/>
    <n v="0.4"/>
    <s v="Material Shortage"/>
    <n v="64"/>
    <n v="2560"/>
    <n v="5843"/>
    <n v="3040"/>
    <n v="3040"/>
    <x v="76"/>
    <n v="5250"/>
  </r>
  <r>
    <s v="PR-1572"/>
    <d v="2026-08-22T00:00:00"/>
    <x v="1"/>
    <x v="1"/>
    <s v="Saturday"/>
    <x v="0"/>
    <x v="1"/>
    <x v="1"/>
    <s v="Toothbrush"/>
    <x v="3"/>
    <s v="Electric Toothbrush Head Pack"/>
    <s v="B260822-L4A"/>
    <s v="R. Sharma"/>
    <x v="1"/>
    <x v="1"/>
    <x v="7"/>
    <n v="3410"/>
    <n v="3240"/>
    <n v="81"/>
    <n v="2.5000000000000001E-2"/>
    <n v="0.95014662756598245"/>
    <x v="5"/>
    <n v="0"/>
    <n v="0"/>
    <s v="None"/>
    <n v="64"/>
    <n v="5184"/>
    <n v="6178"/>
    <n v="3120"/>
    <n v="3120"/>
    <x v="77"/>
    <n v="5250"/>
  </r>
  <r>
    <s v="PR-1606"/>
    <d v="2026-08-25T00:00:00"/>
    <x v="1"/>
    <x v="1"/>
    <s v="Tuesday"/>
    <x v="2"/>
    <x v="0"/>
    <x v="0"/>
    <s v="Mouthwash"/>
    <x v="2"/>
    <s v="Mint Mouthwash 500ml"/>
    <s v="B260825-L2C"/>
    <s v="A. Gupta"/>
    <x v="0"/>
    <x v="0"/>
    <x v="2"/>
    <n v="4690"/>
    <n v="4400"/>
    <n v="366"/>
    <n v="8.3181818181818176E-2"/>
    <n v="0.93816631130063965"/>
    <x v="1"/>
    <n v="0"/>
    <n v="0"/>
    <s v="None"/>
    <n v="79"/>
    <n v="28914"/>
    <n v="6640"/>
    <n v="4440"/>
    <n v="4440"/>
    <x v="78"/>
    <n v="6750"/>
  </r>
  <r>
    <s v="PR-1682"/>
    <d v="2026-09-01T00:00:00"/>
    <x v="0"/>
    <x v="0"/>
    <s v="Tuesday"/>
    <x v="2"/>
    <x v="0"/>
    <x v="0"/>
    <s v="Mouthwash"/>
    <x v="2"/>
    <s v="Mint Mouthwash 500ml"/>
    <s v="B260901-L2C"/>
    <s v="A. Gupta"/>
    <x v="0"/>
    <x v="0"/>
    <x v="3"/>
    <n v="4680"/>
    <n v="4340"/>
    <n v="355"/>
    <n v="8.1797235023041481E-2"/>
    <n v="0.92735042735042739"/>
    <x v="2"/>
    <n v="39"/>
    <n v="0.65"/>
    <s v="Machine Breakdown"/>
    <n v="79"/>
    <n v="28045"/>
    <n v="6259"/>
    <n v="4010"/>
    <n v="4010"/>
    <x v="78"/>
    <n v="6750"/>
  </r>
  <r>
    <s v="PR-1650"/>
    <d v="2026-08-29T00:00:00"/>
    <x v="1"/>
    <x v="1"/>
    <s v="Saturday"/>
    <x v="1"/>
    <x v="0"/>
    <x v="0"/>
    <s v="Mouthwash"/>
    <x v="2"/>
    <s v="Mint Mouthwash 500ml"/>
    <s v="B260829-L2B"/>
    <s v="S. Yadav"/>
    <x v="0"/>
    <x v="0"/>
    <x v="1"/>
    <n v="4970"/>
    <n v="4780"/>
    <n v="633"/>
    <n v="0.13242677824267782"/>
    <n v="0.9617706237424547"/>
    <x v="1"/>
    <n v="36"/>
    <n v="0.6"/>
    <s v="Changeover"/>
    <n v="79"/>
    <n v="50007"/>
    <n v="6422"/>
    <n v="4310"/>
    <n v="4310"/>
    <x v="79"/>
    <n v="6750"/>
  </r>
  <r>
    <s v="PR-1700"/>
    <d v="2026-09-03T00:00:00"/>
    <x v="0"/>
    <x v="0"/>
    <s v="Thursday"/>
    <x v="0"/>
    <x v="1"/>
    <x v="1"/>
    <s v="Toothbrush"/>
    <x v="3"/>
    <s v="Electric Toothbrush Head Pack"/>
    <s v="B260903-L4A"/>
    <s v="R. Sharma"/>
    <x v="1"/>
    <x v="1"/>
    <x v="7"/>
    <n v="3310"/>
    <n v="3130"/>
    <n v="90"/>
    <n v="2.8753993610223641E-2"/>
    <n v="0.94561933534743203"/>
    <x v="5"/>
    <n v="51"/>
    <n v="0.85"/>
    <s v="Machine Breakdown"/>
    <n v="64"/>
    <n v="5760"/>
    <n v="6142"/>
    <n v="2900"/>
    <n v="2900"/>
    <x v="80"/>
    <n v="5250"/>
  </r>
  <r>
    <s v="PR-1642"/>
    <d v="2026-08-28T00:00:00"/>
    <x v="1"/>
    <x v="1"/>
    <s v="Friday"/>
    <x v="2"/>
    <x v="0"/>
    <x v="0"/>
    <s v="Mouthwash"/>
    <x v="2"/>
    <s v="Mint Mouthwash 500ml"/>
    <s v="B260828-L2C"/>
    <s v="M. Khan"/>
    <x v="0"/>
    <x v="0"/>
    <x v="3"/>
    <n v="4420"/>
    <n v="3750"/>
    <n v="384"/>
    <n v="0.1024"/>
    <n v="0.84841628959276016"/>
    <x v="1"/>
    <n v="0"/>
    <n v="0"/>
    <s v="None"/>
    <n v="79"/>
    <n v="30336"/>
    <n v="7096"/>
    <n v="4040"/>
    <n v="4040"/>
    <x v="81"/>
    <n v="6750"/>
  </r>
  <r>
    <s v="PR-1777"/>
    <d v="2026-09-10T00:00:00"/>
    <x v="0"/>
    <x v="0"/>
    <s v="Thursday"/>
    <x v="1"/>
    <x v="0"/>
    <x v="0"/>
    <s v="Mouthwash"/>
    <x v="1"/>
    <s v="Alcohol-Free Mouthwash 250ml"/>
    <s v="B260910-L2B"/>
    <s v="S. Yadav"/>
    <x v="2"/>
    <x v="0"/>
    <x v="1"/>
    <n v="6540"/>
    <n v="6150"/>
    <n v="170"/>
    <n v="2.7642276422764227E-2"/>
    <n v="0.94036697247706424"/>
    <x v="5"/>
    <n v="0"/>
    <n v="0"/>
    <s v="None"/>
    <n v="58"/>
    <n v="9860"/>
    <n v="6735"/>
    <n v="6220"/>
    <n v="6220"/>
    <x v="82"/>
    <n v="9000"/>
  </r>
  <r>
    <s v="PR-1530"/>
    <d v="2026-08-18T00:00:00"/>
    <x v="1"/>
    <x v="1"/>
    <s v="Tuesday"/>
    <x v="2"/>
    <x v="0"/>
    <x v="0"/>
    <s v="Mouthwash"/>
    <x v="0"/>
    <s v="Mint Mouthwash 250ml"/>
    <s v="B260818-L2C"/>
    <s v="A. Gupta"/>
    <x v="0"/>
    <x v="0"/>
    <x v="2"/>
    <n v="7750"/>
    <n v="7080"/>
    <n v="838"/>
    <n v="0.11836158192090396"/>
    <n v="0.91354838709677422"/>
    <x v="1"/>
    <n v="0"/>
    <n v="0"/>
    <s v="None"/>
    <n v="46"/>
    <n v="38548"/>
    <n v="7402"/>
    <n v="7140"/>
    <n v="7140"/>
    <x v="83"/>
    <n v="10500"/>
  </r>
  <r>
    <s v="PR-1552"/>
    <d v="2026-08-20T00:00:00"/>
    <x v="1"/>
    <x v="1"/>
    <s v="Thursday"/>
    <x v="1"/>
    <x v="1"/>
    <x v="1"/>
    <s v="Toothbrush"/>
    <x v="3"/>
    <s v="Electric Toothbrush Head Pack"/>
    <s v="B260820-L4B"/>
    <s v="P. Singh"/>
    <x v="1"/>
    <x v="1"/>
    <x v="7"/>
    <n v="3740"/>
    <n v="3700"/>
    <n v="118"/>
    <n v="3.1891891891891892E-2"/>
    <n v="0.98930481283422456"/>
    <x v="0"/>
    <n v="36"/>
    <n v="0.6"/>
    <s v="Machine Breakdown"/>
    <n v="64"/>
    <n v="7552"/>
    <n v="6749"/>
    <n v="3800"/>
    <n v="3800"/>
    <x v="84"/>
    <n v="5250"/>
  </r>
  <r>
    <s v="PR-1716"/>
    <d v="2026-09-04T00:00:00"/>
    <x v="0"/>
    <x v="0"/>
    <s v="Friday"/>
    <x v="1"/>
    <x v="1"/>
    <x v="1"/>
    <s v="Toothbrush"/>
    <x v="3"/>
    <s v="Electric Toothbrush Head Pack"/>
    <s v="B260904-L4B"/>
    <s v="S. Yadav"/>
    <x v="1"/>
    <x v="1"/>
    <x v="7"/>
    <n v="3560"/>
    <n v="3360"/>
    <n v="58"/>
    <n v="1.7261904761904763E-2"/>
    <n v="0.9438202247191011"/>
    <x v="4"/>
    <n v="0"/>
    <n v="0"/>
    <s v="None"/>
    <n v="64"/>
    <n v="3712"/>
    <n v="6282"/>
    <n v="3020"/>
    <n v="3020"/>
    <x v="85"/>
    <n v="5250"/>
  </r>
  <r>
    <s v="PR-1583"/>
    <d v="2026-08-23T00:00:00"/>
    <x v="1"/>
    <x v="1"/>
    <s v="Sunday"/>
    <x v="1"/>
    <x v="0"/>
    <x v="0"/>
    <s v="Mouthwash"/>
    <x v="2"/>
    <s v="Mint Mouthwash 500ml"/>
    <s v="B260823-L2B"/>
    <s v="P. Singh"/>
    <x v="1"/>
    <x v="0"/>
    <x v="3"/>
    <n v="3370"/>
    <n v="2810"/>
    <n v="94"/>
    <n v="3.3451957295373667E-2"/>
    <n v="0.83382789317507422"/>
    <x v="0"/>
    <n v="45"/>
    <n v="0.75"/>
    <s v="Machine Breakdown"/>
    <n v="79"/>
    <n v="7426"/>
    <n v="7204"/>
    <n v="3280"/>
    <n v="3280"/>
    <x v="86"/>
    <n v="6750"/>
  </r>
  <r>
    <s v="PR-1735"/>
    <d v="2026-09-06T00:00:00"/>
    <x v="0"/>
    <x v="0"/>
    <s v="Sunday"/>
    <x v="1"/>
    <x v="1"/>
    <x v="1"/>
    <s v="Toothbrush"/>
    <x v="3"/>
    <s v="Electric Toothbrush Head Pack"/>
    <s v="B260906-L4B"/>
    <s v="P. Singh"/>
    <x v="1"/>
    <x v="1"/>
    <x v="2"/>
    <n v="2370"/>
    <n v="1930"/>
    <n v="40"/>
    <n v="2.072538860103627E-2"/>
    <n v="0.81434599156118148"/>
    <x v="5"/>
    <n v="0"/>
    <n v="0"/>
    <s v="None"/>
    <n v="64"/>
    <n v="2560"/>
    <n v="6752"/>
    <n v="2000"/>
    <n v="2000"/>
    <x v="87"/>
    <n v="5250"/>
  </r>
  <r>
    <s v="PR-1544"/>
    <d v="2026-08-19T00:00:00"/>
    <x v="1"/>
    <x v="1"/>
    <s v="Wednesday"/>
    <x v="2"/>
    <x v="1"/>
    <x v="1"/>
    <s v="Toothbrush"/>
    <x v="3"/>
    <s v="Electric Toothbrush Head Pack"/>
    <s v="B260819-L4C"/>
    <s v="M. Khan"/>
    <x v="2"/>
    <x v="1"/>
    <x v="7"/>
    <n v="3350"/>
    <n v="3150"/>
    <n v="34"/>
    <n v="1.0793650793650795E-2"/>
    <n v="0.94029850746268662"/>
    <x v="3"/>
    <n v="0"/>
    <n v="0"/>
    <s v="None"/>
    <n v="64"/>
    <n v="2176"/>
    <n v="6850"/>
    <n v="3300"/>
    <n v="3300"/>
    <x v="88"/>
    <n v="5250"/>
  </r>
  <r>
    <s v="PR-1799"/>
    <d v="2026-09-12T00:00:00"/>
    <x v="0"/>
    <x v="0"/>
    <s v="Saturday"/>
    <x v="0"/>
    <x v="1"/>
    <x v="1"/>
    <s v="Toothbrush"/>
    <x v="3"/>
    <s v="Electric Toothbrush Head Pack"/>
    <s v="B260912-L4A"/>
    <s v="R. Sharma"/>
    <x v="1"/>
    <x v="1"/>
    <x v="0"/>
    <n v="3730"/>
    <n v="3620"/>
    <n v="108"/>
    <n v="2.9834254143646408E-2"/>
    <n v="0.97050938337801607"/>
    <x v="0"/>
    <n v="0"/>
    <n v="0"/>
    <s v="None"/>
    <n v="64"/>
    <n v="6912"/>
    <n v="6193"/>
    <n v="2990"/>
    <n v="2990"/>
    <x v="89"/>
    <n v="5250"/>
  </r>
  <r>
    <s v="PR-1773"/>
    <d v="2026-09-10T00:00:00"/>
    <x v="0"/>
    <x v="0"/>
    <s v="Thursday"/>
    <x v="0"/>
    <x v="0"/>
    <x v="0"/>
    <s v="Mouthwash"/>
    <x v="1"/>
    <s v="Alcohol-Free Mouthwash 250ml"/>
    <s v="B260910-L2A"/>
    <s v="K. Verma"/>
    <x v="1"/>
    <x v="0"/>
    <x v="0"/>
    <n v="6170"/>
    <n v="5760"/>
    <n v="180"/>
    <n v="3.125E-2"/>
    <n v="0.93354943273905999"/>
    <x v="2"/>
    <n v="25"/>
    <n v="0.41666666666666669"/>
    <s v="Cleaning / Sanitation"/>
    <n v="58"/>
    <n v="10440"/>
    <n v="6995"/>
    <n v="5840"/>
    <n v="5840"/>
    <x v="90"/>
    <n v="9000"/>
  </r>
  <r>
    <s v="PR-1548"/>
    <d v="2026-08-20T00:00:00"/>
    <x v="1"/>
    <x v="1"/>
    <s v="Thursday"/>
    <x v="0"/>
    <x v="1"/>
    <x v="1"/>
    <s v="Toothbrush"/>
    <x v="3"/>
    <s v="Electric Toothbrush Head Pack"/>
    <s v="B260820-L4A"/>
    <s v="R. Sharma"/>
    <x v="1"/>
    <x v="1"/>
    <x v="6"/>
    <n v="3230"/>
    <n v="2950"/>
    <n v="77"/>
    <n v="2.6101694915254239E-2"/>
    <n v="0.91331269349845201"/>
    <x v="3"/>
    <n v="0"/>
    <n v="0"/>
    <s v="None"/>
    <n v="64"/>
    <n v="4928"/>
    <n v="6666"/>
    <n v="2790"/>
    <n v="2790"/>
    <x v="91"/>
    <n v="5250"/>
  </r>
  <r>
    <s v="PR-1610"/>
    <d v="2026-08-26T00:00:00"/>
    <x v="1"/>
    <x v="1"/>
    <s v="Wednesday"/>
    <x v="0"/>
    <x v="0"/>
    <x v="0"/>
    <s v="Mouthwash"/>
    <x v="2"/>
    <s v="Mint Mouthwash 500ml"/>
    <s v="B260826-L2A"/>
    <s v="R. Sharma"/>
    <x v="1"/>
    <x v="0"/>
    <x v="1"/>
    <n v="5230"/>
    <n v="5090"/>
    <n v="173"/>
    <n v="3.398821218074656E-2"/>
    <n v="0.97323135755258128"/>
    <x v="5"/>
    <n v="61"/>
    <n v="1.0166666666666666"/>
    <s v="Cleaning / Sanitation"/>
    <n v="79"/>
    <n v="13667"/>
    <n v="6234"/>
    <n v="4400"/>
    <n v="4400"/>
    <x v="92"/>
    <n v="6750"/>
  </r>
  <r>
    <s v="PR-1728"/>
    <d v="2026-09-05T00:00:00"/>
    <x v="0"/>
    <x v="0"/>
    <s v="Saturday"/>
    <x v="1"/>
    <x v="1"/>
    <x v="1"/>
    <s v="Toothbrush"/>
    <x v="3"/>
    <s v="Electric Toothbrush Head Pack"/>
    <s v="B260905-L4B"/>
    <s v="P. Singh"/>
    <x v="2"/>
    <x v="1"/>
    <x v="7"/>
    <n v="3320"/>
    <n v="3270"/>
    <n v="82"/>
    <n v="2.5076452599388378E-2"/>
    <n v="0.98493975903614461"/>
    <x v="5"/>
    <n v="0"/>
    <n v="0"/>
    <s v="None"/>
    <n v="64"/>
    <n v="5248"/>
    <n v="6564"/>
    <n v="3000"/>
    <n v="3000"/>
    <x v="93"/>
    <n v="5250"/>
  </r>
  <r>
    <s v="PR-1781"/>
    <d v="2026-09-10T00:00:00"/>
    <x v="0"/>
    <x v="0"/>
    <s v="Thursday"/>
    <x v="2"/>
    <x v="0"/>
    <x v="0"/>
    <s v="Mouthwash"/>
    <x v="1"/>
    <s v="Alcohol-Free Mouthwash 250ml"/>
    <s v="B260910-L2C"/>
    <s v="M. Khan"/>
    <x v="0"/>
    <x v="0"/>
    <x v="1"/>
    <n v="6120"/>
    <n v="5860"/>
    <n v="529"/>
    <n v="9.027303754266211E-2"/>
    <n v="0.95751633986928109"/>
    <x v="1"/>
    <n v="0"/>
    <n v="0"/>
    <s v="None"/>
    <n v="58"/>
    <n v="30682"/>
    <n v="6495"/>
    <n v="5020"/>
    <n v="5020"/>
    <x v="94"/>
    <n v="9000"/>
  </r>
  <r>
    <s v="PR-1976"/>
    <d v="2026-09-28T00:00:00"/>
    <x v="0"/>
    <x v="0"/>
    <s v="Monday"/>
    <x v="2"/>
    <x v="1"/>
    <x v="1"/>
    <s v="Toothbrush"/>
    <x v="3"/>
    <s v="Electric Toothbrush Head Pack"/>
    <s v="B260928-L4C"/>
    <s v="M. Khan"/>
    <x v="1"/>
    <x v="1"/>
    <x v="2"/>
    <n v="3240"/>
    <n v="2660"/>
    <n v="59"/>
    <n v="2.218045112781955E-2"/>
    <n v="0.82098765432098764"/>
    <x v="5"/>
    <n v="26"/>
    <n v="0.43333333333333335"/>
    <s v="Power Interruption"/>
    <n v="64"/>
    <n v="3776"/>
    <n v="7229"/>
    <n v="3010"/>
    <n v="3010"/>
    <x v="95"/>
    <n v="5250"/>
  </r>
  <r>
    <s v="PR-1536"/>
    <d v="2026-08-19T00:00:00"/>
    <x v="1"/>
    <x v="1"/>
    <s v="Wednesday"/>
    <x v="0"/>
    <x v="1"/>
    <x v="1"/>
    <s v="Toothbrush"/>
    <x v="3"/>
    <s v="Electric Toothbrush Head Pack"/>
    <s v="B260819-L4A"/>
    <s v="R. Sharma"/>
    <x v="1"/>
    <x v="1"/>
    <x v="7"/>
    <n v="3570"/>
    <n v="3290"/>
    <n v="91"/>
    <n v="2.7659574468085105E-2"/>
    <n v="0.92156862745098034"/>
    <x v="4"/>
    <n v="0"/>
    <n v="0"/>
    <s v="None"/>
    <n v="64"/>
    <n v="5824"/>
    <n v="7081"/>
    <n v="3430"/>
    <n v="3430"/>
    <x v="96"/>
    <n v="5250"/>
  </r>
  <r>
    <s v="PR-1534"/>
    <d v="2026-08-19T00:00:00"/>
    <x v="1"/>
    <x v="1"/>
    <s v="Wednesday"/>
    <x v="0"/>
    <x v="0"/>
    <x v="0"/>
    <s v="Mouthwash"/>
    <x v="0"/>
    <s v="Mint Mouthwash 250ml"/>
    <s v="B260819-L2A"/>
    <s v="K. Verma"/>
    <x v="2"/>
    <x v="0"/>
    <x v="1"/>
    <n v="7680"/>
    <n v="7470"/>
    <n v="147"/>
    <n v="1.967871485943775E-2"/>
    <n v="0.97265625"/>
    <x v="5"/>
    <n v="0"/>
    <n v="0"/>
    <s v="None"/>
    <n v="46"/>
    <n v="6762"/>
    <n v="6504"/>
    <n v="6920"/>
    <n v="6920"/>
    <x v="97"/>
    <n v="10500"/>
  </r>
  <r>
    <s v="PR-1454"/>
    <d v="2026-08-11T00:00:00"/>
    <x v="1"/>
    <x v="1"/>
    <s v="Tuesday"/>
    <x v="1"/>
    <x v="1"/>
    <x v="1"/>
    <s v="Toothbrush"/>
    <x v="3"/>
    <s v="Electric Toothbrush Head Pack"/>
    <s v="B260811-L4B"/>
    <s v="P. Singh"/>
    <x v="2"/>
    <x v="1"/>
    <x v="6"/>
    <n v="3750"/>
    <n v="3440"/>
    <n v="68"/>
    <n v="1.9767441860465116E-2"/>
    <n v="0.91733333333333333"/>
    <x v="3"/>
    <n v="21"/>
    <n v="0.35"/>
    <s v="Changeover"/>
    <n v="64"/>
    <n v="4352"/>
    <n v="7288"/>
    <n v="3720"/>
    <n v="3720"/>
    <x v="98"/>
    <n v="5250"/>
  </r>
  <r>
    <s v="PR-1470"/>
    <d v="2026-08-12T00:00:00"/>
    <x v="1"/>
    <x v="1"/>
    <s v="Wednesday"/>
    <x v="2"/>
    <x v="1"/>
    <x v="1"/>
    <s v="Toothbrush"/>
    <x v="3"/>
    <s v="Electric Toothbrush Head Pack"/>
    <s v="B260812-L4C"/>
    <s v="M. Khan"/>
    <x v="1"/>
    <x v="1"/>
    <x v="2"/>
    <n v="3490"/>
    <n v="2970"/>
    <n v="65"/>
    <n v="2.1885521885521887E-2"/>
    <n v="0.85100286532951286"/>
    <x v="0"/>
    <n v="0"/>
    <n v="0"/>
    <s v="None"/>
    <n v="64"/>
    <n v="4160"/>
    <n v="7271"/>
    <n v="3230"/>
    <n v="3230"/>
    <x v="99"/>
    <n v="5250"/>
  </r>
  <r>
    <s v="PR-1996"/>
    <d v="2026-09-30T00:00:00"/>
    <x v="0"/>
    <x v="0"/>
    <s v="Wednesday"/>
    <x v="1"/>
    <x v="1"/>
    <x v="1"/>
    <s v="Toothbrush"/>
    <x v="3"/>
    <s v="Electric Toothbrush Head Pack"/>
    <s v="B260930-L4B"/>
    <s v="P. Singh"/>
    <x v="1"/>
    <x v="1"/>
    <x v="7"/>
    <n v="3710"/>
    <n v="3630"/>
    <n v="97"/>
    <n v="2.672176308539945E-2"/>
    <n v="0.97843665768194066"/>
    <x v="5"/>
    <n v="0"/>
    <n v="0"/>
    <s v="None"/>
    <n v="64"/>
    <n v="6208"/>
    <n v="6820"/>
    <n v="3400"/>
    <n v="3400"/>
    <x v="100"/>
    <n v="5250"/>
  </r>
  <r>
    <s v="PR-1814"/>
    <d v="2026-09-14T00:00:00"/>
    <x v="0"/>
    <x v="0"/>
    <s v="Monday"/>
    <x v="0"/>
    <x v="1"/>
    <x v="1"/>
    <s v="Toothbrush"/>
    <x v="3"/>
    <s v="Electric Toothbrush Head Pack"/>
    <s v="B260914-L4A"/>
    <s v="K. Verma"/>
    <x v="2"/>
    <x v="1"/>
    <x v="0"/>
    <n v="3550"/>
    <n v="3330"/>
    <n v="74"/>
    <n v="2.2222222222222223E-2"/>
    <n v="0.93802816901408448"/>
    <x v="3"/>
    <n v="0"/>
    <n v="0"/>
    <s v="None"/>
    <n v="64"/>
    <n v="4736"/>
    <n v="6715"/>
    <n v="3010"/>
    <n v="3010"/>
    <x v="101"/>
    <n v="5250"/>
  </r>
  <r>
    <s v="PR-1749"/>
    <d v="2026-09-08T00:00:00"/>
    <x v="0"/>
    <x v="0"/>
    <s v="Tuesday"/>
    <x v="0"/>
    <x v="0"/>
    <x v="0"/>
    <s v="Mouthwash"/>
    <x v="1"/>
    <s v="Alcohol-Free Mouthwash 250ml"/>
    <s v="B260908-L2A"/>
    <s v="R. Sharma"/>
    <x v="2"/>
    <x v="0"/>
    <x v="0"/>
    <n v="6190"/>
    <n v="5840"/>
    <n v="128"/>
    <n v="2.1917808219178082E-2"/>
    <n v="0.94345718901453957"/>
    <x v="3"/>
    <n v="35"/>
    <n v="0.58333333333333337"/>
    <s v="Changeover"/>
    <n v="58"/>
    <n v="7424"/>
    <n v="7213"/>
    <n v="5930"/>
    <n v="5930"/>
    <x v="102"/>
    <n v="9000"/>
  </r>
  <r>
    <s v="PR-1478"/>
    <d v="2026-08-13T00:00:00"/>
    <x v="1"/>
    <x v="1"/>
    <s v="Thursday"/>
    <x v="1"/>
    <x v="1"/>
    <x v="1"/>
    <s v="Toothbrush"/>
    <x v="3"/>
    <s v="Electric Toothbrush Head Pack"/>
    <s v="B260813-L4B"/>
    <s v="P. Singh"/>
    <x v="2"/>
    <x v="1"/>
    <x v="7"/>
    <n v="3750"/>
    <n v="3480"/>
    <n v="94"/>
    <n v="2.7011494252873563E-2"/>
    <n v="0.92800000000000005"/>
    <x v="0"/>
    <n v="0"/>
    <n v="0"/>
    <s v="None"/>
    <n v="64"/>
    <n v="6016"/>
    <n v="6946"/>
    <n v="3310"/>
    <n v="3310"/>
    <x v="103"/>
    <n v="5250"/>
  </r>
  <r>
    <s v="PR-1490"/>
    <d v="2026-08-14T00:00:00"/>
    <x v="1"/>
    <x v="1"/>
    <s v="Friday"/>
    <x v="1"/>
    <x v="1"/>
    <x v="1"/>
    <s v="Toothbrush"/>
    <x v="3"/>
    <s v="Electric Toothbrush Head Pack"/>
    <s v="B260814-L4B"/>
    <s v="S. Yadav"/>
    <x v="2"/>
    <x v="1"/>
    <x v="7"/>
    <n v="3540"/>
    <n v="3540"/>
    <n v="114"/>
    <n v="3.2203389830508473E-2"/>
    <n v="1"/>
    <x v="0"/>
    <n v="0"/>
    <n v="0"/>
    <s v="None"/>
    <n v="64"/>
    <n v="7296"/>
    <n v="7022"/>
    <n v="3420"/>
    <n v="3420"/>
    <x v="104"/>
    <n v="5250"/>
  </r>
  <r>
    <s v="PR-1502"/>
    <d v="2026-08-15T00:00:00"/>
    <x v="1"/>
    <x v="1"/>
    <s v="Saturday"/>
    <x v="1"/>
    <x v="1"/>
    <x v="1"/>
    <s v="Toothbrush"/>
    <x v="3"/>
    <s v="Electric Toothbrush Head Pack"/>
    <s v="B260815-L4B"/>
    <s v="S. Yadav"/>
    <x v="2"/>
    <x v="1"/>
    <x v="7"/>
    <n v="3600"/>
    <n v="3470"/>
    <n v="86"/>
    <n v="2.4783861671469742E-2"/>
    <n v="0.96388888888888891"/>
    <x v="2"/>
    <n v="0"/>
    <n v="0"/>
    <s v="None"/>
    <n v="64"/>
    <n v="5504"/>
    <n v="7028"/>
    <n v="3370"/>
    <n v="3370"/>
    <x v="105"/>
    <n v="5250"/>
  </r>
  <r>
    <s v="PR-1512"/>
    <d v="2026-08-17T00:00:00"/>
    <x v="1"/>
    <x v="1"/>
    <s v="Monday"/>
    <x v="0"/>
    <x v="1"/>
    <x v="1"/>
    <s v="Toothbrush"/>
    <x v="3"/>
    <s v="Electric Toothbrush Head Pack"/>
    <s v="B260817-L4A"/>
    <s v="K. Verma"/>
    <x v="1"/>
    <x v="1"/>
    <x v="0"/>
    <n v="3370"/>
    <n v="3130"/>
    <n v="83"/>
    <n v="2.6517571884984027E-2"/>
    <n v="0.92878338278931749"/>
    <x v="0"/>
    <n v="0"/>
    <n v="0"/>
    <s v="None"/>
    <n v="64"/>
    <n v="5312"/>
    <n v="7154"/>
    <n v="3130"/>
    <n v="3130"/>
    <x v="106"/>
    <n v="5250"/>
  </r>
  <r>
    <s v="PR-1524"/>
    <d v="2026-08-18T00:00:00"/>
    <x v="1"/>
    <x v="1"/>
    <s v="Tuesday"/>
    <x v="0"/>
    <x v="1"/>
    <x v="1"/>
    <s v="Toothbrush"/>
    <x v="3"/>
    <s v="Electric Toothbrush Head Pack"/>
    <s v="B260818-L4A"/>
    <s v="R. Sharma"/>
    <x v="2"/>
    <x v="1"/>
    <x v="7"/>
    <n v="3430"/>
    <n v="3330"/>
    <n v="70"/>
    <n v="2.1021021021021023E-2"/>
    <n v="0.9708454810495627"/>
    <x v="3"/>
    <n v="47"/>
    <n v="0.78333333333333333"/>
    <s v="Changeover"/>
    <n v="64"/>
    <n v="4480"/>
    <n v="7071"/>
    <n v="3250"/>
    <n v="3250"/>
    <x v="107"/>
    <n v="5250"/>
  </r>
  <r>
    <s v="PR-1626"/>
    <d v="2026-08-27T00:00:00"/>
    <x v="1"/>
    <x v="1"/>
    <s v="Thursday"/>
    <x v="1"/>
    <x v="0"/>
    <x v="0"/>
    <s v="Mouthwash"/>
    <x v="2"/>
    <s v="Mint Mouthwash 500ml"/>
    <s v="B260827-L2B"/>
    <s v="S. Yadav"/>
    <x v="1"/>
    <x v="0"/>
    <x v="2"/>
    <n v="4230"/>
    <n v="3930"/>
    <n v="85"/>
    <n v="2.1628498727735368E-2"/>
    <n v="0.92907801418439717"/>
    <x v="0"/>
    <n v="0"/>
    <n v="0"/>
    <s v="None"/>
    <n v="79"/>
    <n v="6715"/>
    <n v="6751"/>
    <n v="3500"/>
    <n v="3500"/>
    <x v="108"/>
    <n v="6750"/>
  </r>
  <r>
    <s v="PR-1506"/>
    <d v="2026-08-15T00:00:00"/>
    <x v="1"/>
    <x v="1"/>
    <s v="Saturday"/>
    <x v="2"/>
    <x v="1"/>
    <x v="1"/>
    <s v="Toothbrush"/>
    <x v="3"/>
    <s v="Electric Toothbrush Head Pack"/>
    <s v="B260815-L4C"/>
    <s v="A. Gupta"/>
    <x v="1"/>
    <x v="1"/>
    <x v="0"/>
    <n v="3570"/>
    <n v="3370"/>
    <n v="98"/>
    <n v="2.9080118694362018E-2"/>
    <n v="0.94397759103641454"/>
    <x v="2"/>
    <n v="0"/>
    <n v="0"/>
    <s v="None"/>
    <n v="64"/>
    <n v="6272"/>
    <n v="7042"/>
    <n v="3160"/>
    <n v="3160"/>
    <x v="109"/>
    <n v="5250"/>
  </r>
  <r>
    <s v="PR-1797"/>
    <d v="2026-09-12T00:00:00"/>
    <x v="0"/>
    <x v="0"/>
    <s v="Saturday"/>
    <x v="0"/>
    <x v="0"/>
    <x v="0"/>
    <s v="Mouthwash"/>
    <x v="1"/>
    <s v="Alcohol-Free Mouthwash 250ml"/>
    <s v="B260912-L2A"/>
    <s v="R. Sharma"/>
    <x v="2"/>
    <x v="0"/>
    <x v="2"/>
    <n v="6630"/>
    <n v="6240"/>
    <n v="151"/>
    <n v="2.4198717948717949E-2"/>
    <n v="0.94117647058823528"/>
    <x v="4"/>
    <n v="0"/>
    <n v="0"/>
    <s v="None"/>
    <n v="58"/>
    <n v="8758"/>
    <n v="6806"/>
    <n v="5740"/>
    <n v="5740"/>
    <x v="110"/>
    <n v="9000"/>
  </r>
  <r>
    <s v="PR-1431"/>
    <d v="2026-08-09T00:00:00"/>
    <x v="1"/>
    <x v="1"/>
    <s v="Sunday"/>
    <x v="0"/>
    <x v="1"/>
    <x v="1"/>
    <s v="Toothbrush"/>
    <x v="3"/>
    <s v="Electric Toothbrush Head Pack"/>
    <s v="B260809-L4A"/>
    <s v="R. Sharma"/>
    <x v="2"/>
    <x v="1"/>
    <x v="1"/>
    <n v="2640"/>
    <n v="2280"/>
    <n v="61"/>
    <n v="2.6754385964912281E-2"/>
    <n v="0.86363636363636365"/>
    <x v="2"/>
    <n v="35"/>
    <n v="0.58333333333333337"/>
    <s v="Material Shortage"/>
    <n v="64"/>
    <n v="3904"/>
    <n v="7385"/>
    <n v="2410"/>
    <n v="2410"/>
    <x v="111"/>
    <n v="5250"/>
  </r>
  <r>
    <s v="PR-1578"/>
    <d v="2026-08-22T00:00:00"/>
    <x v="1"/>
    <x v="1"/>
    <s v="Saturday"/>
    <x v="2"/>
    <x v="0"/>
    <x v="0"/>
    <s v="Mouthwash"/>
    <x v="2"/>
    <s v="Mint Mouthwash 500ml"/>
    <s v="B260822-L2C"/>
    <s v="M. Khan"/>
    <x v="0"/>
    <x v="0"/>
    <x v="4"/>
    <n v="4300"/>
    <n v="3710"/>
    <n v="352"/>
    <n v="9.4878706199460913E-2"/>
    <n v="0.86279069767441863"/>
    <x v="1"/>
    <n v="0"/>
    <n v="0"/>
    <s v="None"/>
    <n v="79"/>
    <n v="27808"/>
    <n v="7536"/>
    <n v="3690"/>
    <n v="3690"/>
    <x v="112"/>
    <n v="6750"/>
  </r>
  <r>
    <s v="PR-1956"/>
    <d v="2026-09-26T00:00:00"/>
    <x v="0"/>
    <x v="0"/>
    <s v="Saturday"/>
    <x v="1"/>
    <x v="1"/>
    <x v="1"/>
    <s v="Toothbrush"/>
    <x v="3"/>
    <s v="Electric Toothbrush Head Pack"/>
    <s v="B260926-L4B"/>
    <s v="S. Yadav"/>
    <x v="1"/>
    <x v="1"/>
    <x v="2"/>
    <n v="3320"/>
    <n v="2720"/>
    <n v="80"/>
    <n v="2.9411764705882353E-2"/>
    <n v="0.81927710843373491"/>
    <x v="5"/>
    <n v="72"/>
    <n v="1.2"/>
    <s v="Changeover"/>
    <n v="64"/>
    <n v="5120"/>
    <n v="7798"/>
    <n v="3230"/>
    <n v="3230"/>
    <x v="113"/>
    <n v="5250"/>
  </r>
  <r>
    <s v="PR-1741"/>
    <d v="2026-09-07T00:00:00"/>
    <x v="0"/>
    <x v="0"/>
    <s v="Monday"/>
    <x v="1"/>
    <x v="0"/>
    <x v="0"/>
    <s v="Mouthwash"/>
    <x v="1"/>
    <s v="Alcohol-Free Mouthwash 250ml"/>
    <s v="B260907-L2B"/>
    <s v="S. Yadav"/>
    <x v="0"/>
    <x v="0"/>
    <x v="0"/>
    <n v="6930"/>
    <n v="6420"/>
    <n v="613"/>
    <n v="9.5482866043613709E-2"/>
    <n v="0.92640692640692646"/>
    <x v="1"/>
    <n v="0"/>
    <n v="0"/>
    <s v="None"/>
    <n v="58"/>
    <n v="35554"/>
    <n v="8076"/>
    <n v="6670"/>
    <n v="6670"/>
    <x v="114"/>
    <n v="9000"/>
  </r>
  <r>
    <s v="PR-1968"/>
    <d v="2026-09-28T00:00:00"/>
    <x v="0"/>
    <x v="0"/>
    <s v="Monday"/>
    <x v="0"/>
    <x v="1"/>
    <x v="1"/>
    <s v="Toothbrush"/>
    <x v="3"/>
    <s v="Electric Toothbrush Head Pack"/>
    <s v="B260928-L4A"/>
    <s v="R. Sharma"/>
    <x v="2"/>
    <x v="1"/>
    <x v="7"/>
    <n v="3360"/>
    <n v="2910"/>
    <n v="79"/>
    <n v="2.7147766323024056E-2"/>
    <n v="0.8660714285714286"/>
    <x v="3"/>
    <n v="0"/>
    <n v="0"/>
    <s v="None"/>
    <n v="64"/>
    <n v="5056"/>
    <n v="7208"/>
    <n v="2810"/>
    <n v="2810"/>
    <x v="115"/>
    <n v="5250"/>
  </r>
  <r>
    <s v="PR-1466"/>
    <d v="2026-08-12T00:00:00"/>
    <x v="1"/>
    <x v="1"/>
    <s v="Wednesday"/>
    <x v="1"/>
    <x v="1"/>
    <x v="1"/>
    <s v="Toothbrush"/>
    <x v="3"/>
    <s v="Electric Toothbrush Head Pack"/>
    <s v="B260812-L4B"/>
    <s v="P. Singh"/>
    <x v="1"/>
    <x v="1"/>
    <x v="7"/>
    <n v="3490"/>
    <n v="3480"/>
    <n v="109"/>
    <n v="3.1321839080459768E-2"/>
    <n v="0.99713467048710602"/>
    <x v="3"/>
    <n v="22"/>
    <n v="0.36666666666666664"/>
    <s v="Changeover"/>
    <n v="64"/>
    <n v="6976"/>
    <n v="6940"/>
    <n v="3040"/>
    <n v="3040"/>
    <x v="116"/>
    <n v="5250"/>
  </r>
  <r>
    <s v="PR-1834"/>
    <d v="2026-09-15T00:00:00"/>
    <x v="0"/>
    <x v="0"/>
    <s v="Tuesday"/>
    <x v="2"/>
    <x v="1"/>
    <x v="1"/>
    <s v="Toothbrush"/>
    <x v="3"/>
    <s v="Electric Toothbrush Head Pack"/>
    <s v="B260915-L4C"/>
    <s v="A. Gupta"/>
    <x v="2"/>
    <x v="1"/>
    <x v="2"/>
    <n v="3440"/>
    <n v="3000"/>
    <n v="59"/>
    <n v="1.9666666666666666E-2"/>
    <n v="0.87209302325581395"/>
    <x v="5"/>
    <n v="0"/>
    <n v="0"/>
    <s v="None"/>
    <n v="64"/>
    <n v="3776"/>
    <n v="7542"/>
    <n v="3200"/>
    <n v="3200"/>
    <x v="117"/>
    <n v="5250"/>
  </r>
  <r>
    <s v="PR-1446"/>
    <d v="2026-08-10T00:00:00"/>
    <x v="1"/>
    <x v="1"/>
    <s v="Monday"/>
    <x v="2"/>
    <x v="1"/>
    <x v="1"/>
    <s v="Toothbrush"/>
    <x v="3"/>
    <s v="Electric Toothbrush Head Pack"/>
    <s v="B260810-L4C"/>
    <s v="M. Khan"/>
    <x v="1"/>
    <x v="1"/>
    <x v="6"/>
    <n v="3080"/>
    <n v="2930"/>
    <n v="86"/>
    <n v="2.9351535836177476E-2"/>
    <n v="0.95129870129870131"/>
    <x v="2"/>
    <n v="0"/>
    <n v="0"/>
    <s v="None"/>
    <n v="64"/>
    <n v="5504"/>
    <n v="7194"/>
    <n v="2750"/>
    <n v="2750"/>
    <x v="118"/>
    <n v="5250"/>
  </r>
  <r>
    <s v="PR-1822"/>
    <d v="2026-09-14T00:00:00"/>
    <x v="0"/>
    <x v="0"/>
    <s v="Monday"/>
    <x v="2"/>
    <x v="1"/>
    <x v="1"/>
    <s v="Toothbrush"/>
    <x v="3"/>
    <s v="Electric Toothbrush Head Pack"/>
    <s v="B260914-L4C"/>
    <s v="M. Khan"/>
    <x v="2"/>
    <x v="1"/>
    <x v="0"/>
    <n v="3430"/>
    <n v="3200"/>
    <n v="59"/>
    <n v="1.8437499999999999E-2"/>
    <n v="0.93294460641399413"/>
    <x v="4"/>
    <n v="0"/>
    <n v="0"/>
    <s v="None"/>
    <n v="64"/>
    <n v="3776"/>
    <n v="6961"/>
    <n v="2800"/>
    <n v="2800"/>
    <x v="119"/>
    <n v="5250"/>
  </r>
  <r>
    <s v="PR-1427"/>
    <d v="2026-08-08T00:00:00"/>
    <x v="1"/>
    <x v="1"/>
    <s v="Saturday"/>
    <x v="2"/>
    <x v="1"/>
    <x v="1"/>
    <s v="Toothbrush"/>
    <x v="3"/>
    <s v="Electric Toothbrush Head Pack"/>
    <s v="B260808-L4C"/>
    <s v="A. Gupta"/>
    <x v="1"/>
    <x v="1"/>
    <x v="3"/>
    <n v="3350"/>
    <n v="2960"/>
    <n v="83"/>
    <n v="2.8040540540540542E-2"/>
    <n v="0.88358208955223883"/>
    <x v="5"/>
    <n v="0"/>
    <n v="0"/>
    <s v="None"/>
    <n v="64"/>
    <n v="5312"/>
    <n v="7888"/>
    <n v="3380"/>
    <n v="3380"/>
    <x v="120"/>
    <n v="5250"/>
  </r>
  <r>
    <s v="PR-1522"/>
    <d v="2026-08-18T00:00:00"/>
    <x v="1"/>
    <x v="1"/>
    <s v="Tuesday"/>
    <x v="0"/>
    <x v="0"/>
    <x v="0"/>
    <s v="Mouthwash"/>
    <x v="0"/>
    <s v="Mint Mouthwash 250ml"/>
    <s v="B260818-L2A"/>
    <s v="K. Verma"/>
    <x v="2"/>
    <x v="0"/>
    <x v="2"/>
    <n v="7910"/>
    <n v="6820"/>
    <n v="170"/>
    <n v="2.4926686217008796E-2"/>
    <n v="0.86219974715549941"/>
    <x v="0"/>
    <n v="53"/>
    <n v="0.8833333333333333"/>
    <s v="Machine Breakdown"/>
    <n v="46"/>
    <n v="7820"/>
    <n v="8232"/>
    <n v="7480"/>
    <n v="7480"/>
    <x v="121"/>
    <n v="10500"/>
  </r>
  <r>
    <s v="PR-1508"/>
    <d v="2026-08-16T00:00:00"/>
    <x v="1"/>
    <x v="1"/>
    <s v="Sunday"/>
    <x v="1"/>
    <x v="0"/>
    <x v="0"/>
    <s v="Mouthwash"/>
    <x v="2"/>
    <s v="Mint Mouthwash 500ml"/>
    <s v="B260816-L2B"/>
    <s v="S. Yadav"/>
    <x v="0"/>
    <x v="0"/>
    <x v="1"/>
    <n v="2960"/>
    <n v="2670"/>
    <n v="218"/>
    <n v="8.1647940074906361E-2"/>
    <n v="0.90202702702702697"/>
    <x v="1"/>
    <n v="0"/>
    <n v="0"/>
    <s v="None"/>
    <n v="79"/>
    <n v="17222"/>
    <n v="7728"/>
    <n v="2650"/>
    <n v="2650"/>
    <x v="122"/>
    <n v="6750"/>
  </r>
  <r>
    <s v="PR-1574"/>
    <d v="2026-08-22T00:00:00"/>
    <x v="1"/>
    <x v="1"/>
    <s v="Saturday"/>
    <x v="1"/>
    <x v="0"/>
    <x v="0"/>
    <s v="Mouthwash"/>
    <x v="2"/>
    <s v="Mint Mouthwash 500ml"/>
    <s v="B260822-L2B"/>
    <s v="S. Yadav"/>
    <x v="0"/>
    <x v="0"/>
    <x v="2"/>
    <n v="4720"/>
    <n v="4420"/>
    <n v="496"/>
    <n v="0.11221719457013575"/>
    <n v="0.93644067796610164"/>
    <x v="1"/>
    <n v="0"/>
    <n v="0"/>
    <s v="None"/>
    <n v="79"/>
    <n v="39184"/>
    <n v="8032"/>
    <n v="4420"/>
    <n v="4420"/>
    <x v="123"/>
    <n v="6750"/>
  </r>
  <r>
    <s v="PR-1826"/>
    <d v="2026-09-15T00:00:00"/>
    <x v="0"/>
    <x v="0"/>
    <s v="Tuesday"/>
    <x v="0"/>
    <x v="1"/>
    <x v="1"/>
    <s v="Toothbrush"/>
    <x v="3"/>
    <s v="Electric Toothbrush Head Pack"/>
    <s v="B260915-L4A"/>
    <s v="K. Verma"/>
    <x v="1"/>
    <x v="1"/>
    <x v="7"/>
    <n v="3720"/>
    <n v="3640"/>
    <n v="120"/>
    <n v="3.2967032967032968E-2"/>
    <n v="0.978494623655914"/>
    <x v="3"/>
    <n v="0"/>
    <n v="0"/>
    <s v="None"/>
    <n v="64"/>
    <n v="7680"/>
    <n v="7302"/>
    <n v="3280"/>
    <n v="3280"/>
    <x v="124"/>
    <n v="5250"/>
  </r>
  <r>
    <s v="PR-1882"/>
    <d v="2026-09-19T00:00:00"/>
    <x v="0"/>
    <x v="0"/>
    <s v="Saturday"/>
    <x v="2"/>
    <x v="1"/>
    <x v="1"/>
    <s v="Toothbrush"/>
    <x v="3"/>
    <s v="Electric Toothbrush Head Pack"/>
    <s v="B260919-L4C"/>
    <s v="A. Gupta"/>
    <x v="2"/>
    <x v="1"/>
    <x v="6"/>
    <n v="3510"/>
    <n v="3010"/>
    <n v="32"/>
    <n v="1.0631229235880399E-2"/>
    <n v="0.85754985754985757"/>
    <x v="3"/>
    <n v="39"/>
    <n v="0.65"/>
    <s v="Material Shortage"/>
    <n v="64"/>
    <n v="2048"/>
    <n v="7892"/>
    <n v="3190"/>
    <n v="3190"/>
    <x v="125"/>
    <n v="5250"/>
  </r>
  <r>
    <s v="PR-1504"/>
    <d v="2026-08-15T00:00:00"/>
    <x v="1"/>
    <x v="1"/>
    <s v="Saturday"/>
    <x v="2"/>
    <x v="0"/>
    <x v="0"/>
    <s v="Mouthwash"/>
    <x v="2"/>
    <s v="Mint Mouthwash 500ml"/>
    <s v="B260815-L2C"/>
    <s v="A. Gupta"/>
    <x v="0"/>
    <x v="0"/>
    <x v="4"/>
    <n v="4230"/>
    <n v="3440"/>
    <n v="286"/>
    <n v="8.3139534883720931E-2"/>
    <n v="0.81323877068557915"/>
    <x v="1"/>
    <n v="73"/>
    <n v="1.2166666666666666"/>
    <s v="Manpower Shortage"/>
    <n v="79"/>
    <n v="22594"/>
    <n v="8334"/>
    <n v="3760"/>
    <n v="3760"/>
    <x v="126"/>
    <n v="6750"/>
  </r>
  <r>
    <s v="PR-1842"/>
    <d v="2026-09-16T00:00:00"/>
    <x v="0"/>
    <x v="0"/>
    <s v="Wednesday"/>
    <x v="1"/>
    <x v="1"/>
    <x v="1"/>
    <s v="Toothbrush"/>
    <x v="3"/>
    <s v="Electric Toothbrush Head Pack"/>
    <s v="B260916-L4B"/>
    <s v="P. Singh"/>
    <x v="1"/>
    <x v="1"/>
    <x v="7"/>
    <n v="3240"/>
    <n v="3210"/>
    <n v="82"/>
    <n v="2.5545171339563862E-2"/>
    <n v="0.9907407407407407"/>
    <x v="4"/>
    <n v="61"/>
    <n v="1.0166666666666666"/>
    <s v="Cleaning / Sanitation"/>
    <n v="64"/>
    <n v="5248"/>
    <n v="7283"/>
    <n v="2670"/>
    <n v="2670"/>
    <x v="127"/>
    <n v="5250"/>
  </r>
  <r>
    <s v="PR-1888"/>
    <d v="2026-09-20T00:00:00"/>
    <x v="0"/>
    <x v="0"/>
    <s v="Sunday"/>
    <x v="1"/>
    <x v="1"/>
    <x v="1"/>
    <s v="Toothbrush"/>
    <x v="3"/>
    <s v="Electric Toothbrush Head Pack"/>
    <s v="B260920-L4B"/>
    <s v="S. Yadav"/>
    <x v="1"/>
    <x v="1"/>
    <x v="0"/>
    <n v="2650"/>
    <n v="2450"/>
    <n v="50"/>
    <n v="2.0408163265306121E-2"/>
    <n v="0.92452830188679247"/>
    <x v="5"/>
    <n v="0"/>
    <n v="0"/>
    <s v="None"/>
    <n v="64"/>
    <n v="3200"/>
    <n v="7680"/>
    <n v="2310"/>
    <n v="2310"/>
    <x v="128"/>
    <n v="5250"/>
  </r>
  <r>
    <s v="PR-1952"/>
    <d v="2026-09-26T00:00:00"/>
    <x v="0"/>
    <x v="0"/>
    <s v="Saturday"/>
    <x v="0"/>
    <x v="1"/>
    <x v="1"/>
    <s v="Toothbrush"/>
    <x v="3"/>
    <s v="Electric Toothbrush Head Pack"/>
    <s v="B260926-L4A"/>
    <s v="R. Sharma"/>
    <x v="1"/>
    <x v="1"/>
    <x v="7"/>
    <n v="3450"/>
    <n v="3390"/>
    <n v="82"/>
    <n v="2.4188790560471976E-2"/>
    <n v="0.9826086956521739"/>
    <x v="0"/>
    <n v="26"/>
    <n v="0.43333333333333335"/>
    <s v="Cleaning / Sanitation"/>
    <n v="64"/>
    <n v="5248"/>
    <n v="7770"/>
    <n v="3280"/>
    <n v="3280"/>
    <x v="129"/>
    <n v="5250"/>
  </r>
  <r>
    <s v="PR-1379"/>
    <d v="2026-08-04T00:00:00"/>
    <x v="1"/>
    <x v="1"/>
    <s v="Tuesday"/>
    <x v="2"/>
    <x v="1"/>
    <x v="1"/>
    <s v="Toothbrush"/>
    <x v="3"/>
    <s v="Electric Toothbrush Head Pack"/>
    <s v="B260804-L4C"/>
    <s v="A. Gupta"/>
    <x v="1"/>
    <x v="1"/>
    <x v="2"/>
    <n v="3100"/>
    <n v="2460"/>
    <n v="47"/>
    <n v="1.9105691056910568E-2"/>
    <n v="0.79354838709677422"/>
    <x v="4"/>
    <n v="67"/>
    <n v="1.1166666666666667"/>
    <s v="Power Interruption"/>
    <n v="64"/>
    <n v="3008"/>
    <n v="8283"/>
    <n v="2810"/>
    <n v="2810"/>
    <x v="130"/>
    <n v="5250"/>
  </r>
  <r>
    <s v="PR-1411"/>
    <d v="2026-08-07T00:00:00"/>
    <x v="1"/>
    <x v="1"/>
    <s v="Friday"/>
    <x v="1"/>
    <x v="1"/>
    <x v="1"/>
    <s v="Toothbrush"/>
    <x v="3"/>
    <s v="Electric Toothbrush Head Pack"/>
    <s v="B260807-L4B"/>
    <s v="P. Singh"/>
    <x v="2"/>
    <x v="1"/>
    <x v="6"/>
    <n v="3550"/>
    <n v="3210"/>
    <n v="87"/>
    <n v="2.7102803738317756E-2"/>
    <n v="0.90422535211267607"/>
    <x v="3"/>
    <n v="55"/>
    <n v="0.91666666666666663"/>
    <s v="Material Shortage"/>
    <n v="64"/>
    <n v="5568"/>
    <n v="7935"/>
    <n v="3170"/>
    <n v="3170"/>
    <x v="131"/>
    <n v="5250"/>
  </r>
  <r>
    <s v="PR-1866"/>
    <d v="2026-09-18T00:00:00"/>
    <x v="0"/>
    <x v="0"/>
    <s v="Friday"/>
    <x v="1"/>
    <x v="1"/>
    <x v="1"/>
    <s v="Toothbrush"/>
    <x v="3"/>
    <s v="Electric Toothbrush Head Pack"/>
    <s v="B260918-L4B"/>
    <s v="S. Yadav"/>
    <x v="1"/>
    <x v="1"/>
    <x v="6"/>
    <n v="3470"/>
    <n v="3180"/>
    <n v="81"/>
    <n v="2.5471698113207548E-2"/>
    <n v="0.91642651296829969"/>
    <x v="0"/>
    <n v="70"/>
    <n v="1.1666666666666667"/>
    <s v="Material Shortage"/>
    <n v="64"/>
    <n v="5184"/>
    <n v="8033"/>
    <n v="3240"/>
    <n v="3240"/>
    <x v="132"/>
    <n v="5250"/>
  </r>
  <r>
    <s v="PR-1850"/>
    <d v="2026-09-17T00:00:00"/>
    <x v="0"/>
    <x v="0"/>
    <s v="Thursday"/>
    <x v="0"/>
    <x v="1"/>
    <x v="1"/>
    <s v="Toothbrush"/>
    <x v="3"/>
    <s v="Electric Toothbrush Head Pack"/>
    <s v="B260917-L4A"/>
    <s v="R. Sharma"/>
    <x v="1"/>
    <x v="1"/>
    <x v="6"/>
    <n v="3460"/>
    <n v="3300"/>
    <n v="70"/>
    <n v="2.1212121212121213E-2"/>
    <n v="0.95375722543352603"/>
    <x v="3"/>
    <n v="19"/>
    <n v="0.31666666666666665"/>
    <s v="Machine Breakdown"/>
    <n v="64"/>
    <n v="4480"/>
    <n v="7741"/>
    <n v="3070"/>
    <n v="3070"/>
    <x v="133"/>
    <n v="5250"/>
  </r>
  <r>
    <s v="PR-1387"/>
    <d v="2026-08-05T00:00:00"/>
    <x v="1"/>
    <x v="1"/>
    <s v="Wednesday"/>
    <x v="1"/>
    <x v="1"/>
    <x v="1"/>
    <s v="Toothbrush"/>
    <x v="3"/>
    <s v="Electric Toothbrush Head Pack"/>
    <s v="B260805-L4B"/>
    <s v="S. Yadav"/>
    <x v="1"/>
    <x v="1"/>
    <x v="0"/>
    <n v="3660"/>
    <n v="3370"/>
    <n v="81"/>
    <n v="2.4035608308605343E-2"/>
    <n v="0.92076502732240439"/>
    <x v="3"/>
    <n v="0"/>
    <n v="0"/>
    <s v="None"/>
    <n v="64"/>
    <n v="5184"/>
    <n v="7886"/>
    <n v="3240"/>
    <n v="3240"/>
    <x v="134"/>
    <n v="5250"/>
  </r>
  <r>
    <s v="PR-1858"/>
    <d v="2026-09-17T00:00:00"/>
    <x v="0"/>
    <x v="0"/>
    <s v="Thursday"/>
    <x v="2"/>
    <x v="1"/>
    <x v="1"/>
    <s v="Toothbrush"/>
    <x v="3"/>
    <s v="Electric Toothbrush Head Pack"/>
    <s v="B260917-L4C"/>
    <s v="A. Gupta"/>
    <x v="2"/>
    <x v="1"/>
    <x v="0"/>
    <n v="3550"/>
    <n v="3340"/>
    <n v="76"/>
    <n v="2.2754491017964073E-2"/>
    <n v="0.94084507042253518"/>
    <x v="2"/>
    <n v="0"/>
    <n v="0"/>
    <s v="None"/>
    <n v="64"/>
    <n v="4864"/>
    <n v="7901"/>
    <n v="3230"/>
    <n v="3230"/>
    <x v="134"/>
    <n v="5250"/>
  </r>
  <r>
    <s v="PR-1538"/>
    <d v="2026-08-19T00:00:00"/>
    <x v="1"/>
    <x v="1"/>
    <s v="Wednesday"/>
    <x v="1"/>
    <x v="0"/>
    <x v="0"/>
    <s v="Mouthwash"/>
    <x v="2"/>
    <s v="Mint Mouthwash 500ml"/>
    <s v="B260819-L2B"/>
    <s v="P. Singh"/>
    <x v="1"/>
    <x v="0"/>
    <x v="0"/>
    <n v="4810"/>
    <n v="4710"/>
    <n v="149"/>
    <n v="3.1634819532908705E-2"/>
    <n v="0.97920997920997921"/>
    <x v="3"/>
    <n v="23"/>
    <n v="0.38333333333333336"/>
    <s v="Cleaning / Sanitation"/>
    <n v="79"/>
    <n v="11771"/>
    <n v="8095"/>
    <n v="4710"/>
    <n v="4710"/>
    <x v="135"/>
    <n v="6750"/>
  </r>
  <r>
    <s v="PR-1566"/>
    <d v="2026-08-21T00:00:00"/>
    <x v="1"/>
    <x v="1"/>
    <s v="Friday"/>
    <x v="2"/>
    <x v="0"/>
    <x v="0"/>
    <s v="Mouthwash"/>
    <x v="2"/>
    <s v="Mint Mouthwash 500ml"/>
    <s v="B260821-L2C"/>
    <s v="A. Gupta"/>
    <x v="0"/>
    <x v="0"/>
    <x v="1"/>
    <n v="3930"/>
    <n v="3730"/>
    <n v="416"/>
    <n v="0.11152815013404825"/>
    <n v="0.94910941475826971"/>
    <x v="1"/>
    <n v="0"/>
    <n v="0"/>
    <s v="None"/>
    <n v="79"/>
    <n v="32864"/>
    <n v="8212"/>
    <n v="3560"/>
    <n v="3560"/>
    <x v="136"/>
    <n v="6750"/>
  </r>
  <r>
    <s v="PR-1570"/>
    <d v="2026-08-22T00:00:00"/>
    <x v="1"/>
    <x v="1"/>
    <s v="Saturday"/>
    <x v="0"/>
    <x v="0"/>
    <x v="0"/>
    <s v="Mouthwash"/>
    <x v="2"/>
    <s v="Mint Mouthwash 500ml"/>
    <s v="B260822-L2A"/>
    <s v="R. Sharma"/>
    <x v="1"/>
    <x v="0"/>
    <x v="0"/>
    <n v="4260"/>
    <n v="4030"/>
    <n v="104"/>
    <n v="2.5806451612903226E-2"/>
    <n v="0.9460093896713615"/>
    <x v="4"/>
    <n v="35"/>
    <n v="0.58333333333333337"/>
    <s v="Power Interruption"/>
    <n v="79"/>
    <n v="8216"/>
    <n v="7966"/>
    <n v="3860"/>
    <n v="3860"/>
    <x v="137"/>
    <n v="6750"/>
  </r>
  <r>
    <s v="PR-1862"/>
    <d v="2026-09-18T00:00:00"/>
    <x v="0"/>
    <x v="0"/>
    <s v="Friday"/>
    <x v="0"/>
    <x v="1"/>
    <x v="1"/>
    <s v="Toothbrush"/>
    <x v="3"/>
    <s v="Electric Toothbrush Head Pack"/>
    <s v="B260918-L4A"/>
    <s v="K. Verma"/>
    <x v="2"/>
    <x v="1"/>
    <x v="7"/>
    <n v="3650"/>
    <n v="3540"/>
    <n v="42"/>
    <n v="1.1864406779661017E-2"/>
    <n v="0.96986301369863015"/>
    <x v="3"/>
    <n v="0"/>
    <n v="0"/>
    <s v="None"/>
    <n v="64"/>
    <n v="2688"/>
    <n v="7935"/>
    <n v="3400"/>
    <n v="3400"/>
    <x v="138"/>
    <n v="5250"/>
  </r>
  <r>
    <s v="PR-1714"/>
    <d v="2026-09-04T00:00:00"/>
    <x v="0"/>
    <x v="0"/>
    <s v="Friday"/>
    <x v="1"/>
    <x v="0"/>
    <x v="0"/>
    <s v="Mouthwash"/>
    <x v="1"/>
    <s v="Alcohol-Free Mouthwash 250ml"/>
    <s v="B260904-L2B"/>
    <s v="P. Singh"/>
    <x v="0"/>
    <x v="0"/>
    <x v="1"/>
    <n v="6770"/>
    <n v="6480"/>
    <n v="675"/>
    <n v="0.10416666666666667"/>
    <n v="0.95716395864106352"/>
    <x v="1"/>
    <n v="0"/>
    <n v="0"/>
    <s v="None"/>
    <n v="58"/>
    <n v="39150"/>
    <n v="8961"/>
    <n v="6690"/>
    <n v="6690"/>
    <x v="139"/>
    <n v="9000"/>
  </r>
  <r>
    <s v="PR-1219"/>
    <d v="2026-07-21T00:00:00"/>
    <x v="2"/>
    <x v="2"/>
    <s v="Tuesday"/>
    <x v="0"/>
    <x v="1"/>
    <x v="1"/>
    <s v="Toothbrush"/>
    <x v="3"/>
    <s v="Electric Toothbrush Head Pack"/>
    <s v="B260721-L4A"/>
    <s v="K. Verma"/>
    <x v="1"/>
    <x v="1"/>
    <x v="7"/>
    <n v="3550"/>
    <n v="3160"/>
    <n v="102"/>
    <n v="3.2278481012658226E-2"/>
    <n v="0.89014084507042257"/>
    <x v="3"/>
    <n v="72"/>
    <n v="1.2"/>
    <s v="Changeover"/>
    <n v="64"/>
    <n v="6528"/>
    <n v="8127"/>
    <n v="3100"/>
    <n v="3100"/>
    <x v="140"/>
    <n v="5250"/>
  </r>
  <r>
    <s v="PR-1526"/>
    <d v="2026-08-18T00:00:00"/>
    <x v="1"/>
    <x v="1"/>
    <s v="Tuesday"/>
    <x v="1"/>
    <x v="0"/>
    <x v="0"/>
    <s v="Mouthwash"/>
    <x v="2"/>
    <s v="Mint Mouthwash 500ml"/>
    <s v="B260818-L2B"/>
    <s v="S. Yadav"/>
    <x v="2"/>
    <x v="0"/>
    <x v="1"/>
    <n v="4680"/>
    <n v="4450"/>
    <n v="135"/>
    <n v="3.0337078651685393E-2"/>
    <n v="0.95085470085470081"/>
    <x v="2"/>
    <n v="20"/>
    <n v="0.33333333333333331"/>
    <s v="Changeover"/>
    <n v="79"/>
    <n v="10665"/>
    <n v="7530"/>
    <n v="3750"/>
    <n v="3750"/>
    <x v="141"/>
    <n v="6750"/>
  </r>
  <r>
    <s v="PR-1207"/>
    <d v="2026-07-20T00:00:00"/>
    <x v="2"/>
    <x v="2"/>
    <s v="Monday"/>
    <x v="0"/>
    <x v="1"/>
    <x v="1"/>
    <s v="Toothbrush"/>
    <x v="3"/>
    <s v="Electric Toothbrush Head Pack"/>
    <s v="B260720-L4A"/>
    <s v="R. Sharma"/>
    <x v="2"/>
    <x v="1"/>
    <x v="7"/>
    <n v="3300"/>
    <n v="3090"/>
    <n v="75"/>
    <n v="2.4271844660194174E-2"/>
    <n v="0.9363636363636364"/>
    <x v="0"/>
    <n v="0"/>
    <n v="0"/>
    <s v="None"/>
    <n v="64"/>
    <n v="4800"/>
    <n v="8192"/>
    <n v="3080"/>
    <n v="3080"/>
    <x v="142"/>
    <n v="5250"/>
  </r>
  <r>
    <s v="PR-1201"/>
    <d v="2026-07-19T00:00:00"/>
    <x v="2"/>
    <x v="2"/>
    <s v="Sunday"/>
    <x v="0"/>
    <x v="1"/>
    <x v="1"/>
    <s v="Toothbrush"/>
    <x v="3"/>
    <s v="Electric Toothbrush Head Pack"/>
    <s v="B260719-L4A"/>
    <s v="R. Sharma"/>
    <x v="2"/>
    <x v="1"/>
    <x v="6"/>
    <n v="2280"/>
    <n v="2130"/>
    <n v="41"/>
    <n v="1.9248826291079813E-2"/>
    <n v="0.93421052631578949"/>
    <x v="2"/>
    <n v="28"/>
    <n v="0.46666666666666667"/>
    <s v="Power Interruption"/>
    <n v="64"/>
    <n v="2624"/>
    <n v="8263"/>
    <n v="2160"/>
    <n v="2160"/>
    <x v="143"/>
    <n v="5250"/>
  </r>
  <r>
    <s v="PR-1562"/>
    <d v="2026-08-21T00:00:00"/>
    <x v="1"/>
    <x v="1"/>
    <s v="Friday"/>
    <x v="1"/>
    <x v="0"/>
    <x v="0"/>
    <s v="Mouthwash"/>
    <x v="2"/>
    <s v="Mint Mouthwash 500ml"/>
    <s v="B260821-L2B"/>
    <s v="P. Singh"/>
    <x v="1"/>
    <x v="0"/>
    <x v="3"/>
    <n v="4550"/>
    <n v="3990"/>
    <n v="57"/>
    <n v="1.4285714285714285E-2"/>
    <n v="0.87692307692307692"/>
    <x v="3"/>
    <n v="0"/>
    <n v="0"/>
    <s v="None"/>
    <n v="79"/>
    <n v="4503"/>
    <n v="8379"/>
    <n v="4100"/>
    <n v="4100"/>
    <x v="144"/>
    <n v="6750"/>
  </r>
  <r>
    <s v="PR-1518"/>
    <d v="2026-08-17T00:00:00"/>
    <x v="1"/>
    <x v="1"/>
    <s v="Monday"/>
    <x v="2"/>
    <x v="0"/>
    <x v="0"/>
    <s v="Mouthwash"/>
    <x v="0"/>
    <s v="Mint Mouthwash 250ml"/>
    <s v="B260817-L2C"/>
    <s v="M. Khan"/>
    <x v="0"/>
    <x v="0"/>
    <x v="5"/>
    <n v="7650"/>
    <n v="6050"/>
    <n v="498"/>
    <n v="8.2314049586776863E-2"/>
    <n v="0.79084967320261434"/>
    <x v="1"/>
    <n v="0"/>
    <n v="0"/>
    <s v="None"/>
    <n v="46"/>
    <n v="22908"/>
    <n v="9990"/>
    <n v="7310"/>
    <n v="7310"/>
    <x v="145"/>
    <n v="10500"/>
  </r>
  <r>
    <s v="PR-1197"/>
    <d v="2026-07-18T00:00:00"/>
    <x v="2"/>
    <x v="2"/>
    <s v="Saturday"/>
    <x v="2"/>
    <x v="1"/>
    <x v="1"/>
    <s v="Toothbrush"/>
    <x v="3"/>
    <s v="Electric Toothbrush Head Pack"/>
    <s v="B260718-L4C"/>
    <s v="M. Khan"/>
    <x v="2"/>
    <x v="1"/>
    <x v="0"/>
    <n v="3260"/>
    <n v="2950"/>
    <n v="65"/>
    <n v="2.2033898305084745E-2"/>
    <n v="0.90490797546012269"/>
    <x v="4"/>
    <n v="0"/>
    <n v="0"/>
    <s v="None"/>
    <n v="64"/>
    <n v="4160"/>
    <n v="8368"/>
    <n v="2990"/>
    <n v="2990"/>
    <x v="146"/>
    <n v="5250"/>
  </r>
  <r>
    <s v="PR-1359"/>
    <d v="2026-08-03T00:00:00"/>
    <x v="1"/>
    <x v="1"/>
    <s v="Monday"/>
    <x v="0"/>
    <x v="1"/>
    <x v="1"/>
    <s v="Toothbrush"/>
    <x v="3"/>
    <s v="Electric Toothbrush Head Pack"/>
    <s v="B260803-L4A"/>
    <s v="K. Verma"/>
    <x v="1"/>
    <x v="1"/>
    <x v="6"/>
    <n v="3250"/>
    <n v="2980"/>
    <n v="97"/>
    <n v="3.2550335570469796E-2"/>
    <n v="0.91692307692307695"/>
    <x v="0"/>
    <n v="0"/>
    <n v="0"/>
    <s v="None"/>
    <n v="64"/>
    <n v="6208"/>
    <n v="8710"/>
    <n v="3310"/>
    <n v="3310"/>
    <x v="147"/>
    <n v="5250"/>
  </r>
  <r>
    <s v="PR-1251"/>
    <d v="2026-07-23T00:00:00"/>
    <x v="2"/>
    <x v="2"/>
    <s v="Thursday"/>
    <x v="2"/>
    <x v="1"/>
    <x v="1"/>
    <s v="Toothbrush"/>
    <x v="3"/>
    <s v="Electric Toothbrush Head Pack"/>
    <s v="B260723-L4C"/>
    <s v="A. Gupta"/>
    <x v="2"/>
    <x v="1"/>
    <x v="0"/>
    <n v="3160"/>
    <n v="2810"/>
    <n v="94"/>
    <n v="3.3451957295373667E-2"/>
    <n v="0.88924050632911389"/>
    <x v="0"/>
    <n v="0"/>
    <n v="0"/>
    <s v="None"/>
    <n v="64"/>
    <n v="6016"/>
    <n v="8323"/>
    <n v="2720"/>
    <n v="2720"/>
    <x v="148"/>
    <n v="5250"/>
  </r>
  <r>
    <s v="PR-1243"/>
    <d v="2026-07-23T00:00:00"/>
    <x v="2"/>
    <x v="2"/>
    <s v="Thursday"/>
    <x v="0"/>
    <x v="1"/>
    <x v="1"/>
    <s v="Toothbrush"/>
    <x v="3"/>
    <s v="Electric Toothbrush Head Pack"/>
    <s v="B260723-L4A"/>
    <s v="R. Sharma"/>
    <x v="2"/>
    <x v="1"/>
    <x v="1"/>
    <n v="3400"/>
    <n v="3040"/>
    <n v="68"/>
    <n v="2.2368421052631579E-2"/>
    <n v="0.89411764705882357"/>
    <x v="2"/>
    <n v="0"/>
    <n v="0"/>
    <s v="None"/>
    <n v="64"/>
    <n v="4352"/>
    <n v="8671"/>
    <n v="3320"/>
    <n v="3320"/>
    <x v="149"/>
    <n v="5250"/>
  </r>
  <r>
    <s v="PR-1496"/>
    <d v="2026-08-15T00:00:00"/>
    <x v="1"/>
    <x v="1"/>
    <s v="Saturday"/>
    <x v="0"/>
    <x v="0"/>
    <x v="0"/>
    <s v="Mouthwash"/>
    <x v="2"/>
    <s v="Mint Mouthwash 500ml"/>
    <s v="B260815-L2A"/>
    <s v="R. Sharma"/>
    <x v="0"/>
    <x v="0"/>
    <x v="1"/>
    <n v="4440"/>
    <n v="4040"/>
    <n v="317"/>
    <n v="7.8465346534653466E-2"/>
    <n v="0.90990990990990994"/>
    <x v="1"/>
    <n v="0"/>
    <n v="0"/>
    <s v="None"/>
    <n v="79"/>
    <n v="25043"/>
    <n v="8761"/>
    <n v="4150"/>
    <n v="4150"/>
    <x v="150"/>
    <n v="6750"/>
  </r>
  <r>
    <s v="PR-1193"/>
    <d v="2026-07-18T00:00:00"/>
    <x v="2"/>
    <x v="2"/>
    <s v="Saturday"/>
    <x v="1"/>
    <x v="1"/>
    <x v="1"/>
    <s v="Toothbrush"/>
    <x v="3"/>
    <s v="Electric Toothbrush Head Pack"/>
    <s v="B260718-L4B"/>
    <s v="P. Singh"/>
    <x v="2"/>
    <x v="1"/>
    <x v="0"/>
    <n v="3390"/>
    <n v="3070"/>
    <n v="78"/>
    <n v="2.5407166123778503E-2"/>
    <n v="0.9056047197640118"/>
    <x v="2"/>
    <n v="23"/>
    <n v="0.38333333333333336"/>
    <s v="Cleaning / Sanitation"/>
    <n v="64"/>
    <n v="4992"/>
    <n v="8636"/>
    <n v="3260"/>
    <n v="3260"/>
    <x v="151"/>
    <n v="5250"/>
  </r>
  <r>
    <s v="PR-0837"/>
    <d v="2026-06-16T00:00:00"/>
    <x v="3"/>
    <x v="3"/>
    <s v="Tuesday"/>
    <x v="1"/>
    <x v="1"/>
    <x v="1"/>
    <s v="Toothbrush"/>
    <x v="3"/>
    <s v="Electric Toothbrush Head Pack"/>
    <s v="B260616-L4B"/>
    <s v="P. Singh"/>
    <x v="2"/>
    <x v="1"/>
    <x v="3"/>
    <n v="3240"/>
    <n v="2800"/>
    <n v="41"/>
    <n v="1.4642857142857143E-2"/>
    <n v="0.86419753086419748"/>
    <x v="0"/>
    <n v="0"/>
    <n v="0"/>
    <s v="None"/>
    <n v="64"/>
    <n v="2624"/>
    <n v="8593"/>
    <n v="2980"/>
    <n v="2980"/>
    <x v="152"/>
    <n v="5250"/>
  </r>
  <r>
    <s v="PR-1558"/>
    <d v="2026-08-21T00:00:00"/>
    <x v="1"/>
    <x v="1"/>
    <s v="Friday"/>
    <x v="0"/>
    <x v="0"/>
    <x v="0"/>
    <s v="Mouthwash"/>
    <x v="2"/>
    <s v="Mint Mouthwash 500ml"/>
    <s v="B260821-L2A"/>
    <s v="R. Sharma"/>
    <x v="2"/>
    <x v="0"/>
    <x v="1"/>
    <n v="4440"/>
    <n v="4160"/>
    <n v="117"/>
    <n v="2.8125000000000001E-2"/>
    <n v="0.93693693693693691"/>
    <x v="3"/>
    <n v="0"/>
    <n v="0"/>
    <s v="None"/>
    <n v="79"/>
    <n v="9243"/>
    <n v="7946"/>
    <n v="3610"/>
    <n v="3610"/>
    <x v="153"/>
    <n v="6750"/>
  </r>
  <r>
    <s v="PR-1223"/>
    <d v="2026-07-21T00:00:00"/>
    <x v="2"/>
    <x v="2"/>
    <s v="Tuesday"/>
    <x v="1"/>
    <x v="1"/>
    <x v="1"/>
    <s v="Toothbrush"/>
    <x v="3"/>
    <s v="Electric Toothbrush Head Pack"/>
    <s v="B260721-L4B"/>
    <s v="S. Yadav"/>
    <x v="2"/>
    <x v="1"/>
    <x v="0"/>
    <n v="3430"/>
    <n v="3240"/>
    <n v="103"/>
    <n v="3.1790123456790123E-2"/>
    <n v="0.94460641399416911"/>
    <x v="0"/>
    <n v="0"/>
    <n v="0"/>
    <s v="None"/>
    <n v="64"/>
    <n v="6592"/>
    <n v="8085"/>
    <n v="2830"/>
    <n v="2830"/>
    <x v="154"/>
    <n v="5250"/>
  </r>
  <r>
    <s v="PR-1044"/>
    <d v="2026-07-04T00:00:00"/>
    <x v="2"/>
    <x v="2"/>
    <s v="Saturday"/>
    <x v="2"/>
    <x v="1"/>
    <x v="1"/>
    <s v="Toothbrush"/>
    <x v="3"/>
    <s v="Electric Toothbrush Head Pack"/>
    <s v="B260704-L4C"/>
    <s v="M. Khan"/>
    <x v="2"/>
    <x v="1"/>
    <x v="0"/>
    <n v="3410"/>
    <n v="3030"/>
    <n v="78"/>
    <n v="2.5742574257425741E-2"/>
    <n v="0.88856304985337242"/>
    <x v="5"/>
    <n v="0"/>
    <n v="0"/>
    <s v="None"/>
    <n v="64"/>
    <n v="4992"/>
    <n v="8737"/>
    <n v="3290"/>
    <n v="3290"/>
    <x v="155"/>
    <n v="5250"/>
  </r>
  <r>
    <s v="PR-1231"/>
    <d v="2026-07-22T00:00:00"/>
    <x v="2"/>
    <x v="2"/>
    <s v="Wednesday"/>
    <x v="0"/>
    <x v="1"/>
    <x v="1"/>
    <s v="Toothbrush"/>
    <x v="3"/>
    <s v="Electric Toothbrush Head Pack"/>
    <s v="B260722-L4A"/>
    <s v="R. Sharma"/>
    <x v="1"/>
    <x v="1"/>
    <x v="7"/>
    <n v="3340"/>
    <n v="3180"/>
    <n v="37"/>
    <n v="1.1635220125786163E-2"/>
    <n v="0.95209580838323349"/>
    <x v="5"/>
    <n v="0"/>
    <n v="0"/>
    <s v="None"/>
    <n v="64"/>
    <n v="2368"/>
    <n v="8392"/>
    <n v="3110"/>
    <n v="3110"/>
    <x v="156"/>
    <n v="5250"/>
  </r>
  <r>
    <s v="PR-1157"/>
    <d v="2026-07-15T00:00:00"/>
    <x v="2"/>
    <x v="2"/>
    <s v="Wednesday"/>
    <x v="1"/>
    <x v="1"/>
    <x v="1"/>
    <s v="Toothbrush"/>
    <x v="3"/>
    <s v="Electric Toothbrush Head Pack"/>
    <s v="B260715-L4B"/>
    <s v="S. Yadav"/>
    <x v="2"/>
    <x v="1"/>
    <x v="6"/>
    <n v="3660"/>
    <n v="3470"/>
    <n v="102"/>
    <n v="2.9394812680115272E-2"/>
    <n v="0.94808743169398912"/>
    <x v="0"/>
    <n v="0"/>
    <n v="0"/>
    <s v="None"/>
    <n v="64"/>
    <n v="6528"/>
    <n v="8799"/>
    <n v="3690"/>
    <n v="3690"/>
    <x v="157"/>
    <n v="5250"/>
  </r>
  <r>
    <s v="PR-1480"/>
    <d v="2026-08-13T00:00:00"/>
    <x v="1"/>
    <x v="1"/>
    <s v="Thursday"/>
    <x v="2"/>
    <x v="0"/>
    <x v="0"/>
    <s v="Mouthwash"/>
    <x v="2"/>
    <s v="Mint Mouthwash 500ml"/>
    <s v="B260813-L2C"/>
    <s v="A. Gupta"/>
    <x v="0"/>
    <x v="0"/>
    <x v="5"/>
    <n v="4360"/>
    <n v="3690"/>
    <n v="402"/>
    <n v="0.10894308943089431"/>
    <n v="0.84633027522935778"/>
    <x v="1"/>
    <n v="0"/>
    <n v="0"/>
    <s v="None"/>
    <n v="79"/>
    <n v="31758"/>
    <n v="9689"/>
    <n v="4400"/>
    <n v="4400"/>
    <x v="158"/>
    <n v="6750"/>
  </r>
  <r>
    <s v="PR-1024"/>
    <d v="2026-07-03T00:00:00"/>
    <x v="2"/>
    <x v="2"/>
    <s v="Friday"/>
    <x v="0"/>
    <x v="1"/>
    <x v="1"/>
    <s v="Toothbrush"/>
    <x v="3"/>
    <s v="Electric Toothbrush Head Pack"/>
    <s v="B260703-L4A"/>
    <s v="R. Sharma"/>
    <x v="1"/>
    <x v="1"/>
    <x v="6"/>
    <n v="3720"/>
    <n v="3490"/>
    <n v="105"/>
    <n v="3.0085959885386818E-2"/>
    <n v="0.93817204301075274"/>
    <x v="2"/>
    <n v="0"/>
    <n v="0"/>
    <s v="None"/>
    <n v="64"/>
    <n v="6720"/>
    <n v="8609"/>
    <n v="3410"/>
    <n v="3410"/>
    <x v="159"/>
    <n v="5250"/>
  </r>
  <r>
    <s v="PR-0825"/>
    <d v="2026-06-15T00:00:00"/>
    <x v="3"/>
    <x v="3"/>
    <s v="Monday"/>
    <x v="1"/>
    <x v="1"/>
    <x v="1"/>
    <s v="Toothbrush"/>
    <x v="3"/>
    <s v="Electric Toothbrush Head Pack"/>
    <s v="B260615-L4B"/>
    <s v="S. Yadav"/>
    <x v="2"/>
    <x v="1"/>
    <x v="6"/>
    <n v="3710"/>
    <n v="3430"/>
    <n v="101"/>
    <n v="2.9446064139941691E-2"/>
    <n v="0.92452830188679247"/>
    <x v="4"/>
    <n v="0"/>
    <n v="0"/>
    <s v="None"/>
    <n v="64"/>
    <n v="6464"/>
    <n v="8824"/>
    <n v="3560"/>
    <n v="3560"/>
    <x v="160"/>
    <n v="5250"/>
  </r>
  <r>
    <s v="PR-1291"/>
    <d v="2026-07-27T00:00:00"/>
    <x v="2"/>
    <x v="2"/>
    <s v="Monday"/>
    <x v="2"/>
    <x v="1"/>
    <x v="1"/>
    <s v="Toothbrush"/>
    <x v="3"/>
    <s v="Electric Toothbrush Head Pack"/>
    <s v="B260727-L4C"/>
    <s v="A. Gupta"/>
    <x v="1"/>
    <x v="1"/>
    <x v="0"/>
    <n v="3170"/>
    <n v="3030"/>
    <n v="66"/>
    <n v="2.1782178217821781E-2"/>
    <n v="0.95583596214511046"/>
    <x v="4"/>
    <n v="60"/>
    <n v="1"/>
    <s v="Changeover"/>
    <n v="64"/>
    <n v="4224"/>
    <n v="8319"/>
    <n v="2690"/>
    <n v="2690"/>
    <x v="160"/>
    <n v="5250"/>
  </r>
  <r>
    <s v="PR-1064"/>
    <d v="2026-07-07T00:00:00"/>
    <x v="2"/>
    <x v="2"/>
    <s v="Tuesday"/>
    <x v="0"/>
    <x v="1"/>
    <x v="1"/>
    <s v="Toothbrush"/>
    <x v="3"/>
    <s v="Electric Toothbrush Head Pack"/>
    <s v="B260707-L4A"/>
    <s v="R. Sharma"/>
    <x v="1"/>
    <x v="1"/>
    <x v="7"/>
    <n v="3340"/>
    <n v="3280"/>
    <n v="76"/>
    <n v="2.3170731707317073E-2"/>
    <n v="0.98203592814371254"/>
    <x v="2"/>
    <n v="0"/>
    <n v="0"/>
    <s v="None"/>
    <n v="64"/>
    <n v="4864"/>
    <n v="8703"/>
    <n v="3310"/>
    <n v="3310"/>
    <x v="161"/>
    <n v="5250"/>
  </r>
  <r>
    <s v="PR-1165"/>
    <d v="2026-07-16T00:00:00"/>
    <x v="2"/>
    <x v="2"/>
    <s v="Thursday"/>
    <x v="0"/>
    <x v="1"/>
    <x v="1"/>
    <s v="Toothbrush"/>
    <x v="3"/>
    <s v="Electric Toothbrush Head Pack"/>
    <s v="B260716-L4A"/>
    <s v="R. Sharma"/>
    <x v="2"/>
    <x v="1"/>
    <x v="6"/>
    <n v="3270"/>
    <n v="3040"/>
    <n v="82"/>
    <n v="2.6973684210526316E-2"/>
    <n v="0.92966360856269115"/>
    <x v="3"/>
    <n v="0"/>
    <n v="0"/>
    <s v="None"/>
    <n v="64"/>
    <n v="5248"/>
    <n v="8477"/>
    <n v="2830"/>
    <n v="2830"/>
    <x v="162"/>
    <n v="5250"/>
  </r>
  <r>
    <s v="PR-1020"/>
    <d v="2026-07-02T00:00:00"/>
    <x v="2"/>
    <x v="2"/>
    <s v="Thursday"/>
    <x v="2"/>
    <x v="1"/>
    <x v="1"/>
    <s v="Toothbrush"/>
    <x v="3"/>
    <s v="Electric Toothbrush Head Pack"/>
    <s v="B260702-L4C"/>
    <s v="A. Gupta"/>
    <x v="1"/>
    <x v="1"/>
    <x v="2"/>
    <n v="3420"/>
    <n v="2980"/>
    <n v="45"/>
    <n v="1.5100671140939598E-2"/>
    <n v="0.87134502923976609"/>
    <x v="0"/>
    <n v="0"/>
    <n v="0"/>
    <s v="None"/>
    <n v="64"/>
    <n v="2880"/>
    <n v="8714"/>
    <n v="3040"/>
    <n v="3040"/>
    <x v="163"/>
    <n v="5250"/>
  </r>
  <r>
    <s v="PR-1084"/>
    <d v="2026-07-08T00:00:00"/>
    <x v="2"/>
    <x v="2"/>
    <s v="Wednesday"/>
    <x v="2"/>
    <x v="1"/>
    <x v="1"/>
    <s v="Toothbrush"/>
    <x v="3"/>
    <s v="Electric Toothbrush Head Pack"/>
    <s v="B260708-L4C"/>
    <s v="M. Khan"/>
    <x v="2"/>
    <x v="1"/>
    <x v="1"/>
    <n v="3480"/>
    <n v="3070"/>
    <n v="82"/>
    <n v="2.6710097719869708E-2"/>
    <n v="0.88218390804597702"/>
    <x v="4"/>
    <n v="0"/>
    <n v="0"/>
    <s v="None"/>
    <n v="64"/>
    <n v="5248"/>
    <n v="8597"/>
    <n v="2970"/>
    <n v="2970"/>
    <x v="164"/>
    <n v="5250"/>
  </r>
  <r>
    <s v="PR-1323"/>
    <d v="2026-07-30T00:00:00"/>
    <x v="2"/>
    <x v="2"/>
    <s v="Thursday"/>
    <x v="1"/>
    <x v="1"/>
    <x v="1"/>
    <s v="Toothbrush"/>
    <x v="3"/>
    <s v="Electric Toothbrush Head Pack"/>
    <s v="B260730-L4B"/>
    <s v="P. Singh"/>
    <x v="2"/>
    <x v="1"/>
    <x v="1"/>
    <n v="3460"/>
    <n v="3000"/>
    <n v="57"/>
    <n v="1.9E-2"/>
    <n v="0.86705202312138729"/>
    <x v="0"/>
    <n v="18"/>
    <n v="0.3"/>
    <s v="Manpower Shortage"/>
    <n v="64"/>
    <n v="3648"/>
    <n v="8765"/>
    <n v="3090"/>
    <n v="3090"/>
    <x v="165"/>
    <n v="5250"/>
  </r>
  <r>
    <s v="PR-0853"/>
    <d v="2026-06-17T00:00:00"/>
    <x v="3"/>
    <x v="3"/>
    <s v="Wednesday"/>
    <x v="2"/>
    <x v="1"/>
    <x v="1"/>
    <s v="Toothbrush"/>
    <x v="3"/>
    <s v="Electric Toothbrush Head Pack"/>
    <s v="B260617-L4C"/>
    <s v="A. Gupta"/>
    <x v="1"/>
    <x v="1"/>
    <x v="0"/>
    <n v="3330"/>
    <n v="3110"/>
    <n v="19"/>
    <n v="6.1093247588424439E-3"/>
    <n v="0.93393393393393398"/>
    <x v="3"/>
    <n v="56"/>
    <n v="0.93333333333333335"/>
    <s v="Machine Breakdown"/>
    <n v="64"/>
    <n v="1216"/>
    <n v="8804"/>
    <n v="3260"/>
    <n v="3260"/>
    <x v="166"/>
    <n v="5250"/>
  </r>
  <r>
    <s v="PR-1173"/>
    <d v="2026-07-16T00:00:00"/>
    <x v="2"/>
    <x v="2"/>
    <s v="Thursday"/>
    <x v="2"/>
    <x v="1"/>
    <x v="1"/>
    <s v="Toothbrush"/>
    <x v="3"/>
    <s v="Electric Toothbrush Head Pack"/>
    <s v="B260716-L4C"/>
    <s v="M. Khan"/>
    <x v="1"/>
    <x v="1"/>
    <x v="0"/>
    <n v="3360"/>
    <n v="3130"/>
    <n v="79"/>
    <n v="2.5239616613418531E-2"/>
    <n v="0.93154761904761907"/>
    <x v="5"/>
    <n v="0"/>
    <n v="0"/>
    <s v="None"/>
    <n v="64"/>
    <n v="5056"/>
    <n v="8605"/>
    <n v="3020"/>
    <n v="3020"/>
    <x v="167"/>
    <n v="5250"/>
  </r>
  <r>
    <s v="PR-0927"/>
    <d v="2026-06-24T00:00:00"/>
    <x v="3"/>
    <x v="3"/>
    <s v="Wednesday"/>
    <x v="1"/>
    <x v="1"/>
    <x v="1"/>
    <s v="Toothbrush"/>
    <x v="3"/>
    <s v="Electric Toothbrush Head Pack"/>
    <s v="B260624-L4B"/>
    <s v="P. Singh"/>
    <x v="1"/>
    <x v="1"/>
    <x v="0"/>
    <n v="3590"/>
    <n v="3240"/>
    <n v="58"/>
    <n v="1.7901234567901235E-2"/>
    <n v="0.90250696378830086"/>
    <x v="3"/>
    <n v="0"/>
    <n v="0"/>
    <s v="None"/>
    <n v="64"/>
    <n v="3712"/>
    <n v="8988"/>
    <n v="3500"/>
    <n v="3500"/>
    <x v="168"/>
    <n v="5250"/>
  </r>
  <r>
    <s v="PR-1239"/>
    <d v="2026-07-22T00:00:00"/>
    <x v="2"/>
    <x v="2"/>
    <s v="Wednesday"/>
    <x v="2"/>
    <x v="1"/>
    <x v="1"/>
    <s v="Toothbrush"/>
    <x v="3"/>
    <s v="Electric Toothbrush Head Pack"/>
    <s v="B260722-L4C"/>
    <s v="A. Gupta"/>
    <x v="2"/>
    <x v="1"/>
    <x v="6"/>
    <n v="3290"/>
    <n v="3200"/>
    <n v="44"/>
    <n v="1.375E-2"/>
    <n v="0.97264437689969607"/>
    <x v="2"/>
    <n v="0"/>
    <n v="0"/>
    <s v="None"/>
    <n v="64"/>
    <n v="2816"/>
    <n v="8425"/>
    <n v="2910"/>
    <n v="2910"/>
    <x v="169"/>
    <n v="5250"/>
  </r>
  <r>
    <s v="PR-1052"/>
    <d v="2026-07-06T00:00:00"/>
    <x v="2"/>
    <x v="2"/>
    <s v="Monday"/>
    <x v="0"/>
    <x v="1"/>
    <x v="1"/>
    <s v="Toothbrush"/>
    <x v="3"/>
    <s v="Electric Toothbrush Head Pack"/>
    <s v="B260706-L4A"/>
    <s v="R. Sharma"/>
    <x v="2"/>
    <x v="1"/>
    <x v="6"/>
    <n v="3740"/>
    <n v="3540"/>
    <n v="86"/>
    <n v="2.4293785310734464E-2"/>
    <n v="0.946524064171123"/>
    <x v="2"/>
    <n v="47"/>
    <n v="0.78333333333333333"/>
    <s v="Cleaning / Sanitation"/>
    <n v="64"/>
    <n v="5504"/>
    <n v="8399"/>
    <n v="3150"/>
    <n v="3150"/>
    <x v="170"/>
    <n v="5250"/>
  </r>
  <r>
    <s v="PR-1347"/>
    <d v="2026-08-01T00:00:00"/>
    <x v="1"/>
    <x v="1"/>
    <s v="Saturday"/>
    <x v="1"/>
    <x v="1"/>
    <x v="1"/>
    <s v="Toothbrush"/>
    <x v="3"/>
    <s v="Electric Toothbrush Head Pack"/>
    <s v="B260801-L4B"/>
    <s v="P. Singh"/>
    <x v="2"/>
    <x v="1"/>
    <x v="6"/>
    <n v="3260"/>
    <n v="3070"/>
    <n v="95"/>
    <n v="3.0944625407166124E-2"/>
    <n v="0.94171779141104295"/>
    <x v="5"/>
    <n v="0"/>
    <n v="0"/>
    <s v="None"/>
    <n v="64"/>
    <n v="6080"/>
    <n v="8618"/>
    <n v="2890"/>
    <n v="2890"/>
    <x v="170"/>
    <n v="5250"/>
  </r>
  <r>
    <s v="PR-1012"/>
    <d v="2026-07-02T00:00:00"/>
    <x v="2"/>
    <x v="2"/>
    <s v="Thursday"/>
    <x v="0"/>
    <x v="1"/>
    <x v="1"/>
    <s v="Toothbrush"/>
    <x v="3"/>
    <s v="Electric Toothbrush Head Pack"/>
    <s v="B260702-L4A"/>
    <s v="R. Sharma"/>
    <x v="1"/>
    <x v="1"/>
    <x v="6"/>
    <n v="3420"/>
    <n v="3020"/>
    <n v="79"/>
    <n v="2.6158940397350994E-2"/>
    <n v="0.88304093567251463"/>
    <x v="2"/>
    <n v="48"/>
    <n v="0.8"/>
    <s v="Material Shortage"/>
    <n v="64"/>
    <n v="5056"/>
    <n v="9019"/>
    <n v="3250"/>
    <n v="3250"/>
    <x v="171"/>
    <n v="5250"/>
  </r>
  <r>
    <s v="PR-1351"/>
    <d v="2026-08-01T00:00:00"/>
    <x v="1"/>
    <x v="1"/>
    <s v="Saturday"/>
    <x v="2"/>
    <x v="1"/>
    <x v="1"/>
    <s v="Toothbrush"/>
    <x v="3"/>
    <s v="Electric Toothbrush Head Pack"/>
    <s v="B260801-L4C"/>
    <s v="A. Gupta"/>
    <x v="1"/>
    <x v="1"/>
    <x v="0"/>
    <n v="3550"/>
    <n v="3360"/>
    <n v="63"/>
    <n v="1.8749999999999999E-2"/>
    <n v="0.94647887323943658"/>
    <x v="4"/>
    <n v="0"/>
    <n v="0"/>
    <s v="None"/>
    <n v="64"/>
    <n v="4032"/>
    <n v="8703"/>
    <n v="3290"/>
    <n v="3290"/>
    <x v="171"/>
    <n v="5250"/>
  </r>
  <r>
    <s v="PR-1016"/>
    <d v="2026-07-02T00:00:00"/>
    <x v="2"/>
    <x v="2"/>
    <s v="Thursday"/>
    <x v="1"/>
    <x v="1"/>
    <x v="1"/>
    <s v="Toothbrush"/>
    <x v="3"/>
    <s v="Electric Toothbrush Head Pack"/>
    <s v="B260702-L4B"/>
    <s v="S. Yadav"/>
    <x v="2"/>
    <x v="1"/>
    <x v="6"/>
    <n v="3240"/>
    <n v="3050"/>
    <n v="46"/>
    <n v="1.5081967213114755E-2"/>
    <n v="0.94135802469135799"/>
    <x v="3"/>
    <n v="0"/>
    <n v="0"/>
    <s v="None"/>
    <n v="64"/>
    <n v="2944"/>
    <n v="8710"/>
    <n v="3000"/>
    <n v="3000"/>
    <x v="172"/>
    <n v="5250"/>
  </r>
  <r>
    <s v="PR-1032"/>
    <d v="2026-07-03T00:00:00"/>
    <x v="2"/>
    <x v="2"/>
    <s v="Friday"/>
    <x v="2"/>
    <x v="1"/>
    <x v="1"/>
    <s v="Toothbrush"/>
    <x v="3"/>
    <s v="Electric Toothbrush Head Pack"/>
    <s v="B260703-L4C"/>
    <s v="M. Khan"/>
    <x v="1"/>
    <x v="1"/>
    <x v="6"/>
    <n v="3500"/>
    <n v="3260"/>
    <n v="107"/>
    <n v="3.282208588957055E-2"/>
    <n v="0.93142857142857138"/>
    <x v="5"/>
    <n v="0"/>
    <n v="0"/>
    <s v="None"/>
    <n v="64"/>
    <n v="6848"/>
    <n v="8584"/>
    <n v="3000"/>
    <n v="3000"/>
    <x v="173"/>
    <n v="5250"/>
  </r>
  <r>
    <s v="PR-0775"/>
    <d v="2026-06-10T00:00:00"/>
    <x v="3"/>
    <x v="3"/>
    <s v="Wednesday"/>
    <x v="2"/>
    <x v="1"/>
    <x v="1"/>
    <s v="Toothbrush"/>
    <x v="3"/>
    <s v="Electric Toothbrush Head Pack"/>
    <s v="B260610-L4C"/>
    <s v="A. Gupta"/>
    <x v="1"/>
    <x v="1"/>
    <x v="2"/>
    <n v="3170"/>
    <n v="2840"/>
    <n v="90"/>
    <n v="3.1690140845070422E-2"/>
    <n v="0.89589905362776023"/>
    <x v="3"/>
    <n v="31"/>
    <n v="0.51666666666666672"/>
    <s v="Machine Breakdown"/>
    <n v="64"/>
    <n v="5760"/>
    <n v="9240"/>
    <n v="3230"/>
    <n v="3230"/>
    <x v="174"/>
    <n v="5250"/>
  </r>
  <r>
    <s v="PR-1484"/>
    <d v="2026-08-14T00:00:00"/>
    <x v="1"/>
    <x v="1"/>
    <s v="Friday"/>
    <x v="0"/>
    <x v="0"/>
    <x v="0"/>
    <s v="Mouthwash"/>
    <x v="2"/>
    <s v="Mint Mouthwash 500ml"/>
    <s v="B260814-L2A"/>
    <s v="K. Verma"/>
    <x v="2"/>
    <x v="0"/>
    <x v="0"/>
    <n v="4470"/>
    <n v="3950"/>
    <n v="46"/>
    <n v="1.1645569620253165E-2"/>
    <n v="0.88366890380313201"/>
    <x v="4"/>
    <n v="0"/>
    <n v="0"/>
    <s v="None"/>
    <n v="79"/>
    <n v="3634"/>
    <n v="8577"/>
    <n v="3720"/>
    <n v="3720"/>
    <x v="175"/>
    <n v="6750"/>
  </r>
  <r>
    <s v="PR-1315"/>
    <d v="2026-07-29T00:00:00"/>
    <x v="2"/>
    <x v="2"/>
    <s v="Wednesday"/>
    <x v="2"/>
    <x v="1"/>
    <x v="1"/>
    <s v="Toothbrush"/>
    <x v="3"/>
    <s v="Electric Toothbrush Head Pack"/>
    <s v="B260729-L4C"/>
    <s v="A. Gupta"/>
    <x v="1"/>
    <x v="1"/>
    <x v="1"/>
    <n v="3270"/>
    <n v="3060"/>
    <n v="74"/>
    <n v="2.4183006535947713E-2"/>
    <n v="0.93577981651376152"/>
    <x v="5"/>
    <n v="0"/>
    <n v="0"/>
    <s v="None"/>
    <n v="64"/>
    <n v="4736"/>
    <n v="8769"/>
    <n v="2990"/>
    <n v="2990"/>
    <x v="176"/>
    <n v="5250"/>
  </r>
  <r>
    <s v="PR-1295"/>
    <d v="2026-07-28T00:00:00"/>
    <x v="2"/>
    <x v="2"/>
    <s v="Tuesday"/>
    <x v="0"/>
    <x v="1"/>
    <x v="1"/>
    <s v="Toothbrush"/>
    <x v="3"/>
    <s v="Electric Toothbrush Head Pack"/>
    <s v="B260728-L4A"/>
    <s v="K. Verma"/>
    <x v="1"/>
    <x v="1"/>
    <x v="6"/>
    <n v="3730"/>
    <n v="3410"/>
    <n v="74"/>
    <n v="2.1700879765395895E-2"/>
    <n v="0.91420911528150139"/>
    <x v="0"/>
    <n v="0"/>
    <n v="0"/>
    <s v="None"/>
    <n v="64"/>
    <n v="4736"/>
    <n v="8593"/>
    <n v="3160"/>
    <n v="3160"/>
    <x v="177"/>
    <n v="5250"/>
  </r>
  <r>
    <s v="PR-1153"/>
    <d v="2026-07-15T00:00:00"/>
    <x v="2"/>
    <x v="2"/>
    <s v="Wednesday"/>
    <x v="0"/>
    <x v="1"/>
    <x v="1"/>
    <s v="Toothbrush"/>
    <x v="3"/>
    <s v="Electric Toothbrush Head Pack"/>
    <s v="B260715-L4A"/>
    <s v="K. Verma"/>
    <x v="1"/>
    <x v="1"/>
    <x v="7"/>
    <n v="3610"/>
    <n v="3550"/>
    <n v="59"/>
    <n v="1.6619718309859154E-2"/>
    <n v="0.9833795013850416"/>
    <x v="0"/>
    <n v="0"/>
    <n v="0"/>
    <s v="None"/>
    <n v="64"/>
    <n v="3776"/>
    <n v="9008"/>
    <n v="3700"/>
    <n v="3700"/>
    <x v="178"/>
    <n v="5250"/>
  </r>
  <r>
    <s v="PR-0849"/>
    <d v="2026-06-17T00:00:00"/>
    <x v="3"/>
    <x v="3"/>
    <s v="Wednesday"/>
    <x v="1"/>
    <x v="1"/>
    <x v="1"/>
    <s v="Toothbrush"/>
    <x v="3"/>
    <s v="Electric Toothbrush Head Pack"/>
    <s v="B260617-L4B"/>
    <s v="S. Yadav"/>
    <x v="2"/>
    <x v="1"/>
    <x v="0"/>
    <n v="3240"/>
    <n v="2950"/>
    <n v="78"/>
    <n v="2.6440677966101694E-2"/>
    <n v="0.91049382716049387"/>
    <x v="3"/>
    <n v="0"/>
    <n v="0"/>
    <s v="None"/>
    <n v="64"/>
    <n v="4992"/>
    <n v="8372"/>
    <n v="2440"/>
    <n v="2440"/>
    <x v="179"/>
    <n v="5250"/>
  </r>
  <r>
    <s v="PR-0807"/>
    <d v="2026-06-13T00:00:00"/>
    <x v="3"/>
    <x v="3"/>
    <s v="Saturday"/>
    <x v="1"/>
    <x v="1"/>
    <x v="1"/>
    <s v="Toothbrush"/>
    <x v="3"/>
    <s v="Electric Toothbrush Head Pack"/>
    <s v="B260613-L4B"/>
    <s v="S. Yadav"/>
    <x v="1"/>
    <x v="1"/>
    <x v="7"/>
    <n v="3350"/>
    <n v="3150"/>
    <n v="33"/>
    <n v="1.0476190476190476E-2"/>
    <n v="0.94029850746268662"/>
    <x v="0"/>
    <n v="0"/>
    <n v="0"/>
    <s v="None"/>
    <n v="64"/>
    <n v="2112"/>
    <n v="8901"/>
    <n v="3200"/>
    <n v="3200"/>
    <x v="180"/>
    <n v="5250"/>
  </r>
  <r>
    <s v="PR-0817"/>
    <d v="2026-06-14T00:00:00"/>
    <x v="3"/>
    <x v="3"/>
    <s v="Sunday"/>
    <x v="1"/>
    <x v="1"/>
    <x v="1"/>
    <s v="Toothbrush"/>
    <x v="3"/>
    <s v="Electric Toothbrush Head Pack"/>
    <s v="B260614-L4B"/>
    <s v="P. Singh"/>
    <x v="2"/>
    <x v="1"/>
    <x v="0"/>
    <n v="2520"/>
    <n v="2380"/>
    <n v="74"/>
    <n v="3.1092436974789917E-2"/>
    <n v="0.94444444444444442"/>
    <x v="0"/>
    <n v="0"/>
    <n v="0"/>
    <s v="None"/>
    <n v="64"/>
    <n v="4736"/>
    <n v="8818"/>
    <n v="2300"/>
    <n v="2300"/>
    <x v="181"/>
    <n v="5250"/>
  </r>
  <r>
    <s v="PR-0931"/>
    <d v="2026-06-24T00:00:00"/>
    <x v="3"/>
    <x v="3"/>
    <s v="Wednesday"/>
    <x v="2"/>
    <x v="1"/>
    <x v="1"/>
    <s v="Toothbrush"/>
    <x v="3"/>
    <s v="Electric Toothbrush Head Pack"/>
    <s v="B260624-L4C"/>
    <s v="M. Khan"/>
    <x v="2"/>
    <x v="1"/>
    <x v="0"/>
    <n v="3530"/>
    <n v="3160"/>
    <n v="84"/>
    <n v="2.6582278481012658E-2"/>
    <n v="0.89518413597733715"/>
    <x v="0"/>
    <n v="57"/>
    <n v="0.95"/>
    <s v="Cleaning / Sanitation"/>
    <n v="64"/>
    <n v="5376"/>
    <n v="8670"/>
    <n v="2850"/>
    <n v="2850"/>
    <x v="182"/>
    <n v="5250"/>
  </r>
  <r>
    <s v="PR-0799"/>
    <d v="2026-06-12T00:00:00"/>
    <x v="3"/>
    <x v="3"/>
    <s v="Friday"/>
    <x v="2"/>
    <x v="1"/>
    <x v="1"/>
    <s v="Toothbrush"/>
    <x v="3"/>
    <s v="Electric Toothbrush Head Pack"/>
    <s v="B260612-L4C"/>
    <s v="M. Khan"/>
    <x v="1"/>
    <x v="1"/>
    <x v="7"/>
    <n v="3360"/>
    <n v="3280"/>
    <n v="59"/>
    <n v="1.7987804878048779E-2"/>
    <n v="0.97619047619047616"/>
    <x v="3"/>
    <n v="0"/>
    <n v="0"/>
    <s v="None"/>
    <n v="64"/>
    <n v="3776"/>
    <n v="8760"/>
    <n v="3080"/>
    <n v="3080"/>
    <x v="183"/>
    <n v="5250"/>
  </r>
  <r>
    <s v="PR-0915"/>
    <d v="2026-06-23T00:00:00"/>
    <x v="3"/>
    <x v="3"/>
    <s v="Tuesday"/>
    <x v="1"/>
    <x v="1"/>
    <x v="1"/>
    <s v="Toothbrush"/>
    <x v="3"/>
    <s v="Electric Toothbrush Head Pack"/>
    <s v="B260623-L4B"/>
    <s v="S. Yadav"/>
    <x v="1"/>
    <x v="1"/>
    <x v="7"/>
    <n v="3580"/>
    <n v="3400"/>
    <n v="115"/>
    <n v="3.3823529411764704E-2"/>
    <n v="0.94972067039106145"/>
    <x v="5"/>
    <n v="22"/>
    <n v="0.36666666666666664"/>
    <s v="Machine Breakdown"/>
    <n v="64"/>
    <n v="7360"/>
    <n v="9027"/>
    <n v="3400"/>
    <n v="3400"/>
    <x v="184"/>
    <n v="5250"/>
  </r>
  <r>
    <s v="PR-0939"/>
    <d v="2026-06-25T00:00:00"/>
    <x v="3"/>
    <x v="3"/>
    <s v="Thursday"/>
    <x v="1"/>
    <x v="1"/>
    <x v="1"/>
    <s v="Toothbrush"/>
    <x v="3"/>
    <s v="Electric Toothbrush Head Pack"/>
    <s v="B260625-L4B"/>
    <s v="P. Singh"/>
    <x v="2"/>
    <x v="1"/>
    <x v="7"/>
    <n v="3370"/>
    <n v="3500"/>
    <n v="115"/>
    <n v="3.2857142857142856E-2"/>
    <n v="1.0385756676557865"/>
    <x v="3"/>
    <n v="11"/>
    <n v="0.18333333333333332"/>
    <s v="Changeover"/>
    <n v="64"/>
    <n v="7360"/>
    <n v="8896"/>
    <n v="3330"/>
    <n v="3330"/>
    <x v="185"/>
    <n v="5250"/>
  </r>
  <r>
    <s v="PR-1694"/>
    <d v="2026-09-02T00:00:00"/>
    <x v="0"/>
    <x v="0"/>
    <s v="Wednesday"/>
    <x v="2"/>
    <x v="0"/>
    <x v="0"/>
    <s v="Mouthwash"/>
    <x v="1"/>
    <s v="Alcohol-Free Mouthwash 250ml"/>
    <s v="B260902-L2C"/>
    <s v="M. Khan"/>
    <x v="0"/>
    <x v="0"/>
    <x v="2"/>
    <n v="6160"/>
    <n v="5540"/>
    <n v="583"/>
    <n v="0.10523465703971119"/>
    <n v="0.89935064935064934"/>
    <x v="1"/>
    <n v="0"/>
    <n v="0"/>
    <s v="None"/>
    <n v="58"/>
    <n v="33814"/>
    <n v="9134"/>
    <n v="5130"/>
    <n v="5130"/>
    <x v="186"/>
    <n v="9000"/>
  </r>
  <r>
    <s v="PR-0923"/>
    <d v="2026-06-24T00:00:00"/>
    <x v="3"/>
    <x v="3"/>
    <s v="Wednesday"/>
    <x v="0"/>
    <x v="1"/>
    <x v="1"/>
    <s v="Toothbrush"/>
    <x v="3"/>
    <s v="Electric Toothbrush Head Pack"/>
    <s v="B260624-L4A"/>
    <s v="K. Verma"/>
    <x v="1"/>
    <x v="1"/>
    <x v="7"/>
    <n v="3460"/>
    <n v="3390"/>
    <n v="44"/>
    <n v="1.2979351032448377E-2"/>
    <n v="0.97976878612716767"/>
    <x v="0"/>
    <n v="0"/>
    <n v="0"/>
    <s v="None"/>
    <n v="64"/>
    <n v="2816"/>
    <n v="8912"/>
    <n v="3270"/>
    <n v="3270"/>
    <x v="187"/>
    <n v="5250"/>
  </r>
  <r>
    <s v="PR-1112"/>
    <d v="2026-07-11T00:00:00"/>
    <x v="2"/>
    <x v="2"/>
    <s v="Saturday"/>
    <x v="0"/>
    <x v="1"/>
    <x v="1"/>
    <s v="Toothbrush"/>
    <x v="3"/>
    <s v="Electric Toothbrush Head Pack"/>
    <s v="B260711-L4A"/>
    <s v="R. Sharma"/>
    <x v="1"/>
    <x v="1"/>
    <x v="6"/>
    <n v="3440"/>
    <n v="3370"/>
    <n v="117"/>
    <n v="3.4718100890207715E-2"/>
    <n v="0.97965116279069764"/>
    <x v="3"/>
    <n v="0"/>
    <n v="0"/>
    <s v="None"/>
    <n v="64"/>
    <n v="7488"/>
    <n v="8615"/>
    <n v="2860"/>
    <n v="2860"/>
    <x v="188"/>
    <n v="5250"/>
  </r>
  <r>
    <s v="PR-0988"/>
    <d v="2026-06-30T00:00:00"/>
    <x v="3"/>
    <x v="3"/>
    <s v="Tuesday"/>
    <x v="0"/>
    <x v="1"/>
    <x v="1"/>
    <s v="Toothbrush"/>
    <x v="3"/>
    <s v="Electric Toothbrush Head Pack"/>
    <s v="B260630-L4A"/>
    <s v="R. Sharma"/>
    <x v="2"/>
    <x v="1"/>
    <x v="0"/>
    <n v="3540"/>
    <n v="3310"/>
    <n v="62"/>
    <n v="1.8731117824773415E-2"/>
    <n v="0.93502824858757061"/>
    <x v="2"/>
    <n v="0"/>
    <n v="0"/>
    <s v="None"/>
    <n v="64"/>
    <n v="3968"/>
    <n v="8951"/>
    <n v="3180"/>
    <n v="3180"/>
    <x v="189"/>
    <n v="5250"/>
  </r>
  <r>
    <s v="PR-0865"/>
    <d v="2026-06-18T00:00:00"/>
    <x v="3"/>
    <x v="3"/>
    <s v="Thursday"/>
    <x v="2"/>
    <x v="1"/>
    <x v="1"/>
    <s v="Toothbrush"/>
    <x v="3"/>
    <s v="Electric Toothbrush Head Pack"/>
    <s v="B260618-L4C"/>
    <s v="A. Gupta"/>
    <x v="1"/>
    <x v="1"/>
    <x v="1"/>
    <n v="3190"/>
    <n v="2850"/>
    <n v="33"/>
    <n v="1.1578947368421053E-2"/>
    <n v="0.89341692789968652"/>
    <x v="3"/>
    <n v="73"/>
    <n v="1.2166666666666666"/>
    <s v="Material Shortage"/>
    <n v="64"/>
    <n v="2112"/>
    <n v="9090"/>
    <n v="2880"/>
    <n v="2880"/>
    <x v="190"/>
    <n v="5250"/>
  </r>
  <r>
    <s v="PR-0857"/>
    <d v="2026-06-18T00:00:00"/>
    <x v="3"/>
    <x v="3"/>
    <s v="Thursday"/>
    <x v="0"/>
    <x v="1"/>
    <x v="1"/>
    <s v="Toothbrush"/>
    <x v="3"/>
    <s v="Electric Toothbrush Head Pack"/>
    <s v="B260618-L4A"/>
    <s v="K. Verma"/>
    <x v="2"/>
    <x v="1"/>
    <x v="7"/>
    <n v="3730"/>
    <n v="3790"/>
    <n v="65"/>
    <n v="1.7150395778364115E-2"/>
    <n v="1.0160857908847185"/>
    <x v="4"/>
    <n v="50"/>
    <n v="0.83333333333333337"/>
    <s v="Material Shortage"/>
    <n v="64"/>
    <n v="4160"/>
    <n v="8635"/>
    <n v="3270"/>
    <n v="3270"/>
    <x v="191"/>
    <n v="5250"/>
  </r>
  <r>
    <s v="PR-1686"/>
    <d v="2026-09-02T00:00:00"/>
    <x v="0"/>
    <x v="0"/>
    <s v="Wednesday"/>
    <x v="0"/>
    <x v="0"/>
    <x v="0"/>
    <s v="Mouthwash"/>
    <x v="1"/>
    <s v="Alcohol-Free Mouthwash 250ml"/>
    <s v="B260902-L2A"/>
    <s v="K. Verma"/>
    <x v="0"/>
    <x v="0"/>
    <x v="0"/>
    <n v="6290"/>
    <n v="6000"/>
    <n v="774"/>
    <n v="0.129"/>
    <n v="0.95389507154213038"/>
    <x v="1"/>
    <n v="15"/>
    <n v="0.25"/>
    <s v="Changeover"/>
    <n v="58"/>
    <n v="44892"/>
    <n v="9718"/>
    <n v="5810"/>
    <n v="5810"/>
    <x v="192"/>
    <n v="9000"/>
  </r>
  <r>
    <s v="PR-0771"/>
    <d v="2026-06-10T00:00:00"/>
    <x v="3"/>
    <x v="3"/>
    <s v="Wednesday"/>
    <x v="1"/>
    <x v="1"/>
    <x v="1"/>
    <s v="Toothbrush"/>
    <x v="3"/>
    <s v="Electric Toothbrush Head Pack"/>
    <s v="B260610-L4B"/>
    <s v="P. Singh"/>
    <x v="1"/>
    <x v="1"/>
    <x v="0"/>
    <n v="3520"/>
    <n v="3280"/>
    <n v="103"/>
    <n v="3.1402439024390244E-2"/>
    <n v="0.93181818181818177"/>
    <x v="4"/>
    <n v="15"/>
    <n v="0.25"/>
    <s v="Changeover"/>
    <n v="64"/>
    <n v="6592"/>
    <n v="9393"/>
    <n v="3330"/>
    <n v="3330"/>
    <x v="193"/>
    <n v="5250"/>
  </r>
  <r>
    <s v="PR-0710"/>
    <d v="2026-06-04T00:00:00"/>
    <x v="3"/>
    <x v="3"/>
    <s v="Thursday"/>
    <x v="2"/>
    <x v="1"/>
    <x v="1"/>
    <s v="Toothbrush"/>
    <x v="3"/>
    <s v="Electric Toothbrush Head Pack"/>
    <s v="B260604-L4C"/>
    <s v="M. Khan"/>
    <x v="2"/>
    <x v="1"/>
    <x v="7"/>
    <n v="3580"/>
    <n v="3360"/>
    <n v="79"/>
    <n v="2.3511904761904762E-2"/>
    <n v="0.93854748603351956"/>
    <x v="5"/>
    <n v="0"/>
    <n v="0"/>
    <s v="None"/>
    <n v="64"/>
    <n v="5056"/>
    <n v="9547"/>
    <n v="3500"/>
    <n v="3500"/>
    <x v="194"/>
    <n v="5250"/>
  </r>
  <r>
    <s v="PR-1456"/>
    <d v="2026-08-11T00:00:00"/>
    <x v="1"/>
    <x v="1"/>
    <s v="Tuesday"/>
    <x v="2"/>
    <x v="0"/>
    <x v="0"/>
    <s v="Mouthwash"/>
    <x v="2"/>
    <s v="Mint Mouthwash 500ml"/>
    <s v="B260811-L2C"/>
    <s v="A. Gupta"/>
    <x v="0"/>
    <x v="0"/>
    <x v="2"/>
    <n v="4550"/>
    <n v="4370"/>
    <n v="489"/>
    <n v="0.11189931350114417"/>
    <n v="0.96043956043956047"/>
    <x v="5"/>
    <n v="0"/>
    <n v="0"/>
    <s v="None"/>
    <n v="79"/>
    <n v="38631"/>
    <n v="9553"/>
    <n v="4100"/>
    <n v="4100"/>
    <x v="195"/>
    <n v="6750"/>
  </r>
  <r>
    <s v="PR-0739"/>
    <d v="2026-06-07T00:00:00"/>
    <x v="3"/>
    <x v="3"/>
    <s v="Sunday"/>
    <x v="1"/>
    <x v="1"/>
    <x v="1"/>
    <s v="Toothbrush"/>
    <x v="3"/>
    <s v="Electric Toothbrush Head Pack"/>
    <s v="B260607-L4B"/>
    <s v="P. Singh"/>
    <x v="2"/>
    <x v="1"/>
    <x v="6"/>
    <n v="2250"/>
    <n v="2150"/>
    <n v="39"/>
    <n v="1.8139534883720929E-2"/>
    <n v="0.9555555555555556"/>
    <x v="5"/>
    <n v="42"/>
    <n v="0.7"/>
    <s v="Changeover"/>
    <n v="64"/>
    <n v="2496"/>
    <n v="9482"/>
    <n v="2200"/>
    <n v="2200"/>
    <x v="196"/>
    <n v="5250"/>
  </r>
  <r>
    <s v="PR-1468"/>
    <d v="2026-08-12T00:00:00"/>
    <x v="1"/>
    <x v="1"/>
    <s v="Wednesday"/>
    <x v="2"/>
    <x v="0"/>
    <x v="0"/>
    <s v="Mouthwash"/>
    <x v="2"/>
    <s v="Mint Mouthwash 500ml"/>
    <s v="B260812-L2C"/>
    <s v="A. Gupta"/>
    <x v="0"/>
    <x v="0"/>
    <x v="3"/>
    <n v="4510"/>
    <n v="3930"/>
    <n v="413"/>
    <n v="0.10508905852417302"/>
    <n v="0.87139689578713964"/>
    <x v="1"/>
    <n v="0"/>
    <n v="0"/>
    <s v="None"/>
    <n v="79"/>
    <n v="32627"/>
    <n v="9898"/>
    <n v="3960"/>
    <n v="3960"/>
    <x v="197"/>
    <n v="6750"/>
  </r>
  <r>
    <s v="PR-0730"/>
    <d v="2026-06-06T00:00:00"/>
    <x v="3"/>
    <x v="3"/>
    <s v="Saturday"/>
    <x v="1"/>
    <x v="1"/>
    <x v="1"/>
    <s v="Toothbrush"/>
    <x v="3"/>
    <s v="Electric Toothbrush Head Pack"/>
    <s v="B260606-L4B"/>
    <s v="S. Yadav"/>
    <x v="2"/>
    <x v="1"/>
    <x v="1"/>
    <n v="3420"/>
    <n v="3100"/>
    <n v="89"/>
    <n v="2.8709677419354838E-2"/>
    <n v="0.9064327485380117"/>
    <x v="3"/>
    <n v="48"/>
    <n v="0.8"/>
    <s v="Cleaning / Sanitation"/>
    <n v="64"/>
    <n v="5696"/>
    <n v="9811"/>
    <n v="3340"/>
    <n v="3340"/>
    <x v="198"/>
    <n v="5250"/>
  </r>
  <r>
    <s v="PR-1429"/>
    <d v="2026-08-09T00:00:00"/>
    <x v="1"/>
    <x v="1"/>
    <s v="Sunday"/>
    <x v="0"/>
    <x v="0"/>
    <x v="0"/>
    <s v="Mouthwash"/>
    <x v="2"/>
    <s v="Mint Mouthwash 500ml"/>
    <s v="B260809-L2A"/>
    <s v="R. Sharma"/>
    <x v="0"/>
    <x v="0"/>
    <x v="3"/>
    <n v="3340"/>
    <n v="2910"/>
    <n v="256"/>
    <n v="8.7972508591065299E-2"/>
    <n v="0.87125748502994016"/>
    <x v="1"/>
    <n v="68"/>
    <n v="1.1333333333333333"/>
    <s v="Changeover"/>
    <n v="79"/>
    <n v="20224"/>
    <n v="9772"/>
    <n v="2880"/>
    <n v="2880"/>
    <x v="199"/>
    <n v="6750"/>
  </r>
  <r>
    <s v="PR-0706"/>
    <d v="2026-06-04T00:00:00"/>
    <x v="3"/>
    <x v="3"/>
    <s v="Thursday"/>
    <x v="1"/>
    <x v="1"/>
    <x v="1"/>
    <s v="Toothbrush"/>
    <x v="3"/>
    <s v="Electric Toothbrush Head Pack"/>
    <s v="B260604-L4B"/>
    <s v="P. Singh"/>
    <x v="2"/>
    <x v="1"/>
    <x v="2"/>
    <n v="3340"/>
    <n v="2910"/>
    <n v="101"/>
    <n v="3.470790378006873E-2"/>
    <n v="0.87125748502994016"/>
    <x v="4"/>
    <n v="35"/>
    <n v="0.58333333333333337"/>
    <s v="Manpower Shortage"/>
    <n v="64"/>
    <n v="6464"/>
    <n v="9738"/>
    <n v="3000"/>
    <n v="3000"/>
    <x v="200"/>
    <n v="5250"/>
  </r>
  <r>
    <s v="PR-1440"/>
    <d v="2026-08-10T00:00:00"/>
    <x v="1"/>
    <x v="1"/>
    <s v="Monday"/>
    <x v="1"/>
    <x v="0"/>
    <x v="0"/>
    <s v="Mouthwash"/>
    <x v="2"/>
    <s v="Mint Mouthwash 500ml"/>
    <s v="B260810-L2B"/>
    <s v="P. Singh"/>
    <x v="1"/>
    <x v="0"/>
    <x v="0"/>
    <n v="4220"/>
    <n v="3900"/>
    <n v="113"/>
    <n v="2.8974358974358974E-2"/>
    <n v="0.92417061611374407"/>
    <x v="2"/>
    <n v="0"/>
    <n v="0"/>
    <s v="None"/>
    <n v="79"/>
    <n v="8927"/>
    <n v="9546"/>
    <n v="3780"/>
    <n v="3780"/>
    <x v="201"/>
    <n v="6750"/>
  </r>
  <r>
    <s v="PR-1472"/>
    <d v="2026-08-13T00:00:00"/>
    <x v="1"/>
    <x v="1"/>
    <s v="Thursday"/>
    <x v="0"/>
    <x v="0"/>
    <x v="0"/>
    <s v="Mouthwash"/>
    <x v="2"/>
    <s v="Mint Mouthwash 500ml"/>
    <s v="B260813-L2A"/>
    <s v="R. Sharma"/>
    <x v="2"/>
    <x v="0"/>
    <x v="0"/>
    <n v="4230"/>
    <n v="4250"/>
    <n v="71"/>
    <n v="1.6705882352941178E-2"/>
    <n v="1.0047281323877069"/>
    <x v="2"/>
    <n v="0"/>
    <n v="0"/>
    <s v="None"/>
    <n v="79"/>
    <n v="5609"/>
    <n v="9455"/>
    <n v="4070"/>
    <n v="4070"/>
    <x v="202"/>
    <n v="6750"/>
  </r>
  <r>
    <s v="PR-1476"/>
    <d v="2026-08-13T00:00:00"/>
    <x v="1"/>
    <x v="1"/>
    <s v="Thursday"/>
    <x v="1"/>
    <x v="0"/>
    <x v="0"/>
    <s v="Mouthwash"/>
    <x v="2"/>
    <s v="Mint Mouthwash 500ml"/>
    <s v="B260813-L2B"/>
    <s v="S. Yadav"/>
    <x v="2"/>
    <x v="0"/>
    <x v="1"/>
    <n v="4830"/>
    <n v="4510"/>
    <n v="105"/>
    <n v="2.3281596452328159E-2"/>
    <n v="0.9337474120082816"/>
    <x v="0"/>
    <n v="0"/>
    <n v="0"/>
    <s v="None"/>
    <n v="79"/>
    <n v="8295"/>
    <n v="9564"/>
    <n v="4280"/>
    <n v="4280"/>
    <x v="203"/>
    <n v="6750"/>
  </r>
  <r>
    <s v="PR-1678"/>
    <d v="2026-09-01T00:00:00"/>
    <x v="0"/>
    <x v="0"/>
    <s v="Tuesday"/>
    <x v="1"/>
    <x v="0"/>
    <x v="0"/>
    <s v="Mouthwash"/>
    <x v="1"/>
    <s v="Alcohol-Free Mouthwash 250ml"/>
    <s v="B260901-L2B"/>
    <s v="P. Singh"/>
    <x v="1"/>
    <x v="0"/>
    <x v="0"/>
    <n v="5620"/>
    <n v="5320"/>
    <n v="163"/>
    <n v="3.0639097744360903E-2"/>
    <n v="0.94661921708185048"/>
    <x v="2"/>
    <n v="0"/>
    <n v="0"/>
    <s v="None"/>
    <n v="58"/>
    <n v="9454"/>
    <n v="9721"/>
    <n v="5160"/>
    <n v="5160"/>
    <x v="204"/>
    <n v="9000"/>
  </r>
  <r>
    <s v="PR-1674"/>
    <d v="2026-09-01T00:00:00"/>
    <x v="0"/>
    <x v="0"/>
    <s v="Tuesday"/>
    <x v="0"/>
    <x v="0"/>
    <x v="0"/>
    <s v="Mouthwash"/>
    <x v="1"/>
    <s v="Alcohol-Free Mouthwash 250ml"/>
    <s v="B260901-L2A"/>
    <s v="R. Sharma"/>
    <x v="1"/>
    <x v="0"/>
    <x v="0"/>
    <n v="6160"/>
    <n v="6060"/>
    <n v="135"/>
    <n v="2.2277227722772276E-2"/>
    <n v="0.98376623376623373"/>
    <x v="2"/>
    <n v="0"/>
    <n v="0"/>
    <s v="None"/>
    <n v="58"/>
    <n v="7830"/>
    <n v="10386"/>
    <n v="6590"/>
    <n v="6590"/>
    <x v="205"/>
    <n v="9000"/>
  </r>
  <r>
    <s v="PR-0698"/>
    <d v="2026-06-03T00:00:00"/>
    <x v="3"/>
    <x v="3"/>
    <s v="Wednesday"/>
    <x v="2"/>
    <x v="1"/>
    <x v="1"/>
    <s v="Toothbrush"/>
    <x v="3"/>
    <s v="Electric Toothbrush Head Pack"/>
    <s v="B260603-L4C"/>
    <s v="M. Khan"/>
    <x v="1"/>
    <x v="1"/>
    <x v="2"/>
    <n v="3300"/>
    <n v="2880"/>
    <n v="69"/>
    <n v="2.3958333333333335E-2"/>
    <n v="0.87272727272727268"/>
    <x v="4"/>
    <n v="55"/>
    <n v="0.91666666666666663"/>
    <s v="Cleaning / Sanitation"/>
    <n v="64"/>
    <n v="4416"/>
    <n v="9917"/>
    <n v="2990"/>
    <n v="2990"/>
    <x v="206"/>
    <n v="5250"/>
  </r>
  <r>
    <s v="PR-1421"/>
    <d v="2026-08-08T00:00:00"/>
    <x v="1"/>
    <x v="1"/>
    <s v="Saturday"/>
    <x v="1"/>
    <x v="0"/>
    <x v="0"/>
    <s v="Mouthwash"/>
    <x v="2"/>
    <s v="Mint Mouthwash 500ml"/>
    <s v="B260808-L2B"/>
    <s v="S. Yadav"/>
    <x v="2"/>
    <x v="0"/>
    <x v="4"/>
    <n v="4660"/>
    <n v="4170"/>
    <n v="96"/>
    <n v="2.302158273381295E-2"/>
    <n v="0.89484978540772531"/>
    <x v="4"/>
    <n v="49"/>
    <n v="0.81666666666666665"/>
    <s v="Machine Breakdown"/>
    <n v="79"/>
    <n v="7584"/>
    <n v="10238"/>
    <n v="4540"/>
    <n v="4540"/>
    <x v="207"/>
    <n v="6750"/>
  </r>
  <r>
    <s v="PR-0714"/>
    <d v="2026-06-05T00:00:00"/>
    <x v="3"/>
    <x v="3"/>
    <s v="Friday"/>
    <x v="0"/>
    <x v="1"/>
    <x v="1"/>
    <s v="Toothbrush"/>
    <x v="3"/>
    <s v="Electric Toothbrush Head Pack"/>
    <s v="B260605-L4A"/>
    <s v="R. Sharma"/>
    <x v="2"/>
    <x v="1"/>
    <x v="6"/>
    <n v="3270"/>
    <n v="3170"/>
    <n v="77"/>
    <n v="2.4290220820189275E-2"/>
    <n v="0.96941896024464835"/>
    <x v="0"/>
    <n v="0"/>
    <n v="0"/>
    <s v="None"/>
    <n v="64"/>
    <n v="4928"/>
    <n v="9328"/>
    <n v="2610"/>
    <n v="2610"/>
    <x v="208"/>
    <n v="5250"/>
  </r>
  <r>
    <s v="PR-1646"/>
    <d v="2026-08-29T00:00:00"/>
    <x v="1"/>
    <x v="1"/>
    <s v="Saturday"/>
    <x v="0"/>
    <x v="0"/>
    <x v="0"/>
    <s v="Mouthwash"/>
    <x v="1"/>
    <s v="Alcohol-Free Mouthwash 250ml"/>
    <s v="B260829-L2A"/>
    <s v="R. Sharma"/>
    <x v="1"/>
    <x v="0"/>
    <x v="1"/>
    <n v="5800"/>
    <n v="5350"/>
    <n v="133"/>
    <n v="2.4859813084112149E-2"/>
    <n v="0.92241379310344829"/>
    <x v="4"/>
    <n v="0"/>
    <n v="0"/>
    <s v="None"/>
    <n v="58"/>
    <n v="7714"/>
    <n v="10142"/>
    <n v="5520"/>
    <n v="5520"/>
    <x v="209"/>
    <n v="9000"/>
  </r>
  <r>
    <s v="PR-0646"/>
    <d v="2026-05-29T00:00:00"/>
    <x v="4"/>
    <x v="4"/>
    <s v="Friday"/>
    <x v="2"/>
    <x v="1"/>
    <x v="1"/>
    <s v="Toothbrush"/>
    <x v="3"/>
    <s v="Electric Toothbrush Head Pack"/>
    <s v="B260529-L4C"/>
    <s v="M. Khan"/>
    <x v="2"/>
    <x v="1"/>
    <x v="3"/>
    <n v="3560"/>
    <n v="2980"/>
    <n v="94"/>
    <n v="3.1543624161073827E-2"/>
    <n v="0.8370786516853933"/>
    <x v="3"/>
    <n v="37"/>
    <n v="0.6166666666666667"/>
    <s v="Changeover"/>
    <n v="64"/>
    <n v="6016"/>
    <n v="10096"/>
    <n v="3140"/>
    <n v="3140"/>
    <x v="210"/>
    <n v="5250"/>
  </r>
  <r>
    <s v="PR-1460"/>
    <d v="2026-08-12T00:00:00"/>
    <x v="1"/>
    <x v="1"/>
    <s v="Wednesday"/>
    <x v="0"/>
    <x v="0"/>
    <x v="0"/>
    <s v="Mouthwash"/>
    <x v="2"/>
    <s v="Mint Mouthwash 500ml"/>
    <s v="B260812-L2A"/>
    <s v="R. Sharma"/>
    <x v="1"/>
    <x v="0"/>
    <x v="0"/>
    <n v="4340"/>
    <n v="4330"/>
    <n v="126"/>
    <n v="2.9099307159353348E-2"/>
    <n v="0.99769585253456217"/>
    <x v="0"/>
    <n v="0"/>
    <n v="0"/>
    <s v="None"/>
    <n v="79"/>
    <n v="9954"/>
    <n v="9334"/>
    <n v="3640"/>
    <n v="3640"/>
    <x v="211"/>
    <n v="6750"/>
  </r>
  <r>
    <s v="PR-0682"/>
    <d v="2026-06-02T00:00:00"/>
    <x v="3"/>
    <x v="3"/>
    <s v="Tuesday"/>
    <x v="1"/>
    <x v="1"/>
    <x v="1"/>
    <s v="Toothbrush"/>
    <x v="3"/>
    <s v="Electric Toothbrush Head Pack"/>
    <s v="B260602-L4B"/>
    <s v="P. Singh"/>
    <x v="2"/>
    <x v="1"/>
    <x v="6"/>
    <n v="3530"/>
    <n v="3430"/>
    <n v="84"/>
    <n v="2.4489795918367346E-2"/>
    <n v="0.97167138810198306"/>
    <x v="3"/>
    <n v="0"/>
    <n v="0"/>
    <s v="None"/>
    <n v="64"/>
    <n v="5376"/>
    <n v="10071"/>
    <n v="3500"/>
    <n v="3500"/>
    <x v="212"/>
    <n v="5250"/>
  </r>
  <r>
    <s v="PR-0654"/>
    <d v="2026-05-30T00:00:00"/>
    <x v="4"/>
    <x v="4"/>
    <s v="Saturday"/>
    <x v="1"/>
    <x v="1"/>
    <x v="1"/>
    <s v="Toothbrush"/>
    <x v="3"/>
    <s v="Electric Toothbrush Head Pack"/>
    <s v="B260530-L4B"/>
    <s v="P. Singh"/>
    <x v="1"/>
    <x v="1"/>
    <x v="6"/>
    <n v="3460"/>
    <n v="3360"/>
    <n v="88"/>
    <n v="2.6190476190476191E-2"/>
    <n v="0.97109826589595372"/>
    <x v="2"/>
    <n v="0"/>
    <n v="0"/>
    <s v="None"/>
    <n v="64"/>
    <n v="5632"/>
    <n v="9842"/>
    <n v="3160"/>
    <n v="3160"/>
    <x v="213"/>
    <n v="5250"/>
  </r>
  <r>
    <s v="PR-1514"/>
    <d v="2026-08-17T00:00:00"/>
    <x v="1"/>
    <x v="1"/>
    <s v="Monday"/>
    <x v="1"/>
    <x v="0"/>
    <x v="0"/>
    <s v="Mouthwash"/>
    <x v="0"/>
    <s v="Mint Mouthwash 250ml"/>
    <s v="B260817-L2B"/>
    <s v="S. Yadav"/>
    <x v="0"/>
    <x v="0"/>
    <x v="0"/>
    <n v="7440"/>
    <n v="7180"/>
    <n v="715"/>
    <n v="9.9582172701949856E-2"/>
    <n v="0.96505376344086025"/>
    <x v="1"/>
    <n v="0"/>
    <n v="0"/>
    <s v="None"/>
    <n v="46"/>
    <n v="32890"/>
    <n v="11375"/>
    <n v="7850"/>
    <n v="7850"/>
    <x v="214"/>
    <n v="10500"/>
  </r>
  <r>
    <s v="PR-0658"/>
    <d v="2026-05-30T00:00:00"/>
    <x v="4"/>
    <x v="4"/>
    <s v="Saturday"/>
    <x v="2"/>
    <x v="1"/>
    <x v="1"/>
    <s v="Toothbrush"/>
    <x v="3"/>
    <s v="Electric Toothbrush Head Pack"/>
    <s v="B260530-L4C"/>
    <s v="M. Khan"/>
    <x v="2"/>
    <x v="1"/>
    <x v="2"/>
    <n v="3580"/>
    <n v="3210"/>
    <n v="50"/>
    <n v="1.5576323987538941E-2"/>
    <n v="0.8966480446927374"/>
    <x v="4"/>
    <n v="16"/>
    <n v="0.26666666666666666"/>
    <s v="Machine Breakdown"/>
    <n v="64"/>
    <n v="3200"/>
    <n v="9954"/>
    <n v="3120"/>
    <n v="3120"/>
    <x v="215"/>
    <n v="5250"/>
  </r>
  <r>
    <s v="PR-0666"/>
    <d v="2026-06-01T00:00:00"/>
    <x v="3"/>
    <x v="3"/>
    <s v="Monday"/>
    <x v="0"/>
    <x v="1"/>
    <x v="1"/>
    <s v="Toothbrush"/>
    <x v="3"/>
    <s v="Electric Toothbrush Head Pack"/>
    <s v="B260601-L4A"/>
    <s v="R. Sharma"/>
    <x v="1"/>
    <x v="1"/>
    <x v="0"/>
    <n v="3770"/>
    <n v="3520"/>
    <n v="97"/>
    <n v="2.7556818181818182E-2"/>
    <n v="0.93368700265251992"/>
    <x v="4"/>
    <n v="22"/>
    <n v="0.36666666666666664"/>
    <s v="Changeover"/>
    <n v="64"/>
    <n v="6208"/>
    <n v="9994"/>
    <n v="3400"/>
    <n v="3400"/>
    <x v="216"/>
    <n v="5250"/>
  </r>
  <r>
    <s v="PR-0630"/>
    <d v="2026-05-28T00:00:00"/>
    <x v="4"/>
    <x v="4"/>
    <s v="Thursday"/>
    <x v="1"/>
    <x v="1"/>
    <x v="1"/>
    <s v="Toothbrush"/>
    <x v="3"/>
    <s v="Electric Toothbrush Head Pack"/>
    <s v="B260528-L4B"/>
    <s v="S. Yadav"/>
    <x v="2"/>
    <x v="1"/>
    <x v="1"/>
    <n v="3650"/>
    <n v="3220"/>
    <n v="97"/>
    <n v="3.0124223602484471E-2"/>
    <n v="0.88219178082191785"/>
    <x v="0"/>
    <n v="0"/>
    <n v="0"/>
    <s v="None"/>
    <n v="64"/>
    <n v="6208"/>
    <n v="10262"/>
    <n v="3350"/>
    <n v="3350"/>
    <x v="217"/>
    <n v="5250"/>
  </r>
  <r>
    <s v="PR-0678"/>
    <d v="2026-06-02T00:00:00"/>
    <x v="3"/>
    <x v="3"/>
    <s v="Tuesday"/>
    <x v="0"/>
    <x v="1"/>
    <x v="1"/>
    <s v="Toothbrush"/>
    <x v="3"/>
    <s v="Electric Toothbrush Head Pack"/>
    <s v="B260602-L4A"/>
    <s v="K. Verma"/>
    <x v="1"/>
    <x v="1"/>
    <x v="6"/>
    <n v="3600"/>
    <n v="3270"/>
    <n v="76"/>
    <n v="2.3241590214067277E-2"/>
    <n v="0.90833333333333333"/>
    <x v="5"/>
    <n v="0"/>
    <n v="0"/>
    <s v="None"/>
    <n v="64"/>
    <n v="4864"/>
    <n v="10477"/>
    <n v="3600"/>
    <n v="3600"/>
    <x v="218"/>
    <n v="5250"/>
  </r>
  <r>
    <s v="PR-0634"/>
    <d v="2026-05-28T00:00:00"/>
    <x v="4"/>
    <x v="4"/>
    <s v="Thursday"/>
    <x v="2"/>
    <x v="1"/>
    <x v="1"/>
    <s v="Toothbrush"/>
    <x v="3"/>
    <s v="Electric Toothbrush Head Pack"/>
    <s v="B260528-L4C"/>
    <s v="A. Gupta"/>
    <x v="2"/>
    <x v="1"/>
    <x v="0"/>
    <n v="3410"/>
    <n v="3030"/>
    <n v="49"/>
    <n v="1.6171617161716171E-2"/>
    <n v="0.88856304985337242"/>
    <x v="0"/>
    <n v="0"/>
    <n v="0"/>
    <s v="None"/>
    <n v="64"/>
    <n v="3136"/>
    <n v="10035"/>
    <n v="2920"/>
    <n v="2920"/>
    <x v="219"/>
    <n v="5250"/>
  </r>
  <r>
    <s v="PR-1630"/>
    <d v="2026-08-27T00:00:00"/>
    <x v="1"/>
    <x v="1"/>
    <s v="Thursday"/>
    <x v="2"/>
    <x v="0"/>
    <x v="0"/>
    <s v="Mouthwash"/>
    <x v="1"/>
    <s v="Alcohol-Free Mouthwash 250ml"/>
    <s v="B260827-L2C"/>
    <s v="M. Khan"/>
    <x v="0"/>
    <x v="0"/>
    <x v="1"/>
    <n v="5490"/>
    <n v="5290"/>
    <n v="597"/>
    <n v="0.11285444234404537"/>
    <n v="0.96357012750455373"/>
    <x v="1"/>
    <n v="70"/>
    <n v="1.1666666666666667"/>
    <s v="Material Shortage"/>
    <n v="58"/>
    <n v="34626"/>
    <n v="10439"/>
    <n v="4990"/>
    <n v="4990"/>
    <x v="220"/>
    <n v="9000"/>
  </r>
  <r>
    <s v="PR-1618"/>
    <d v="2026-08-26T00:00:00"/>
    <x v="1"/>
    <x v="1"/>
    <s v="Wednesday"/>
    <x v="2"/>
    <x v="0"/>
    <x v="0"/>
    <s v="Mouthwash"/>
    <x v="1"/>
    <s v="Alcohol-Free Mouthwash 250ml"/>
    <s v="B260826-L2C"/>
    <s v="M. Khan"/>
    <x v="0"/>
    <x v="0"/>
    <x v="4"/>
    <n v="6110"/>
    <n v="5250"/>
    <n v="568"/>
    <n v="0.10819047619047618"/>
    <n v="0.85924713584288048"/>
    <x v="5"/>
    <n v="0"/>
    <n v="0"/>
    <s v="None"/>
    <n v="58"/>
    <n v="32944"/>
    <n v="11186"/>
    <n v="5680"/>
    <n v="5680"/>
    <x v="221"/>
    <n v="9000"/>
  </r>
  <r>
    <s v="PR-0565"/>
    <d v="2026-05-22T00:00:00"/>
    <x v="4"/>
    <x v="4"/>
    <s v="Friday"/>
    <x v="1"/>
    <x v="1"/>
    <x v="1"/>
    <s v="Toothbrush"/>
    <x v="3"/>
    <s v="Electric Toothbrush Head Pack"/>
    <s v="B260522-L4B"/>
    <s v="P. Singh"/>
    <x v="1"/>
    <x v="1"/>
    <x v="0"/>
    <n v="3740"/>
    <n v="3440"/>
    <n v="87"/>
    <n v="2.5290697674418605E-2"/>
    <n v="0.9197860962566845"/>
    <x v="0"/>
    <n v="39"/>
    <n v="0.65"/>
    <s v="Material Shortage"/>
    <n v="64"/>
    <n v="5568"/>
    <n v="10323"/>
    <n v="3450"/>
    <n v="3450"/>
    <x v="222"/>
    <n v="5250"/>
  </r>
  <r>
    <s v="PR-1417"/>
    <d v="2026-08-08T00:00:00"/>
    <x v="1"/>
    <x v="1"/>
    <s v="Saturday"/>
    <x v="0"/>
    <x v="0"/>
    <x v="0"/>
    <s v="Mouthwash"/>
    <x v="2"/>
    <s v="Mint Mouthwash 500ml"/>
    <s v="B260808-L2A"/>
    <s v="R. Sharma"/>
    <x v="2"/>
    <x v="0"/>
    <x v="1"/>
    <n v="4730"/>
    <n v="4570"/>
    <n v="72"/>
    <n v="1.575492341356674E-2"/>
    <n v="0.96617336152219868"/>
    <x v="0"/>
    <n v="0"/>
    <n v="0"/>
    <s v="None"/>
    <n v="79"/>
    <n v="5688"/>
    <n v="10430"/>
    <n v="4690"/>
    <n v="4690"/>
    <x v="223"/>
    <n v="6750"/>
  </r>
  <r>
    <s v="PR-0618"/>
    <d v="2026-05-27T00:00:00"/>
    <x v="4"/>
    <x v="4"/>
    <s v="Wednesday"/>
    <x v="1"/>
    <x v="1"/>
    <x v="1"/>
    <s v="Toothbrush"/>
    <x v="3"/>
    <s v="Electric Toothbrush Head Pack"/>
    <s v="B260527-L4B"/>
    <s v="P. Singh"/>
    <x v="1"/>
    <x v="1"/>
    <x v="7"/>
    <n v="3360"/>
    <n v="2960"/>
    <n v="54"/>
    <n v="1.8243243243243244E-2"/>
    <n v="0.88095238095238093"/>
    <x v="5"/>
    <n v="0"/>
    <n v="0"/>
    <s v="None"/>
    <n v="64"/>
    <n v="3456"/>
    <n v="10406"/>
    <n v="3050"/>
    <n v="3050"/>
    <x v="224"/>
    <n v="5250"/>
  </r>
  <r>
    <s v="PR-0525"/>
    <d v="2026-05-19T00:00:00"/>
    <x v="4"/>
    <x v="4"/>
    <s v="Tuesday"/>
    <x v="0"/>
    <x v="1"/>
    <x v="1"/>
    <s v="Toothbrush"/>
    <x v="3"/>
    <s v="Electric Toothbrush Head Pack"/>
    <s v="B260519-L4A"/>
    <s v="R. Sharma"/>
    <x v="1"/>
    <x v="1"/>
    <x v="0"/>
    <n v="3270"/>
    <n v="3020"/>
    <n v="62"/>
    <n v="2.052980132450331E-2"/>
    <n v="0.92354740061162077"/>
    <x v="2"/>
    <n v="11"/>
    <n v="0.18333333333333332"/>
    <s v="Machine Breakdown"/>
    <n v="64"/>
    <n v="3968"/>
    <n v="10485"/>
    <n v="3120"/>
    <n v="3120"/>
    <x v="225"/>
    <n v="5250"/>
  </r>
  <r>
    <s v="PR-1666"/>
    <d v="2026-08-31T00:00:00"/>
    <x v="1"/>
    <x v="1"/>
    <s v="Monday"/>
    <x v="1"/>
    <x v="0"/>
    <x v="0"/>
    <s v="Mouthwash"/>
    <x v="1"/>
    <s v="Alcohol-Free Mouthwash 250ml"/>
    <s v="B260831-L2B"/>
    <s v="S. Yadav"/>
    <x v="1"/>
    <x v="0"/>
    <x v="0"/>
    <n v="6050"/>
    <n v="5980"/>
    <n v="163"/>
    <n v="2.7257525083612039E-2"/>
    <n v="0.98842975206611572"/>
    <x v="2"/>
    <n v="74"/>
    <n v="1.2333333333333334"/>
    <s v="Machine Breakdown"/>
    <n v="58"/>
    <n v="9454"/>
    <n v="9839"/>
    <n v="5270"/>
    <n v="5270"/>
    <x v="226"/>
    <n v="9000"/>
  </r>
  <r>
    <s v="PR-0610"/>
    <d v="2026-05-26T00:00:00"/>
    <x v="4"/>
    <x v="4"/>
    <s v="Tuesday"/>
    <x v="2"/>
    <x v="1"/>
    <x v="1"/>
    <s v="Toothbrush"/>
    <x v="3"/>
    <s v="Electric Toothbrush Head Pack"/>
    <s v="B260526-L4C"/>
    <s v="M. Khan"/>
    <x v="1"/>
    <x v="1"/>
    <x v="3"/>
    <n v="3480"/>
    <n v="2970"/>
    <n v="83"/>
    <n v="2.7946127946127945E-2"/>
    <n v="0.85344827586206895"/>
    <x v="3"/>
    <n v="0"/>
    <n v="0"/>
    <s v="None"/>
    <n v="64"/>
    <n v="5312"/>
    <n v="10559"/>
    <n v="3040"/>
    <n v="3040"/>
    <x v="227"/>
    <n v="5250"/>
  </r>
  <r>
    <s v="PR-0598"/>
    <d v="2026-05-25T00:00:00"/>
    <x v="4"/>
    <x v="4"/>
    <s v="Monday"/>
    <x v="2"/>
    <x v="1"/>
    <x v="1"/>
    <s v="Toothbrush"/>
    <x v="3"/>
    <s v="Electric Toothbrush Head Pack"/>
    <s v="B260525-L4C"/>
    <s v="A. Gupta"/>
    <x v="2"/>
    <x v="1"/>
    <x v="3"/>
    <n v="3470"/>
    <n v="3110"/>
    <n v="96"/>
    <n v="3.0868167202572346E-2"/>
    <n v="0.89625360230547546"/>
    <x v="0"/>
    <n v="0"/>
    <n v="0"/>
    <s v="None"/>
    <n v="64"/>
    <n v="6144"/>
    <n v="10795"/>
    <n v="3390"/>
    <n v="3390"/>
    <x v="228"/>
    <n v="5250"/>
  </r>
  <r>
    <s v="PR-1405"/>
    <d v="2026-08-07T00:00:00"/>
    <x v="1"/>
    <x v="1"/>
    <s v="Friday"/>
    <x v="0"/>
    <x v="0"/>
    <x v="0"/>
    <s v="Mouthwash"/>
    <x v="2"/>
    <s v="Mint Mouthwash 500ml"/>
    <s v="B260807-L2A"/>
    <s v="K. Verma"/>
    <x v="2"/>
    <x v="0"/>
    <x v="0"/>
    <n v="4690"/>
    <n v="4500"/>
    <n v="124"/>
    <n v="2.7555555555555555E-2"/>
    <n v="0.95948827292110872"/>
    <x v="0"/>
    <n v="0"/>
    <n v="0"/>
    <s v="None"/>
    <n v="79"/>
    <n v="9796"/>
    <n v="10524"/>
    <n v="4470"/>
    <n v="4470"/>
    <x v="229"/>
    <n v="6750"/>
  </r>
  <r>
    <s v="PR-1622"/>
    <d v="2026-08-27T00:00:00"/>
    <x v="1"/>
    <x v="1"/>
    <s v="Thursday"/>
    <x v="0"/>
    <x v="0"/>
    <x v="0"/>
    <s v="Mouthwash"/>
    <x v="1"/>
    <s v="Alcohol-Free Mouthwash 250ml"/>
    <s v="B260827-L2A"/>
    <s v="K. Verma"/>
    <x v="1"/>
    <x v="0"/>
    <x v="0"/>
    <n v="5730"/>
    <n v="5570"/>
    <n v="139"/>
    <n v="2.4955116696588869E-2"/>
    <n v="0.97207678883071558"/>
    <x v="4"/>
    <n v="59"/>
    <n v="0.98333333333333328"/>
    <s v="Power Interruption"/>
    <n v="58"/>
    <n v="8062"/>
    <n v="10188"/>
    <n v="5180"/>
    <n v="5180"/>
    <x v="230"/>
    <n v="9000"/>
  </r>
  <r>
    <s v="PR-0674"/>
    <d v="2026-06-01T00:00:00"/>
    <x v="3"/>
    <x v="3"/>
    <s v="Monday"/>
    <x v="2"/>
    <x v="1"/>
    <x v="1"/>
    <s v="Toothbrush"/>
    <x v="3"/>
    <s v="Electric Toothbrush Head Pack"/>
    <s v="B260601-L4C"/>
    <s v="M. Khan"/>
    <x v="1"/>
    <x v="1"/>
    <x v="7"/>
    <n v="3150"/>
    <n v="3100"/>
    <n v="120"/>
    <n v="3.870967741935484E-2"/>
    <n v="0.98412698412698407"/>
    <x v="4"/>
    <n v="0"/>
    <n v="0"/>
    <s v="None"/>
    <n v="64"/>
    <n v="7680"/>
    <n v="10017"/>
    <n v="2520"/>
    <n v="2520"/>
    <x v="231"/>
    <n v="5250"/>
  </r>
  <r>
    <s v="PR-0521"/>
    <d v="2026-05-18T00:00:00"/>
    <x v="4"/>
    <x v="4"/>
    <s v="Monday"/>
    <x v="2"/>
    <x v="1"/>
    <x v="1"/>
    <s v="Toothbrush"/>
    <x v="3"/>
    <s v="Electric Toothbrush Head Pack"/>
    <s v="B260518-L4C"/>
    <s v="M. Khan"/>
    <x v="2"/>
    <x v="1"/>
    <x v="2"/>
    <n v="3280"/>
    <n v="2860"/>
    <n v="74"/>
    <n v="2.5874125874125874E-2"/>
    <n v="0.87195121951219512"/>
    <x v="5"/>
    <n v="0"/>
    <n v="0"/>
    <s v="None"/>
    <n v="64"/>
    <n v="4736"/>
    <n v="10549"/>
    <n v="2850"/>
    <n v="2850"/>
    <x v="232"/>
    <n v="5250"/>
  </r>
  <r>
    <s v="PR-1377"/>
    <d v="2026-08-04T00:00:00"/>
    <x v="1"/>
    <x v="1"/>
    <s v="Tuesday"/>
    <x v="2"/>
    <x v="0"/>
    <x v="0"/>
    <s v="Mouthwash"/>
    <x v="2"/>
    <s v="Mint Mouthwash 500ml"/>
    <s v="B260804-L2C"/>
    <s v="M. Khan"/>
    <x v="0"/>
    <x v="0"/>
    <x v="2"/>
    <n v="4450"/>
    <n v="4220"/>
    <n v="389"/>
    <n v="9.2180094786729852E-2"/>
    <n v="0.94831460674157309"/>
    <x v="1"/>
    <n v="68"/>
    <n v="1.1333333333333333"/>
    <s v="Machine Breakdown"/>
    <n v="79"/>
    <n v="30731"/>
    <n v="10873"/>
    <n v="4180"/>
    <n v="4180"/>
    <x v="233"/>
    <n v="6750"/>
  </r>
  <r>
    <s v="PR-0505"/>
    <d v="2026-05-16T00:00:00"/>
    <x v="4"/>
    <x v="4"/>
    <s v="Saturday"/>
    <x v="2"/>
    <x v="1"/>
    <x v="1"/>
    <s v="Toothbrush"/>
    <x v="3"/>
    <s v="Electric Toothbrush Head Pack"/>
    <s v="B260516-L4C"/>
    <s v="A. Gupta"/>
    <x v="2"/>
    <x v="1"/>
    <x v="1"/>
    <n v="3290"/>
    <n v="2990"/>
    <n v="66"/>
    <n v="2.2073578595317726E-2"/>
    <n v="0.90881458966565354"/>
    <x v="5"/>
    <n v="0"/>
    <n v="0"/>
    <s v="None"/>
    <n v="64"/>
    <n v="4224"/>
    <n v="10865"/>
    <n v="3240"/>
    <n v="3240"/>
    <x v="234"/>
    <n v="5250"/>
  </r>
  <r>
    <s v="PR-0606"/>
    <d v="2026-05-26T00:00:00"/>
    <x v="4"/>
    <x v="4"/>
    <s v="Tuesday"/>
    <x v="1"/>
    <x v="1"/>
    <x v="1"/>
    <s v="Toothbrush"/>
    <x v="3"/>
    <s v="Electric Toothbrush Head Pack"/>
    <s v="B260526-L4B"/>
    <s v="P. Singh"/>
    <x v="2"/>
    <x v="1"/>
    <x v="6"/>
    <n v="3500"/>
    <n v="3050"/>
    <n v="100"/>
    <n v="3.2786885245901641E-2"/>
    <n v="0.87142857142857144"/>
    <x v="2"/>
    <n v="0"/>
    <n v="0"/>
    <s v="None"/>
    <n v="64"/>
    <n v="6400"/>
    <n v="10419"/>
    <n v="2810"/>
    <n v="2810"/>
    <x v="235"/>
    <n v="5250"/>
  </r>
  <r>
    <s v="PR-0461"/>
    <d v="2026-05-13T00:00:00"/>
    <x v="4"/>
    <x v="4"/>
    <s v="Wednesday"/>
    <x v="0"/>
    <x v="1"/>
    <x v="1"/>
    <s v="Toothbrush"/>
    <x v="3"/>
    <s v="Electric Toothbrush Head Pack"/>
    <s v="B260513-L4A"/>
    <s v="K. Verma"/>
    <x v="1"/>
    <x v="1"/>
    <x v="7"/>
    <n v="3430"/>
    <n v="3070"/>
    <n v="60"/>
    <n v="1.9543973941368076E-2"/>
    <n v="0.89504373177842567"/>
    <x v="3"/>
    <n v="22"/>
    <n v="0.36666666666666664"/>
    <s v="Changeover"/>
    <n v="64"/>
    <n v="3840"/>
    <n v="10708"/>
    <n v="3060"/>
    <n v="3060"/>
    <x v="236"/>
    <n v="5250"/>
  </r>
  <r>
    <s v="PR-0457"/>
    <d v="2026-05-12T00:00:00"/>
    <x v="4"/>
    <x v="4"/>
    <s v="Tuesday"/>
    <x v="2"/>
    <x v="1"/>
    <x v="1"/>
    <s v="Toothbrush"/>
    <x v="3"/>
    <s v="Electric Toothbrush Head Pack"/>
    <s v="B260512-L4C"/>
    <s v="M. Khan"/>
    <x v="2"/>
    <x v="1"/>
    <x v="2"/>
    <n v="3460"/>
    <n v="3170"/>
    <n v="57"/>
    <n v="1.7981072555205046E-2"/>
    <n v="0.91618497109826591"/>
    <x v="4"/>
    <n v="0"/>
    <n v="0"/>
    <s v="None"/>
    <n v="64"/>
    <n v="3648"/>
    <n v="10915"/>
    <n v="3320"/>
    <n v="3320"/>
    <x v="237"/>
    <n v="5250"/>
  </r>
  <r>
    <s v="PR-0594"/>
    <d v="2026-05-25T00:00:00"/>
    <x v="4"/>
    <x v="4"/>
    <s v="Monday"/>
    <x v="1"/>
    <x v="1"/>
    <x v="1"/>
    <s v="Toothbrush"/>
    <x v="3"/>
    <s v="Electric Toothbrush Head Pack"/>
    <s v="B260525-L4B"/>
    <s v="S. Yadav"/>
    <x v="2"/>
    <x v="1"/>
    <x v="0"/>
    <n v="3510"/>
    <n v="3210"/>
    <n v="120"/>
    <n v="3.7383177570093455E-2"/>
    <n v="0.9145299145299145"/>
    <x v="4"/>
    <n v="0"/>
    <n v="0"/>
    <s v="None"/>
    <n v="64"/>
    <n v="7680"/>
    <n v="10825"/>
    <n v="3120"/>
    <n v="3120"/>
    <x v="238"/>
    <n v="5250"/>
  </r>
  <r>
    <s v="PR-0573"/>
    <d v="2026-05-23T00:00:00"/>
    <x v="4"/>
    <x v="4"/>
    <s v="Saturday"/>
    <x v="0"/>
    <x v="1"/>
    <x v="1"/>
    <s v="Toothbrush"/>
    <x v="3"/>
    <s v="Electric Toothbrush Head Pack"/>
    <s v="B260523-L4A"/>
    <s v="K. Verma"/>
    <x v="1"/>
    <x v="1"/>
    <x v="7"/>
    <n v="3530"/>
    <n v="3520"/>
    <n v="71"/>
    <n v="2.0170454545454547E-2"/>
    <n v="0.99716713881019825"/>
    <x v="3"/>
    <n v="0"/>
    <n v="0"/>
    <s v="None"/>
    <n v="64"/>
    <n v="4544"/>
    <n v="10226"/>
    <n v="2850"/>
    <n v="2850"/>
    <x v="239"/>
    <n v="5250"/>
  </r>
  <r>
    <s v="PR-0501"/>
    <d v="2026-05-16T00:00:00"/>
    <x v="4"/>
    <x v="4"/>
    <s v="Saturday"/>
    <x v="1"/>
    <x v="1"/>
    <x v="1"/>
    <s v="Toothbrush"/>
    <x v="3"/>
    <s v="Electric Toothbrush Head Pack"/>
    <s v="B260516-L4B"/>
    <s v="P. Singh"/>
    <x v="1"/>
    <x v="1"/>
    <x v="6"/>
    <n v="3600"/>
    <n v="3380"/>
    <n v="73"/>
    <n v="2.1597633136094675E-2"/>
    <n v="0.93888888888888888"/>
    <x v="0"/>
    <n v="0"/>
    <n v="0"/>
    <s v="None"/>
    <n v="64"/>
    <n v="4672"/>
    <n v="10658"/>
    <n v="3100"/>
    <n v="3100"/>
    <x v="240"/>
    <n v="5250"/>
  </r>
  <r>
    <s v="PR-1373"/>
    <d v="2026-08-04T00:00:00"/>
    <x v="1"/>
    <x v="1"/>
    <s v="Tuesday"/>
    <x v="1"/>
    <x v="0"/>
    <x v="0"/>
    <s v="Mouthwash"/>
    <x v="2"/>
    <s v="Mint Mouthwash 500ml"/>
    <s v="B260804-L2B"/>
    <s v="S. Yadav"/>
    <x v="1"/>
    <x v="0"/>
    <x v="0"/>
    <n v="4500"/>
    <n v="4160"/>
    <n v="93"/>
    <n v="2.2355769230769231E-2"/>
    <n v="0.9244444444444444"/>
    <x v="3"/>
    <n v="16"/>
    <n v="0.26666666666666666"/>
    <s v="Power Interruption"/>
    <n v="79"/>
    <n v="7347"/>
    <n v="11116"/>
    <n v="4310"/>
    <n v="4310"/>
    <x v="241"/>
    <n v="6750"/>
  </r>
  <r>
    <s v="PR-0437"/>
    <d v="2026-05-11T00:00:00"/>
    <x v="4"/>
    <x v="4"/>
    <s v="Monday"/>
    <x v="0"/>
    <x v="1"/>
    <x v="1"/>
    <s v="Toothbrush"/>
    <x v="3"/>
    <s v="Electric Toothbrush Head Pack"/>
    <s v="B260511-L4A"/>
    <s v="K. Verma"/>
    <x v="1"/>
    <x v="1"/>
    <x v="7"/>
    <n v="3470"/>
    <n v="3250"/>
    <n v="141"/>
    <n v="4.3384615384615383E-2"/>
    <n v="0.93659942363112392"/>
    <x v="3"/>
    <n v="0"/>
    <n v="0"/>
    <s v="None"/>
    <n v="64"/>
    <n v="9024"/>
    <n v="11036"/>
    <n v="3230"/>
    <n v="3230"/>
    <x v="242"/>
    <n v="5250"/>
  </r>
  <r>
    <s v="PR-1594"/>
    <d v="2026-08-24T00:00:00"/>
    <x v="1"/>
    <x v="1"/>
    <s v="Monday"/>
    <x v="2"/>
    <x v="0"/>
    <x v="0"/>
    <s v="Mouthwash"/>
    <x v="1"/>
    <s v="Alcohol-Free Mouthwash 250ml"/>
    <s v="B260824-L2C"/>
    <s v="M. Khan"/>
    <x v="0"/>
    <x v="0"/>
    <x v="2"/>
    <n v="5930"/>
    <n v="5210"/>
    <n v="592"/>
    <n v="0.11362763915547025"/>
    <n v="0.87858347386172009"/>
    <x v="1"/>
    <n v="63"/>
    <n v="1.05"/>
    <s v="Cleaning / Sanitation"/>
    <n v="58"/>
    <n v="34336"/>
    <n v="11740"/>
    <n v="5430"/>
    <n v="5430"/>
    <x v="243"/>
    <n v="9000"/>
  </r>
  <r>
    <s v="PR-0421"/>
    <d v="2026-05-09T00:00:00"/>
    <x v="4"/>
    <x v="4"/>
    <s v="Saturday"/>
    <x v="0"/>
    <x v="1"/>
    <x v="1"/>
    <s v="Toothbrush"/>
    <x v="3"/>
    <s v="Electric Toothbrush Head Pack"/>
    <s v="B260509-L4A"/>
    <s v="K. Verma"/>
    <x v="1"/>
    <x v="1"/>
    <x v="6"/>
    <n v="3340"/>
    <n v="2960"/>
    <n v="71"/>
    <n v="2.3986486486486488E-2"/>
    <n v="0.88622754491017963"/>
    <x v="2"/>
    <n v="61"/>
    <n v="1.0166666666666666"/>
    <s v="Changeover"/>
    <n v="64"/>
    <n v="4544"/>
    <n v="11457"/>
    <n v="3310"/>
    <n v="3310"/>
    <x v="244"/>
    <n v="5250"/>
  </r>
  <r>
    <s v="PR-1353"/>
    <d v="2026-08-02T00:00:00"/>
    <x v="1"/>
    <x v="1"/>
    <s v="Sunday"/>
    <x v="0"/>
    <x v="0"/>
    <x v="0"/>
    <s v="Mouthwash"/>
    <x v="2"/>
    <s v="Mint Mouthwash 500ml"/>
    <s v="B260802-L2A"/>
    <s v="R. Sharma"/>
    <x v="0"/>
    <x v="0"/>
    <x v="3"/>
    <n v="2990"/>
    <n v="2770"/>
    <n v="305"/>
    <n v="0.11010830324909747"/>
    <n v="0.9264214046822743"/>
    <x v="1"/>
    <n v="40"/>
    <n v="0.66666666666666663"/>
    <s v="Changeover"/>
    <n v="79"/>
    <n v="24095"/>
    <n v="11411"/>
    <n v="2760"/>
    <n v="2760"/>
    <x v="245"/>
    <n v="6750"/>
  </r>
  <r>
    <s v="PR-1598"/>
    <d v="2026-08-25T00:00:00"/>
    <x v="1"/>
    <x v="1"/>
    <s v="Tuesday"/>
    <x v="0"/>
    <x v="0"/>
    <x v="0"/>
    <s v="Mouthwash"/>
    <x v="1"/>
    <s v="Alcohol-Free Mouthwash 250ml"/>
    <s v="B260825-L2A"/>
    <s v="R. Sharma"/>
    <x v="1"/>
    <x v="0"/>
    <x v="0"/>
    <n v="6160"/>
    <n v="5870"/>
    <n v="112"/>
    <n v="1.9080068143100513E-2"/>
    <n v="0.95292207792207795"/>
    <x v="5"/>
    <n v="0"/>
    <n v="0"/>
    <s v="None"/>
    <n v="58"/>
    <n v="6496"/>
    <n v="10928"/>
    <n v="5500"/>
    <n v="5500"/>
    <x v="246"/>
    <n v="9000"/>
  </r>
  <r>
    <s v="PR-0401"/>
    <d v="2026-05-07T00:00:00"/>
    <x v="4"/>
    <x v="4"/>
    <s v="Thursday"/>
    <x v="1"/>
    <x v="1"/>
    <x v="1"/>
    <s v="Toothbrush"/>
    <x v="3"/>
    <s v="Electric Toothbrush Head Pack"/>
    <s v="B260507-L4B"/>
    <s v="P. Singh"/>
    <x v="1"/>
    <x v="1"/>
    <x v="7"/>
    <n v="3770"/>
    <n v="3560"/>
    <n v="127"/>
    <n v="3.5674157303370785E-2"/>
    <n v="0.9442970822281167"/>
    <x v="4"/>
    <n v="0"/>
    <n v="0"/>
    <s v="None"/>
    <n v="64"/>
    <n v="8128"/>
    <n v="11512"/>
    <n v="3710"/>
    <n v="3710"/>
    <x v="247"/>
    <n v="5250"/>
  </r>
  <r>
    <s v="PR-0004"/>
    <d v="2026-04-01T00:00:00"/>
    <x v="5"/>
    <x v="5"/>
    <s v="Wednesday"/>
    <x v="0"/>
    <x v="1"/>
    <x v="1"/>
    <s v="Toothbrush"/>
    <x v="3"/>
    <s v="Electric Toothbrush Head Pack"/>
    <s v="B260401-L4A"/>
    <s v="K. Verma"/>
    <x v="1"/>
    <x v="1"/>
    <x v="7"/>
    <n v="3560"/>
    <n v="3630"/>
    <n v="66"/>
    <n v="1.8181818181818181E-2"/>
    <n v="1.0196629213483146"/>
    <x v="4"/>
    <n v="0"/>
    <n v="0"/>
    <s v="None"/>
    <n v="64"/>
    <n v="4224"/>
    <n v="10500"/>
    <n v="2700"/>
    <n v="2700"/>
    <x v="248"/>
    <n v="5250"/>
  </r>
  <r>
    <s v="PR-0051"/>
    <d v="2026-04-05T00:00:00"/>
    <x v="5"/>
    <x v="5"/>
    <s v="Sunday"/>
    <x v="0"/>
    <x v="1"/>
    <x v="1"/>
    <s v="Toothbrush"/>
    <x v="3"/>
    <s v="Electric Toothbrush Head Pack"/>
    <s v="B260405-L4A"/>
    <s v="K. Verma"/>
    <x v="1"/>
    <x v="1"/>
    <x v="1"/>
    <n v="2490"/>
    <n v="2200"/>
    <n v="55"/>
    <n v="2.5000000000000001E-2"/>
    <n v="0.88353413654618473"/>
    <x v="4"/>
    <n v="0"/>
    <n v="0"/>
    <s v="None"/>
    <n v="64"/>
    <n v="3520"/>
    <n v="11512"/>
    <n v="2290"/>
    <n v="2290"/>
    <x v="249"/>
    <n v="5250"/>
  </r>
  <r>
    <s v="PR-1500"/>
    <d v="2026-08-15T00:00:00"/>
    <x v="1"/>
    <x v="1"/>
    <s v="Saturday"/>
    <x v="1"/>
    <x v="0"/>
    <x v="0"/>
    <s v="Mouthwash"/>
    <x v="0"/>
    <s v="Mint Mouthwash 250ml"/>
    <s v="B260815-L2B"/>
    <s v="S. Yadav"/>
    <x v="0"/>
    <x v="0"/>
    <x v="0"/>
    <n v="7550"/>
    <n v="7250"/>
    <n v="1013"/>
    <n v="0.13972413793103447"/>
    <n v="0.96026490066225167"/>
    <x v="1"/>
    <n v="59"/>
    <n v="0.98333333333333328"/>
    <s v="Changeover"/>
    <n v="46"/>
    <n v="46598"/>
    <n v="12618"/>
    <n v="7480"/>
    <n v="7480"/>
    <x v="250"/>
    <n v="10500"/>
  </r>
  <r>
    <s v="PR-0266"/>
    <d v="2026-04-24T00:00:00"/>
    <x v="5"/>
    <x v="5"/>
    <s v="Friday"/>
    <x v="2"/>
    <x v="1"/>
    <x v="1"/>
    <s v="Toothbrush"/>
    <x v="3"/>
    <s v="Electric Toothbrush Head Pack"/>
    <s v="B260424-L4C"/>
    <s v="A. Gupta"/>
    <x v="2"/>
    <x v="1"/>
    <x v="0"/>
    <n v="3140"/>
    <n v="2790"/>
    <n v="49"/>
    <n v="1.7562724014336919E-2"/>
    <n v="0.88853503184713378"/>
    <x v="5"/>
    <n v="0"/>
    <n v="0"/>
    <s v="None"/>
    <n v="64"/>
    <n v="3136"/>
    <n v="11700"/>
    <n v="3040"/>
    <n v="3040"/>
    <x v="251"/>
    <n v="5250"/>
  </r>
  <r>
    <s v="PR-0053"/>
    <d v="2026-04-05T00:00:00"/>
    <x v="5"/>
    <x v="5"/>
    <s v="Sunday"/>
    <x v="1"/>
    <x v="1"/>
    <x v="1"/>
    <s v="Toothbrush"/>
    <x v="3"/>
    <s v="Electric Toothbrush Head Pack"/>
    <s v="B260405-L4B"/>
    <s v="S. Yadav"/>
    <x v="1"/>
    <x v="1"/>
    <x v="0"/>
    <n v="2620"/>
    <n v="2360"/>
    <n v="47"/>
    <n v="1.9915254237288134E-2"/>
    <n v="0.9007633587786259"/>
    <x v="2"/>
    <n v="51"/>
    <n v="0.85"/>
    <s v="Machine Breakdown"/>
    <n v="64"/>
    <n v="3008"/>
    <n v="11367"/>
    <n v="2270"/>
    <n v="2270"/>
    <x v="252"/>
    <n v="5250"/>
  </r>
  <r>
    <s v="PR-1345"/>
    <d v="2026-08-01T00:00:00"/>
    <x v="1"/>
    <x v="1"/>
    <s v="Saturday"/>
    <x v="1"/>
    <x v="0"/>
    <x v="0"/>
    <s v="Mouthwash"/>
    <x v="2"/>
    <s v="Mint Mouthwash 500ml"/>
    <s v="B260801-L2B"/>
    <s v="P. Singh"/>
    <x v="0"/>
    <x v="0"/>
    <x v="1"/>
    <n v="4570"/>
    <n v="4290"/>
    <n v="549"/>
    <n v="0.12797202797202797"/>
    <n v="0.93873085339168494"/>
    <x v="1"/>
    <n v="14"/>
    <n v="0.23333333333333334"/>
    <s v="Power Interruption"/>
    <n v="79"/>
    <n v="43371"/>
    <n v="11650"/>
    <n v="3980"/>
    <n v="3980"/>
    <x v="253"/>
    <n v="6750"/>
  </r>
  <r>
    <s v="PR-0413"/>
    <d v="2026-05-08T00:00:00"/>
    <x v="4"/>
    <x v="4"/>
    <s v="Friday"/>
    <x v="1"/>
    <x v="1"/>
    <x v="1"/>
    <s v="Toothbrush"/>
    <x v="3"/>
    <s v="Electric Toothbrush Head Pack"/>
    <s v="B260508-L4B"/>
    <s v="P. Singh"/>
    <x v="1"/>
    <x v="1"/>
    <x v="0"/>
    <n v="3700"/>
    <n v="3400"/>
    <n v="108"/>
    <n v="3.1764705882352938E-2"/>
    <n v="0.91891891891891897"/>
    <x v="0"/>
    <n v="10"/>
    <n v="0.16666666666666666"/>
    <s v="Material Shortage"/>
    <n v="64"/>
    <n v="6912"/>
    <n v="11235"/>
    <n v="3070"/>
    <n v="3070"/>
    <x v="254"/>
    <n v="5250"/>
  </r>
  <r>
    <s v="PR-1550"/>
    <d v="2026-08-20T00:00:00"/>
    <x v="1"/>
    <x v="1"/>
    <s v="Thursday"/>
    <x v="1"/>
    <x v="0"/>
    <x v="0"/>
    <s v="Mouthwash"/>
    <x v="1"/>
    <s v="Alcohol-Free Mouthwash 250ml"/>
    <s v="B260820-L2B"/>
    <s v="S. Yadav"/>
    <x v="0"/>
    <x v="0"/>
    <x v="0"/>
    <n v="5570"/>
    <n v="5180"/>
    <n v="366"/>
    <n v="7.0656370656370662E-2"/>
    <n v="0.9299820466786356"/>
    <x v="1"/>
    <n v="31"/>
    <n v="0.51666666666666672"/>
    <s v="Changeover"/>
    <n v="58"/>
    <n v="21228"/>
    <n v="12079"/>
    <n v="5410"/>
    <n v="5410"/>
    <x v="255"/>
    <n v="9000"/>
  </r>
  <r>
    <s v="PR-0069"/>
    <d v="2026-04-07T00:00:00"/>
    <x v="5"/>
    <x v="5"/>
    <s v="Tuesday"/>
    <x v="0"/>
    <x v="1"/>
    <x v="1"/>
    <s v="Toothbrush"/>
    <x v="3"/>
    <s v="Electric Toothbrush Head Pack"/>
    <s v="B260407-L4A"/>
    <s v="K. Verma"/>
    <x v="2"/>
    <x v="1"/>
    <x v="7"/>
    <n v="3770"/>
    <n v="3670"/>
    <n v="96"/>
    <n v="2.6158038147138966E-2"/>
    <n v="0.97347480106100792"/>
    <x v="2"/>
    <n v="0"/>
    <n v="0"/>
    <s v="None"/>
    <n v="64"/>
    <n v="6144"/>
    <n v="11410"/>
    <n v="3500"/>
    <n v="3500"/>
    <x v="256"/>
    <n v="5250"/>
  </r>
  <r>
    <s v="PR-0218"/>
    <d v="2026-04-20T00:00:00"/>
    <x v="5"/>
    <x v="5"/>
    <s v="Monday"/>
    <x v="2"/>
    <x v="1"/>
    <x v="1"/>
    <s v="Toothbrush"/>
    <x v="3"/>
    <s v="Electric Toothbrush Head Pack"/>
    <s v="B260420-L4C"/>
    <s v="M. Khan"/>
    <x v="1"/>
    <x v="1"/>
    <x v="3"/>
    <n v="3150"/>
    <n v="2630"/>
    <n v="75"/>
    <n v="2.8517110266159697E-2"/>
    <n v="0.83492063492063495"/>
    <x v="2"/>
    <n v="55"/>
    <n v="0.91666666666666663"/>
    <s v="Changeover"/>
    <n v="64"/>
    <n v="4800"/>
    <n v="11856"/>
    <n v="2910"/>
    <n v="2910"/>
    <x v="257"/>
    <n v="5250"/>
  </r>
  <r>
    <s v="PR-0048"/>
    <d v="2026-04-04T00:00:00"/>
    <x v="5"/>
    <x v="5"/>
    <s v="Saturday"/>
    <x v="2"/>
    <x v="1"/>
    <x v="1"/>
    <s v="Toothbrush"/>
    <x v="3"/>
    <s v="Electric Toothbrush Head Pack"/>
    <s v="B260404-L4C"/>
    <s v="M. Khan"/>
    <x v="1"/>
    <x v="1"/>
    <x v="3"/>
    <n v="3560"/>
    <n v="3320"/>
    <n v="95"/>
    <n v="2.86144578313253E-2"/>
    <n v="0.93258426966292129"/>
    <x v="3"/>
    <n v="15"/>
    <n v="0.25"/>
    <s v="Manpower Shortage"/>
    <n v="64"/>
    <n v="6080"/>
    <n v="11517"/>
    <n v="3230"/>
    <n v="3230"/>
    <x v="258"/>
    <n v="5250"/>
  </r>
  <r>
    <s v="PR-0385"/>
    <d v="2026-05-06T00:00:00"/>
    <x v="4"/>
    <x v="4"/>
    <s v="Wednesday"/>
    <x v="0"/>
    <x v="1"/>
    <x v="1"/>
    <s v="Toothbrush"/>
    <x v="3"/>
    <s v="Electric Toothbrush Head Pack"/>
    <s v="B260506-L4A"/>
    <s v="R. Sharma"/>
    <x v="2"/>
    <x v="1"/>
    <x v="7"/>
    <n v="3370"/>
    <n v="3390"/>
    <n v="83"/>
    <n v="2.4483775811209439E-2"/>
    <n v="1.0059347181008902"/>
    <x v="5"/>
    <n v="0"/>
    <n v="0"/>
    <s v="None"/>
    <n v="64"/>
    <n v="5312"/>
    <n v="11585"/>
    <n v="3380"/>
    <n v="3380"/>
    <x v="258"/>
    <n v="5250"/>
  </r>
  <r>
    <s v="PR-0020"/>
    <d v="2026-04-02T00:00:00"/>
    <x v="5"/>
    <x v="5"/>
    <s v="Thursday"/>
    <x v="1"/>
    <x v="1"/>
    <x v="1"/>
    <s v="Toothbrush"/>
    <x v="3"/>
    <s v="Electric Toothbrush Head Pack"/>
    <s v="B260402-L4B"/>
    <s v="S. Yadav"/>
    <x v="1"/>
    <x v="1"/>
    <x v="2"/>
    <n v="3640"/>
    <n v="3220"/>
    <n v="77"/>
    <n v="2.391304347826087E-2"/>
    <n v="0.88461538461538458"/>
    <x v="4"/>
    <n v="0"/>
    <n v="0"/>
    <s v="None"/>
    <n v="64"/>
    <n v="4928"/>
    <n v="11614"/>
    <n v="3240"/>
    <n v="3240"/>
    <x v="259"/>
    <n v="5250"/>
  </r>
  <r>
    <s v="PR-0008"/>
    <d v="2026-04-01T00:00:00"/>
    <x v="5"/>
    <x v="5"/>
    <s v="Wednesday"/>
    <x v="1"/>
    <x v="1"/>
    <x v="1"/>
    <s v="Toothbrush"/>
    <x v="3"/>
    <s v="Electric Toothbrush Head Pack"/>
    <s v="B260401-L4B"/>
    <s v="S. Yadav"/>
    <x v="1"/>
    <x v="1"/>
    <x v="7"/>
    <n v="3260"/>
    <n v="3080"/>
    <n v="105"/>
    <n v="3.4090909090909088E-2"/>
    <n v="0.94478527607361962"/>
    <x v="2"/>
    <n v="0"/>
    <n v="0"/>
    <s v="None"/>
    <n v="64"/>
    <n v="6720"/>
    <n v="11364"/>
    <n v="2780"/>
    <n v="2780"/>
    <x v="260"/>
    <n v="5250"/>
  </r>
  <r>
    <s v="PR-0381"/>
    <d v="2026-05-05T00:00:00"/>
    <x v="4"/>
    <x v="4"/>
    <s v="Tuesday"/>
    <x v="2"/>
    <x v="1"/>
    <x v="1"/>
    <s v="Toothbrush"/>
    <x v="3"/>
    <s v="Electric Toothbrush Head Pack"/>
    <s v="B260505-L4C"/>
    <s v="A. Gupta"/>
    <x v="2"/>
    <x v="1"/>
    <x v="6"/>
    <n v="3330"/>
    <n v="2970"/>
    <n v="124"/>
    <n v="4.1750841750841754E-2"/>
    <n v="0.89189189189189189"/>
    <x v="3"/>
    <n v="14"/>
    <n v="0.23333333333333334"/>
    <s v="Cleaning / Sanitation"/>
    <n v="64"/>
    <n v="7936"/>
    <n v="11909"/>
    <n v="3170"/>
    <n v="3170"/>
    <x v="261"/>
    <n v="5250"/>
  </r>
  <r>
    <s v="PR-0270"/>
    <d v="2026-04-25T00:00:00"/>
    <x v="5"/>
    <x v="5"/>
    <s v="Saturday"/>
    <x v="0"/>
    <x v="1"/>
    <x v="1"/>
    <s v="Toothbrush"/>
    <x v="3"/>
    <s v="Electric Toothbrush Head Pack"/>
    <s v="B260425-L4A"/>
    <s v="K. Verma"/>
    <x v="1"/>
    <x v="1"/>
    <x v="6"/>
    <n v="3640"/>
    <n v="3520"/>
    <n v="122"/>
    <n v="3.465909090909091E-2"/>
    <n v="0.96703296703296704"/>
    <x v="0"/>
    <n v="12"/>
    <n v="0.2"/>
    <s v="Machine Breakdown"/>
    <n v="64"/>
    <n v="7808"/>
    <n v="11401"/>
    <n v="3210"/>
    <n v="3210"/>
    <x v="262"/>
    <n v="5250"/>
  </r>
  <r>
    <s v="PR-0081"/>
    <s v="=SUM(IF('Data'!J2:J2001 = &quot;MW-MT-250&quot;,('Data'!AB2:AB2001 - 'Data'!AC2:AC2001)*'Data'!Z2:Z2001)"/>
    <x v="5"/>
    <x v="5"/>
    <s v="Wednesday"/>
    <x v="0"/>
    <x v="1"/>
    <x v="1"/>
    <s v="Toothbrush"/>
    <x v="3"/>
    <s v="Electric Toothbrush Head Pack"/>
    <s v="B260408-L4A"/>
    <s v="K. Verma"/>
    <x v="1"/>
    <x v="1"/>
    <x v="7"/>
    <n v="3730"/>
    <n v="3530"/>
    <n v="89"/>
    <n v="2.5212464589235126E-2"/>
    <n v="0.9463806970509383"/>
    <x v="2"/>
    <n v="0"/>
    <n v="0"/>
    <s v="None"/>
    <n v="64"/>
    <n v="5696"/>
    <n v="11484"/>
    <n v="3330"/>
    <n v="3330"/>
    <x v="263"/>
    <n v="5250"/>
  </r>
  <r>
    <s v="PR-1586"/>
    <d v="2026-08-24T00:00:00"/>
    <x v="1"/>
    <x v="1"/>
    <s v="Monday"/>
    <x v="0"/>
    <x v="0"/>
    <x v="0"/>
    <s v="Mouthwash"/>
    <x v="1"/>
    <s v="Alcohol-Free Mouthwash 250ml"/>
    <s v="B260824-L2A"/>
    <s v="R. Sharma"/>
    <x v="2"/>
    <x v="0"/>
    <x v="2"/>
    <n v="6470"/>
    <n v="5980"/>
    <n v="119"/>
    <n v="1.9899665551839463E-2"/>
    <n v="0.92426584234930453"/>
    <x v="2"/>
    <n v="0"/>
    <n v="0"/>
    <s v="None"/>
    <n v="58"/>
    <n v="6902"/>
    <n v="11483"/>
    <n v="5740"/>
    <n v="5740"/>
    <x v="264"/>
    <n v="9000"/>
  </r>
  <r>
    <s v="PR-0016"/>
    <d v="2026-04-02T00:00:00"/>
    <x v="5"/>
    <x v="5"/>
    <s v="Thursday"/>
    <x v="0"/>
    <x v="1"/>
    <x v="1"/>
    <s v="Toothbrush"/>
    <x v="3"/>
    <s v="Electric Toothbrush Head Pack"/>
    <s v="B260402-L4A"/>
    <s v="R. Sharma"/>
    <x v="2"/>
    <x v="1"/>
    <x v="0"/>
    <n v="3310"/>
    <n v="3290"/>
    <n v="105"/>
    <n v="3.1914893617021274E-2"/>
    <n v="0.9939577039274925"/>
    <x v="5"/>
    <n v="0"/>
    <n v="0"/>
    <s v="None"/>
    <n v="64"/>
    <n v="6720"/>
    <n v="11559"/>
    <n v="3130"/>
    <n v="3130"/>
    <x v="265"/>
    <n v="5250"/>
  </r>
  <r>
    <s v="PR-1337"/>
    <d v="2026-07-31T00:00:00"/>
    <x v="2"/>
    <x v="2"/>
    <s v="Friday"/>
    <x v="2"/>
    <x v="0"/>
    <x v="0"/>
    <s v="Mouthwash"/>
    <x v="2"/>
    <s v="Mint Mouthwash 500ml"/>
    <s v="B260731-L2C"/>
    <s v="M. Khan"/>
    <x v="0"/>
    <x v="0"/>
    <x v="4"/>
    <n v="4400"/>
    <n v="3680"/>
    <n v="589"/>
    <n v="0.16005434782608696"/>
    <n v="0.83636363636363631"/>
    <x v="1"/>
    <n v="14"/>
    <n v="0.23333333333333334"/>
    <s v="Machine Breakdown"/>
    <n v="79"/>
    <n v="46531"/>
    <n v="12549"/>
    <n v="3990"/>
    <n v="3990"/>
    <x v="266"/>
    <n v="6750"/>
  </r>
  <r>
    <s v="PR-0262"/>
    <d v="2026-04-24T00:00:00"/>
    <x v="5"/>
    <x v="5"/>
    <s v="Friday"/>
    <x v="1"/>
    <x v="1"/>
    <x v="1"/>
    <s v="Toothbrush"/>
    <x v="3"/>
    <s v="Electric Toothbrush Head Pack"/>
    <s v="B260424-L4B"/>
    <s v="S. Yadav"/>
    <x v="1"/>
    <x v="1"/>
    <x v="1"/>
    <n v="3560"/>
    <n v="3270"/>
    <n v="80"/>
    <n v="2.4464831804281346E-2"/>
    <n v="0.9185393258426966"/>
    <x v="5"/>
    <n v="25"/>
    <n v="0.41666666666666669"/>
    <s v="Manpower Shortage"/>
    <n v="64"/>
    <n v="5120"/>
    <n v="11800"/>
    <n v="3290"/>
    <n v="3290"/>
    <x v="267"/>
    <n v="5250"/>
  </r>
  <r>
    <s v="PR-0234"/>
    <d v="2026-04-22T00:00:00"/>
    <x v="5"/>
    <x v="5"/>
    <s v="Wednesday"/>
    <x v="0"/>
    <x v="1"/>
    <x v="1"/>
    <s v="Toothbrush"/>
    <x v="3"/>
    <s v="Electric Toothbrush Head Pack"/>
    <s v="B260422-L4A"/>
    <s v="R. Sharma"/>
    <x v="2"/>
    <x v="1"/>
    <x v="7"/>
    <n v="3420"/>
    <n v="3280"/>
    <n v="55"/>
    <n v="1.676829268292683E-2"/>
    <n v="0.95906432748538006"/>
    <x v="2"/>
    <n v="0"/>
    <n v="0"/>
    <s v="None"/>
    <n v="64"/>
    <n v="3520"/>
    <n v="11501"/>
    <n v="3010"/>
    <n v="3010"/>
    <x v="268"/>
    <n v="5250"/>
  </r>
  <r>
    <s v="PR-1590"/>
    <d v="2026-08-24T00:00:00"/>
    <x v="1"/>
    <x v="1"/>
    <s v="Monday"/>
    <x v="1"/>
    <x v="0"/>
    <x v="0"/>
    <s v="Mouthwash"/>
    <x v="1"/>
    <s v="Alcohol-Free Mouthwash 250ml"/>
    <s v="B260824-L2B"/>
    <s v="P. Singh"/>
    <x v="0"/>
    <x v="0"/>
    <x v="2"/>
    <n v="6300"/>
    <n v="5850"/>
    <n v="674"/>
    <n v="0.11521367521367522"/>
    <n v="0.9285714285714286"/>
    <x v="2"/>
    <n v="0"/>
    <n v="0"/>
    <s v="None"/>
    <n v="58"/>
    <n v="39092"/>
    <n v="11604"/>
    <n v="5040"/>
    <n v="5040"/>
    <x v="269"/>
    <n v="9000"/>
  </r>
  <r>
    <s v="PR-0093"/>
    <d v="2026-04-09T00:00:00"/>
    <x v="5"/>
    <x v="5"/>
    <s v="Thursday"/>
    <x v="0"/>
    <x v="1"/>
    <x v="1"/>
    <s v="Toothbrush"/>
    <x v="3"/>
    <s v="Electric Toothbrush Head Pack"/>
    <s v="B260409-L4A"/>
    <s v="R. Sharma"/>
    <x v="2"/>
    <x v="1"/>
    <x v="7"/>
    <n v="3420"/>
    <n v="3310"/>
    <n v="97"/>
    <n v="2.9305135951661631E-2"/>
    <n v="0.96783625730994149"/>
    <x v="3"/>
    <n v="74"/>
    <n v="1.2333333333333334"/>
    <s v="Cleaning / Sanitation"/>
    <n v="64"/>
    <n v="6208"/>
    <n v="11595"/>
    <n v="3050"/>
    <n v="3050"/>
    <x v="270"/>
    <n v="5250"/>
  </r>
  <r>
    <s v="PR-0189"/>
    <d v="2026-04-17T00:00:00"/>
    <x v="5"/>
    <x v="5"/>
    <s v="Friday"/>
    <x v="2"/>
    <x v="1"/>
    <x v="1"/>
    <s v="Toothbrush"/>
    <x v="3"/>
    <s v="Electric Toothbrush Head Pack"/>
    <s v="B260417-L4C"/>
    <s v="M. Khan"/>
    <x v="1"/>
    <x v="1"/>
    <x v="1"/>
    <n v="3270"/>
    <n v="2990"/>
    <n v="38"/>
    <n v="1.2709030100334449E-2"/>
    <n v="0.91437308868501532"/>
    <x v="3"/>
    <n v="0"/>
    <n v="0"/>
    <s v="None"/>
    <n v="64"/>
    <n v="2432"/>
    <n v="12098"/>
    <n v="3290"/>
    <n v="3290"/>
    <x v="271"/>
    <n v="5250"/>
  </r>
  <r>
    <s v="PR-0373"/>
    <d v="2026-05-05T00:00:00"/>
    <x v="4"/>
    <x v="4"/>
    <s v="Tuesday"/>
    <x v="0"/>
    <x v="1"/>
    <x v="1"/>
    <s v="Toothbrush"/>
    <x v="3"/>
    <s v="Electric Toothbrush Head Pack"/>
    <s v="B260505-L4A"/>
    <s v="R. Sharma"/>
    <x v="1"/>
    <x v="1"/>
    <x v="7"/>
    <n v="3610"/>
    <n v="3290"/>
    <n v="91"/>
    <n v="2.7659574468085105E-2"/>
    <n v="0.91135734072022156"/>
    <x v="2"/>
    <n v="0"/>
    <n v="0"/>
    <s v="None"/>
    <n v="64"/>
    <n v="5824"/>
    <n v="11931"/>
    <n v="3340"/>
    <n v="3340"/>
    <x v="272"/>
    <n v="5250"/>
  </r>
  <r>
    <s v="PR-0242"/>
    <d v="2026-04-22T00:00:00"/>
    <x v="5"/>
    <x v="5"/>
    <s v="Wednesday"/>
    <x v="2"/>
    <x v="1"/>
    <x v="1"/>
    <s v="Toothbrush"/>
    <x v="3"/>
    <s v="Electric Toothbrush Head Pack"/>
    <s v="B260422-L4C"/>
    <s v="M. Khan"/>
    <x v="2"/>
    <x v="1"/>
    <x v="0"/>
    <n v="3210"/>
    <n v="3110"/>
    <n v="96"/>
    <n v="3.0868167202572346E-2"/>
    <n v="0.96884735202492211"/>
    <x v="3"/>
    <n v="0"/>
    <n v="0"/>
    <s v="None"/>
    <n v="64"/>
    <n v="6144"/>
    <n v="11716"/>
    <n v="2930"/>
    <n v="2930"/>
    <x v="273"/>
    <n v="5250"/>
  </r>
  <r>
    <s v="PR-0312"/>
    <d v="2026-04-29T00:00:00"/>
    <x v="5"/>
    <x v="5"/>
    <s v="Wednesday"/>
    <x v="1"/>
    <x v="1"/>
    <x v="1"/>
    <s v="Toothbrush"/>
    <x v="3"/>
    <s v="Electric Toothbrush Head Pack"/>
    <s v="B260429-L4B"/>
    <s v="P. Singh"/>
    <x v="2"/>
    <x v="1"/>
    <x v="7"/>
    <n v="3420"/>
    <n v="3360"/>
    <n v="99"/>
    <n v="2.9464285714285714E-2"/>
    <n v="0.98245614035087714"/>
    <x v="0"/>
    <n v="44"/>
    <n v="0.73333333333333328"/>
    <s v="Machine Breakdown"/>
    <n v="64"/>
    <n v="6336"/>
    <n v="11589"/>
    <n v="3050"/>
    <n v="3050"/>
    <x v="273"/>
    <n v="5250"/>
  </r>
  <r>
    <s v="PR-0125"/>
    <d v="2026-04-11T00:00:00"/>
    <x v="5"/>
    <x v="5"/>
    <s v="Saturday"/>
    <x v="2"/>
    <x v="1"/>
    <x v="1"/>
    <s v="Toothbrush"/>
    <x v="3"/>
    <s v="Electric Toothbrush Head Pack"/>
    <s v="B260411-L4C"/>
    <s v="A. Gupta"/>
    <x v="1"/>
    <x v="1"/>
    <x v="6"/>
    <n v="3340"/>
    <n v="3060"/>
    <n v="81"/>
    <n v="2.6470588235294117E-2"/>
    <n v="0.91616766467065869"/>
    <x v="5"/>
    <n v="15"/>
    <n v="0.25"/>
    <s v="Cleaning / Sanitation"/>
    <n v="64"/>
    <n v="5184"/>
    <n v="11855"/>
    <n v="3030"/>
    <n v="3030"/>
    <x v="274"/>
    <n v="5250"/>
  </r>
  <r>
    <s v="PR-1444"/>
    <d v="2026-08-10T00:00:00"/>
    <x v="1"/>
    <x v="1"/>
    <s v="Monday"/>
    <x v="2"/>
    <x v="0"/>
    <x v="0"/>
    <s v="Mouthwash"/>
    <x v="0"/>
    <s v="Mint Mouthwash 250ml"/>
    <s v="B260810-L2C"/>
    <s v="M. Khan"/>
    <x v="0"/>
    <x v="0"/>
    <x v="2"/>
    <n v="6880"/>
    <n v="6460"/>
    <n v="655"/>
    <n v="0.10139318885448917"/>
    <n v="0.93895348837209303"/>
    <x v="1"/>
    <n v="56"/>
    <n v="0.93333333333333335"/>
    <s v="Machine Breakdown"/>
    <n v="46"/>
    <n v="30130"/>
    <n v="13055"/>
    <n v="7050"/>
    <n v="7050"/>
    <x v="275"/>
    <n v="10500"/>
  </r>
  <r>
    <s v="PR-0128"/>
    <d v="2026-04-12T00:00:00"/>
    <x v="5"/>
    <x v="5"/>
    <s v="Sunday"/>
    <x v="0"/>
    <x v="1"/>
    <x v="1"/>
    <s v="Toothbrush"/>
    <x v="3"/>
    <s v="Electric Toothbrush Head Pack"/>
    <s v="B260412-L4A"/>
    <s v="R. Sharma"/>
    <x v="1"/>
    <x v="1"/>
    <x v="0"/>
    <n v="2380"/>
    <n v="2260"/>
    <n v="63"/>
    <n v="2.7876106194690265E-2"/>
    <n v="0.94957983193277307"/>
    <x v="2"/>
    <n v="0"/>
    <n v="0"/>
    <s v="None"/>
    <n v="64"/>
    <n v="4032"/>
    <n v="11804"/>
    <n v="2190"/>
    <n v="2190"/>
    <x v="276"/>
    <n v="5250"/>
  </r>
  <r>
    <s v="PR-0121"/>
    <d v="2026-04-11T00:00:00"/>
    <x v="5"/>
    <x v="5"/>
    <s v="Saturday"/>
    <x v="1"/>
    <x v="1"/>
    <x v="1"/>
    <s v="Toothbrush"/>
    <x v="3"/>
    <s v="Electric Toothbrush Head Pack"/>
    <s v="B260411-L4B"/>
    <s v="P. Singh"/>
    <x v="2"/>
    <x v="1"/>
    <x v="6"/>
    <n v="3640"/>
    <n v="3410"/>
    <n v="104"/>
    <n v="3.0498533724340176E-2"/>
    <n v="0.93681318681318682"/>
    <x v="4"/>
    <n v="0"/>
    <n v="0"/>
    <s v="None"/>
    <n v="64"/>
    <n v="6656"/>
    <n v="12059"/>
    <n v="3510"/>
    <n v="3510"/>
    <x v="277"/>
    <n v="5250"/>
  </r>
  <r>
    <s v="PR-0197"/>
    <d v="2026-04-18T00:00:00"/>
    <x v="5"/>
    <x v="5"/>
    <s v="Saturday"/>
    <x v="1"/>
    <x v="1"/>
    <x v="1"/>
    <s v="Toothbrush"/>
    <x v="3"/>
    <s v="Electric Toothbrush Head Pack"/>
    <s v="B260418-L4B"/>
    <s v="P. Singh"/>
    <x v="1"/>
    <x v="1"/>
    <x v="2"/>
    <n v="3630"/>
    <n v="3320"/>
    <n v="54"/>
    <n v="1.6265060240963854E-2"/>
    <n v="0.91460055096418735"/>
    <x v="5"/>
    <n v="0"/>
    <n v="0"/>
    <s v="None"/>
    <n v="64"/>
    <n v="3456"/>
    <n v="11760"/>
    <n v="3170"/>
    <n v="3170"/>
    <x v="278"/>
    <n v="5250"/>
  </r>
  <r>
    <s v="PR-0377"/>
    <d v="2026-05-05T00:00:00"/>
    <x v="4"/>
    <x v="4"/>
    <s v="Tuesday"/>
    <x v="1"/>
    <x v="1"/>
    <x v="1"/>
    <s v="Toothbrush"/>
    <x v="3"/>
    <s v="Electric Toothbrush Head Pack"/>
    <s v="B260505-L4B"/>
    <s v="S. Yadav"/>
    <x v="1"/>
    <x v="1"/>
    <x v="6"/>
    <n v="3750"/>
    <n v="3490"/>
    <n v="81"/>
    <n v="2.3209169054441262E-2"/>
    <n v="0.93066666666666664"/>
    <x v="0"/>
    <n v="54"/>
    <n v="0.9"/>
    <s v="Changeover"/>
    <n v="64"/>
    <n v="5184"/>
    <n v="11790"/>
    <n v="3290"/>
    <n v="3290"/>
    <x v="279"/>
    <n v="5250"/>
  </r>
  <r>
    <s v="PR-0149"/>
    <d v="2026-04-14T00:00:00"/>
    <x v="5"/>
    <x v="5"/>
    <s v="Tuesday"/>
    <x v="1"/>
    <x v="1"/>
    <x v="1"/>
    <s v="Toothbrush"/>
    <x v="3"/>
    <s v="Electric Toothbrush Head Pack"/>
    <s v="B260414-L4B"/>
    <s v="P. Singh"/>
    <x v="1"/>
    <x v="1"/>
    <x v="7"/>
    <n v="3730"/>
    <n v="3610"/>
    <n v="90"/>
    <n v="2.4930747922437674E-2"/>
    <n v="0.96782841823056298"/>
    <x v="4"/>
    <n v="0"/>
    <n v="0"/>
    <s v="None"/>
    <n v="64"/>
    <n v="5760"/>
    <n v="11811"/>
    <n v="3410"/>
    <n v="3410"/>
    <x v="280"/>
    <n v="5250"/>
  </r>
  <r>
    <s v="PR-0352"/>
    <d v="2026-05-02T00:00:00"/>
    <x v="4"/>
    <x v="4"/>
    <s v="Saturday"/>
    <x v="2"/>
    <x v="1"/>
    <x v="1"/>
    <s v="Toothbrush"/>
    <x v="3"/>
    <s v="Electric Toothbrush Head Pack"/>
    <s v="B260502-L4C"/>
    <s v="M. Khan"/>
    <x v="2"/>
    <x v="1"/>
    <x v="6"/>
    <n v="3180"/>
    <n v="2870"/>
    <n v="59"/>
    <n v="2.0557491289198607E-2"/>
    <n v="0.90251572327044027"/>
    <x v="3"/>
    <n v="0"/>
    <n v="0"/>
    <s v="None"/>
    <n v="64"/>
    <n v="3776"/>
    <n v="12020"/>
    <n v="2900"/>
    <n v="2900"/>
    <x v="281"/>
    <n v="5250"/>
  </r>
  <r>
    <s v="PR-0067"/>
    <d v="2026-04-07T00:00:00"/>
    <x v="5"/>
    <x v="5"/>
    <s v="Tuesday"/>
    <x v="0"/>
    <x v="0"/>
    <x v="0"/>
    <s v="Mouthwash"/>
    <x v="2"/>
    <s v="Mint Mouthwash 500ml"/>
    <s v="B260407-L2A"/>
    <s v="R. Sharma"/>
    <x v="2"/>
    <x v="0"/>
    <x v="1"/>
    <n v="4450"/>
    <n v="4150"/>
    <n v="55"/>
    <n v="1.3253012048192771E-2"/>
    <n v="0.93258426966292129"/>
    <x v="3"/>
    <n v="0"/>
    <n v="0"/>
    <s v="None"/>
    <n v="79"/>
    <n v="4345"/>
    <n v="12117"/>
    <n v="4250"/>
    <n v="4250"/>
    <x v="282"/>
    <n v="6750"/>
  </r>
  <r>
    <s v="PR-0157"/>
    <d v="2026-04-15T00:00:00"/>
    <x v="5"/>
    <x v="5"/>
    <s v="Wednesday"/>
    <x v="0"/>
    <x v="1"/>
    <x v="1"/>
    <s v="Toothbrush"/>
    <x v="3"/>
    <s v="Electric Toothbrush Head Pack"/>
    <s v="B260415-L4A"/>
    <s v="R. Sharma"/>
    <x v="2"/>
    <x v="1"/>
    <x v="7"/>
    <n v="3430"/>
    <n v="3400"/>
    <n v="113"/>
    <n v="3.3235294117647057E-2"/>
    <n v="0.99125364431486884"/>
    <x v="3"/>
    <n v="64"/>
    <n v="1.0666666666666667"/>
    <s v="Material Shortage"/>
    <n v="64"/>
    <n v="7232"/>
    <n v="11921"/>
    <n v="3240"/>
    <n v="3240"/>
    <x v="283"/>
    <n v="5250"/>
  </r>
  <r>
    <s v="PR-0113"/>
    <d v="2026-04-10T00:00:00"/>
    <x v="5"/>
    <x v="5"/>
    <s v="Friday"/>
    <x v="2"/>
    <x v="1"/>
    <x v="1"/>
    <s v="Toothbrush"/>
    <x v="3"/>
    <s v="Electric Toothbrush Head Pack"/>
    <s v="B260410-L4C"/>
    <s v="A. Gupta"/>
    <x v="2"/>
    <x v="1"/>
    <x v="6"/>
    <n v="3070"/>
    <n v="2940"/>
    <n v="59"/>
    <n v="2.0068027210884354E-2"/>
    <n v="0.95765472312703581"/>
    <x v="4"/>
    <n v="48"/>
    <n v="0.8"/>
    <s v="Changeover"/>
    <n v="64"/>
    <n v="3776"/>
    <n v="11758"/>
    <n v="2660"/>
    <n v="2660"/>
    <x v="284"/>
    <n v="5250"/>
  </r>
  <r>
    <s v="PR-0173"/>
    <d v="2026-04-16T00:00:00"/>
    <x v="5"/>
    <x v="5"/>
    <s v="Thursday"/>
    <x v="1"/>
    <x v="1"/>
    <x v="1"/>
    <s v="Toothbrush"/>
    <x v="3"/>
    <s v="Electric Toothbrush Head Pack"/>
    <s v="B260416-L4B"/>
    <s v="S. Yadav"/>
    <x v="1"/>
    <x v="1"/>
    <x v="7"/>
    <n v="3590"/>
    <n v="3400"/>
    <n v="109"/>
    <n v="3.2058823529411765E-2"/>
    <n v="0.94707520891364905"/>
    <x v="4"/>
    <n v="56"/>
    <n v="0.93333333333333335"/>
    <s v="Changeover"/>
    <n v="64"/>
    <n v="6976"/>
    <n v="12125"/>
    <n v="3410"/>
    <n v="3410"/>
    <x v="285"/>
    <n v="5250"/>
  </r>
  <r>
    <s v="PR-0348"/>
    <d v="2026-05-02T00:00:00"/>
    <x v="4"/>
    <x v="4"/>
    <s v="Saturday"/>
    <x v="1"/>
    <x v="1"/>
    <x v="1"/>
    <s v="Toothbrush"/>
    <x v="3"/>
    <s v="Electric Toothbrush Head Pack"/>
    <s v="B260502-L4B"/>
    <s v="S. Yadav"/>
    <x v="1"/>
    <x v="1"/>
    <x v="7"/>
    <n v="3710"/>
    <n v="3560"/>
    <n v="73"/>
    <n v="2.050561797752809E-2"/>
    <n v="0.95956873315363878"/>
    <x v="3"/>
    <n v="0"/>
    <n v="0"/>
    <s v="None"/>
    <n v="64"/>
    <n v="4672"/>
    <n v="12383"/>
    <n v="3850"/>
    <n v="3850"/>
    <x v="286"/>
    <n v="5250"/>
  </r>
  <r>
    <s v="PR-0117"/>
    <d v="2026-04-11T00:00:00"/>
    <x v="5"/>
    <x v="5"/>
    <s v="Saturday"/>
    <x v="0"/>
    <x v="1"/>
    <x v="1"/>
    <s v="Toothbrush"/>
    <x v="3"/>
    <s v="Electric Toothbrush Head Pack"/>
    <s v="B260411-L4A"/>
    <s v="R. Sharma"/>
    <x v="1"/>
    <x v="1"/>
    <x v="6"/>
    <n v="3500"/>
    <n v="3340"/>
    <n v="80"/>
    <n v="2.3952095808383235E-2"/>
    <n v="0.95428571428571429"/>
    <x v="3"/>
    <n v="0"/>
    <n v="0"/>
    <s v="None"/>
    <n v="64"/>
    <n v="5120"/>
    <n v="11979"/>
    <n v="3180"/>
    <n v="3180"/>
    <x v="287"/>
    <n v="5250"/>
  </r>
  <r>
    <s v="PR-1542"/>
    <d v="2026-08-19T00:00:00"/>
    <x v="1"/>
    <x v="1"/>
    <s v="Wednesday"/>
    <x v="2"/>
    <x v="0"/>
    <x v="0"/>
    <s v="Mouthwash"/>
    <x v="1"/>
    <s v="Alcohol-Free Mouthwash 250ml"/>
    <s v="B260819-L2C"/>
    <s v="M. Khan"/>
    <x v="0"/>
    <x v="0"/>
    <x v="2"/>
    <n v="5280"/>
    <n v="4800"/>
    <n v="574"/>
    <n v="0.11958333333333333"/>
    <n v="0.90909090909090906"/>
    <x v="1"/>
    <n v="0"/>
    <n v="0"/>
    <s v="None"/>
    <n v="58"/>
    <n v="33292"/>
    <n v="12993"/>
    <n v="5140"/>
    <n v="5140"/>
    <x v="288"/>
    <n v="9000"/>
  </r>
  <r>
    <s v="PR-0185"/>
    <d v="2026-04-17T00:00:00"/>
    <x v="5"/>
    <x v="5"/>
    <s v="Friday"/>
    <x v="1"/>
    <x v="1"/>
    <x v="1"/>
    <s v="Toothbrush"/>
    <x v="3"/>
    <s v="Electric Toothbrush Head Pack"/>
    <s v="B260417-L4B"/>
    <s v="S. Yadav"/>
    <x v="1"/>
    <x v="1"/>
    <x v="6"/>
    <n v="3320"/>
    <n v="3080"/>
    <n v="50"/>
    <n v="1.6233766233766232E-2"/>
    <n v="0.92771084337349397"/>
    <x v="3"/>
    <n v="36"/>
    <n v="0.6"/>
    <s v="Changeover"/>
    <n v="64"/>
    <n v="3200"/>
    <n v="12358"/>
    <n v="3290"/>
    <n v="3290"/>
    <x v="289"/>
    <n v="5250"/>
  </r>
  <r>
    <s v="PR-0063"/>
    <d v="2026-04-06T00:00:00"/>
    <x v="5"/>
    <x v="5"/>
    <s v="Monday"/>
    <x v="2"/>
    <x v="0"/>
    <x v="0"/>
    <s v="Mouthwash"/>
    <x v="2"/>
    <s v="Mint Mouthwash 500ml"/>
    <s v="B260406-L2C"/>
    <s v="M. Khan"/>
    <x v="1"/>
    <x v="0"/>
    <x v="4"/>
    <n v="4590"/>
    <n v="3850"/>
    <n v="90"/>
    <n v="2.3376623376623377E-2"/>
    <n v="0.83877995642701531"/>
    <x v="5"/>
    <n v="0"/>
    <n v="0"/>
    <s v="None"/>
    <n v="79"/>
    <n v="7110"/>
    <n v="12717"/>
    <n v="4360"/>
    <n v="4360"/>
    <x v="290"/>
    <n v="6750"/>
  </r>
  <r>
    <s v="PR-0165"/>
    <d v="2026-04-15T00:00:00"/>
    <x v="5"/>
    <x v="5"/>
    <s v="Wednesday"/>
    <x v="2"/>
    <x v="1"/>
    <x v="1"/>
    <s v="Toothbrush"/>
    <x v="3"/>
    <s v="Electric Toothbrush Head Pack"/>
    <s v="B260415-L4C"/>
    <s v="A. Gupta"/>
    <x v="1"/>
    <x v="1"/>
    <x v="2"/>
    <n v="3230"/>
    <n v="2880"/>
    <n v="73"/>
    <n v="2.5347222222222222E-2"/>
    <n v="0.89164086687306499"/>
    <x v="3"/>
    <n v="0"/>
    <n v="0"/>
    <s v="None"/>
    <n v="64"/>
    <n v="4672"/>
    <n v="11968"/>
    <n v="2650"/>
    <n v="2650"/>
    <x v="291"/>
    <n v="5250"/>
  </r>
  <r>
    <s v="PR-0324"/>
    <d v="2026-04-30T00:00:00"/>
    <x v="5"/>
    <x v="5"/>
    <s v="Thursday"/>
    <x v="1"/>
    <x v="1"/>
    <x v="1"/>
    <s v="Toothbrush"/>
    <x v="3"/>
    <s v="Electric Toothbrush Head Pack"/>
    <s v="B260430-L4B"/>
    <s v="P. Singh"/>
    <x v="2"/>
    <x v="1"/>
    <x v="7"/>
    <n v="3270"/>
    <n v="3210"/>
    <n v="90"/>
    <n v="2.8037383177570093E-2"/>
    <n v="0.98165137614678899"/>
    <x v="5"/>
    <n v="0"/>
    <n v="0"/>
    <s v="None"/>
    <n v="64"/>
    <n v="5760"/>
    <n v="11800"/>
    <n v="2770"/>
    <n v="2770"/>
    <x v="292"/>
    <n v="5250"/>
  </r>
  <r>
    <s v="PR-1432"/>
    <d v="2026-08-09T00:00:00"/>
    <x v="1"/>
    <x v="1"/>
    <s v="Sunday"/>
    <x v="1"/>
    <x v="0"/>
    <x v="0"/>
    <s v="Mouthwash"/>
    <x v="0"/>
    <s v="Mint Mouthwash 250ml"/>
    <s v="B260809-L2B"/>
    <s v="P. Singh"/>
    <x v="0"/>
    <x v="0"/>
    <x v="0"/>
    <n v="4900"/>
    <n v="4930"/>
    <n v="589"/>
    <n v="0.11947261663286005"/>
    <n v="1.0061224489795919"/>
    <x v="1"/>
    <n v="0"/>
    <n v="0"/>
    <s v="None"/>
    <n v="46"/>
    <n v="27094"/>
    <n v="12294"/>
    <n v="4370"/>
    <n v="4370"/>
    <x v="293"/>
    <n v="10500"/>
  </r>
  <r>
    <s v="PR-1253"/>
    <d v="2026-07-24T00:00:00"/>
    <x v="2"/>
    <x v="2"/>
    <s v="Friday"/>
    <x v="0"/>
    <x v="0"/>
    <x v="0"/>
    <s v="Mouthwash"/>
    <x v="2"/>
    <s v="Mint Mouthwash 500ml"/>
    <s v="B260724-L2A"/>
    <s v="K. Verma"/>
    <x v="2"/>
    <x v="0"/>
    <x v="1"/>
    <n v="4300"/>
    <n v="4050"/>
    <n v="97"/>
    <n v="2.3950617283950617E-2"/>
    <n v="0.94186046511627908"/>
    <x v="3"/>
    <n v="0"/>
    <n v="0"/>
    <s v="None"/>
    <n v="79"/>
    <n v="7663"/>
    <n v="12427"/>
    <n v="4110"/>
    <n v="4110"/>
    <x v="294"/>
    <n v="6750"/>
  </r>
  <r>
    <s v="PR-1413"/>
    <d v="2026-08-07T00:00:00"/>
    <x v="1"/>
    <x v="1"/>
    <s v="Friday"/>
    <x v="2"/>
    <x v="0"/>
    <x v="0"/>
    <s v="Mouthwash"/>
    <x v="0"/>
    <s v="Mint Mouthwash 250ml"/>
    <s v="B260807-L2C"/>
    <s v="M. Khan"/>
    <x v="2"/>
    <x v="0"/>
    <x v="4"/>
    <n v="6900"/>
    <n v="5790"/>
    <n v="110"/>
    <n v="1.8998272884283247E-2"/>
    <n v="0.83913043478260874"/>
    <x v="4"/>
    <n v="18"/>
    <n v="0.3"/>
    <s v="Manpower Shortage"/>
    <n v="46"/>
    <n v="5060"/>
    <n v="13474"/>
    <n v="6860"/>
    <n v="6860"/>
    <x v="295"/>
    <n v="10500"/>
  </r>
  <r>
    <s v="PR-0177"/>
    <d v="2026-04-16T00:00:00"/>
    <x v="5"/>
    <x v="5"/>
    <s v="Thursday"/>
    <x v="2"/>
    <x v="1"/>
    <x v="1"/>
    <s v="Toothbrush"/>
    <x v="3"/>
    <s v="Electric Toothbrush Head Pack"/>
    <s v="B260416-L4C"/>
    <s v="A. Gupta"/>
    <x v="2"/>
    <x v="1"/>
    <x v="6"/>
    <n v="3220"/>
    <n v="3080"/>
    <n v="68"/>
    <n v="2.2077922077922078E-2"/>
    <n v="0.95652173913043481"/>
    <x v="3"/>
    <n v="26"/>
    <n v="0.43333333333333335"/>
    <s v="Machine Breakdown"/>
    <n v="64"/>
    <n v="4352"/>
    <n v="12006"/>
    <n v="2660"/>
    <n v="2660"/>
    <x v="296"/>
    <n v="5250"/>
  </r>
  <r>
    <s v="PR-0340"/>
    <d v="2026-05-01T00:00:00"/>
    <x v="4"/>
    <x v="4"/>
    <s v="Friday"/>
    <x v="2"/>
    <x v="1"/>
    <x v="1"/>
    <s v="Toothbrush"/>
    <x v="3"/>
    <s v="Electric Toothbrush Head Pack"/>
    <s v="B260501-L4C"/>
    <s v="A. Gupta"/>
    <x v="1"/>
    <x v="1"/>
    <x v="0"/>
    <n v="3250"/>
    <n v="3120"/>
    <n v="77"/>
    <n v="2.4679487179487179E-2"/>
    <n v="0.96"/>
    <x v="2"/>
    <n v="21"/>
    <n v="0.35"/>
    <s v="Material Shortage"/>
    <n v="64"/>
    <n v="4928"/>
    <n v="12150"/>
    <n v="2810"/>
    <n v="2810"/>
    <x v="297"/>
    <n v="5250"/>
  </r>
  <r>
    <s v="PR-1233"/>
    <d v="2026-07-22T00:00:00"/>
    <x v="2"/>
    <x v="2"/>
    <s v="Wednesday"/>
    <x v="1"/>
    <x v="0"/>
    <x v="0"/>
    <s v="Mouthwash"/>
    <x v="2"/>
    <s v="Mint Mouthwash 500ml"/>
    <s v="B260722-L2B"/>
    <s v="P. Singh"/>
    <x v="0"/>
    <x v="0"/>
    <x v="1"/>
    <n v="4150"/>
    <n v="3940"/>
    <n v="197"/>
    <n v="0.05"/>
    <n v="0.94939759036144578"/>
    <x v="1"/>
    <n v="33"/>
    <n v="0.55000000000000004"/>
    <s v="Changeover"/>
    <n v="79"/>
    <n v="15563"/>
    <n v="13054"/>
    <n v="4370"/>
    <n v="4370"/>
    <x v="298"/>
    <n v="6750"/>
  </r>
  <r>
    <s v="PR-0131"/>
    <d v="2026-04-13T00:00:00"/>
    <x v="5"/>
    <x v="5"/>
    <s v="Monday"/>
    <x v="0"/>
    <x v="0"/>
    <x v="0"/>
    <s v="Mouthwash"/>
    <x v="2"/>
    <s v="Mint Mouthwash 500ml"/>
    <s v="B260413-L2A"/>
    <s v="R. Sharma"/>
    <x v="1"/>
    <x v="0"/>
    <x v="1"/>
    <n v="4260"/>
    <n v="4070"/>
    <n v="99"/>
    <n v="2.4324324324324326E-2"/>
    <n v="0.95539906103286387"/>
    <x v="5"/>
    <n v="0"/>
    <n v="0"/>
    <s v="None"/>
    <n v="79"/>
    <n v="7821"/>
    <n v="12687"/>
    <n v="4190"/>
    <n v="4190"/>
    <x v="299"/>
    <n v="6750"/>
  </r>
  <r>
    <s v="PR-1257"/>
    <d v="2026-07-24T00:00:00"/>
    <x v="2"/>
    <x v="2"/>
    <s v="Friday"/>
    <x v="1"/>
    <x v="0"/>
    <x v="0"/>
    <s v="Mouthwash"/>
    <x v="2"/>
    <s v="Mint Mouthwash 500ml"/>
    <s v="B260724-L2B"/>
    <s v="P. Singh"/>
    <x v="1"/>
    <x v="0"/>
    <x v="1"/>
    <n v="4470"/>
    <n v="4120"/>
    <n v="16"/>
    <n v="3.8834951456310678E-3"/>
    <n v="0.92170022371364657"/>
    <x v="3"/>
    <n v="50"/>
    <n v="0.83333333333333337"/>
    <s v="Changeover"/>
    <n v="79"/>
    <n v="1264"/>
    <n v="12270"/>
    <n v="3880"/>
    <n v="3880"/>
    <x v="300"/>
    <n v="6750"/>
  </r>
  <r>
    <s v="PR-1301"/>
    <d v="2026-07-28T00:00:00"/>
    <x v="2"/>
    <x v="2"/>
    <s v="Tuesday"/>
    <x v="2"/>
    <x v="0"/>
    <x v="0"/>
    <s v="Mouthwash"/>
    <x v="2"/>
    <s v="Mint Mouthwash 500ml"/>
    <s v="B260728-L2C"/>
    <s v="A. Gupta"/>
    <x v="0"/>
    <x v="0"/>
    <x v="0"/>
    <n v="4090"/>
    <n v="3990"/>
    <n v="527"/>
    <n v="0.13208020050125313"/>
    <n v="0.97555012224938875"/>
    <x v="1"/>
    <n v="0"/>
    <n v="0"/>
    <s v="None"/>
    <n v="79"/>
    <n v="41633"/>
    <n v="13095"/>
    <n v="4040"/>
    <n v="4040"/>
    <x v="301"/>
    <n v="6750"/>
  </r>
  <r>
    <s v="PR-1325"/>
    <d v="2026-07-30T00:00:00"/>
    <x v="2"/>
    <x v="2"/>
    <s v="Thursday"/>
    <x v="2"/>
    <x v="0"/>
    <x v="0"/>
    <s v="Mouthwash"/>
    <x v="2"/>
    <s v="Mint Mouthwash 500ml"/>
    <s v="B260730-L2C"/>
    <s v="M. Khan"/>
    <x v="0"/>
    <x v="0"/>
    <x v="1"/>
    <n v="4570"/>
    <n v="4370"/>
    <n v="550"/>
    <n v="0.12585812356979406"/>
    <n v="0.9562363238512035"/>
    <x v="1"/>
    <n v="0"/>
    <n v="0"/>
    <s v="None"/>
    <n v="79"/>
    <n v="43450"/>
    <n v="13139"/>
    <n v="4410"/>
    <n v="4410"/>
    <x v="302"/>
    <n v="6750"/>
  </r>
  <r>
    <s v="PR-1448"/>
    <d v="2026-08-11T00:00:00"/>
    <x v="1"/>
    <x v="1"/>
    <s v="Tuesday"/>
    <x v="0"/>
    <x v="0"/>
    <x v="0"/>
    <s v="Mouthwash"/>
    <x v="0"/>
    <s v="Mint Mouthwash 250ml"/>
    <s v="B260811-L2A"/>
    <s v="R. Sharma"/>
    <x v="2"/>
    <x v="0"/>
    <x v="0"/>
    <n v="7490"/>
    <n v="7400"/>
    <n v="232"/>
    <n v="3.135135135135135E-2"/>
    <n v="0.98798397863818421"/>
    <x v="3"/>
    <n v="0"/>
    <n v="0"/>
    <s v="None"/>
    <n v="46"/>
    <n v="10672"/>
    <n v="11810"/>
    <n v="6360"/>
    <n v="6360"/>
    <x v="303"/>
    <n v="10500"/>
  </r>
  <r>
    <s v="PR-0111"/>
    <d v="2026-04-10T00:00:00"/>
    <x v="5"/>
    <x v="5"/>
    <s v="Friday"/>
    <x v="2"/>
    <x v="0"/>
    <x v="0"/>
    <s v="Mouthwash"/>
    <x v="2"/>
    <s v="Mint Mouthwash 500ml"/>
    <s v="B260410-L2C"/>
    <s v="M. Khan"/>
    <x v="1"/>
    <x v="0"/>
    <x v="2"/>
    <n v="4500"/>
    <n v="4240"/>
    <n v="72"/>
    <n v="1.6981132075471698E-2"/>
    <n v="0.94222222222222218"/>
    <x v="2"/>
    <n v="0"/>
    <n v="0"/>
    <s v="None"/>
    <n v="79"/>
    <n v="5688"/>
    <n v="12939"/>
    <n v="4420"/>
    <n v="4420"/>
    <x v="304"/>
    <n v="6750"/>
  </r>
  <r>
    <s v="PR-0075"/>
    <d v="2026-04-07T00:00:00"/>
    <x v="5"/>
    <x v="5"/>
    <s v="Tuesday"/>
    <x v="2"/>
    <x v="0"/>
    <x v="0"/>
    <s v="Mouthwash"/>
    <x v="2"/>
    <s v="Mint Mouthwash 500ml"/>
    <s v="B260407-L2C"/>
    <s v="M. Khan"/>
    <x v="2"/>
    <x v="0"/>
    <x v="2"/>
    <n v="4540"/>
    <n v="4290"/>
    <n v="98"/>
    <n v="2.2843822843822845E-2"/>
    <n v="0.94493392070484583"/>
    <x v="2"/>
    <n v="0"/>
    <n v="0"/>
    <s v="None"/>
    <n v="79"/>
    <n v="7742"/>
    <n v="11962"/>
    <n v="3460"/>
    <n v="3460"/>
    <x v="305"/>
    <n v="6750"/>
  </r>
  <r>
    <s v="PR-1492"/>
    <d v="2026-08-14T00:00:00"/>
    <x v="1"/>
    <x v="1"/>
    <s v="Friday"/>
    <x v="2"/>
    <x v="0"/>
    <x v="0"/>
    <s v="Mouthwash"/>
    <x v="1"/>
    <s v="Alcohol-Free Mouthwash 250ml"/>
    <s v="B260814-L2C"/>
    <s v="A. Gupta"/>
    <x v="0"/>
    <x v="0"/>
    <x v="2"/>
    <n v="5260"/>
    <n v="4890"/>
    <n v="526"/>
    <n v="0.10756646216768916"/>
    <n v="0.92965779467680609"/>
    <x v="1"/>
    <n v="0"/>
    <n v="0"/>
    <s v="None"/>
    <n v="58"/>
    <n v="30508"/>
    <n v="12951"/>
    <n v="4620"/>
    <n v="4620"/>
    <x v="306"/>
    <n v="9000"/>
  </r>
  <r>
    <s v="PR-0042"/>
    <d v="2026-04-04T00:00:00"/>
    <x v="5"/>
    <x v="5"/>
    <s v="Saturday"/>
    <x v="1"/>
    <x v="0"/>
    <x v="0"/>
    <s v="Mouthwash"/>
    <x v="2"/>
    <s v="Mint Mouthwash 500ml"/>
    <s v="B260404-L2B"/>
    <s v="S. Yadav"/>
    <x v="2"/>
    <x v="0"/>
    <x v="2"/>
    <n v="4740"/>
    <n v="4310"/>
    <n v="90"/>
    <n v="2.0881670533642691E-2"/>
    <n v="0.90928270042194093"/>
    <x v="5"/>
    <n v="0"/>
    <n v="0"/>
    <s v="None"/>
    <n v="79"/>
    <n v="7110"/>
    <n v="12897"/>
    <n v="4400"/>
    <n v="4400"/>
    <x v="307"/>
    <n v="6750"/>
  </r>
  <r>
    <s v="PR-0038"/>
    <d v="2026-04-04T00:00:00"/>
    <x v="5"/>
    <x v="5"/>
    <s v="Saturday"/>
    <x v="0"/>
    <x v="0"/>
    <x v="0"/>
    <s v="Mouthwash"/>
    <x v="2"/>
    <s v="Mint Mouthwash 500ml"/>
    <s v="B260404-L2A"/>
    <s v="K. Verma"/>
    <x v="1"/>
    <x v="0"/>
    <x v="0"/>
    <n v="4480"/>
    <n v="4320"/>
    <n v="73"/>
    <n v="1.6898148148148148E-2"/>
    <n v="0.9642857142857143"/>
    <x v="2"/>
    <n v="62"/>
    <n v="1.0333333333333334"/>
    <s v="Machine Breakdown"/>
    <n v="79"/>
    <n v="5767"/>
    <n v="13500"/>
    <n v="4850"/>
    <n v="4850"/>
    <x v="308"/>
    <n v="6750"/>
  </r>
  <r>
    <s v="PR-0155"/>
    <d v="2026-04-15T00:00:00"/>
    <x v="5"/>
    <x v="5"/>
    <s v="Wednesday"/>
    <x v="0"/>
    <x v="0"/>
    <x v="0"/>
    <s v="Mouthwash"/>
    <x v="2"/>
    <s v="Mint Mouthwash 500ml"/>
    <s v="B260415-L2A"/>
    <s v="K. Verma"/>
    <x v="2"/>
    <x v="0"/>
    <x v="0"/>
    <n v="4260"/>
    <n v="4030"/>
    <n v="104"/>
    <n v="2.5806451612903226E-2"/>
    <n v="0.9460093896713615"/>
    <x v="2"/>
    <n v="38"/>
    <n v="0.6333333333333333"/>
    <s v="Machine Breakdown"/>
    <n v="79"/>
    <n v="8216"/>
    <n v="12468"/>
    <n v="3480"/>
    <n v="3480"/>
    <x v="309"/>
    <n v="6750"/>
  </r>
  <r>
    <s v="PR-0103"/>
    <d v="2026-04-10T00:00:00"/>
    <x v="5"/>
    <x v="5"/>
    <s v="Friday"/>
    <x v="0"/>
    <x v="0"/>
    <x v="0"/>
    <s v="Mouthwash"/>
    <x v="2"/>
    <s v="Mint Mouthwash 500ml"/>
    <s v="B260410-L2A"/>
    <s v="R. Sharma"/>
    <x v="1"/>
    <x v="0"/>
    <x v="0"/>
    <n v="4670"/>
    <n v="4490"/>
    <n v="115"/>
    <n v="2.5612472160356347E-2"/>
    <n v="0.96145610278372595"/>
    <x v="0"/>
    <n v="0"/>
    <n v="0"/>
    <s v="None"/>
    <n v="79"/>
    <n v="9085"/>
    <n v="12694"/>
    <n v="4130"/>
    <n v="4130"/>
    <x v="310"/>
    <n v="6750"/>
  </r>
  <r>
    <s v="PR-1217"/>
    <d v="2026-07-21T00:00:00"/>
    <x v="2"/>
    <x v="2"/>
    <s v="Tuesday"/>
    <x v="0"/>
    <x v="0"/>
    <x v="0"/>
    <s v="Mouthwash"/>
    <x v="2"/>
    <s v="Mint Mouthwash 500ml"/>
    <s v="B260721-L2A"/>
    <s v="R. Sharma"/>
    <x v="2"/>
    <x v="0"/>
    <x v="2"/>
    <n v="4550"/>
    <n v="3790"/>
    <n v="117"/>
    <n v="3.0870712401055409E-2"/>
    <n v="0.83296703296703301"/>
    <x v="4"/>
    <n v="13"/>
    <n v="0.21666666666666667"/>
    <s v="Cleaning / Sanitation"/>
    <n v="79"/>
    <n v="9243"/>
    <n v="13464"/>
    <n v="4190"/>
    <n v="4190"/>
    <x v="311"/>
    <n v="6750"/>
  </r>
  <r>
    <s v="PR-1488"/>
    <d v="2026-08-14T00:00:00"/>
    <x v="1"/>
    <x v="1"/>
    <s v="Friday"/>
    <x v="1"/>
    <x v="0"/>
    <x v="0"/>
    <s v="Mouthwash"/>
    <x v="1"/>
    <s v="Alcohol-Free Mouthwash 250ml"/>
    <s v="B260814-L2B"/>
    <s v="P. Singh"/>
    <x v="2"/>
    <x v="0"/>
    <x v="1"/>
    <n v="6340"/>
    <n v="5820"/>
    <n v="47"/>
    <n v="8.0756013745704475E-3"/>
    <n v="0.917981072555205"/>
    <x v="4"/>
    <n v="50"/>
    <n v="0.83333333333333337"/>
    <s v="Material Shortage"/>
    <n v="58"/>
    <n v="2726"/>
    <n v="13038"/>
    <n v="5860"/>
    <n v="5860"/>
    <x v="312"/>
    <n v="9000"/>
  </r>
  <r>
    <s v="PR-1510"/>
    <d v="2026-08-17T00:00:00"/>
    <x v="1"/>
    <x v="1"/>
    <s v="Monday"/>
    <x v="0"/>
    <x v="0"/>
    <x v="0"/>
    <s v="Mouthwash"/>
    <x v="1"/>
    <s v="Alcohol-Free Mouthwash 250ml"/>
    <s v="B260817-L2A"/>
    <s v="R. Sharma"/>
    <x v="2"/>
    <x v="0"/>
    <x v="0"/>
    <n v="6270"/>
    <n v="6030"/>
    <n v="92"/>
    <n v="1.5257048092868989E-2"/>
    <n v="0.96172248803827753"/>
    <x v="3"/>
    <n v="0"/>
    <n v="0"/>
    <s v="None"/>
    <n v="58"/>
    <n v="5336"/>
    <n v="12695"/>
    <n v="5640"/>
    <n v="5640"/>
    <x v="313"/>
    <n v="9000"/>
  </r>
  <r>
    <s v="PR-1464"/>
    <d v="2026-08-12T00:00:00"/>
    <x v="1"/>
    <x v="1"/>
    <s v="Wednesday"/>
    <x v="1"/>
    <x v="0"/>
    <x v="0"/>
    <s v="Mouthwash"/>
    <x v="1"/>
    <s v="Alcohol-Free Mouthwash 250ml"/>
    <s v="B260812-L2B"/>
    <s v="S. Yadav"/>
    <x v="1"/>
    <x v="0"/>
    <x v="1"/>
    <n v="6330"/>
    <n v="5930"/>
    <n v="69"/>
    <n v="1.1635750421585159E-2"/>
    <n v="0.93680884676145337"/>
    <x v="4"/>
    <n v="0"/>
    <n v="0"/>
    <s v="None"/>
    <n v="58"/>
    <n v="4002"/>
    <n v="13277"/>
    <n v="6100"/>
    <n v="6100"/>
    <x v="314"/>
    <n v="9000"/>
  </r>
  <r>
    <s v="PR-1221"/>
    <d v="2026-07-21T00:00:00"/>
    <x v="2"/>
    <x v="2"/>
    <s v="Tuesday"/>
    <x v="1"/>
    <x v="0"/>
    <x v="0"/>
    <s v="Mouthwash"/>
    <x v="2"/>
    <s v="Mint Mouthwash 500ml"/>
    <s v="B260721-L2B"/>
    <s v="P. Singh"/>
    <x v="0"/>
    <x v="0"/>
    <x v="0"/>
    <n v="4550"/>
    <n v="4520"/>
    <n v="463"/>
    <n v="0.10243362831858407"/>
    <n v="0.99340659340659343"/>
    <x v="1"/>
    <n v="48"/>
    <n v="0.8"/>
    <s v="Changeover"/>
    <n v="79"/>
    <n v="36577"/>
    <n v="12947"/>
    <n v="3950"/>
    <n v="3950"/>
    <x v="315"/>
    <n v="6750"/>
  </r>
  <r>
    <s v="PR-1436"/>
    <d v="2026-08-10T00:00:00"/>
    <x v="1"/>
    <x v="1"/>
    <s v="Monday"/>
    <x v="0"/>
    <x v="0"/>
    <x v="0"/>
    <s v="Mouthwash"/>
    <x v="0"/>
    <s v="Mint Mouthwash 250ml"/>
    <s v="B260810-L2A"/>
    <s v="R. Sharma"/>
    <x v="1"/>
    <x v="0"/>
    <x v="1"/>
    <n v="7030"/>
    <n v="6820"/>
    <n v="180"/>
    <n v="2.6392961876832845E-2"/>
    <n v="0.97012802275960175"/>
    <x v="0"/>
    <n v="0"/>
    <n v="0"/>
    <s v="None"/>
    <n v="46"/>
    <n v="8280"/>
    <n v="12265"/>
    <n v="5850"/>
    <n v="5850"/>
    <x v="316"/>
    <n v="10500"/>
  </r>
  <r>
    <s v="PR-1269"/>
    <d v="2026-07-25T00:00:00"/>
    <x v="2"/>
    <x v="2"/>
    <s v="Saturday"/>
    <x v="1"/>
    <x v="0"/>
    <x v="0"/>
    <s v="Mouthwash"/>
    <x v="2"/>
    <s v="Mint Mouthwash 500ml"/>
    <s v="B260725-L2B"/>
    <s v="P. Singh"/>
    <x v="2"/>
    <x v="0"/>
    <x v="0"/>
    <n v="4380"/>
    <n v="4140"/>
    <n v="59"/>
    <n v="1.4251207729468598E-2"/>
    <n v="0.9452054794520548"/>
    <x v="4"/>
    <n v="43"/>
    <n v="0.71666666666666667"/>
    <s v="Machine Breakdown"/>
    <n v="79"/>
    <n v="4661"/>
    <n v="12494"/>
    <n v="3480"/>
    <n v="3480"/>
    <x v="317"/>
    <n v="6750"/>
  </r>
  <r>
    <s v="PR-1305"/>
    <d v="2026-07-29T00:00:00"/>
    <x v="2"/>
    <x v="2"/>
    <s v="Wednesday"/>
    <x v="0"/>
    <x v="0"/>
    <x v="0"/>
    <s v="Mouthwash"/>
    <x v="2"/>
    <s v="Mint Mouthwash 500ml"/>
    <s v="B260729-L2A"/>
    <s v="K. Verma"/>
    <x v="1"/>
    <x v="0"/>
    <x v="1"/>
    <n v="4370"/>
    <n v="4210"/>
    <n v="149"/>
    <n v="3.5391923990498814E-2"/>
    <n v="0.96338672768878719"/>
    <x v="0"/>
    <n v="0"/>
    <n v="0"/>
    <s v="None"/>
    <n v="79"/>
    <n v="11771"/>
    <n v="12518"/>
    <n v="3440"/>
    <n v="3440"/>
    <x v="318"/>
    <n v="6750"/>
  </r>
  <r>
    <s v="PR-0163"/>
    <d v="2026-04-15T00:00:00"/>
    <x v="5"/>
    <x v="5"/>
    <s v="Wednesday"/>
    <x v="2"/>
    <x v="0"/>
    <x v="0"/>
    <s v="Mouthwash"/>
    <x v="2"/>
    <s v="Mint Mouthwash 500ml"/>
    <s v="B260415-L2C"/>
    <s v="M. Khan"/>
    <x v="1"/>
    <x v="0"/>
    <x v="0"/>
    <n v="4040"/>
    <n v="3780"/>
    <n v="39"/>
    <n v="1.0317460317460317E-2"/>
    <n v="0.9356435643564357"/>
    <x v="5"/>
    <n v="52"/>
    <n v="0.8666666666666667"/>
    <s v="Changeover"/>
    <n v="79"/>
    <n v="3081"/>
    <n v="12914"/>
    <n v="3470"/>
    <n v="3470"/>
    <x v="319"/>
    <n v="6750"/>
  </r>
  <r>
    <s v="PR-0844"/>
    <d v="2026-06-17T00:00:00"/>
    <x v="3"/>
    <x v="3"/>
    <s v="Wednesday"/>
    <x v="0"/>
    <x v="2"/>
    <x v="2"/>
    <s v="Dental Floss"/>
    <x v="4"/>
    <s v="Interdental Brush Pack of 10"/>
    <s v="B260617-L3A"/>
    <s v="R. Sharma"/>
    <x v="2"/>
    <x v="2"/>
    <x v="8"/>
    <n v="4700"/>
    <n v="4440"/>
    <n v="140"/>
    <n v="3.1531531531531529E-2"/>
    <n v="0.94468085106382982"/>
    <x v="3"/>
    <n v="39"/>
    <n v="0.65"/>
    <s v="Cleaning / Sanitation"/>
    <n v="29"/>
    <n v="4060"/>
    <n v="13667"/>
    <n v="4740"/>
    <n v="4740"/>
    <x v="320"/>
    <n v="7500"/>
  </r>
  <r>
    <s v="PR-1452"/>
    <d v="2026-08-11T00:00:00"/>
    <x v="1"/>
    <x v="1"/>
    <s v="Tuesday"/>
    <x v="1"/>
    <x v="0"/>
    <x v="0"/>
    <s v="Mouthwash"/>
    <x v="1"/>
    <s v="Alcohol-Free Mouthwash 250ml"/>
    <s v="B260811-L2B"/>
    <s v="S. Yadav"/>
    <x v="2"/>
    <x v="0"/>
    <x v="3"/>
    <n v="6120"/>
    <n v="5470"/>
    <n v="135"/>
    <n v="2.4680073126142597E-2"/>
    <n v="0.89379084967320266"/>
    <x v="4"/>
    <n v="0"/>
    <n v="0"/>
    <s v="None"/>
    <n v="58"/>
    <n v="7830"/>
    <n v="13802"/>
    <n v="5860"/>
    <n v="5860"/>
    <x v="321"/>
    <n v="9000"/>
  </r>
  <r>
    <s v="PR-0175"/>
    <d v="2026-04-16T00:00:00"/>
    <x v="5"/>
    <x v="5"/>
    <s v="Thursday"/>
    <x v="2"/>
    <x v="0"/>
    <x v="0"/>
    <s v="Mouthwash"/>
    <x v="2"/>
    <s v="Mint Mouthwash 500ml"/>
    <s v="B260416-L2C"/>
    <s v="A. Gupta"/>
    <x v="2"/>
    <x v="0"/>
    <x v="3"/>
    <n v="4600"/>
    <n v="4070"/>
    <n v="101"/>
    <n v="2.4815724815724815E-2"/>
    <n v="0.88478260869565217"/>
    <x v="4"/>
    <n v="0"/>
    <n v="0"/>
    <s v="None"/>
    <n v="79"/>
    <n v="7979"/>
    <n v="13535"/>
    <n v="4190"/>
    <n v="4190"/>
    <x v="322"/>
    <n v="6750"/>
  </r>
  <r>
    <s v="PR-0199"/>
    <d v="2026-04-18T00:00:00"/>
    <x v="5"/>
    <x v="5"/>
    <s v="Saturday"/>
    <x v="2"/>
    <x v="0"/>
    <x v="0"/>
    <s v="Mouthwash"/>
    <x v="2"/>
    <s v="Mint Mouthwash 500ml"/>
    <s v="B260418-L2C"/>
    <s v="M. Khan"/>
    <x v="2"/>
    <x v="0"/>
    <x v="1"/>
    <n v="4100"/>
    <n v="3740"/>
    <n v="69"/>
    <n v="1.8449197860962566E-2"/>
    <n v="0.91219512195121955"/>
    <x v="2"/>
    <n v="0"/>
    <n v="0"/>
    <s v="None"/>
    <n v="79"/>
    <n v="5451"/>
    <n v="13842"/>
    <n v="4110"/>
    <n v="4110"/>
    <x v="323"/>
    <n v="6750"/>
  </r>
  <r>
    <s v="PR-1209"/>
    <d v="2026-07-20T00:00:00"/>
    <x v="2"/>
    <x v="2"/>
    <s v="Monday"/>
    <x v="1"/>
    <x v="0"/>
    <x v="0"/>
    <s v="Mouthwash"/>
    <x v="2"/>
    <s v="Mint Mouthwash 500ml"/>
    <s v="B260720-L2B"/>
    <s v="S. Yadav"/>
    <x v="2"/>
    <x v="0"/>
    <x v="0"/>
    <n v="4360"/>
    <n v="3990"/>
    <n v="97"/>
    <n v="2.431077694235589E-2"/>
    <n v="0.91513761467889909"/>
    <x v="3"/>
    <n v="69"/>
    <n v="1.1499999999999999"/>
    <s v="Changeover"/>
    <n v="79"/>
    <n v="7663"/>
    <n v="13741"/>
    <n v="4170"/>
    <n v="4170"/>
    <x v="324"/>
    <n v="6750"/>
  </r>
  <r>
    <s v="PR-1397"/>
    <d v="2026-08-06T00:00:00"/>
    <x v="1"/>
    <x v="1"/>
    <s v="Thursday"/>
    <x v="1"/>
    <x v="0"/>
    <x v="0"/>
    <s v="Mouthwash"/>
    <x v="0"/>
    <s v="Mint Mouthwash 250ml"/>
    <s v="B260806-L2B"/>
    <s v="P. Singh"/>
    <x v="2"/>
    <x v="0"/>
    <x v="1"/>
    <n v="7180"/>
    <n v="6820"/>
    <n v="141"/>
    <n v="2.0674486803519063E-2"/>
    <n v="0.94986072423398327"/>
    <x v="0"/>
    <n v="0"/>
    <n v="0"/>
    <s v="None"/>
    <n v="46"/>
    <n v="6486"/>
    <n v="13735"/>
    <n v="6940"/>
    <n v="6940"/>
    <x v="325"/>
    <n v="10500"/>
  </r>
  <r>
    <s v="PR-0171"/>
    <d v="2026-04-16T00:00:00"/>
    <x v="5"/>
    <x v="5"/>
    <s v="Thursday"/>
    <x v="1"/>
    <x v="0"/>
    <x v="0"/>
    <s v="Mouthwash"/>
    <x v="2"/>
    <s v="Mint Mouthwash 500ml"/>
    <s v="B260416-L2B"/>
    <s v="P. Singh"/>
    <x v="2"/>
    <x v="0"/>
    <x v="0"/>
    <n v="4570"/>
    <n v="4400"/>
    <n v="140"/>
    <n v="3.1818181818181815E-2"/>
    <n v="0.96280087527352298"/>
    <x v="3"/>
    <n v="74"/>
    <n v="1.2333333333333334"/>
    <s v="Changeover"/>
    <n v="79"/>
    <n v="11060"/>
    <n v="13185"/>
    <n v="3910"/>
    <n v="3910"/>
    <x v="326"/>
    <n v="6750"/>
  </r>
  <r>
    <s v="PR-0205"/>
    <d v="2026-04-19T00:00:00"/>
    <x v="5"/>
    <x v="5"/>
    <s v="Sunday"/>
    <x v="1"/>
    <x v="0"/>
    <x v="0"/>
    <s v="Mouthwash"/>
    <x v="2"/>
    <s v="Mint Mouthwash 500ml"/>
    <s v="B260419-L2B"/>
    <s v="P. Singh"/>
    <x v="2"/>
    <x v="0"/>
    <x v="2"/>
    <n v="3140"/>
    <n v="2870"/>
    <n v="92"/>
    <n v="3.2055749128919862E-2"/>
    <n v="0.9140127388535032"/>
    <x v="0"/>
    <n v="0"/>
    <n v="0"/>
    <s v="None"/>
    <n v="79"/>
    <n v="7268"/>
    <n v="13403"/>
    <n v="2630"/>
    <n v="2630"/>
    <x v="327"/>
    <n v="6750"/>
  </r>
  <r>
    <s v="PR-0828"/>
    <d v="2026-06-15T00:00:00"/>
    <x v="3"/>
    <x v="3"/>
    <s v="Monday"/>
    <x v="2"/>
    <x v="2"/>
    <x v="2"/>
    <s v="Dental Floss"/>
    <x v="4"/>
    <s v="Interdental Brush Pack of 10"/>
    <s v="B260615-L3C"/>
    <s v="M. Khan"/>
    <x v="1"/>
    <x v="2"/>
    <x v="9"/>
    <n v="4610"/>
    <n v="3770"/>
    <n v="89"/>
    <n v="2.3607427055702918E-2"/>
    <n v="0.81778741865509763"/>
    <x v="3"/>
    <n v="0"/>
    <n v="0"/>
    <s v="None"/>
    <n v="29"/>
    <n v="2581"/>
    <n v="13986"/>
    <n v="4000"/>
    <n v="4000"/>
    <x v="328"/>
    <n v="7500"/>
  </r>
  <r>
    <s v="PR-0848"/>
    <d v="2026-06-17T00:00:00"/>
    <x v="3"/>
    <x v="3"/>
    <s v="Wednesday"/>
    <x v="1"/>
    <x v="2"/>
    <x v="2"/>
    <s v="Dental Floss"/>
    <x v="4"/>
    <s v="Interdental Brush Pack of 10"/>
    <s v="B260617-L3B"/>
    <s v="S. Yadav"/>
    <x v="2"/>
    <x v="2"/>
    <x v="10"/>
    <n v="4800"/>
    <n v="4780"/>
    <n v="122"/>
    <n v="2.5523012552301255E-2"/>
    <n v="0.99583333333333335"/>
    <x v="4"/>
    <n v="33"/>
    <n v="0.55000000000000004"/>
    <s v="Machine Breakdown"/>
    <n v="29"/>
    <n v="3538"/>
    <n v="13227"/>
    <n v="4190"/>
    <n v="4190"/>
    <x v="329"/>
    <n v="7500"/>
  </r>
  <r>
    <s v="PR-1389"/>
    <d v="2026-08-05T00:00:00"/>
    <x v="1"/>
    <x v="1"/>
    <s v="Wednesday"/>
    <x v="2"/>
    <x v="0"/>
    <x v="0"/>
    <s v="Mouthwash"/>
    <x v="0"/>
    <s v="Mint Mouthwash 250ml"/>
    <s v="B260805-L2C"/>
    <s v="M. Khan"/>
    <x v="0"/>
    <x v="0"/>
    <x v="1"/>
    <n v="6750"/>
    <n v="6420"/>
    <n v="583"/>
    <n v="9.0809968847352027E-2"/>
    <n v="0.95111111111111113"/>
    <x v="1"/>
    <n v="0"/>
    <n v="0"/>
    <s v="None"/>
    <n v="46"/>
    <n v="26818"/>
    <n v="14868"/>
    <n v="6970"/>
    <n v="6970"/>
    <x v="330"/>
    <n v="10500"/>
  </r>
  <r>
    <s v="PR-1191"/>
    <d v="2026-07-18T00:00:00"/>
    <x v="2"/>
    <x v="2"/>
    <s v="Saturday"/>
    <x v="1"/>
    <x v="0"/>
    <x v="0"/>
    <s v="Mouthwash"/>
    <x v="2"/>
    <s v="Mint Mouthwash 500ml"/>
    <s v="B260718-L2B"/>
    <s v="S. Yadav"/>
    <x v="2"/>
    <x v="0"/>
    <x v="2"/>
    <n v="4230"/>
    <n v="3850"/>
    <n v="67"/>
    <n v="1.7402597402597402E-2"/>
    <n v="0.91016548463356972"/>
    <x v="2"/>
    <n v="27"/>
    <n v="0.45"/>
    <s v="Changeover"/>
    <n v="79"/>
    <n v="5293"/>
    <n v="13978"/>
    <n v="4020"/>
    <n v="4020"/>
    <x v="331"/>
    <n v="6750"/>
  </r>
  <r>
    <s v="PR-0232"/>
    <d v="2026-04-22T00:00:00"/>
    <x v="5"/>
    <x v="5"/>
    <s v="Wednesday"/>
    <x v="0"/>
    <x v="0"/>
    <x v="0"/>
    <s v="Mouthwash"/>
    <x v="2"/>
    <s v="Mint Mouthwash 500ml"/>
    <s v="B260422-L2A"/>
    <s v="K. Verma"/>
    <x v="2"/>
    <x v="0"/>
    <x v="0"/>
    <n v="4530"/>
    <n v="4630"/>
    <n v="141"/>
    <n v="3.0453563714902807E-2"/>
    <n v="1.0220750551876379"/>
    <x v="3"/>
    <n v="0"/>
    <n v="0"/>
    <s v="None"/>
    <n v="79"/>
    <n v="11139"/>
    <n v="13551"/>
    <n v="4250"/>
    <n v="4250"/>
    <x v="332"/>
    <n v="6750"/>
  </r>
  <r>
    <s v="PR-1425"/>
    <d v="2026-08-08T00:00:00"/>
    <x v="1"/>
    <x v="1"/>
    <s v="Saturday"/>
    <x v="2"/>
    <x v="0"/>
    <x v="0"/>
    <s v="Mouthwash"/>
    <x v="1"/>
    <s v="Alcohol-Free Mouthwash 250ml"/>
    <s v="B260808-L2C"/>
    <s v="A. Gupta"/>
    <x v="0"/>
    <x v="0"/>
    <x v="3"/>
    <n v="5550"/>
    <n v="4980"/>
    <n v="449"/>
    <n v="9.0160642570281127E-2"/>
    <n v="0.89729729729729735"/>
    <x v="1"/>
    <n v="0"/>
    <n v="0"/>
    <s v="None"/>
    <n v="58"/>
    <n v="26042"/>
    <n v="14911"/>
    <n v="5640"/>
    <n v="5640"/>
    <x v="333"/>
    <n v="9000"/>
  </r>
  <r>
    <s v="PR-0183"/>
    <d v="2026-04-17T00:00:00"/>
    <x v="5"/>
    <x v="5"/>
    <s v="Friday"/>
    <x v="1"/>
    <x v="0"/>
    <x v="0"/>
    <s v="Mouthwash"/>
    <x v="2"/>
    <s v="Mint Mouthwash 500ml"/>
    <s v="B260417-L2B"/>
    <s v="S. Yadav"/>
    <x v="1"/>
    <x v="0"/>
    <x v="0"/>
    <n v="4340"/>
    <n v="4280"/>
    <n v="102"/>
    <n v="2.3831775700934581E-2"/>
    <n v="0.98617511520737322"/>
    <x v="0"/>
    <n v="0"/>
    <n v="0"/>
    <s v="None"/>
    <n v="79"/>
    <n v="8058"/>
    <n v="13314"/>
    <n v="3650"/>
    <n v="3650"/>
    <x v="334"/>
    <n v="6750"/>
  </r>
  <r>
    <s v="PR-0786"/>
    <d v="2026-06-11T00:00:00"/>
    <x v="3"/>
    <x v="3"/>
    <s v="Thursday"/>
    <x v="2"/>
    <x v="2"/>
    <x v="2"/>
    <s v="Dental Floss"/>
    <x v="4"/>
    <s v="Interdental Brush Pack of 10"/>
    <s v="B260611-L3C"/>
    <s v="A. Gupta"/>
    <x v="1"/>
    <x v="2"/>
    <x v="8"/>
    <n v="5070"/>
    <n v="4510"/>
    <n v="87"/>
    <n v="1.9290465631929047E-2"/>
    <n v="0.88954635108481261"/>
    <x v="5"/>
    <n v="45"/>
    <n v="0.75"/>
    <s v="Machine Breakdown"/>
    <n v="29"/>
    <n v="2523"/>
    <n v="14042"/>
    <n v="4550"/>
    <n v="4550"/>
    <x v="335"/>
    <n v="7500"/>
  </r>
  <r>
    <s v="PR-0294"/>
    <d v="2026-04-28T00:00:00"/>
    <x v="5"/>
    <x v="5"/>
    <s v="Tuesday"/>
    <x v="0"/>
    <x v="0"/>
    <x v="0"/>
    <s v="Mouthwash"/>
    <x v="2"/>
    <s v="Mint Mouthwash 500ml"/>
    <s v="B260428-L2A"/>
    <s v="R. Sharma"/>
    <x v="2"/>
    <x v="0"/>
    <x v="2"/>
    <n v="4280"/>
    <n v="3840"/>
    <n v="109"/>
    <n v="2.8385416666666666E-2"/>
    <n v="0.89719626168224298"/>
    <x v="4"/>
    <n v="0"/>
    <n v="0"/>
    <s v="None"/>
    <n v="79"/>
    <n v="8611"/>
    <n v="14158"/>
    <n v="3930"/>
    <n v="3930"/>
    <x v="336"/>
    <n v="6750"/>
  </r>
  <r>
    <s v="PR-1187"/>
    <d v="2026-07-18T00:00:00"/>
    <x v="2"/>
    <x v="2"/>
    <s v="Saturday"/>
    <x v="0"/>
    <x v="0"/>
    <x v="0"/>
    <s v="Mouthwash"/>
    <x v="2"/>
    <s v="Mint Mouthwash 500ml"/>
    <s v="B260718-L2A"/>
    <s v="R. Sharma"/>
    <x v="1"/>
    <x v="0"/>
    <x v="0"/>
    <n v="4500"/>
    <n v="4410"/>
    <n v="94"/>
    <n v="2.1315192743764172E-2"/>
    <n v="0.98"/>
    <x v="4"/>
    <n v="0"/>
    <n v="0"/>
    <s v="None"/>
    <n v="79"/>
    <n v="7426"/>
    <n v="14462"/>
    <n v="4800"/>
    <n v="4800"/>
    <x v="337"/>
    <n v="6750"/>
  </r>
  <r>
    <s v="PR-0802"/>
    <d v="2026-06-13T00:00:00"/>
    <x v="3"/>
    <x v="3"/>
    <s v="Saturday"/>
    <x v="0"/>
    <x v="2"/>
    <x v="2"/>
    <s v="Dental Floss"/>
    <x v="4"/>
    <s v="Interdental Brush Pack of 10"/>
    <s v="B260613-L3A"/>
    <s v="K. Verma"/>
    <x v="2"/>
    <x v="2"/>
    <x v="10"/>
    <n v="4890"/>
    <n v="4700"/>
    <n v="59"/>
    <n v="1.2553191489361702E-2"/>
    <n v="0.96114519427402867"/>
    <x v="5"/>
    <n v="0"/>
    <n v="0"/>
    <s v="None"/>
    <n v="29"/>
    <n v="1711"/>
    <n v="13915"/>
    <n v="4570"/>
    <n v="4570"/>
    <x v="338"/>
    <n v="7500"/>
  </r>
  <r>
    <s v="PR-0758"/>
    <d v="2026-06-09T00:00:00"/>
    <x v="3"/>
    <x v="3"/>
    <s v="Tuesday"/>
    <x v="1"/>
    <x v="2"/>
    <x v="2"/>
    <s v="Dental Floss"/>
    <x v="4"/>
    <s v="Interdental Brush Pack of 10"/>
    <s v="B260609-L3B"/>
    <s v="S. Yadav"/>
    <x v="1"/>
    <x v="2"/>
    <x v="8"/>
    <n v="4640"/>
    <n v="4020"/>
    <n v="108"/>
    <n v="2.6865671641791045E-2"/>
    <n v="0.86637931034482762"/>
    <x v="0"/>
    <n v="0"/>
    <n v="0"/>
    <s v="None"/>
    <n v="29"/>
    <n v="3132"/>
    <n v="14490"/>
    <n v="4360"/>
    <n v="4360"/>
    <x v="339"/>
    <n v="7500"/>
  </r>
  <r>
    <s v="PR-1293"/>
    <d v="2026-07-28T00:00:00"/>
    <x v="2"/>
    <x v="2"/>
    <s v="Tuesday"/>
    <x v="0"/>
    <x v="0"/>
    <x v="0"/>
    <s v="Mouthwash"/>
    <x v="1"/>
    <s v="Alcohol-Free Mouthwash 250ml"/>
    <s v="B260728-L2A"/>
    <s v="R. Sharma"/>
    <x v="0"/>
    <x v="0"/>
    <x v="1"/>
    <n v="6400"/>
    <n v="6210"/>
    <n v="547"/>
    <n v="8.8083735909822866E-2"/>
    <n v="0.97031250000000002"/>
    <x v="1"/>
    <n v="0"/>
    <n v="0"/>
    <s v="None"/>
    <n v="58"/>
    <n v="31726"/>
    <n v="14582"/>
    <n v="6190"/>
    <n v="6190"/>
    <x v="340"/>
    <n v="9000"/>
  </r>
  <r>
    <s v="PR-1234"/>
    <d v="2026-07-22T00:00:00"/>
    <x v="2"/>
    <x v="2"/>
    <s v="Wednesday"/>
    <x v="1"/>
    <x v="2"/>
    <x v="2"/>
    <s v="Dental Floss"/>
    <x v="4"/>
    <s v="Interdental Brush Pack of 10"/>
    <s v="B260722-L3B"/>
    <s v="S. Yadav"/>
    <x v="2"/>
    <x v="2"/>
    <x v="8"/>
    <n v="4720"/>
    <n v="4200"/>
    <n v="128"/>
    <n v="3.0476190476190476E-2"/>
    <n v="0.88983050847457623"/>
    <x v="5"/>
    <n v="68"/>
    <n v="1.1333333333333333"/>
    <s v="Material Shortage"/>
    <n v="29"/>
    <n v="3712"/>
    <n v="14507"/>
    <n v="4480"/>
    <n v="4480"/>
    <x v="341"/>
    <n v="7500"/>
  </r>
  <r>
    <s v="PR-0290"/>
    <d v="2026-04-27T00:00:00"/>
    <x v="5"/>
    <x v="5"/>
    <s v="Monday"/>
    <x v="2"/>
    <x v="0"/>
    <x v="0"/>
    <s v="Mouthwash"/>
    <x v="2"/>
    <s v="Mint Mouthwash 500ml"/>
    <s v="B260427-L2C"/>
    <s v="M. Khan"/>
    <x v="2"/>
    <x v="0"/>
    <x v="2"/>
    <n v="4320"/>
    <n v="4100"/>
    <n v="72"/>
    <n v="1.7560975609756099E-2"/>
    <n v="0.94907407407407407"/>
    <x v="4"/>
    <n v="0"/>
    <n v="0"/>
    <s v="None"/>
    <n v="79"/>
    <n v="5688"/>
    <n v="13790"/>
    <n v="3660"/>
    <n v="3660"/>
    <x v="342"/>
    <n v="6750"/>
  </r>
  <r>
    <s v="PR-0746"/>
    <d v="2026-06-08T00:00:00"/>
    <x v="3"/>
    <x v="3"/>
    <s v="Monday"/>
    <x v="1"/>
    <x v="2"/>
    <x v="2"/>
    <s v="Dental Floss"/>
    <x v="4"/>
    <s v="Interdental Brush Pack of 10"/>
    <s v="B260608-L3B"/>
    <s v="P. Singh"/>
    <x v="1"/>
    <x v="2"/>
    <x v="10"/>
    <n v="4760"/>
    <n v="4750"/>
    <n v="139"/>
    <n v="2.9263157894736842E-2"/>
    <n v="0.99789915966386555"/>
    <x v="4"/>
    <n v="0"/>
    <n v="0"/>
    <s v="None"/>
    <n v="29"/>
    <n v="4031"/>
    <n v="14190"/>
    <n v="4640"/>
    <n v="4640"/>
    <x v="343"/>
    <n v="7500"/>
  </r>
  <r>
    <s v="PR-0721"/>
    <d v="2026-06-05T00:00:00"/>
    <x v="3"/>
    <x v="3"/>
    <s v="Friday"/>
    <x v="2"/>
    <x v="2"/>
    <x v="2"/>
    <s v="Dental Floss"/>
    <x v="4"/>
    <s v="Interdental Brush Pack of 10"/>
    <s v="B260605-L3C"/>
    <s v="M. Khan"/>
    <x v="2"/>
    <x v="2"/>
    <x v="8"/>
    <n v="4910"/>
    <n v="4480"/>
    <n v="46"/>
    <n v="1.0267857142857143E-2"/>
    <n v="0.91242362525458254"/>
    <x v="4"/>
    <n v="48"/>
    <n v="0.8"/>
    <s v="Power Interruption"/>
    <n v="29"/>
    <n v="1334"/>
    <n v="14436"/>
    <n v="4680"/>
    <n v="4680"/>
    <x v="344"/>
    <n v="7500"/>
  </r>
  <r>
    <s v="PR-0310"/>
    <d v="2026-04-29T00:00:00"/>
    <x v="5"/>
    <x v="5"/>
    <s v="Wednesday"/>
    <x v="1"/>
    <x v="0"/>
    <x v="0"/>
    <s v="Mouthwash"/>
    <x v="2"/>
    <s v="Mint Mouthwash 500ml"/>
    <s v="B260429-L2B"/>
    <s v="S. Yadav"/>
    <x v="2"/>
    <x v="0"/>
    <x v="0"/>
    <n v="4600"/>
    <n v="4260"/>
    <n v="75"/>
    <n v="1.7605633802816902E-2"/>
    <n v="0.92608695652173911"/>
    <x v="2"/>
    <n v="67"/>
    <n v="1.1166666666666667"/>
    <s v="Changeover"/>
    <n v="79"/>
    <n v="5925"/>
    <n v="13959"/>
    <n v="3940"/>
    <n v="3940"/>
    <x v="345"/>
    <n v="6750"/>
  </r>
  <r>
    <s v="PR-0856"/>
    <d v="2026-06-18T00:00:00"/>
    <x v="3"/>
    <x v="3"/>
    <s v="Thursday"/>
    <x v="0"/>
    <x v="2"/>
    <x v="2"/>
    <s v="Dental Floss"/>
    <x v="4"/>
    <s v="Interdental Brush Pack of 10"/>
    <s v="B260618-L3A"/>
    <s v="R. Sharma"/>
    <x v="2"/>
    <x v="2"/>
    <x v="10"/>
    <n v="4690"/>
    <n v="4450"/>
    <n v="116"/>
    <n v="2.6067415730337079E-2"/>
    <n v="0.94882729211087424"/>
    <x v="4"/>
    <n v="73"/>
    <n v="1.2166666666666666"/>
    <s v="Machine Breakdown"/>
    <n v="29"/>
    <n v="3364"/>
    <n v="13695"/>
    <n v="3790"/>
    <n v="3790"/>
    <x v="346"/>
    <n v="7500"/>
  </r>
  <r>
    <s v="PR-1246"/>
    <d v="2026-07-23T00:00:00"/>
    <x v="2"/>
    <x v="2"/>
    <s v="Thursday"/>
    <x v="1"/>
    <x v="2"/>
    <x v="2"/>
    <s v="Dental Floss"/>
    <x v="4"/>
    <s v="Interdental Brush Pack of 10"/>
    <s v="B260723-L3B"/>
    <s v="S. Yadav"/>
    <x v="2"/>
    <x v="2"/>
    <x v="10"/>
    <n v="4970"/>
    <n v="4730"/>
    <n v="73"/>
    <n v="1.5433403805496829E-2"/>
    <n v="0.95171026156941652"/>
    <x v="4"/>
    <n v="0"/>
    <n v="0"/>
    <s v="None"/>
    <n v="29"/>
    <n v="2117"/>
    <n v="14099"/>
    <n v="4480"/>
    <n v="4480"/>
    <x v="347"/>
    <n v="7500"/>
  </r>
  <r>
    <s v="PR-0326"/>
    <d v="2026-04-30T00:00:00"/>
    <x v="5"/>
    <x v="5"/>
    <s v="Thursday"/>
    <x v="2"/>
    <x v="0"/>
    <x v="0"/>
    <s v="Mouthwash"/>
    <x v="2"/>
    <s v="Mint Mouthwash 500ml"/>
    <s v="B260430-L2C"/>
    <s v="A. Gupta"/>
    <x v="2"/>
    <x v="0"/>
    <x v="3"/>
    <n v="4400"/>
    <n v="3860"/>
    <n v="68"/>
    <n v="1.7616580310880828E-2"/>
    <n v="0.87727272727272732"/>
    <x v="5"/>
    <n v="0"/>
    <n v="0"/>
    <s v="None"/>
    <n v="79"/>
    <n v="5372"/>
    <n v="14204"/>
    <n v="3640"/>
    <n v="3640"/>
    <x v="348"/>
    <n v="6750"/>
  </r>
  <r>
    <s v="PR-1329"/>
    <d v="2026-07-31T00:00:00"/>
    <x v="2"/>
    <x v="2"/>
    <s v="Friday"/>
    <x v="0"/>
    <x v="0"/>
    <x v="0"/>
    <s v="Mouthwash"/>
    <x v="1"/>
    <s v="Alcohol-Free Mouthwash 250ml"/>
    <s v="B260731-L2A"/>
    <s v="K. Verma"/>
    <x v="2"/>
    <x v="0"/>
    <x v="0"/>
    <n v="5770"/>
    <n v="5410"/>
    <n v="149"/>
    <n v="2.754158964879852E-2"/>
    <n v="0.93760831889081453"/>
    <x v="3"/>
    <n v="0"/>
    <n v="0"/>
    <s v="None"/>
    <n v="58"/>
    <n v="8642"/>
    <n v="14922"/>
    <n v="5790"/>
    <n v="5790"/>
    <x v="349"/>
    <n v="9000"/>
  </r>
  <r>
    <s v="PR-0673"/>
    <d v="2026-06-01T00:00:00"/>
    <x v="3"/>
    <x v="3"/>
    <s v="Monday"/>
    <x v="2"/>
    <x v="2"/>
    <x v="2"/>
    <s v="Dental Floss"/>
    <x v="4"/>
    <s v="Interdental Brush Pack of 10"/>
    <s v="B260601-L3C"/>
    <s v="A. Gupta"/>
    <x v="2"/>
    <x v="2"/>
    <x v="10"/>
    <n v="5090"/>
    <n v="4790"/>
    <n v="135"/>
    <n v="2.8183716075156576E-2"/>
    <n v="0.94106090373280948"/>
    <x v="5"/>
    <n v="0"/>
    <n v="0"/>
    <s v="None"/>
    <n v="29"/>
    <n v="3915"/>
    <n v="14464"/>
    <n v="4720"/>
    <n v="4720"/>
    <x v="350"/>
    <n v="7500"/>
  </r>
  <r>
    <s v="PR-1266"/>
    <d v="2026-07-25T00:00:00"/>
    <x v="2"/>
    <x v="2"/>
    <s v="Saturday"/>
    <x v="0"/>
    <x v="2"/>
    <x v="2"/>
    <s v="Dental Floss"/>
    <x v="4"/>
    <s v="Interdental Brush Pack of 10"/>
    <s v="B260725-L3A"/>
    <s v="K. Verma"/>
    <x v="1"/>
    <x v="2"/>
    <x v="10"/>
    <n v="4820"/>
    <n v="4700"/>
    <n v="124"/>
    <n v="2.6382978723404255E-2"/>
    <n v="0.975103734439834"/>
    <x v="5"/>
    <n v="0"/>
    <n v="0"/>
    <s v="None"/>
    <n v="29"/>
    <n v="3596"/>
    <n v="14276"/>
    <n v="4420"/>
    <n v="4420"/>
    <x v="351"/>
    <n v="7500"/>
  </r>
  <r>
    <s v="PR-0701"/>
    <d v="2026-06-04T00:00:00"/>
    <x v="3"/>
    <x v="3"/>
    <s v="Thursday"/>
    <x v="0"/>
    <x v="2"/>
    <x v="2"/>
    <s v="Dental Floss"/>
    <x v="4"/>
    <s v="Interdental Brush Pack of 10"/>
    <s v="B260604-L3A"/>
    <s v="K. Verma"/>
    <x v="1"/>
    <x v="2"/>
    <x v="8"/>
    <n v="5350"/>
    <n v="5130"/>
    <n v="73"/>
    <n v="1.4230019493177388E-2"/>
    <n v="0.95887850467289715"/>
    <x v="3"/>
    <n v="0"/>
    <n v="0"/>
    <s v="None"/>
    <n v="29"/>
    <n v="2117"/>
    <n v="14399"/>
    <n v="5020"/>
    <n v="5020"/>
    <x v="352"/>
    <n v="7500"/>
  </r>
  <r>
    <s v="PR-1401"/>
    <d v="2026-08-06T00:00:00"/>
    <x v="1"/>
    <x v="1"/>
    <s v="Thursday"/>
    <x v="2"/>
    <x v="0"/>
    <x v="0"/>
    <s v="Mouthwash"/>
    <x v="1"/>
    <s v="Alcohol-Free Mouthwash 250ml"/>
    <s v="B260806-L2C"/>
    <s v="A. Gupta"/>
    <x v="0"/>
    <x v="0"/>
    <x v="2"/>
    <n v="5780"/>
    <n v="4980"/>
    <n v="517"/>
    <n v="0.10381526104417671"/>
    <n v="0.86159169550173009"/>
    <x v="1"/>
    <n v="0"/>
    <n v="0"/>
    <s v="None"/>
    <n v="58"/>
    <n v="29986"/>
    <n v="15906"/>
    <n v="5920"/>
    <n v="5920"/>
    <x v="353"/>
    <n v="9000"/>
  </r>
  <r>
    <s v="PR-1281"/>
    <d v="2026-07-27T00:00:00"/>
    <x v="2"/>
    <x v="2"/>
    <s v="Monday"/>
    <x v="0"/>
    <x v="0"/>
    <x v="0"/>
    <s v="Mouthwash"/>
    <x v="1"/>
    <s v="Alcohol-Free Mouthwash 250ml"/>
    <s v="B260727-L2A"/>
    <s v="R. Sharma"/>
    <x v="0"/>
    <x v="0"/>
    <x v="0"/>
    <n v="5750"/>
    <n v="5680"/>
    <n v="504"/>
    <n v="8.873239436619719E-2"/>
    <n v="0.98782608695652174"/>
    <x v="1"/>
    <n v="74"/>
    <n v="1.2333333333333334"/>
    <s v="Machine Breakdown"/>
    <n v="58"/>
    <n v="29232"/>
    <n v="14476"/>
    <n v="5200"/>
    <n v="5200"/>
    <x v="354"/>
    <n v="9000"/>
  </r>
  <r>
    <s v="PR-1175"/>
    <d v="2026-07-17T00:00:00"/>
    <x v="2"/>
    <x v="2"/>
    <s v="Friday"/>
    <x v="0"/>
    <x v="0"/>
    <x v="0"/>
    <s v="Mouthwash"/>
    <x v="2"/>
    <s v="Mint Mouthwash 500ml"/>
    <s v="B260717-L2A"/>
    <s v="K. Verma"/>
    <x v="1"/>
    <x v="0"/>
    <x v="2"/>
    <n v="4600"/>
    <n v="4190"/>
    <n v="90"/>
    <n v="2.1479713603818614E-2"/>
    <n v="0.91086956521739126"/>
    <x v="3"/>
    <n v="0"/>
    <n v="0"/>
    <s v="None"/>
    <n v="79"/>
    <n v="7110"/>
    <n v="14472"/>
    <n v="4110"/>
    <n v="4110"/>
    <x v="355"/>
    <n v="6750"/>
  </r>
  <r>
    <s v="PR-0625"/>
    <d v="2026-05-28T00:00:00"/>
    <x v="4"/>
    <x v="4"/>
    <s v="Thursday"/>
    <x v="0"/>
    <x v="2"/>
    <x v="2"/>
    <s v="Dental Floss"/>
    <x v="4"/>
    <s v="Interdental Brush Pack of 10"/>
    <s v="B260528-L3A"/>
    <s v="R. Sharma"/>
    <x v="2"/>
    <x v="2"/>
    <x v="10"/>
    <n v="4780"/>
    <n v="4650"/>
    <n v="123"/>
    <n v="2.6451612903225806E-2"/>
    <n v="0.97280334728033468"/>
    <x v="2"/>
    <n v="0"/>
    <n v="0"/>
    <s v="None"/>
    <n v="29"/>
    <n v="3567"/>
    <n v="14757"/>
    <n v="4820"/>
    <n v="4820"/>
    <x v="356"/>
    <n v="7500"/>
  </r>
  <r>
    <s v="PR-1143"/>
    <d v="2026-07-14T00:00:00"/>
    <x v="2"/>
    <x v="2"/>
    <s v="Tuesday"/>
    <x v="1"/>
    <x v="0"/>
    <x v="0"/>
    <s v="Mouthwash"/>
    <x v="2"/>
    <s v="Mint Mouthwash 500ml"/>
    <s v="B260714-L2B"/>
    <s v="P. Singh"/>
    <x v="1"/>
    <x v="0"/>
    <x v="2"/>
    <n v="4460"/>
    <n v="4000"/>
    <n v="121"/>
    <n v="3.0249999999999999E-2"/>
    <n v="0.89686098654708524"/>
    <x v="5"/>
    <n v="0"/>
    <n v="0"/>
    <s v="None"/>
    <n v="79"/>
    <n v="9559"/>
    <n v="14723"/>
    <n v="4130"/>
    <n v="4130"/>
    <x v="357"/>
    <n v="6750"/>
  </r>
  <r>
    <s v="PR-1273"/>
    <d v="2026-07-25T00:00:00"/>
    <x v="2"/>
    <x v="2"/>
    <s v="Saturday"/>
    <x v="2"/>
    <x v="0"/>
    <x v="0"/>
    <s v="Mouthwash"/>
    <x v="1"/>
    <s v="Alcohol-Free Mouthwash 250ml"/>
    <s v="B260725-L2C"/>
    <s v="M. Khan"/>
    <x v="0"/>
    <x v="0"/>
    <x v="1"/>
    <n v="6120"/>
    <n v="5740"/>
    <n v="651"/>
    <n v="0.11341463414634147"/>
    <n v="0.93790849673202614"/>
    <x v="1"/>
    <n v="34"/>
    <n v="0.56666666666666665"/>
    <s v="Changeover"/>
    <n v="58"/>
    <n v="37758"/>
    <n v="15097"/>
    <n v="5710"/>
    <n v="5710"/>
    <x v="358"/>
    <n v="9000"/>
  </r>
  <r>
    <s v="PR-0076"/>
    <d v="2026-04-07T00:00:00"/>
    <x v="5"/>
    <x v="5"/>
    <s v="Tuesday"/>
    <x v="2"/>
    <x v="2"/>
    <x v="2"/>
    <s v="Dental Floss"/>
    <x v="4"/>
    <s v="Interdental Brush Pack of 10"/>
    <s v="B260407-L3C"/>
    <s v="M. Khan"/>
    <x v="2"/>
    <x v="2"/>
    <x v="11"/>
    <n v="4410"/>
    <n v="3570"/>
    <n v="121"/>
    <n v="3.3893557422969185E-2"/>
    <n v="0.80952380952380953"/>
    <x v="4"/>
    <n v="0"/>
    <n v="0"/>
    <s v="None"/>
    <n v="29"/>
    <n v="3509"/>
    <n v="15081"/>
    <n v="4050"/>
    <n v="4050"/>
    <x v="359"/>
    <n v="7500"/>
  </r>
  <r>
    <s v="PR-0140"/>
    <d v="2026-04-13T00:00:00"/>
    <x v="5"/>
    <x v="5"/>
    <s v="Monday"/>
    <x v="2"/>
    <x v="2"/>
    <x v="2"/>
    <s v="Dental Floss"/>
    <x v="4"/>
    <s v="Interdental Brush Pack of 10"/>
    <s v="B260413-L3C"/>
    <s v="M. Khan"/>
    <x v="1"/>
    <x v="2"/>
    <x v="10"/>
    <n v="5090"/>
    <n v="4780"/>
    <n v="91"/>
    <n v="1.9037656903765691E-2"/>
    <n v="0.93909626719056971"/>
    <x v="0"/>
    <n v="0"/>
    <n v="0"/>
    <s v="None"/>
    <n v="29"/>
    <n v="2639"/>
    <n v="14914"/>
    <n v="5120"/>
    <n v="5120"/>
    <x v="360"/>
    <n v="7500"/>
  </r>
  <r>
    <s v="PR-0750"/>
    <d v="2026-06-08T00:00:00"/>
    <x v="3"/>
    <x v="3"/>
    <s v="Monday"/>
    <x v="2"/>
    <x v="2"/>
    <x v="2"/>
    <s v="Dental Floss"/>
    <x v="4"/>
    <s v="Interdental Brush Pack of 10"/>
    <s v="B260608-L3C"/>
    <s v="A. Gupta"/>
    <x v="1"/>
    <x v="2"/>
    <x v="8"/>
    <n v="4670"/>
    <n v="4310"/>
    <n v="91"/>
    <n v="2.1113689095127609E-2"/>
    <n v="0.92291220556745179"/>
    <x v="2"/>
    <n v="32"/>
    <n v="0.53333333333333333"/>
    <s v="Cleaning / Sanitation"/>
    <n v="29"/>
    <n v="2639"/>
    <n v="14161"/>
    <n v="3890"/>
    <n v="3890"/>
    <x v="361"/>
    <n v="7500"/>
  </r>
  <r>
    <s v="PR-0291"/>
    <d v="2026-04-27T00:00:00"/>
    <x v="5"/>
    <x v="5"/>
    <s v="Monday"/>
    <x v="2"/>
    <x v="2"/>
    <x v="2"/>
    <s v="Dental Floss"/>
    <x v="4"/>
    <s v="Interdental Brush Pack of 10"/>
    <s v="B260427-L3C"/>
    <s v="M. Khan"/>
    <x v="2"/>
    <x v="2"/>
    <x v="10"/>
    <n v="4410"/>
    <n v="4230"/>
    <n v="133"/>
    <n v="3.1442080378250588E-2"/>
    <n v="0.95918367346938771"/>
    <x v="5"/>
    <n v="0"/>
    <n v="0"/>
    <s v="None"/>
    <n v="29"/>
    <n v="3857"/>
    <n v="14704"/>
    <n v="4300"/>
    <n v="4300"/>
    <x v="362"/>
    <n v="7500"/>
  </r>
  <r>
    <s v="PR-0096"/>
    <d v="2026-04-09T00:00:00"/>
    <x v="5"/>
    <x v="5"/>
    <s v="Thursday"/>
    <x v="1"/>
    <x v="2"/>
    <x v="2"/>
    <s v="Dental Floss"/>
    <x v="4"/>
    <s v="Interdental Brush Pack of 10"/>
    <s v="B260409-L3B"/>
    <s v="S. Yadav"/>
    <x v="1"/>
    <x v="2"/>
    <x v="8"/>
    <n v="4770"/>
    <n v="4150"/>
    <n v="96"/>
    <n v="2.3132530120481928E-2"/>
    <n v="0.87002096436058696"/>
    <x v="3"/>
    <n v="0"/>
    <n v="0"/>
    <s v="None"/>
    <n v="29"/>
    <n v="2784"/>
    <n v="14843"/>
    <n v="4390"/>
    <n v="4390"/>
    <x v="363"/>
    <n v="7500"/>
  </r>
  <r>
    <s v="PR-1226"/>
    <d v="2026-07-21T00:00:00"/>
    <x v="2"/>
    <x v="2"/>
    <s v="Tuesday"/>
    <x v="2"/>
    <x v="2"/>
    <x v="2"/>
    <s v="Dental Floss"/>
    <x v="4"/>
    <s v="Interdental Brush Pack of 10"/>
    <s v="B260721-L3C"/>
    <s v="A. Gupta"/>
    <x v="1"/>
    <x v="2"/>
    <x v="9"/>
    <n v="4570"/>
    <n v="4040"/>
    <n v="134"/>
    <n v="3.316831683168317E-2"/>
    <n v="0.88402625820568925"/>
    <x v="2"/>
    <n v="58"/>
    <n v="0.96666666666666667"/>
    <s v="Changeover"/>
    <n v="29"/>
    <n v="3886"/>
    <n v="15111"/>
    <n v="4510"/>
    <n v="4510"/>
    <x v="363"/>
    <n v="7500"/>
  </r>
  <r>
    <s v="PR-1309"/>
    <d v="2026-07-29T00:00:00"/>
    <x v="2"/>
    <x v="2"/>
    <s v="Wednesday"/>
    <x v="1"/>
    <x v="0"/>
    <x v="0"/>
    <s v="Mouthwash"/>
    <x v="1"/>
    <s v="Alcohol-Free Mouthwash 250ml"/>
    <s v="B260729-L2B"/>
    <s v="S. Yadav"/>
    <x v="1"/>
    <x v="0"/>
    <x v="1"/>
    <n v="5660"/>
    <n v="5580"/>
    <n v="98"/>
    <n v="1.7562724014336919E-2"/>
    <n v="0.98586572438162545"/>
    <x v="4"/>
    <n v="0"/>
    <n v="0"/>
    <s v="None"/>
    <n v="58"/>
    <n v="5684"/>
    <n v="14055"/>
    <n v="5020"/>
    <n v="5020"/>
    <x v="364"/>
    <n v="9000"/>
  </r>
  <r>
    <s v="PR-0860"/>
    <d v="2026-06-18T00:00:00"/>
    <x v="3"/>
    <x v="3"/>
    <s v="Thursday"/>
    <x v="1"/>
    <x v="2"/>
    <x v="2"/>
    <s v="Dental Floss"/>
    <x v="4"/>
    <s v="Interdental Brush Pack of 10"/>
    <s v="B260618-L3B"/>
    <s v="S. Yadav"/>
    <x v="1"/>
    <x v="2"/>
    <x v="8"/>
    <n v="5360"/>
    <n v="4970"/>
    <n v="109"/>
    <n v="2.193158953722334E-2"/>
    <n v="0.92723880597014929"/>
    <x v="2"/>
    <n v="0"/>
    <n v="0"/>
    <s v="None"/>
    <n v="29"/>
    <n v="3161"/>
    <n v="14239"/>
    <n v="4570"/>
    <n v="4570"/>
    <x v="365"/>
    <n v="7500"/>
  </r>
  <r>
    <s v="PR-1341"/>
    <d v="2026-08-01T00:00:00"/>
    <x v="1"/>
    <x v="1"/>
    <s v="Saturday"/>
    <x v="0"/>
    <x v="0"/>
    <x v="0"/>
    <s v="Mouthwash"/>
    <x v="1"/>
    <s v="Alcohol-Free Mouthwash 250ml"/>
    <s v="B260801-L2A"/>
    <s v="R. Sharma"/>
    <x v="2"/>
    <x v="0"/>
    <x v="1"/>
    <n v="6420"/>
    <n v="5810"/>
    <n v="149"/>
    <n v="2.5645438898450945E-2"/>
    <n v="0.90498442367601251"/>
    <x v="2"/>
    <n v="39"/>
    <n v="0.65"/>
    <s v="Material Shortage"/>
    <n v="58"/>
    <n v="8642"/>
    <n v="14795"/>
    <n v="5910"/>
    <n v="5910"/>
    <x v="366"/>
    <n v="9000"/>
  </r>
  <r>
    <s v="PR-0280"/>
    <d v="2026-04-26T00:00:00"/>
    <x v="5"/>
    <x v="5"/>
    <s v="Sunday"/>
    <x v="1"/>
    <x v="2"/>
    <x v="2"/>
    <s v="Dental Floss"/>
    <x v="4"/>
    <s v="Interdental Brush Pack of 10"/>
    <s v="B260426-L3B"/>
    <s v="S. Yadav"/>
    <x v="1"/>
    <x v="2"/>
    <x v="10"/>
    <n v="3450"/>
    <n v="3210"/>
    <n v="71"/>
    <n v="2.2118380062305296E-2"/>
    <n v="0.93043478260869561"/>
    <x v="5"/>
    <n v="52"/>
    <n v="0.8666666666666667"/>
    <s v="Machine Breakdown"/>
    <n v="29"/>
    <n v="2059"/>
    <n v="14743"/>
    <n v="3330"/>
    <n v="3330"/>
    <x v="367"/>
    <n v="7500"/>
  </r>
  <r>
    <s v="PR-0868"/>
    <d v="2026-06-19T00:00:00"/>
    <x v="3"/>
    <x v="3"/>
    <s v="Friday"/>
    <x v="0"/>
    <x v="2"/>
    <x v="2"/>
    <s v="Dental Floss"/>
    <x v="4"/>
    <s v="Interdental Brush Pack of 10"/>
    <s v="B260619-L3A"/>
    <s v="R. Sharma"/>
    <x v="2"/>
    <x v="2"/>
    <x v="8"/>
    <n v="5380"/>
    <n v="5150"/>
    <n v="83"/>
    <n v="1.6116504854368933E-2"/>
    <n v="0.95724907063197029"/>
    <x v="3"/>
    <n v="60"/>
    <n v="1"/>
    <s v="Cleaning / Sanitation"/>
    <n v="29"/>
    <n v="2407"/>
    <n v="14530"/>
    <n v="5040"/>
    <n v="5040"/>
    <x v="368"/>
    <n v="7500"/>
  </r>
  <r>
    <s v="PR-1196"/>
    <d v="2026-07-18T00:00:00"/>
    <x v="2"/>
    <x v="2"/>
    <s v="Saturday"/>
    <x v="2"/>
    <x v="2"/>
    <x v="2"/>
    <s v="Dental Floss"/>
    <x v="4"/>
    <s v="Interdental Brush Pack of 10"/>
    <s v="B260718-L3C"/>
    <s v="A. Gupta"/>
    <x v="2"/>
    <x v="2"/>
    <x v="11"/>
    <n v="4670"/>
    <n v="3760"/>
    <n v="78"/>
    <n v="2.0744680851063829E-2"/>
    <n v="0.80513918629550318"/>
    <x v="0"/>
    <n v="0"/>
    <n v="0"/>
    <s v="None"/>
    <n v="29"/>
    <n v="2262"/>
    <n v="15267"/>
    <n v="4370"/>
    <n v="4370"/>
    <x v="369"/>
    <n v="7500"/>
  </r>
  <r>
    <s v="PR-1285"/>
    <d v="2026-07-27T00:00:00"/>
    <x v="2"/>
    <x v="2"/>
    <s v="Monday"/>
    <x v="1"/>
    <x v="0"/>
    <x v="0"/>
    <s v="Mouthwash"/>
    <x v="1"/>
    <s v="Alcohol-Free Mouthwash 250ml"/>
    <s v="B260727-L2B"/>
    <s v="S. Yadav"/>
    <x v="1"/>
    <x v="0"/>
    <x v="1"/>
    <n v="5800"/>
    <n v="5550"/>
    <n v="120"/>
    <n v="2.1621621621621623E-2"/>
    <n v="0.9568965517241379"/>
    <x v="5"/>
    <n v="0"/>
    <n v="0"/>
    <s v="None"/>
    <n v="58"/>
    <n v="6960"/>
    <n v="14452"/>
    <n v="5300"/>
    <n v="5300"/>
    <x v="370"/>
    <n v="9000"/>
  </r>
  <r>
    <s v="PR-0221"/>
    <d v="2026-04-21T00:00:00"/>
    <x v="5"/>
    <x v="5"/>
    <s v="Tuesday"/>
    <x v="0"/>
    <x v="2"/>
    <x v="2"/>
    <s v="Dental Floss"/>
    <x v="4"/>
    <s v="Interdental Brush Pack of 10"/>
    <s v="B260421-L3A"/>
    <s v="K. Verma"/>
    <x v="1"/>
    <x v="2"/>
    <x v="8"/>
    <n v="5330"/>
    <n v="4800"/>
    <n v="128"/>
    <n v="2.6666666666666668E-2"/>
    <n v="0.90056285178236395"/>
    <x v="4"/>
    <n v="0"/>
    <n v="0"/>
    <s v="None"/>
    <n v="29"/>
    <n v="3712"/>
    <n v="14727"/>
    <n v="4740"/>
    <n v="4740"/>
    <x v="371"/>
    <n v="7500"/>
  </r>
  <r>
    <s v="PR-1313"/>
    <d v="2026-07-29T00:00:00"/>
    <x v="2"/>
    <x v="2"/>
    <s v="Wednesday"/>
    <x v="2"/>
    <x v="0"/>
    <x v="0"/>
    <s v="Mouthwash"/>
    <x v="1"/>
    <s v="Alcohol-Free Mouthwash 250ml"/>
    <s v="B260729-L2C"/>
    <s v="M. Khan"/>
    <x v="0"/>
    <x v="0"/>
    <x v="2"/>
    <n v="5710"/>
    <n v="5320"/>
    <n v="494"/>
    <n v="9.285714285714286E-2"/>
    <n v="0.93169877408056045"/>
    <x v="1"/>
    <n v="58"/>
    <n v="0.96666666666666667"/>
    <s v="Material Shortage"/>
    <n v="58"/>
    <n v="28652"/>
    <n v="14517"/>
    <n v="4650"/>
    <n v="4650"/>
    <x v="372"/>
    <n v="9000"/>
  </r>
  <r>
    <s v="PR-0283"/>
    <d v="2026-04-27T00:00:00"/>
    <x v="5"/>
    <x v="5"/>
    <s v="Monday"/>
    <x v="0"/>
    <x v="2"/>
    <x v="2"/>
    <s v="Dental Floss"/>
    <x v="4"/>
    <s v="Interdental Brush Pack of 10"/>
    <s v="B260427-L3A"/>
    <s v="R. Sharma"/>
    <x v="2"/>
    <x v="2"/>
    <x v="10"/>
    <n v="5200"/>
    <n v="4860"/>
    <n v="118"/>
    <n v="2.42798353909465E-2"/>
    <n v="0.93461538461538463"/>
    <x v="5"/>
    <n v="0"/>
    <n v="0"/>
    <s v="None"/>
    <n v="29"/>
    <n v="3422"/>
    <n v="14552"/>
    <n v="4590"/>
    <n v="4590"/>
    <x v="373"/>
    <n v="7500"/>
  </r>
  <r>
    <s v="PR-1114"/>
    <d v="2026-07-11T00:00:00"/>
    <x v="2"/>
    <x v="2"/>
    <s v="Saturday"/>
    <x v="1"/>
    <x v="0"/>
    <x v="0"/>
    <s v="Mouthwash"/>
    <x v="2"/>
    <s v="Mint Mouthwash 500ml"/>
    <s v="B260711-L2B"/>
    <s v="P. Singh"/>
    <x v="2"/>
    <x v="0"/>
    <x v="0"/>
    <n v="4640"/>
    <n v="4210"/>
    <n v="117"/>
    <n v="2.7790973871733966E-2"/>
    <n v="0.90732758620689657"/>
    <x v="4"/>
    <n v="47"/>
    <n v="0.78333333333333333"/>
    <s v="Machine Breakdown"/>
    <n v="79"/>
    <n v="9243"/>
    <n v="15580"/>
    <n v="4950"/>
    <n v="4950"/>
    <x v="374"/>
    <n v="6750"/>
  </r>
  <r>
    <s v="PR-0204"/>
    <d v="2026-04-19T00:00:00"/>
    <x v="5"/>
    <x v="5"/>
    <s v="Sunday"/>
    <x v="0"/>
    <x v="2"/>
    <x v="2"/>
    <s v="Dental Floss"/>
    <x v="4"/>
    <s v="Interdental Brush Pack of 10"/>
    <s v="B260419-L3A"/>
    <s v="K. Verma"/>
    <x v="1"/>
    <x v="2"/>
    <x v="8"/>
    <n v="3420"/>
    <n v="3070"/>
    <n v="46"/>
    <n v="1.4983713355048859E-2"/>
    <n v="0.89766081871345027"/>
    <x v="4"/>
    <n v="42"/>
    <n v="0.7"/>
    <s v="Changeover"/>
    <n v="29"/>
    <n v="1334"/>
    <n v="14483"/>
    <n v="2780"/>
    <n v="2780"/>
    <x v="375"/>
    <n v="7500"/>
  </r>
  <r>
    <s v="PR-0277"/>
    <d v="2026-04-25T00:00:00"/>
    <x v="5"/>
    <x v="5"/>
    <s v="Saturday"/>
    <x v="2"/>
    <x v="2"/>
    <x v="2"/>
    <s v="Dental Floss"/>
    <x v="4"/>
    <s v="Interdental Brush Pack of 10"/>
    <s v="B260425-L3C"/>
    <s v="M. Khan"/>
    <x v="1"/>
    <x v="2"/>
    <x v="10"/>
    <n v="4670"/>
    <n v="4570"/>
    <n v="132"/>
    <n v="2.888402625820569E-2"/>
    <n v="0.97858672376873657"/>
    <x v="2"/>
    <n v="0"/>
    <n v="0"/>
    <s v="None"/>
    <n v="29"/>
    <n v="3828"/>
    <n v="14795"/>
    <n v="4490"/>
    <n v="4490"/>
    <x v="376"/>
    <n v="7500"/>
  </r>
  <r>
    <s v="PR-0621"/>
    <d v="2026-05-27T00:00:00"/>
    <x v="4"/>
    <x v="4"/>
    <s v="Wednesday"/>
    <x v="2"/>
    <x v="2"/>
    <x v="2"/>
    <s v="Dental Floss"/>
    <x v="4"/>
    <s v="Interdental Brush Pack of 10"/>
    <s v="B260527-L3C"/>
    <s v="M. Khan"/>
    <x v="2"/>
    <x v="2"/>
    <x v="9"/>
    <n v="4760"/>
    <n v="4040"/>
    <n v="110"/>
    <n v="2.7227722772277228E-2"/>
    <n v="0.84873949579831931"/>
    <x v="2"/>
    <n v="0"/>
    <n v="0"/>
    <s v="None"/>
    <n v="29"/>
    <n v="3190"/>
    <n v="15827"/>
    <n v="5000"/>
    <n v="5000"/>
    <x v="377"/>
    <n v="7500"/>
  </r>
  <r>
    <s v="PR-0229"/>
    <d v="2026-04-21T00:00:00"/>
    <x v="5"/>
    <x v="5"/>
    <s v="Tuesday"/>
    <x v="2"/>
    <x v="2"/>
    <x v="2"/>
    <s v="Dental Floss"/>
    <x v="4"/>
    <s v="Interdental Brush Pack of 10"/>
    <s v="B260421-L3C"/>
    <s v="M. Khan"/>
    <x v="1"/>
    <x v="2"/>
    <x v="8"/>
    <n v="4840"/>
    <n v="4510"/>
    <n v="124"/>
    <n v="2.7494456762749447E-2"/>
    <n v="0.93181818181818177"/>
    <x v="4"/>
    <n v="0"/>
    <n v="0"/>
    <s v="None"/>
    <n v="29"/>
    <n v="3596"/>
    <n v="14659"/>
    <n v="4250"/>
    <n v="4250"/>
    <x v="378"/>
    <n v="7500"/>
  </r>
  <r>
    <s v="PR-1333"/>
    <d v="2026-07-31T00:00:00"/>
    <x v="2"/>
    <x v="2"/>
    <s v="Friday"/>
    <x v="1"/>
    <x v="0"/>
    <x v="0"/>
    <s v="Mouthwash"/>
    <x v="1"/>
    <s v="Alcohol-Free Mouthwash 250ml"/>
    <s v="B260731-L2B"/>
    <s v="S. Yadav"/>
    <x v="1"/>
    <x v="0"/>
    <x v="0"/>
    <n v="6210"/>
    <n v="5970"/>
    <n v="98"/>
    <n v="1.6415410385259632E-2"/>
    <n v="0.96135265700483097"/>
    <x v="4"/>
    <n v="0"/>
    <n v="0"/>
    <s v="None"/>
    <n v="58"/>
    <n v="5684"/>
    <n v="14393"/>
    <n v="5470"/>
    <n v="5470"/>
    <x v="378"/>
    <n v="9000"/>
  </r>
  <r>
    <s v="PR-1959"/>
    <d v="2026-09-26T00:00:00"/>
    <x v="0"/>
    <x v="0"/>
    <s v="Saturday"/>
    <x v="2"/>
    <x v="2"/>
    <x v="2"/>
    <s v="Dental Floss"/>
    <x v="4"/>
    <s v="Interdental Brush Pack of 10"/>
    <s v="B260926-L3C"/>
    <s v="A. Gupta"/>
    <x v="2"/>
    <x v="2"/>
    <x v="8"/>
    <n v="5030"/>
    <n v="4350"/>
    <n v="138"/>
    <n v="3.1724137931034485E-2"/>
    <n v="0.86481113320079528"/>
    <x v="0"/>
    <n v="0"/>
    <n v="0"/>
    <s v="None"/>
    <n v="29"/>
    <n v="4002"/>
    <n v="15634"/>
    <n v="5040"/>
    <n v="5040"/>
    <x v="379"/>
    <n v="7500"/>
  </r>
  <r>
    <s v="PR-0592"/>
    <d v="2026-05-25T00:00:00"/>
    <x v="4"/>
    <x v="4"/>
    <s v="Monday"/>
    <x v="1"/>
    <x v="0"/>
    <x v="0"/>
    <s v="Mouthwash"/>
    <x v="2"/>
    <s v="Mint Mouthwash 500ml"/>
    <s v="B260525-L2B"/>
    <s v="P. Singh"/>
    <x v="2"/>
    <x v="0"/>
    <x v="0"/>
    <n v="4810"/>
    <n v="4450"/>
    <n v="96"/>
    <n v="2.1573033707865168E-2"/>
    <n v="0.92515592515592515"/>
    <x v="3"/>
    <n v="0"/>
    <n v="0"/>
    <s v="None"/>
    <n v="79"/>
    <n v="7584"/>
    <n v="14937"/>
    <n v="4460"/>
    <n v="4460"/>
    <x v="380"/>
    <n v="6750"/>
  </r>
  <r>
    <s v="PR-0100"/>
    <d v="2026-04-09T00:00:00"/>
    <x v="5"/>
    <x v="5"/>
    <s v="Thursday"/>
    <x v="2"/>
    <x v="2"/>
    <x v="2"/>
    <s v="Dental Floss"/>
    <x v="4"/>
    <s v="Interdental Brush Pack of 10"/>
    <s v="B260409-L3C"/>
    <s v="A. Gupta"/>
    <x v="1"/>
    <x v="2"/>
    <x v="8"/>
    <n v="4660"/>
    <n v="4170"/>
    <n v="101"/>
    <n v="2.4220623501199041E-2"/>
    <n v="0.89484978540772531"/>
    <x v="5"/>
    <n v="0"/>
    <n v="0"/>
    <s v="None"/>
    <n v="29"/>
    <n v="2929"/>
    <n v="14507"/>
    <n v="3740"/>
    <n v="3740"/>
    <x v="381"/>
    <n v="7500"/>
  </r>
  <r>
    <s v="PR-0092"/>
    <d v="2026-04-09T00:00:00"/>
    <x v="5"/>
    <x v="5"/>
    <s v="Thursday"/>
    <x v="0"/>
    <x v="2"/>
    <x v="2"/>
    <s v="Dental Floss"/>
    <x v="4"/>
    <s v="Interdental Brush Pack of 10"/>
    <s v="B260409-L3A"/>
    <s v="R. Sharma"/>
    <x v="1"/>
    <x v="2"/>
    <x v="10"/>
    <n v="5110"/>
    <n v="4660"/>
    <n v="87"/>
    <n v="1.8669527896995709E-2"/>
    <n v="0.9119373776908023"/>
    <x v="2"/>
    <n v="0"/>
    <n v="0"/>
    <s v="None"/>
    <n v="29"/>
    <n v="2523"/>
    <n v="14480"/>
    <n v="4210"/>
    <n v="4210"/>
    <x v="382"/>
    <n v="7500"/>
  </r>
  <r>
    <s v="PR-1971"/>
    <d v="2026-09-28T00:00:00"/>
    <x v="0"/>
    <x v="0"/>
    <s v="Monday"/>
    <x v="1"/>
    <x v="2"/>
    <x v="2"/>
    <s v="Dental Floss"/>
    <x v="4"/>
    <s v="Interdental Brush Pack of 10"/>
    <s v="B260928-L3B"/>
    <s v="P. Singh"/>
    <x v="2"/>
    <x v="2"/>
    <x v="10"/>
    <n v="4890"/>
    <n v="4670"/>
    <n v="113"/>
    <n v="2.4197002141327622E-2"/>
    <n v="0.95501022494887522"/>
    <x v="2"/>
    <n v="24"/>
    <n v="0.4"/>
    <s v="Power Interruption"/>
    <n v="29"/>
    <n v="3277"/>
    <n v="14806"/>
    <n v="4520"/>
    <n v="4520"/>
    <x v="382"/>
    <n v="7500"/>
  </r>
  <r>
    <s v="PR-1310"/>
    <d v="2026-07-29T00:00:00"/>
    <x v="2"/>
    <x v="2"/>
    <s v="Wednesday"/>
    <x v="1"/>
    <x v="2"/>
    <x v="2"/>
    <s v="Dental Floss"/>
    <x v="4"/>
    <s v="Interdental Brush Pack of 10"/>
    <s v="B260729-L3B"/>
    <s v="S. Yadav"/>
    <x v="2"/>
    <x v="2"/>
    <x v="8"/>
    <n v="4850"/>
    <n v="4480"/>
    <n v="109"/>
    <n v="2.4330357142857143E-2"/>
    <n v="0.92371134020618562"/>
    <x v="0"/>
    <n v="0"/>
    <n v="0"/>
    <s v="None"/>
    <n v="29"/>
    <n v="3161"/>
    <n v="14976"/>
    <n v="4500"/>
    <n v="4500"/>
    <x v="383"/>
    <n v="7500"/>
  </r>
  <r>
    <s v="PR-1357"/>
    <d v="2026-08-03T00:00:00"/>
    <x v="1"/>
    <x v="1"/>
    <s v="Monday"/>
    <x v="0"/>
    <x v="0"/>
    <x v="0"/>
    <s v="Mouthwash"/>
    <x v="1"/>
    <s v="Alcohol-Free Mouthwash 250ml"/>
    <s v="B260803-L2A"/>
    <s v="R. Sharma"/>
    <x v="1"/>
    <x v="0"/>
    <x v="0"/>
    <n v="5580"/>
    <n v="5240"/>
    <n v="129"/>
    <n v="2.4618320610687024E-2"/>
    <n v="0.93906810035842292"/>
    <x v="3"/>
    <n v="0"/>
    <n v="0"/>
    <s v="None"/>
    <n v="58"/>
    <n v="7482"/>
    <n v="14546"/>
    <n v="4810"/>
    <n v="4810"/>
    <x v="383"/>
    <n v="9000"/>
  </r>
  <r>
    <s v="PR-0342"/>
    <d v="2026-05-02T00:00:00"/>
    <x v="4"/>
    <x v="4"/>
    <s v="Saturday"/>
    <x v="0"/>
    <x v="0"/>
    <x v="0"/>
    <s v="Mouthwash"/>
    <x v="2"/>
    <s v="Mint Mouthwash 500ml"/>
    <s v="B260502-L2A"/>
    <s v="R. Sharma"/>
    <x v="2"/>
    <x v="0"/>
    <x v="1"/>
    <n v="4310"/>
    <n v="4180"/>
    <n v="131"/>
    <n v="3.1339712918660285E-2"/>
    <n v="0.96983758700696054"/>
    <x v="5"/>
    <n v="42"/>
    <n v="0.7"/>
    <s v="Changeover"/>
    <n v="79"/>
    <n v="10349"/>
    <n v="14356"/>
    <n v="3550"/>
    <n v="3550"/>
    <x v="384"/>
    <n v="6750"/>
  </r>
  <r>
    <s v="PR-1365"/>
    <d v="2026-08-03T00:00:00"/>
    <x v="1"/>
    <x v="1"/>
    <s v="Monday"/>
    <x v="2"/>
    <x v="0"/>
    <x v="0"/>
    <s v="Mouthwash"/>
    <x v="0"/>
    <s v="Mint Mouthwash 250ml"/>
    <s v="B260803-L2C"/>
    <s v="M. Khan"/>
    <x v="0"/>
    <x v="0"/>
    <x v="3"/>
    <n v="6600"/>
    <n v="5760"/>
    <n v="289"/>
    <n v="5.0173611111111113E-2"/>
    <n v="0.87272727272727268"/>
    <x v="1"/>
    <n v="0"/>
    <n v="0"/>
    <s v="None"/>
    <n v="46"/>
    <n v="13294"/>
    <n v="15977"/>
    <n v="6580"/>
    <n v="6580"/>
    <x v="385"/>
    <n v="10500"/>
  </r>
  <r>
    <s v="PR-1409"/>
    <d v="2026-08-07T00:00:00"/>
    <x v="1"/>
    <x v="1"/>
    <s v="Friday"/>
    <x v="1"/>
    <x v="0"/>
    <x v="0"/>
    <s v="Mouthwash"/>
    <x v="1"/>
    <s v="Alcohol-Free Mouthwash 250ml"/>
    <s v="B260807-L2B"/>
    <s v="S. Yadav"/>
    <x v="1"/>
    <x v="0"/>
    <x v="0"/>
    <n v="6270"/>
    <n v="5890"/>
    <n v="138"/>
    <n v="2.3429541595925297E-2"/>
    <n v="0.93939393939393945"/>
    <x v="0"/>
    <n v="0"/>
    <n v="0"/>
    <s v="None"/>
    <n v="58"/>
    <n v="8004"/>
    <n v="14449"/>
    <n v="5290"/>
    <n v="5290"/>
    <x v="386"/>
    <n v="9000"/>
  </r>
  <r>
    <s v="PR-0129"/>
    <d v="2026-04-12T00:00:00"/>
    <x v="5"/>
    <x v="5"/>
    <s v="Sunday"/>
    <x v="1"/>
    <x v="2"/>
    <x v="2"/>
    <s v="Dental Floss"/>
    <x v="4"/>
    <s v="Interdental Brush Pack of 10"/>
    <s v="B260412-L3B"/>
    <s v="P. Singh"/>
    <x v="2"/>
    <x v="2"/>
    <x v="10"/>
    <n v="3280"/>
    <n v="3100"/>
    <n v="72"/>
    <n v="2.3225806451612905E-2"/>
    <n v="0.94512195121951215"/>
    <x v="4"/>
    <n v="0"/>
    <n v="0"/>
    <s v="None"/>
    <n v="29"/>
    <n v="2088"/>
    <n v="14836"/>
    <n v="2950"/>
    <n v="2950"/>
    <x v="387"/>
    <n v="7500"/>
  </r>
  <r>
    <s v="PR-1321"/>
    <d v="2026-07-30T00:00:00"/>
    <x v="2"/>
    <x v="2"/>
    <s v="Thursday"/>
    <x v="1"/>
    <x v="0"/>
    <x v="0"/>
    <s v="Mouthwash"/>
    <x v="1"/>
    <s v="Alcohol-Free Mouthwash 250ml"/>
    <s v="B260730-L2B"/>
    <s v="P. Singh"/>
    <x v="1"/>
    <x v="0"/>
    <x v="0"/>
    <n v="6470"/>
    <n v="6010"/>
    <n v="151"/>
    <n v="2.5124792013311147E-2"/>
    <n v="0.92890262751159192"/>
    <x v="2"/>
    <n v="0"/>
    <n v="0"/>
    <s v="None"/>
    <n v="58"/>
    <n v="8758"/>
    <n v="14693"/>
    <n v="5630"/>
    <n v="5630"/>
    <x v="388"/>
    <n v="9000"/>
  </r>
  <r>
    <s v="PR-1318"/>
    <d v="2026-07-30T00:00:00"/>
    <x v="2"/>
    <x v="2"/>
    <s v="Thursday"/>
    <x v="0"/>
    <x v="2"/>
    <x v="2"/>
    <s v="Dental Floss"/>
    <x v="4"/>
    <s v="Interdental Brush Pack of 10"/>
    <s v="B260730-L3A"/>
    <s v="K. Verma"/>
    <x v="1"/>
    <x v="2"/>
    <x v="8"/>
    <n v="4940"/>
    <n v="4670"/>
    <n v="94"/>
    <n v="2.012847965738758E-2"/>
    <n v="0.94534412955465585"/>
    <x v="2"/>
    <n v="55"/>
    <n v="0.91666666666666663"/>
    <s v="Material Shortage"/>
    <n v="29"/>
    <n v="2726"/>
    <n v="14847"/>
    <n v="4500"/>
    <n v="4500"/>
    <x v="389"/>
    <n v="7500"/>
  </r>
  <r>
    <s v="PR-1200"/>
    <d v="2026-07-19T00:00:00"/>
    <x v="2"/>
    <x v="2"/>
    <s v="Sunday"/>
    <x v="0"/>
    <x v="2"/>
    <x v="2"/>
    <s v="Dental Floss"/>
    <x v="4"/>
    <s v="Interdental Brush Pack of 10"/>
    <s v="B260719-L3A"/>
    <s v="K. Verma"/>
    <x v="1"/>
    <x v="2"/>
    <x v="8"/>
    <n v="3300"/>
    <n v="3270"/>
    <n v="96"/>
    <n v="2.9357798165137616E-2"/>
    <n v="0.99090909090909096"/>
    <x v="4"/>
    <n v="21"/>
    <n v="0.35"/>
    <s v="Cleaning / Sanitation"/>
    <n v="29"/>
    <n v="2784"/>
    <n v="14579"/>
    <n v="2820"/>
    <n v="2820"/>
    <x v="390"/>
    <n v="7500"/>
  </r>
  <r>
    <s v="PR-0567"/>
    <d v="2026-05-22T00:00:00"/>
    <x v="4"/>
    <x v="4"/>
    <s v="Friday"/>
    <x v="2"/>
    <x v="0"/>
    <x v="0"/>
    <s v="Mouthwash"/>
    <x v="2"/>
    <s v="Mint Mouthwash 500ml"/>
    <s v="B260522-L2C"/>
    <s v="M. Khan"/>
    <x v="2"/>
    <x v="0"/>
    <x v="3"/>
    <n v="4430"/>
    <n v="4010"/>
    <n v="95"/>
    <n v="2.369077306733167E-2"/>
    <n v="0.90519187358916475"/>
    <x v="5"/>
    <n v="0"/>
    <n v="0"/>
    <s v="None"/>
    <n v="79"/>
    <n v="7505"/>
    <n v="15502"/>
    <n v="4480"/>
    <n v="4480"/>
    <x v="391"/>
    <n v="6750"/>
  </r>
  <r>
    <s v="PR-1406"/>
    <d v="2026-08-07T00:00:00"/>
    <x v="1"/>
    <x v="1"/>
    <s v="Friday"/>
    <x v="0"/>
    <x v="2"/>
    <x v="2"/>
    <s v="Dental Floss"/>
    <x v="4"/>
    <s v="Interdental Brush Pack of 10"/>
    <s v="B260807-L3A"/>
    <s v="K. Verma"/>
    <x v="1"/>
    <x v="2"/>
    <x v="10"/>
    <n v="4990"/>
    <n v="4680"/>
    <n v="120"/>
    <n v="2.564102564102564E-2"/>
    <n v="0.93787575150300606"/>
    <x v="5"/>
    <n v="15"/>
    <n v="0.25"/>
    <s v="Changeover"/>
    <n v="29"/>
    <n v="3480"/>
    <n v="15200"/>
    <n v="4810"/>
    <n v="4810"/>
    <x v="392"/>
    <n v="7500"/>
  </r>
  <r>
    <s v="PR-0395"/>
    <d v="2026-05-07T00:00:00"/>
    <x v="4"/>
    <x v="4"/>
    <s v="Thursday"/>
    <x v="0"/>
    <x v="0"/>
    <x v="0"/>
    <s v="Mouthwash"/>
    <x v="2"/>
    <s v="Mint Mouthwash 500ml"/>
    <s v="B260507-L2A"/>
    <s v="K. Verma"/>
    <x v="2"/>
    <x v="0"/>
    <x v="1"/>
    <n v="4470"/>
    <n v="4110"/>
    <n v="81"/>
    <n v="1.9708029197080291E-2"/>
    <n v="0.91946308724832215"/>
    <x v="2"/>
    <n v="0"/>
    <n v="0"/>
    <s v="None"/>
    <n v="79"/>
    <n v="6399"/>
    <n v="15074"/>
    <n v="4140"/>
    <n v="4140"/>
    <x v="393"/>
    <n v="6750"/>
  </r>
  <r>
    <s v="PR-1282"/>
    <d v="2026-07-27T00:00:00"/>
    <x v="2"/>
    <x v="2"/>
    <s v="Monday"/>
    <x v="0"/>
    <x v="2"/>
    <x v="2"/>
    <s v="Dental Floss"/>
    <x v="4"/>
    <s v="Interdental Brush Pack of 10"/>
    <s v="B260727-L3A"/>
    <s v="K. Verma"/>
    <x v="2"/>
    <x v="2"/>
    <x v="8"/>
    <n v="5390"/>
    <n v="5340"/>
    <n v="161"/>
    <n v="3.0149812734082397E-2"/>
    <n v="0.99072356215213353"/>
    <x v="5"/>
    <n v="0"/>
    <n v="0"/>
    <s v="None"/>
    <n v="29"/>
    <n v="4669"/>
    <n v="14432"/>
    <n v="4640"/>
    <n v="4640"/>
    <x v="394"/>
    <n v="7500"/>
  </r>
  <r>
    <s v="PR-1286"/>
    <d v="2026-07-27T00:00:00"/>
    <x v="2"/>
    <x v="2"/>
    <s v="Monday"/>
    <x v="1"/>
    <x v="2"/>
    <x v="2"/>
    <s v="Dental Floss"/>
    <x v="4"/>
    <s v="Interdental Brush Pack of 10"/>
    <s v="B260727-L3B"/>
    <s v="P. Singh"/>
    <x v="2"/>
    <x v="2"/>
    <x v="9"/>
    <n v="4630"/>
    <n v="4020"/>
    <n v="95"/>
    <n v="2.36318407960199E-2"/>
    <n v="0.86825053995680346"/>
    <x v="5"/>
    <n v="0"/>
    <n v="0"/>
    <s v="None"/>
    <n v="29"/>
    <n v="2755"/>
    <n v="14971"/>
    <n v="3920"/>
    <n v="3920"/>
    <x v="395"/>
    <n v="7500"/>
  </r>
  <r>
    <s v="PR-1923"/>
    <d v="2026-09-23T00:00:00"/>
    <x v="0"/>
    <x v="0"/>
    <s v="Wednesday"/>
    <x v="2"/>
    <x v="2"/>
    <x v="2"/>
    <s v="Dental Floss"/>
    <x v="4"/>
    <s v="Interdental Brush Pack of 10"/>
    <s v="B260923-L3C"/>
    <s v="M. Khan"/>
    <x v="1"/>
    <x v="2"/>
    <x v="8"/>
    <n v="4900"/>
    <n v="4610"/>
    <n v="111"/>
    <n v="2.4078091106290674E-2"/>
    <n v="0.9408163265306122"/>
    <x v="3"/>
    <n v="0"/>
    <n v="0"/>
    <s v="None"/>
    <n v="29"/>
    <n v="3219"/>
    <n v="15093"/>
    <n v="4610"/>
    <n v="4610"/>
    <x v="396"/>
    <n v="7500"/>
  </r>
  <r>
    <s v="PR-0367"/>
    <d v="2026-05-04T00:00:00"/>
    <x v="4"/>
    <x v="4"/>
    <s v="Monday"/>
    <x v="2"/>
    <x v="0"/>
    <x v="0"/>
    <s v="Mouthwash"/>
    <x v="2"/>
    <s v="Mint Mouthwash 500ml"/>
    <s v="B260504-L2C"/>
    <s v="M. Khan"/>
    <x v="2"/>
    <x v="0"/>
    <x v="2"/>
    <n v="4350"/>
    <n v="3970"/>
    <n v="63"/>
    <n v="1.5869017632241814E-2"/>
    <n v="0.91264367816091951"/>
    <x v="3"/>
    <n v="0"/>
    <n v="0"/>
    <s v="None"/>
    <n v="79"/>
    <n v="4977"/>
    <n v="15138"/>
    <n v="4000"/>
    <n v="4000"/>
    <x v="397"/>
    <n v="6750"/>
  </r>
  <r>
    <s v="PR-0467"/>
    <d v="2026-05-13T00:00:00"/>
    <x v="4"/>
    <x v="4"/>
    <s v="Wednesday"/>
    <x v="2"/>
    <x v="0"/>
    <x v="0"/>
    <s v="Mouthwash"/>
    <x v="2"/>
    <s v="Mint Mouthwash 500ml"/>
    <s v="B260513-L2C"/>
    <s v="A. Gupta"/>
    <x v="2"/>
    <x v="0"/>
    <x v="4"/>
    <n v="4410"/>
    <n v="3640"/>
    <n v="95"/>
    <n v="2.60989010989011E-2"/>
    <n v="0.82539682539682535"/>
    <x v="4"/>
    <n v="64"/>
    <n v="1.0666666666666667"/>
    <s v="Cleaning / Sanitation"/>
    <n v="79"/>
    <n v="7505"/>
    <n v="15572"/>
    <n v="4070"/>
    <n v="4070"/>
    <x v="398"/>
    <n v="6750"/>
  </r>
  <r>
    <s v="PR-0371"/>
    <d v="2026-05-05T00:00:00"/>
    <x v="4"/>
    <x v="4"/>
    <s v="Tuesday"/>
    <x v="0"/>
    <x v="0"/>
    <x v="0"/>
    <s v="Mouthwash"/>
    <x v="2"/>
    <s v="Mint Mouthwash 500ml"/>
    <s v="B260505-L2A"/>
    <s v="R. Sharma"/>
    <x v="2"/>
    <x v="0"/>
    <x v="0"/>
    <n v="4230"/>
    <n v="4250"/>
    <n v="121"/>
    <n v="2.8470588235294119E-2"/>
    <n v="1.0047281323877069"/>
    <x v="2"/>
    <n v="0"/>
    <n v="0"/>
    <s v="None"/>
    <n v="79"/>
    <n v="9559"/>
    <n v="15045"/>
    <n v="4100"/>
    <n v="4100"/>
    <x v="399"/>
    <n v="6750"/>
  </r>
  <r>
    <s v="PR-0064"/>
    <d v="2026-04-06T00:00:00"/>
    <x v="5"/>
    <x v="5"/>
    <s v="Monday"/>
    <x v="2"/>
    <x v="2"/>
    <x v="2"/>
    <s v="Dental Floss"/>
    <x v="4"/>
    <s v="Interdental Brush Pack of 10"/>
    <s v="B260406-L3C"/>
    <s v="A. Gupta"/>
    <x v="2"/>
    <x v="2"/>
    <x v="11"/>
    <n v="4560"/>
    <n v="3790"/>
    <n v="81"/>
    <n v="2.1372031662269128E-2"/>
    <n v="0.83114035087719296"/>
    <x v="5"/>
    <n v="0"/>
    <n v="0"/>
    <s v="None"/>
    <n v="29"/>
    <n v="2349"/>
    <n v="15542"/>
    <n v="4170"/>
    <n v="4170"/>
    <x v="400"/>
    <n v="7500"/>
  </r>
  <r>
    <s v="PR-0303"/>
    <d v="2026-04-28T00:00:00"/>
    <x v="5"/>
    <x v="5"/>
    <s v="Tuesday"/>
    <x v="2"/>
    <x v="2"/>
    <x v="2"/>
    <s v="Dental Floss"/>
    <x v="4"/>
    <s v="Interdental Brush Pack of 10"/>
    <s v="B260428-L3C"/>
    <s v="M. Khan"/>
    <x v="2"/>
    <x v="2"/>
    <x v="10"/>
    <n v="5070"/>
    <n v="5090"/>
    <n v="161"/>
    <n v="3.1630648330058936E-2"/>
    <n v="1.0039447731755424"/>
    <x v="2"/>
    <n v="74"/>
    <n v="1.2333333333333334"/>
    <s v="Machine Breakdown"/>
    <n v="29"/>
    <n v="4669"/>
    <n v="14501"/>
    <n v="4340"/>
    <n v="4340"/>
    <x v="401"/>
    <n v="7500"/>
  </r>
  <r>
    <s v="PR-1919"/>
    <d v="2026-09-23T00:00:00"/>
    <x v="0"/>
    <x v="0"/>
    <s v="Wednesday"/>
    <x v="1"/>
    <x v="2"/>
    <x v="2"/>
    <s v="Dental Floss"/>
    <x v="4"/>
    <s v="Interdental Brush Pack of 10"/>
    <s v="B260923-L3B"/>
    <s v="P. Singh"/>
    <x v="2"/>
    <x v="2"/>
    <x v="8"/>
    <n v="5250"/>
    <n v="4980"/>
    <n v="99"/>
    <n v="1.9879518072289156E-2"/>
    <n v="0.94857142857142862"/>
    <x v="3"/>
    <n v="70"/>
    <n v="1.1666666666666667"/>
    <s v="Machine Breakdown"/>
    <n v="29"/>
    <n v="2871"/>
    <n v="15392"/>
    <n v="5180"/>
    <n v="5180"/>
    <x v="402"/>
    <n v="7500"/>
  </r>
  <r>
    <s v="PR-1261"/>
    <d v="2026-07-24T00:00:00"/>
    <x v="2"/>
    <x v="2"/>
    <s v="Friday"/>
    <x v="2"/>
    <x v="0"/>
    <x v="0"/>
    <s v="Mouthwash"/>
    <x v="1"/>
    <s v="Alcohol-Free Mouthwash 250ml"/>
    <s v="B260724-L2C"/>
    <s v="M. Khan"/>
    <x v="0"/>
    <x v="0"/>
    <x v="1"/>
    <n v="5350"/>
    <n v="4810"/>
    <n v="401"/>
    <n v="8.3367983367983373E-2"/>
    <n v="0.89906542056074767"/>
    <x v="1"/>
    <n v="69"/>
    <n v="1.1499999999999999"/>
    <s v="Changeover"/>
    <n v="58"/>
    <n v="23258"/>
    <n v="15708"/>
    <n v="5020"/>
    <n v="5020"/>
    <x v="403"/>
    <n v="9000"/>
  </r>
  <r>
    <s v="PR-1203"/>
    <d v="2026-07-19T00:00:00"/>
    <x v="2"/>
    <x v="2"/>
    <s v="Sunday"/>
    <x v="1"/>
    <x v="2"/>
    <x v="2"/>
    <s v="Dental Floss"/>
    <x v="4"/>
    <s v="Interdental Brush Pack of 10"/>
    <s v="B260719-L3B"/>
    <s v="P. Singh"/>
    <x v="2"/>
    <x v="2"/>
    <x v="10"/>
    <n v="3350"/>
    <n v="3320"/>
    <n v="122"/>
    <n v="3.6746987951807232E-2"/>
    <n v="0.991044776119403"/>
    <x v="2"/>
    <n v="54"/>
    <n v="0.9"/>
    <s v="Power Interruption"/>
    <n v="29"/>
    <n v="3538"/>
    <n v="14933"/>
    <n v="3020"/>
    <n v="3020"/>
    <x v="404"/>
    <n v="7500"/>
  </r>
  <r>
    <s v="PR-1907"/>
    <d v="2026-09-22T00:00:00"/>
    <x v="0"/>
    <x v="0"/>
    <s v="Tuesday"/>
    <x v="1"/>
    <x v="2"/>
    <x v="2"/>
    <s v="Dental Floss"/>
    <x v="4"/>
    <s v="Interdental Brush Pack of 10"/>
    <s v="B260922-L3B"/>
    <s v="S. Yadav"/>
    <x v="1"/>
    <x v="2"/>
    <x v="10"/>
    <n v="5150"/>
    <n v="4840"/>
    <n v="146"/>
    <n v="3.0165289256198349E-2"/>
    <n v="0.9398058252427185"/>
    <x v="3"/>
    <n v="16"/>
    <n v="0.26666666666666666"/>
    <s v="Changeover"/>
    <n v="29"/>
    <n v="4234"/>
    <n v="15785"/>
    <n v="5360"/>
    <n v="5360"/>
    <x v="405"/>
    <n v="7500"/>
  </r>
  <r>
    <s v="PR-0350"/>
    <d v="2026-05-02T00:00:00"/>
    <x v="4"/>
    <x v="4"/>
    <s v="Saturday"/>
    <x v="2"/>
    <x v="0"/>
    <x v="0"/>
    <s v="Mouthwash"/>
    <x v="2"/>
    <s v="Mint Mouthwash 500ml"/>
    <s v="B260502-L2C"/>
    <s v="A. Gupta"/>
    <x v="2"/>
    <x v="0"/>
    <x v="0"/>
    <n v="4140"/>
    <n v="4110"/>
    <n v="47"/>
    <n v="1.1435523114355231E-2"/>
    <n v="0.99275362318840576"/>
    <x v="0"/>
    <n v="14"/>
    <n v="0.23333333333333334"/>
    <s v="Machine Breakdown"/>
    <n v="79"/>
    <n v="3713"/>
    <n v="14855"/>
    <n v="3780"/>
    <n v="3780"/>
    <x v="406"/>
    <n v="6750"/>
  </r>
  <r>
    <s v="PR-0620"/>
    <d v="2026-05-27T00:00:00"/>
    <x v="4"/>
    <x v="4"/>
    <s v="Wednesday"/>
    <x v="2"/>
    <x v="0"/>
    <x v="0"/>
    <s v="Mouthwash"/>
    <x v="2"/>
    <s v="Mint Mouthwash 500ml"/>
    <s v="B260527-L2C"/>
    <s v="M. Khan"/>
    <x v="1"/>
    <x v="0"/>
    <x v="2"/>
    <n v="4320"/>
    <n v="3900"/>
    <n v="67"/>
    <n v="1.7179487179487179E-2"/>
    <n v="0.90277777777777779"/>
    <x v="5"/>
    <n v="0"/>
    <n v="0"/>
    <s v="None"/>
    <n v="79"/>
    <n v="5293"/>
    <n v="15189"/>
    <n v="3880"/>
    <n v="3880"/>
    <x v="407"/>
    <n v="6750"/>
  </r>
  <r>
    <s v="PR-0015"/>
    <d v="2026-04-02T00:00:00"/>
    <x v="5"/>
    <x v="5"/>
    <s v="Thursday"/>
    <x v="0"/>
    <x v="2"/>
    <x v="2"/>
    <s v="Dental Floss"/>
    <x v="4"/>
    <s v="Interdental Brush Pack of 10"/>
    <s v="B260402-L3A"/>
    <s v="K. Verma"/>
    <x v="1"/>
    <x v="2"/>
    <x v="10"/>
    <n v="4990"/>
    <n v="5050"/>
    <n v="178"/>
    <n v="3.5247524752475244E-2"/>
    <n v="1.0120240480961924"/>
    <x v="5"/>
    <n v="0"/>
    <n v="0"/>
    <s v="None"/>
    <n v="29"/>
    <n v="5162"/>
    <n v="15438"/>
    <n v="5140"/>
    <n v="5140"/>
    <x v="408"/>
    <n v="7500"/>
  </r>
  <r>
    <s v="PR-0251"/>
    <d v="2026-04-23T00:00:00"/>
    <x v="5"/>
    <x v="5"/>
    <s v="Thursday"/>
    <x v="2"/>
    <x v="3"/>
    <x v="3"/>
    <s v="Toothpaste"/>
    <x v="5"/>
    <s v="Charcoal Toothpaste 150g"/>
    <s v="B260423-L1C"/>
    <s v="M. Khan"/>
    <x v="2"/>
    <x v="3"/>
    <x v="4"/>
    <n v="5810"/>
    <n v="5520"/>
    <n v="185"/>
    <n v="3.3514492753623192E-2"/>
    <n v="0.95008605851979344"/>
    <x v="0"/>
    <n v="0"/>
    <n v="0"/>
    <s v="None"/>
    <n v="51"/>
    <n v="9435"/>
    <n v="15665"/>
    <n v="5830"/>
    <n v="5830"/>
    <x v="408"/>
    <n v="9000"/>
  </r>
  <r>
    <s v="PR-0612"/>
    <d v="2026-05-27T00:00:00"/>
    <x v="4"/>
    <x v="4"/>
    <s v="Wednesday"/>
    <x v="0"/>
    <x v="0"/>
    <x v="0"/>
    <s v="Mouthwash"/>
    <x v="2"/>
    <s v="Mint Mouthwash 500ml"/>
    <s v="B260527-L2A"/>
    <s v="K. Verma"/>
    <x v="2"/>
    <x v="0"/>
    <x v="0"/>
    <n v="4670"/>
    <n v="4820"/>
    <n v="152"/>
    <n v="3.1535269709543567E-2"/>
    <n v="1.0321199143468951"/>
    <x v="2"/>
    <n v="0"/>
    <n v="0"/>
    <s v="None"/>
    <n v="79"/>
    <n v="12008"/>
    <n v="14831"/>
    <n v="4310"/>
    <n v="4310"/>
    <x v="409"/>
    <n v="6750"/>
  </r>
  <r>
    <s v="PR-0480"/>
    <d v="2026-05-14T00:00:00"/>
    <x v="4"/>
    <x v="4"/>
    <s v="Thursday"/>
    <x v="2"/>
    <x v="2"/>
    <x v="2"/>
    <s v="Dental Floss"/>
    <x v="4"/>
    <s v="Interdental Brush Pack of 10"/>
    <s v="B260514-L3C"/>
    <s v="A. Gupta"/>
    <x v="1"/>
    <x v="2"/>
    <x v="12"/>
    <n v="5000"/>
    <n v="3790"/>
    <n v="85"/>
    <n v="2.2427440633245383E-2"/>
    <n v="0.75800000000000001"/>
    <x v="2"/>
    <n v="0"/>
    <n v="0"/>
    <s v="None"/>
    <n v="29"/>
    <n v="2465"/>
    <n v="16265"/>
    <n v="4780"/>
    <n v="4780"/>
    <x v="410"/>
    <n v="7500"/>
  </r>
  <r>
    <s v="PR-1402"/>
    <d v="2026-08-06T00:00:00"/>
    <x v="1"/>
    <x v="1"/>
    <s v="Thursday"/>
    <x v="2"/>
    <x v="2"/>
    <x v="2"/>
    <s v="Dental Floss"/>
    <x v="4"/>
    <s v="Interdental Brush Pack of 10"/>
    <s v="B260806-L3C"/>
    <s v="A. Gupta"/>
    <x v="1"/>
    <x v="2"/>
    <x v="8"/>
    <n v="5040"/>
    <n v="4590"/>
    <n v="105"/>
    <n v="2.2875816993464051E-2"/>
    <n v="0.9107142857142857"/>
    <x v="0"/>
    <n v="0"/>
    <n v="0"/>
    <s v="None"/>
    <n v="29"/>
    <n v="3045"/>
    <n v="15315"/>
    <n v="4600"/>
    <n v="4600"/>
    <x v="411"/>
    <n v="7500"/>
  </r>
  <r>
    <s v="PR-0419"/>
    <d v="2026-05-09T00:00:00"/>
    <x v="4"/>
    <x v="4"/>
    <s v="Saturday"/>
    <x v="0"/>
    <x v="0"/>
    <x v="0"/>
    <s v="Mouthwash"/>
    <x v="2"/>
    <s v="Mint Mouthwash 500ml"/>
    <s v="B260509-L2A"/>
    <s v="R. Sharma"/>
    <x v="2"/>
    <x v="0"/>
    <x v="3"/>
    <n v="4540"/>
    <n v="3930"/>
    <n v="102"/>
    <n v="2.5954198473282442E-2"/>
    <n v="0.86563876651982374"/>
    <x v="4"/>
    <n v="30"/>
    <n v="0.5"/>
    <s v="Cleaning / Sanitation"/>
    <n v="79"/>
    <n v="8058"/>
    <n v="15753"/>
    <n v="4360"/>
    <n v="4360"/>
    <x v="412"/>
    <n v="6750"/>
  </r>
  <r>
    <s v="PR-1754"/>
    <d v="2026-09-08T00:00:00"/>
    <x v="0"/>
    <x v="0"/>
    <s v="Tuesday"/>
    <x v="1"/>
    <x v="2"/>
    <x v="2"/>
    <s v="Dental Floss"/>
    <x v="4"/>
    <s v="Interdental Brush Pack of 10"/>
    <s v="B260908-L3B"/>
    <s v="S. Yadav"/>
    <x v="2"/>
    <x v="2"/>
    <x v="8"/>
    <n v="5320"/>
    <n v="4730"/>
    <n v="55"/>
    <n v="1.1627906976744186E-2"/>
    <n v="0.88909774436090228"/>
    <x v="4"/>
    <n v="0"/>
    <n v="0"/>
    <s v="None"/>
    <n v="29"/>
    <n v="1595"/>
    <n v="15834"/>
    <n v="5280"/>
    <n v="5280"/>
    <x v="413"/>
    <n v="7500"/>
  </r>
  <r>
    <s v="PR-0399"/>
    <d v="2026-05-07T00:00:00"/>
    <x v="4"/>
    <x v="4"/>
    <s v="Thursday"/>
    <x v="1"/>
    <x v="0"/>
    <x v="0"/>
    <s v="Mouthwash"/>
    <x v="2"/>
    <s v="Mint Mouthwash 500ml"/>
    <s v="B260507-L2B"/>
    <s v="S. Yadav"/>
    <x v="1"/>
    <x v="0"/>
    <x v="2"/>
    <n v="4200"/>
    <n v="3880"/>
    <n v="84"/>
    <n v="2.1649484536082474E-2"/>
    <n v="0.92380952380952386"/>
    <x v="0"/>
    <n v="74"/>
    <n v="1.2333333333333334"/>
    <s v="Cleaning / Sanitation"/>
    <n v="79"/>
    <n v="6636"/>
    <n v="14963"/>
    <n v="3520"/>
    <n v="3520"/>
    <x v="414"/>
    <n v="6750"/>
  </r>
  <r>
    <s v="PR-1342"/>
    <d v="2026-08-01T00:00:00"/>
    <x v="1"/>
    <x v="1"/>
    <s v="Saturday"/>
    <x v="0"/>
    <x v="2"/>
    <x v="2"/>
    <s v="Dental Floss"/>
    <x v="4"/>
    <s v="Interdental Brush Pack of 10"/>
    <s v="B260801-L3A"/>
    <s v="R. Sharma"/>
    <x v="2"/>
    <x v="2"/>
    <x v="8"/>
    <n v="4820"/>
    <n v="4580"/>
    <n v="120"/>
    <n v="2.6200873362445413E-2"/>
    <n v="0.950207468879668"/>
    <x v="3"/>
    <n v="0"/>
    <n v="0"/>
    <s v="None"/>
    <n v="29"/>
    <n v="3480"/>
    <n v="14923"/>
    <n v="4140"/>
    <n v="4140"/>
    <x v="415"/>
    <n v="7500"/>
  </r>
  <r>
    <s v="PR-1128"/>
    <d v="2026-07-13T00:00:00"/>
    <x v="2"/>
    <x v="2"/>
    <s v="Monday"/>
    <x v="0"/>
    <x v="2"/>
    <x v="2"/>
    <s v="Dental Floss"/>
    <x v="4"/>
    <s v="Interdental Brush Pack of 10"/>
    <s v="B260713-L3A"/>
    <s v="R. Sharma"/>
    <x v="1"/>
    <x v="2"/>
    <x v="10"/>
    <n v="5070"/>
    <n v="4680"/>
    <n v="139"/>
    <n v="2.9700854700854699E-2"/>
    <n v="0.92307692307692313"/>
    <x v="0"/>
    <n v="0"/>
    <n v="0"/>
    <s v="None"/>
    <n v="29"/>
    <n v="4031"/>
    <n v="15610"/>
    <n v="4900"/>
    <n v="4900"/>
    <x v="416"/>
    <n v="7500"/>
  </r>
  <r>
    <s v="PR-0532"/>
    <d v="2026-05-19T00:00:00"/>
    <x v="4"/>
    <x v="4"/>
    <s v="Tuesday"/>
    <x v="2"/>
    <x v="2"/>
    <x v="2"/>
    <s v="Dental Floss"/>
    <x v="4"/>
    <s v="Interdental Brush Pack of 10"/>
    <s v="B260519-L3C"/>
    <s v="A. Gupta"/>
    <x v="1"/>
    <x v="2"/>
    <x v="9"/>
    <n v="4740"/>
    <n v="4230"/>
    <n v="98"/>
    <n v="2.3167848699763592E-2"/>
    <n v="0.89240506329113922"/>
    <x v="3"/>
    <n v="0"/>
    <n v="0"/>
    <s v="None"/>
    <n v="29"/>
    <n v="2842"/>
    <n v="15612"/>
    <n v="4480"/>
    <n v="4480"/>
    <x v="417"/>
    <n v="7500"/>
  </r>
  <r>
    <s v="PR-1188"/>
    <d v="2026-07-18T00:00:00"/>
    <x v="2"/>
    <x v="2"/>
    <s v="Saturday"/>
    <x v="0"/>
    <x v="2"/>
    <x v="2"/>
    <s v="Dental Floss"/>
    <x v="4"/>
    <s v="Interdental Brush Pack of 10"/>
    <s v="B260718-L3A"/>
    <s v="R. Sharma"/>
    <x v="1"/>
    <x v="2"/>
    <x v="10"/>
    <n v="5080"/>
    <n v="4830"/>
    <n v="139"/>
    <n v="2.8778467908902691E-2"/>
    <n v="0.95078740157480313"/>
    <x v="5"/>
    <n v="0"/>
    <n v="0"/>
    <s v="None"/>
    <n v="29"/>
    <n v="4031"/>
    <n v="15596"/>
    <n v="5020"/>
    <n v="5020"/>
    <x v="418"/>
    <n v="7500"/>
  </r>
  <r>
    <s v="PR-1369"/>
    <d v="2026-08-04T00:00:00"/>
    <x v="1"/>
    <x v="1"/>
    <s v="Tuesday"/>
    <x v="0"/>
    <x v="0"/>
    <x v="0"/>
    <s v="Mouthwash"/>
    <x v="1"/>
    <s v="Alcohol-Free Mouthwash 250ml"/>
    <s v="B260804-L2A"/>
    <s v="R. Sharma"/>
    <x v="2"/>
    <x v="0"/>
    <x v="0"/>
    <n v="6200"/>
    <n v="6130"/>
    <n v="171"/>
    <n v="2.7895595432300163E-2"/>
    <n v="0.98870967741935489"/>
    <x v="4"/>
    <n v="0"/>
    <n v="0"/>
    <s v="None"/>
    <n v="58"/>
    <n v="9918"/>
    <n v="14847"/>
    <n v="5530"/>
    <n v="5530"/>
    <x v="419"/>
    <n v="9000"/>
  </r>
  <r>
    <s v="PR-1172"/>
    <d v="2026-07-16T00:00:00"/>
    <x v="2"/>
    <x v="2"/>
    <s v="Thursday"/>
    <x v="2"/>
    <x v="2"/>
    <x v="2"/>
    <s v="Dental Floss"/>
    <x v="4"/>
    <s v="Interdental Brush Pack of 10"/>
    <s v="B260716-L3C"/>
    <s v="A. Gupta"/>
    <x v="1"/>
    <x v="2"/>
    <x v="10"/>
    <n v="4690"/>
    <n v="4520"/>
    <n v="155"/>
    <n v="3.4292035398230086E-2"/>
    <n v="0.96375266524520253"/>
    <x v="5"/>
    <n v="0"/>
    <n v="0"/>
    <s v="None"/>
    <n v="29"/>
    <n v="4495"/>
    <n v="15251"/>
    <n v="4330"/>
    <n v="4330"/>
    <x v="420"/>
    <n v="7500"/>
  </r>
  <r>
    <s v="PR-1927"/>
    <d v="2026-09-24T00:00:00"/>
    <x v="0"/>
    <x v="0"/>
    <s v="Thursday"/>
    <x v="0"/>
    <x v="2"/>
    <x v="2"/>
    <s v="Dental Floss"/>
    <x v="4"/>
    <s v="Interdental Brush Pack of 10"/>
    <s v="B260924-L3A"/>
    <s v="R. Sharma"/>
    <x v="2"/>
    <x v="2"/>
    <x v="10"/>
    <n v="4730"/>
    <n v="4840"/>
    <n v="84"/>
    <n v="1.7355371900826446E-2"/>
    <n v="1.0232558139534884"/>
    <x v="4"/>
    <n v="13"/>
    <n v="0.21666666666666667"/>
    <s v="Changeover"/>
    <n v="29"/>
    <n v="2436"/>
    <n v="14982"/>
    <n v="4430"/>
    <n v="4430"/>
    <x v="421"/>
    <n v="7500"/>
  </r>
  <r>
    <s v="PR-0484"/>
    <d v="2026-05-15T00:00:00"/>
    <x v="4"/>
    <x v="4"/>
    <s v="Friday"/>
    <x v="0"/>
    <x v="2"/>
    <x v="2"/>
    <s v="Dental Floss"/>
    <x v="4"/>
    <s v="Interdental Brush Pack of 10"/>
    <s v="B260515-L3A"/>
    <s v="K. Verma"/>
    <x v="1"/>
    <x v="2"/>
    <x v="8"/>
    <n v="5360"/>
    <n v="4920"/>
    <n v="117"/>
    <n v="2.3780487804878049E-2"/>
    <n v="0.91791044776119401"/>
    <x v="0"/>
    <n v="0"/>
    <n v="0"/>
    <s v="None"/>
    <n v="29"/>
    <n v="3393"/>
    <n v="15190"/>
    <n v="4680"/>
    <n v="4680"/>
    <x v="422"/>
    <n v="7500"/>
  </r>
  <r>
    <s v="PR-1394"/>
    <d v="2026-08-06T00:00:00"/>
    <x v="1"/>
    <x v="1"/>
    <s v="Thursday"/>
    <x v="0"/>
    <x v="2"/>
    <x v="2"/>
    <s v="Dental Floss"/>
    <x v="4"/>
    <s v="Interdental Brush Pack of 10"/>
    <s v="B260806-L3A"/>
    <s v="R. Sharma"/>
    <x v="1"/>
    <x v="2"/>
    <x v="11"/>
    <n v="5230"/>
    <n v="4370"/>
    <n v="139"/>
    <n v="3.180778032036613E-2"/>
    <n v="0.83556405353728491"/>
    <x v="4"/>
    <n v="0"/>
    <n v="0"/>
    <s v="None"/>
    <n v="29"/>
    <n v="4031"/>
    <n v="15504"/>
    <n v="4420"/>
    <n v="4420"/>
    <x v="423"/>
    <n v="7500"/>
  </r>
  <r>
    <s v="PR-0880"/>
    <d v="2026-06-20T00:00:00"/>
    <x v="3"/>
    <x v="3"/>
    <s v="Saturday"/>
    <x v="0"/>
    <x v="2"/>
    <x v="2"/>
    <s v="Dental Floss"/>
    <x v="4"/>
    <s v="Interdental Brush Pack of 10"/>
    <s v="B260620-L3A"/>
    <s v="K. Verma"/>
    <x v="2"/>
    <x v="2"/>
    <x v="10"/>
    <n v="5290"/>
    <n v="5460"/>
    <n v="137"/>
    <n v="2.5091575091575093E-2"/>
    <n v="1.0321361058601135"/>
    <x v="2"/>
    <n v="31"/>
    <n v="0.51666666666666672"/>
    <s v="Machine Breakdown"/>
    <n v="29"/>
    <n v="3973"/>
    <n v="14557"/>
    <n v="4560"/>
    <n v="4560"/>
    <x v="424"/>
    <n v="7500"/>
  </r>
  <r>
    <s v="PR-1911"/>
    <d v="2026-09-22T00:00:00"/>
    <x v="0"/>
    <x v="0"/>
    <s v="Tuesday"/>
    <x v="2"/>
    <x v="2"/>
    <x v="2"/>
    <s v="Dental Floss"/>
    <x v="4"/>
    <s v="Interdental Brush Pack of 10"/>
    <s v="B260922-L3C"/>
    <s v="A. Gupta"/>
    <x v="2"/>
    <x v="2"/>
    <x v="9"/>
    <n v="4840"/>
    <n v="4370"/>
    <n v="147"/>
    <n v="3.3638443935926771E-2"/>
    <n v="0.90289256198347112"/>
    <x v="4"/>
    <n v="20"/>
    <n v="0.33333333333333331"/>
    <s v="Changeover"/>
    <n v="29"/>
    <n v="4263"/>
    <n v="15119"/>
    <n v="3950"/>
    <n v="3950"/>
    <x v="425"/>
    <n v="7500"/>
  </r>
  <r>
    <s v="PR-0003"/>
    <d v="2026-04-01T00:00:00"/>
    <x v="5"/>
    <x v="5"/>
    <s v="Wednesday"/>
    <x v="0"/>
    <x v="2"/>
    <x v="2"/>
    <s v="Dental Floss"/>
    <x v="4"/>
    <s v="Interdental Brush Pack of 10"/>
    <s v="B260401-L3A"/>
    <s v="K. Verma"/>
    <x v="2"/>
    <x v="2"/>
    <x v="10"/>
    <n v="5200"/>
    <n v="4850"/>
    <n v="52"/>
    <n v="1.0721649484536083E-2"/>
    <n v="0.93269230769230771"/>
    <x v="2"/>
    <n v="0"/>
    <n v="0"/>
    <s v="None"/>
    <n v="29"/>
    <n v="1508"/>
    <n v="15000"/>
    <n v="4360"/>
    <n v="4360"/>
    <x v="426"/>
    <n v="7500"/>
  </r>
  <r>
    <s v="PR-1043"/>
    <d v="2026-07-04T00:00:00"/>
    <x v="2"/>
    <x v="2"/>
    <s v="Saturday"/>
    <x v="2"/>
    <x v="2"/>
    <x v="2"/>
    <s v="Dental Floss"/>
    <x v="4"/>
    <s v="Interdental Brush Pack of 10"/>
    <s v="B260704-L3C"/>
    <s v="A. Gupta"/>
    <x v="1"/>
    <x v="2"/>
    <x v="8"/>
    <n v="4900"/>
    <n v="4380"/>
    <n v="91"/>
    <n v="2.0776255707762557E-2"/>
    <n v="0.89387755102040811"/>
    <x v="4"/>
    <n v="57"/>
    <n v="0.95"/>
    <s v="Power Interruption"/>
    <n v="29"/>
    <n v="2639"/>
    <n v="15688"/>
    <n v="4490"/>
    <n v="4490"/>
    <x v="427"/>
    <n v="7500"/>
  </r>
  <r>
    <s v="PR-0483"/>
    <d v="2026-05-15T00:00:00"/>
    <x v="4"/>
    <x v="4"/>
    <s v="Friday"/>
    <x v="0"/>
    <x v="0"/>
    <x v="0"/>
    <s v="Mouthwash"/>
    <x v="2"/>
    <s v="Mint Mouthwash 500ml"/>
    <s v="B260515-L2A"/>
    <s v="R. Sharma"/>
    <x v="2"/>
    <x v="0"/>
    <x v="0"/>
    <n v="4820"/>
    <n v="4890"/>
    <n v="184"/>
    <n v="3.7627811860940698E-2"/>
    <n v="1.0145228215767634"/>
    <x v="2"/>
    <n v="16"/>
    <n v="0.26666666666666666"/>
    <s v="Changeover"/>
    <n v="79"/>
    <n v="14536"/>
    <n v="15047"/>
    <n v="4260"/>
    <n v="4260"/>
    <x v="428"/>
    <n v="6750"/>
  </r>
  <r>
    <s v="PR-0511"/>
    <d v="2026-05-18T00:00:00"/>
    <x v="4"/>
    <x v="4"/>
    <s v="Monday"/>
    <x v="0"/>
    <x v="0"/>
    <x v="0"/>
    <s v="Mouthwash"/>
    <x v="2"/>
    <s v="Mint Mouthwash 500ml"/>
    <s v="B260518-L2A"/>
    <s v="K. Verma"/>
    <x v="2"/>
    <x v="0"/>
    <x v="0"/>
    <n v="4540"/>
    <n v="4460"/>
    <n v="111"/>
    <n v="2.4887892376681615E-2"/>
    <n v="0.98237885462555063"/>
    <x v="4"/>
    <n v="31"/>
    <n v="0.51666666666666672"/>
    <s v="Machine Breakdown"/>
    <n v="79"/>
    <n v="8769"/>
    <n v="15493"/>
    <n v="4340"/>
    <n v="4340"/>
    <x v="429"/>
    <n v="6750"/>
  </r>
  <r>
    <s v="PR-1378"/>
    <d v="2026-08-04T00:00:00"/>
    <x v="1"/>
    <x v="1"/>
    <s v="Tuesday"/>
    <x v="2"/>
    <x v="2"/>
    <x v="2"/>
    <s v="Dental Floss"/>
    <x v="4"/>
    <s v="Interdental Brush Pack of 10"/>
    <s v="B260804-L3C"/>
    <s v="M. Khan"/>
    <x v="2"/>
    <x v="2"/>
    <x v="8"/>
    <n v="4680"/>
    <n v="4340"/>
    <n v="89"/>
    <n v="2.0506912442396313E-2"/>
    <n v="0.92735042735042739"/>
    <x v="4"/>
    <n v="0"/>
    <n v="0"/>
    <s v="None"/>
    <n v="29"/>
    <n v="2581"/>
    <n v="15243"/>
    <n v="3990"/>
    <n v="3990"/>
    <x v="430"/>
    <n v="7500"/>
  </r>
  <r>
    <s v="PR-1939"/>
    <d v="2026-09-25T00:00:00"/>
    <x v="0"/>
    <x v="0"/>
    <s v="Friday"/>
    <x v="0"/>
    <x v="2"/>
    <x v="2"/>
    <s v="Dental Floss"/>
    <x v="4"/>
    <s v="Interdental Brush Pack of 10"/>
    <s v="B260925-L3A"/>
    <s v="R. Sharma"/>
    <x v="2"/>
    <x v="2"/>
    <x v="8"/>
    <n v="4760"/>
    <n v="4370"/>
    <n v="150"/>
    <n v="3.4324942791762014E-2"/>
    <n v="0.91806722689075626"/>
    <x v="3"/>
    <n v="0"/>
    <n v="0"/>
    <s v="None"/>
    <n v="29"/>
    <n v="4350"/>
    <n v="15831"/>
    <n v="4540"/>
    <n v="4540"/>
    <x v="431"/>
    <n v="7500"/>
  </r>
  <r>
    <s v="PR-1079"/>
    <d v="2026-07-08T00:00:00"/>
    <x v="2"/>
    <x v="2"/>
    <s v="Wednesday"/>
    <x v="1"/>
    <x v="2"/>
    <x v="2"/>
    <s v="Dental Floss"/>
    <x v="4"/>
    <s v="Interdental Brush Pack of 10"/>
    <s v="B260708-L3B"/>
    <s v="P. Singh"/>
    <x v="1"/>
    <x v="2"/>
    <x v="10"/>
    <n v="4710"/>
    <n v="4320"/>
    <n v="110"/>
    <n v="2.5462962962962962E-2"/>
    <n v="0.91719745222929938"/>
    <x v="3"/>
    <n v="0"/>
    <n v="0"/>
    <s v="None"/>
    <n v="29"/>
    <n v="3190"/>
    <n v="16258"/>
    <n v="4940"/>
    <n v="4940"/>
    <x v="432"/>
    <n v="7500"/>
  </r>
  <r>
    <s v="PR-1059"/>
    <d v="2026-07-06T00:00:00"/>
    <x v="2"/>
    <x v="2"/>
    <s v="Monday"/>
    <x v="2"/>
    <x v="2"/>
    <x v="2"/>
    <s v="Dental Floss"/>
    <x v="4"/>
    <s v="Interdental Brush Pack of 10"/>
    <s v="B260706-L3C"/>
    <s v="M. Khan"/>
    <x v="1"/>
    <x v="2"/>
    <x v="8"/>
    <n v="5070"/>
    <n v="4870"/>
    <n v="83"/>
    <n v="1.7043121149897332E-2"/>
    <n v="0.96055226824457596"/>
    <x v="2"/>
    <n v="74"/>
    <n v="1.2333333333333334"/>
    <s v="Changeover"/>
    <n v="29"/>
    <n v="2407"/>
    <n v="15487"/>
    <n v="4740"/>
    <n v="4740"/>
    <x v="433"/>
    <n v="7500"/>
  </r>
  <r>
    <s v="PR-0047"/>
    <d v="2026-04-04T00:00:00"/>
    <x v="5"/>
    <x v="5"/>
    <s v="Saturday"/>
    <x v="2"/>
    <x v="2"/>
    <x v="2"/>
    <s v="Dental Floss"/>
    <x v="4"/>
    <s v="Interdental Brush Pack of 10"/>
    <s v="B260404-L3C"/>
    <s v="A. Gupta"/>
    <x v="2"/>
    <x v="2"/>
    <x v="8"/>
    <n v="4750"/>
    <n v="4480"/>
    <n v="78"/>
    <n v="1.7410714285714286E-2"/>
    <n v="0.94315789473684208"/>
    <x v="5"/>
    <n v="48"/>
    <n v="0.8"/>
    <s v="Power Interruption"/>
    <n v="29"/>
    <n v="2262"/>
    <n v="15170"/>
    <n v="4030"/>
    <n v="4030"/>
    <x v="434"/>
    <n v="7500"/>
  </r>
  <r>
    <s v="PR-1734"/>
    <d v="2026-09-06T00:00:00"/>
    <x v="0"/>
    <x v="0"/>
    <s v="Sunday"/>
    <x v="0"/>
    <x v="2"/>
    <x v="2"/>
    <s v="Dental Floss"/>
    <x v="4"/>
    <s v="Interdental Brush Pack of 10"/>
    <s v="B260906-L3A"/>
    <s v="K. Verma"/>
    <x v="2"/>
    <x v="2"/>
    <x v="9"/>
    <n v="3650"/>
    <n v="3200"/>
    <n v="85"/>
    <n v="2.6562499999999999E-2"/>
    <n v="0.87671232876712324"/>
    <x v="0"/>
    <n v="55"/>
    <n v="0.91666666666666663"/>
    <s v="Cleaning / Sanitation"/>
    <n v="29"/>
    <n v="2465"/>
    <n v="15792"/>
    <n v="3360"/>
    <n v="3360"/>
    <x v="435"/>
    <n v="7500"/>
  </r>
  <r>
    <s v="PR-0439"/>
    <d v="2026-05-11T00:00:00"/>
    <x v="4"/>
    <x v="4"/>
    <s v="Monday"/>
    <x v="1"/>
    <x v="0"/>
    <x v="0"/>
    <s v="Mouthwash"/>
    <x v="2"/>
    <s v="Mint Mouthwash 500ml"/>
    <s v="B260511-L2B"/>
    <s v="P. Singh"/>
    <x v="1"/>
    <x v="0"/>
    <x v="0"/>
    <n v="4790"/>
    <n v="4520"/>
    <n v="85"/>
    <n v="1.8805309734513276E-2"/>
    <n v="0.94363256784968685"/>
    <x v="4"/>
    <n v="0"/>
    <n v="0"/>
    <s v="None"/>
    <n v="79"/>
    <n v="6715"/>
    <n v="15837"/>
    <n v="4700"/>
    <n v="4700"/>
    <x v="436"/>
    <n v="6750"/>
  </r>
  <r>
    <s v="PR-1102"/>
    <d v="2026-07-10T00:00:00"/>
    <x v="2"/>
    <x v="2"/>
    <s v="Friday"/>
    <x v="1"/>
    <x v="0"/>
    <x v="0"/>
    <s v="Mouthwash"/>
    <x v="2"/>
    <s v="Mint Mouthwash 500ml"/>
    <s v="B260710-L2B"/>
    <s v="S. Yadav"/>
    <x v="1"/>
    <x v="0"/>
    <x v="0"/>
    <n v="4270"/>
    <n v="3960"/>
    <n v="136"/>
    <n v="3.4343434343434343E-2"/>
    <n v="0.92740046838407497"/>
    <x v="5"/>
    <n v="0"/>
    <n v="0"/>
    <s v="None"/>
    <n v="79"/>
    <n v="10744"/>
    <n v="15916"/>
    <n v="4160"/>
    <n v="4160"/>
    <x v="437"/>
    <n v="6750"/>
  </r>
  <r>
    <s v="PR-0632"/>
    <d v="2026-05-28T00:00:00"/>
    <x v="4"/>
    <x v="4"/>
    <s v="Thursday"/>
    <x v="2"/>
    <x v="0"/>
    <x v="0"/>
    <s v="Mouthwash"/>
    <x v="2"/>
    <s v="Mint Mouthwash 500ml"/>
    <s v="B260528-L2C"/>
    <s v="M. Khan"/>
    <x v="2"/>
    <x v="0"/>
    <x v="0"/>
    <n v="4100"/>
    <n v="4010"/>
    <n v="74"/>
    <n v="1.8453865336658354E-2"/>
    <n v="0.97804878048780486"/>
    <x v="3"/>
    <n v="27"/>
    <n v="0.45"/>
    <s v="Cleaning / Sanitation"/>
    <n v="79"/>
    <n v="5846"/>
    <n v="15142"/>
    <n v="3490"/>
    <n v="3490"/>
    <x v="438"/>
    <n v="6750"/>
  </r>
  <r>
    <s v="PR-1180"/>
    <d v="2026-07-17T00:00:00"/>
    <x v="2"/>
    <x v="2"/>
    <s v="Friday"/>
    <x v="1"/>
    <x v="2"/>
    <x v="2"/>
    <s v="Dental Floss"/>
    <x v="4"/>
    <s v="Interdental Brush Pack of 10"/>
    <s v="B260717-L3B"/>
    <s v="P. Singh"/>
    <x v="2"/>
    <x v="2"/>
    <x v="10"/>
    <n v="5110"/>
    <n v="4910"/>
    <n v="140"/>
    <n v="2.8513238289205704E-2"/>
    <n v="0.96086105675146771"/>
    <x v="3"/>
    <n v="39"/>
    <n v="0.65"/>
    <s v="Changeover"/>
    <n v="29"/>
    <n v="4060"/>
    <n v="15286"/>
    <n v="4460"/>
    <n v="4460"/>
    <x v="439"/>
    <n v="7500"/>
  </r>
  <r>
    <s v="PR-0672"/>
    <d v="2026-06-01T00:00:00"/>
    <x v="3"/>
    <x v="3"/>
    <s v="Monday"/>
    <x v="2"/>
    <x v="0"/>
    <x v="0"/>
    <s v="Mouthwash"/>
    <x v="2"/>
    <s v="Mint Mouthwash 500ml"/>
    <s v="B260601-L2C"/>
    <s v="A. Gupta"/>
    <x v="2"/>
    <x v="0"/>
    <x v="5"/>
    <n v="4230"/>
    <n v="3470"/>
    <n v="67"/>
    <n v="1.9308357348703169E-2"/>
    <n v="0.82033096926713944"/>
    <x v="5"/>
    <n v="0"/>
    <n v="0"/>
    <s v="None"/>
    <n v="79"/>
    <n v="5293"/>
    <n v="15690"/>
    <n v="3490"/>
    <n v="3490"/>
    <x v="440"/>
    <n v="6750"/>
  </r>
  <r>
    <s v="PR-0235"/>
    <d v="2026-04-22T00:00:00"/>
    <x v="5"/>
    <x v="5"/>
    <s v="Wednesday"/>
    <x v="1"/>
    <x v="3"/>
    <x v="3"/>
    <s v="Toothpaste"/>
    <x v="5"/>
    <s v="Charcoal Toothpaste 150g"/>
    <s v="B260422-L1B"/>
    <s v="S. Yadav"/>
    <x v="1"/>
    <x v="3"/>
    <x v="2"/>
    <n v="5600"/>
    <n v="5550"/>
    <n v="133"/>
    <n v="2.3963963963963966E-2"/>
    <n v="0.9910714285714286"/>
    <x v="3"/>
    <n v="0"/>
    <n v="0"/>
    <s v="None"/>
    <n v="51"/>
    <n v="6783"/>
    <n v="16008"/>
    <n v="5820"/>
    <n v="5820"/>
    <x v="441"/>
    <n v="9000"/>
  </r>
  <r>
    <s v="PR-1121"/>
    <d v="2026-07-12T00:00:00"/>
    <x v="2"/>
    <x v="2"/>
    <s v="Sunday"/>
    <x v="0"/>
    <x v="2"/>
    <x v="2"/>
    <s v="Dental Floss"/>
    <x v="4"/>
    <s v="Interdental Brush Pack of 10"/>
    <s v="B260712-L3A"/>
    <s v="R. Sharma"/>
    <x v="2"/>
    <x v="2"/>
    <x v="9"/>
    <n v="3650"/>
    <n v="3010"/>
    <n v="40"/>
    <n v="1.3289036544850499E-2"/>
    <n v="0.8246575342465754"/>
    <x v="4"/>
    <n v="71"/>
    <n v="1.1833333333333333"/>
    <s v="Cleaning / Sanitation"/>
    <n v="29"/>
    <n v="1160"/>
    <n v="15940"/>
    <n v="3300"/>
    <n v="3300"/>
    <x v="442"/>
    <n v="7500"/>
  </r>
  <r>
    <s v="PR-0524"/>
    <d v="2026-05-19T00:00:00"/>
    <x v="4"/>
    <x v="4"/>
    <s v="Tuesday"/>
    <x v="0"/>
    <x v="2"/>
    <x v="2"/>
    <s v="Dental Floss"/>
    <x v="4"/>
    <s v="Interdental Brush Pack of 10"/>
    <s v="B260519-L3A"/>
    <s v="K. Verma"/>
    <x v="1"/>
    <x v="2"/>
    <x v="8"/>
    <n v="5070"/>
    <n v="4850"/>
    <n v="127"/>
    <n v="2.6185567010309278E-2"/>
    <n v="0.95660749506903353"/>
    <x v="5"/>
    <n v="48"/>
    <n v="0.8"/>
    <s v="Machine Breakdown"/>
    <n v="29"/>
    <n v="3683"/>
    <n v="15619"/>
    <n v="4730"/>
    <n v="4730"/>
    <x v="443"/>
    <n v="7500"/>
  </r>
  <r>
    <s v="PR-0512"/>
    <d v="2026-05-18T00:00:00"/>
    <x v="4"/>
    <x v="4"/>
    <s v="Monday"/>
    <x v="0"/>
    <x v="2"/>
    <x v="2"/>
    <s v="Dental Floss"/>
    <x v="4"/>
    <s v="Interdental Brush Pack of 10"/>
    <s v="B260518-L3A"/>
    <s v="R. Sharma"/>
    <x v="1"/>
    <x v="2"/>
    <x v="10"/>
    <n v="4860"/>
    <n v="4780"/>
    <n v="95"/>
    <n v="1.9874476987447699E-2"/>
    <n v="0.98353909465020573"/>
    <x v="3"/>
    <n v="50"/>
    <n v="0.83333333333333337"/>
    <s v="Changeover"/>
    <n v="29"/>
    <n v="2755"/>
    <n v="15894"/>
    <n v="4960"/>
    <n v="4960"/>
    <x v="444"/>
    <n v="7500"/>
  </r>
  <r>
    <s v="PR-1381"/>
    <d v="2026-08-05T00:00:00"/>
    <x v="1"/>
    <x v="1"/>
    <s v="Wednesday"/>
    <x v="0"/>
    <x v="0"/>
    <x v="0"/>
    <s v="Mouthwash"/>
    <x v="1"/>
    <s v="Alcohol-Free Mouthwash 250ml"/>
    <s v="B260805-L2A"/>
    <s v="R. Sharma"/>
    <x v="2"/>
    <x v="0"/>
    <x v="1"/>
    <n v="5580"/>
    <n v="5530"/>
    <n v="157"/>
    <n v="2.8390596745027124E-2"/>
    <n v="0.99103942652329746"/>
    <x v="2"/>
    <n v="49"/>
    <n v="0.81666666666666665"/>
    <s v="Machine Breakdown"/>
    <n v="58"/>
    <n v="9106"/>
    <n v="15276"/>
    <n v="5030"/>
    <n v="5030"/>
    <x v="444"/>
    <n v="9000"/>
  </r>
  <r>
    <s v="PR-0343"/>
    <d v="2026-05-02T00:00:00"/>
    <x v="4"/>
    <x v="4"/>
    <s v="Saturday"/>
    <x v="0"/>
    <x v="2"/>
    <x v="2"/>
    <s v="Dental Floss"/>
    <x v="4"/>
    <s v="Interdental Brush Pack of 10"/>
    <s v="B260502-L3A"/>
    <s v="R. Sharma"/>
    <x v="2"/>
    <x v="2"/>
    <x v="9"/>
    <n v="4600"/>
    <n v="3860"/>
    <n v="95"/>
    <n v="2.4611398963730571E-2"/>
    <n v="0.83913043478260874"/>
    <x v="5"/>
    <n v="0"/>
    <n v="0"/>
    <s v="None"/>
    <n v="29"/>
    <n v="2755"/>
    <n v="15685"/>
    <n v="3830"/>
    <n v="3830"/>
    <x v="445"/>
    <n v="7500"/>
  </r>
  <r>
    <s v="PR-0894"/>
    <d v="2026-06-21T00:00:00"/>
    <x v="3"/>
    <x v="3"/>
    <s v="Sunday"/>
    <x v="1"/>
    <x v="2"/>
    <x v="2"/>
    <s v="Dental Floss"/>
    <x v="4"/>
    <s v="Interdental Brush Pack of 10"/>
    <s v="B260621-L3B"/>
    <s v="S. Yadav"/>
    <x v="1"/>
    <x v="2"/>
    <x v="8"/>
    <n v="3320"/>
    <n v="3140"/>
    <n v="45"/>
    <n v="1.4331210191082803E-2"/>
    <n v="0.94578313253012047"/>
    <x v="3"/>
    <n v="0"/>
    <n v="0"/>
    <s v="None"/>
    <n v="29"/>
    <n v="1305"/>
    <n v="15320"/>
    <n v="2790"/>
    <n v="2790"/>
    <x v="446"/>
    <n v="7500"/>
  </r>
  <r>
    <s v="PR-0958"/>
    <d v="2026-06-27T00:00:00"/>
    <x v="3"/>
    <x v="3"/>
    <s v="Saturday"/>
    <x v="0"/>
    <x v="2"/>
    <x v="2"/>
    <s v="Dental Floss"/>
    <x v="4"/>
    <s v="Interdental Brush Pack of 10"/>
    <s v="B260627-L3A"/>
    <s v="K. Verma"/>
    <x v="2"/>
    <x v="2"/>
    <x v="10"/>
    <n v="4790"/>
    <n v="4430"/>
    <n v="135"/>
    <n v="3.0474040632054177E-2"/>
    <n v="0.92484342379958251"/>
    <x v="0"/>
    <n v="0"/>
    <n v="0"/>
    <s v="None"/>
    <n v="29"/>
    <n v="3915"/>
    <n v="16035"/>
    <n v="4700"/>
    <n v="4700"/>
    <x v="447"/>
    <n v="7500"/>
  </r>
  <r>
    <s v="PR-1947"/>
    <d v="2026-09-25T00:00:00"/>
    <x v="0"/>
    <x v="0"/>
    <s v="Friday"/>
    <x v="2"/>
    <x v="2"/>
    <x v="2"/>
    <s v="Dental Floss"/>
    <x v="4"/>
    <s v="Interdental Brush Pack of 10"/>
    <s v="B260925-L3C"/>
    <s v="A. Gupta"/>
    <x v="2"/>
    <x v="2"/>
    <x v="9"/>
    <n v="4540"/>
    <n v="3940"/>
    <n v="112"/>
    <n v="2.8426395939086295E-2"/>
    <n v="0.86784140969162993"/>
    <x v="0"/>
    <n v="0"/>
    <n v="0"/>
    <s v="None"/>
    <n v="29"/>
    <n v="3248"/>
    <n v="15856"/>
    <n v="4050"/>
    <n v="4050"/>
    <x v="448"/>
    <n v="7500"/>
  </r>
  <r>
    <s v="PR-0243"/>
    <d v="2026-04-23T00:00:00"/>
    <x v="5"/>
    <x v="5"/>
    <s v="Thursday"/>
    <x v="0"/>
    <x v="3"/>
    <x v="3"/>
    <s v="Toothpaste"/>
    <x v="5"/>
    <s v="Charcoal Toothpaste 150g"/>
    <s v="B260423-L1A"/>
    <s v="R. Sharma"/>
    <x v="2"/>
    <x v="3"/>
    <x v="3"/>
    <n v="5540"/>
    <n v="5140"/>
    <n v="160"/>
    <n v="3.1128404669260701E-2"/>
    <n v="0.92779783393501802"/>
    <x v="3"/>
    <n v="0"/>
    <n v="0"/>
    <s v="None"/>
    <n v="51"/>
    <n v="8160"/>
    <n v="15605"/>
    <n v="4920"/>
    <n v="4920"/>
    <x v="449"/>
    <n v="9000"/>
  </r>
  <r>
    <s v="PR-1770"/>
    <d v="2026-09-09T00:00:00"/>
    <x v="0"/>
    <x v="0"/>
    <s v="Wednesday"/>
    <x v="2"/>
    <x v="2"/>
    <x v="2"/>
    <s v="Dental Floss"/>
    <x v="4"/>
    <s v="Interdental Brush Pack of 10"/>
    <s v="B260909-L3C"/>
    <s v="A. Gupta"/>
    <x v="1"/>
    <x v="2"/>
    <x v="8"/>
    <n v="4560"/>
    <n v="4410"/>
    <n v="93"/>
    <n v="2.1088435374149658E-2"/>
    <n v="0.96710526315789469"/>
    <x v="2"/>
    <n v="0"/>
    <n v="0"/>
    <s v="None"/>
    <n v="29"/>
    <n v="2697"/>
    <n v="15229"/>
    <n v="3880"/>
    <n v="3880"/>
    <x v="450"/>
    <n v="7500"/>
  </r>
  <r>
    <s v="PR-1103"/>
    <d v="2026-07-10T00:00:00"/>
    <x v="2"/>
    <x v="2"/>
    <s v="Friday"/>
    <x v="1"/>
    <x v="2"/>
    <x v="2"/>
    <s v="Dental Floss"/>
    <x v="4"/>
    <s v="Interdental Brush Pack of 10"/>
    <s v="B260710-L3B"/>
    <s v="P. Singh"/>
    <x v="2"/>
    <x v="2"/>
    <x v="10"/>
    <n v="4880"/>
    <n v="4760"/>
    <n v="126"/>
    <n v="2.6470588235294117E-2"/>
    <n v="0.97540983606557374"/>
    <x v="2"/>
    <n v="16"/>
    <n v="0.26666666666666666"/>
    <s v="Cleaning / Sanitation"/>
    <n v="29"/>
    <n v="3654"/>
    <n v="16040"/>
    <n v="5000"/>
    <n v="5000"/>
    <x v="451"/>
    <n v="7500"/>
  </r>
  <r>
    <s v="PR-1229"/>
    <d v="2026-07-22T00:00:00"/>
    <x v="2"/>
    <x v="2"/>
    <s v="Wednesday"/>
    <x v="0"/>
    <x v="0"/>
    <x v="0"/>
    <s v="Mouthwash"/>
    <x v="1"/>
    <s v="Alcohol-Free Mouthwash 250ml"/>
    <s v="B260722-L2A"/>
    <s v="R. Sharma"/>
    <x v="0"/>
    <x v="0"/>
    <x v="1"/>
    <n v="5940"/>
    <n v="5570"/>
    <n v="538"/>
    <n v="9.6588868940754039E-2"/>
    <n v="0.93771043771043772"/>
    <x v="1"/>
    <n v="0"/>
    <n v="0"/>
    <s v="None"/>
    <n v="58"/>
    <n v="31204"/>
    <n v="16645"/>
    <n v="6000"/>
    <n v="6000"/>
    <x v="452"/>
    <n v="9000"/>
  </r>
  <r>
    <s v="PR-0331"/>
    <d v="2026-05-01T00:00:00"/>
    <x v="4"/>
    <x v="4"/>
    <s v="Friday"/>
    <x v="0"/>
    <x v="2"/>
    <x v="2"/>
    <s v="Dental Floss"/>
    <x v="4"/>
    <s v="Interdental Brush Pack of 10"/>
    <s v="B260501-L3A"/>
    <s v="K. Verma"/>
    <x v="2"/>
    <x v="2"/>
    <x v="8"/>
    <n v="5210"/>
    <n v="5060"/>
    <n v="134"/>
    <n v="2.6482213438735178E-2"/>
    <n v="0.97120921305182339"/>
    <x v="2"/>
    <n v="0"/>
    <n v="0"/>
    <s v="None"/>
    <n v="29"/>
    <n v="3886"/>
    <n v="15819"/>
    <n v="5060"/>
    <n v="5060"/>
    <x v="453"/>
    <n v="7500"/>
  </r>
  <r>
    <s v="PR-0556"/>
    <d v="2026-05-21T00:00:00"/>
    <x v="4"/>
    <x v="4"/>
    <s v="Thursday"/>
    <x v="2"/>
    <x v="2"/>
    <x v="2"/>
    <s v="Dental Floss"/>
    <x v="4"/>
    <s v="Interdental Brush Pack of 10"/>
    <s v="B260521-L3C"/>
    <s v="M. Khan"/>
    <x v="2"/>
    <x v="2"/>
    <x v="9"/>
    <n v="4550"/>
    <n v="3910"/>
    <n v="92"/>
    <n v="2.3529411764705882E-2"/>
    <n v="0.85934065934065929"/>
    <x v="3"/>
    <n v="0"/>
    <n v="0"/>
    <s v="None"/>
    <n v="29"/>
    <n v="2668"/>
    <n v="15818"/>
    <n v="3950"/>
    <n v="3950"/>
    <x v="454"/>
    <n v="7500"/>
  </r>
  <r>
    <s v="PR-1039"/>
    <d v="2026-07-04T00:00:00"/>
    <x v="2"/>
    <x v="2"/>
    <s v="Saturday"/>
    <x v="1"/>
    <x v="2"/>
    <x v="2"/>
    <s v="Dental Floss"/>
    <x v="4"/>
    <s v="Interdental Brush Pack of 10"/>
    <s v="B260704-L3B"/>
    <s v="P. Singh"/>
    <x v="2"/>
    <x v="2"/>
    <x v="10"/>
    <n v="5090"/>
    <n v="5120"/>
    <n v="136"/>
    <n v="2.6562499999999999E-2"/>
    <n v="1.005893909626719"/>
    <x v="5"/>
    <n v="0"/>
    <n v="0"/>
    <s v="None"/>
    <n v="29"/>
    <n v="3944"/>
    <n v="15764"/>
    <n v="5060"/>
    <n v="5060"/>
    <x v="455"/>
    <n v="7500"/>
  </r>
  <r>
    <s v="PR-0656"/>
    <d v="2026-05-30T00:00:00"/>
    <x v="4"/>
    <x v="4"/>
    <s v="Saturday"/>
    <x v="2"/>
    <x v="0"/>
    <x v="0"/>
    <s v="Mouthwash"/>
    <x v="2"/>
    <s v="Mint Mouthwash 500ml"/>
    <s v="B260530-L2C"/>
    <s v="M. Khan"/>
    <x v="2"/>
    <x v="0"/>
    <x v="4"/>
    <n v="4120"/>
    <n v="3690"/>
    <n v="88"/>
    <n v="2.3848238482384824E-2"/>
    <n v="0.89563106796116509"/>
    <x v="0"/>
    <n v="27"/>
    <n v="0.45"/>
    <s v="Machine Breakdown"/>
    <n v="79"/>
    <n v="6952"/>
    <n v="15588"/>
    <n v="3500"/>
    <n v="3500"/>
    <x v="456"/>
    <n v="6750"/>
  </r>
  <r>
    <s v="PR-1385"/>
    <d v="2026-08-05T00:00:00"/>
    <x v="1"/>
    <x v="1"/>
    <s v="Wednesday"/>
    <x v="1"/>
    <x v="0"/>
    <x v="0"/>
    <s v="Mouthwash"/>
    <x v="1"/>
    <s v="Alcohol-Free Mouthwash 250ml"/>
    <s v="B260805-L2B"/>
    <s v="P. Singh"/>
    <x v="2"/>
    <x v="0"/>
    <x v="0"/>
    <n v="6270"/>
    <n v="6220"/>
    <n v="161"/>
    <n v="2.5884244372990355E-2"/>
    <n v="0.99202551834130781"/>
    <x v="2"/>
    <n v="0"/>
    <n v="0"/>
    <s v="None"/>
    <n v="58"/>
    <n v="9338"/>
    <n v="15619"/>
    <n v="5980"/>
    <n v="5980"/>
    <x v="457"/>
    <n v="9000"/>
  </r>
  <r>
    <s v="PR-1249"/>
    <d v="2026-07-23T00:00:00"/>
    <x v="2"/>
    <x v="2"/>
    <s v="Thursday"/>
    <x v="2"/>
    <x v="0"/>
    <x v="0"/>
    <s v="Mouthwash"/>
    <x v="1"/>
    <s v="Alcohol-Free Mouthwash 250ml"/>
    <s v="B260723-L2C"/>
    <s v="M. Khan"/>
    <x v="0"/>
    <x v="0"/>
    <x v="1"/>
    <n v="5350"/>
    <n v="5020"/>
    <n v="519"/>
    <n v="0.10338645418326693"/>
    <n v="0.93831775700934583"/>
    <x v="5"/>
    <n v="53"/>
    <n v="0.8833333333333333"/>
    <s v="Machine Breakdown"/>
    <n v="58"/>
    <n v="30102"/>
    <n v="15677"/>
    <n v="4470"/>
    <n v="4470"/>
    <x v="458"/>
    <n v="9000"/>
  </r>
  <r>
    <s v="PR-0315"/>
    <d v="2026-04-29T00:00:00"/>
    <x v="5"/>
    <x v="5"/>
    <s v="Wednesday"/>
    <x v="2"/>
    <x v="2"/>
    <x v="2"/>
    <s v="Dental Floss"/>
    <x v="4"/>
    <s v="Interdental Brush Pack of 10"/>
    <s v="B260429-L3C"/>
    <s v="M. Khan"/>
    <x v="2"/>
    <x v="2"/>
    <x v="10"/>
    <n v="4640"/>
    <n v="4540"/>
    <n v="113"/>
    <n v="2.4889867841409691E-2"/>
    <n v="0.97844827586206895"/>
    <x v="5"/>
    <n v="40"/>
    <n v="0.66666666666666663"/>
    <s v="Changeover"/>
    <n v="29"/>
    <n v="3277"/>
    <n v="15090"/>
    <n v="3800"/>
    <n v="3800"/>
    <x v="459"/>
    <n v="7500"/>
  </r>
  <r>
    <s v="PR-0142"/>
    <d v="2026-04-14T00:00:00"/>
    <x v="5"/>
    <x v="5"/>
    <s v="Tuesday"/>
    <x v="0"/>
    <x v="3"/>
    <x v="3"/>
    <s v="Toothpaste"/>
    <x v="5"/>
    <s v="Charcoal Toothpaste 150g"/>
    <s v="B260414-L1A"/>
    <s v="K. Verma"/>
    <x v="2"/>
    <x v="3"/>
    <x v="4"/>
    <n v="6220"/>
    <n v="5600"/>
    <n v="176"/>
    <n v="3.1428571428571431E-2"/>
    <n v="0.90032154340836013"/>
    <x v="3"/>
    <n v="0"/>
    <n v="0"/>
    <s v="None"/>
    <n v="51"/>
    <n v="8976"/>
    <n v="16021"/>
    <n v="5710"/>
    <n v="5710"/>
    <x v="460"/>
    <n v="9000"/>
  </r>
  <r>
    <s v="PR-0227"/>
    <d v="2026-04-21T00:00:00"/>
    <x v="5"/>
    <x v="5"/>
    <s v="Tuesday"/>
    <x v="2"/>
    <x v="3"/>
    <x v="3"/>
    <s v="Toothpaste"/>
    <x v="5"/>
    <s v="Charcoal Toothpaste 150g"/>
    <s v="B260421-L1C"/>
    <s v="A. Gupta"/>
    <x v="2"/>
    <x v="3"/>
    <x v="8"/>
    <n v="5720"/>
    <n v="4550"/>
    <n v="134"/>
    <n v="2.9450549450549451E-2"/>
    <n v="0.79545454545454541"/>
    <x v="0"/>
    <n v="0"/>
    <n v="0"/>
    <s v="None"/>
    <n v="51"/>
    <n v="6834"/>
    <n v="16417"/>
    <n v="5090"/>
    <n v="5090"/>
    <x v="461"/>
    <n v="9000"/>
  </r>
  <r>
    <s v="PR-0938"/>
    <d v="2026-06-25T00:00:00"/>
    <x v="3"/>
    <x v="3"/>
    <s v="Thursday"/>
    <x v="1"/>
    <x v="2"/>
    <x v="2"/>
    <s v="Dental Floss"/>
    <x v="4"/>
    <s v="Interdental Brush Pack of 10"/>
    <s v="B260625-L3B"/>
    <s v="P. Singh"/>
    <x v="2"/>
    <x v="2"/>
    <x v="8"/>
    <n v="5360"/>
    <n v="5060"/>
    <n v="132"/>
    <n v="2.6086956521739129E-2"/>
    <n v="0.94402985074626866"/>
    <x v="5"/>
    <n v="30"/>
    <n v="0.5"/>
    <s v="Cleaning / Sanitation"/>
    <n v="29"/>
    <n v="3828"/>
    <n v="15625"/>
    <n v="4810"/>
    <n v="4810"/>
    <x v="461"/>
    <n v="7500"/>
  </r>
  <r>
    <s v="PR-1778"/>
    <d v="2026-09-10T00:00:00"/>
    <x v="0"/>
    <x v="0"/>
    <s v="Thursday"/>
    <x v="1"/>
    <x v="2"/>
    <x v="2"/>
    <s v="Dental Floss"/>
    <x v="4"/>
    <s v="Interdental Brush Pack of 10"/>
    <s v="B260910-L3B"/>
    <s v="P. Singh"/>
    <x v="2"/>
    <x v="2"/>
    <x v="10"/>
    <n v="5120"/>
    <n v="5030"/>
    <n v="199"/>
    <n v="3.9562624254473162E-2"/>
    <n v="0.982421875"/>
    <x v="4"/>
    <n v="10"/>
    <n v="0.16666666666666666"/>
    <s v="Changeover"/>
    <n v="29"/>
    <n v="5771"/>
    <n v="15666"/>
    <n v="4750"/>
    <n v="4750"/>
    <x v="462"/>
    <n v="7500"/>
  </r>
  <r>
    <s v="PR-0415"/>
    <d v="2026-05-08T00:00:00"/>
    <x v="4"/>
    <x v="4"/>
    <s v="Friday"/>
    <x v="2"/>
    <x v="0"/>
    <x v="0"/>
    <s v="Mouthwash"/>
    <x v="2"/>
    <s v="Mint Mouthwash 500ml"/>
    <s v="B260508-L2C"/>
    <s v="M. Khan"/>
    <x v="2"/>
    <x v="0"/>
    <x v="2"/>
    <n v="4020"/>
    <n v="3800"/>
    <n v="86"/>
    <n v="2.2631578947368423E-2"/>
    <n v="0.94527363184079605"/>
    <x v="2"/>
    <n v="0"/>
    <n v="0"/>
    <s v="None"/>
    <n v="79"/>
    <n v="6794"/>
    <n v="15239"/>
    <n v="3200"/>
    <n v="3200"/>
    <x v="463"/>
    <n v="6750"/>
  </r>
  <r>
    <s v="PR-0969"/>
    <d v="2026-06-28T00:00:00"/>
    <x v="3"/>
    <x v="3"/>
    <s v="Sunday"/>
    <x v="0"/>
    <x v="2"/>
    <x v="2"/>
    <s v="Dental Floss"/>
    <x v="4"/>
    <s v="Interdental Brush Pack of 10"/>
    <s v="B260628-L3A"/>
    <s v="K. Verma"/>
    <x v="2"/>
    <x v="2"/>
    <x v="10"/>
    <n v="3430"/>
    <n v="3240"/>
    <n v="92"/>
    <n v="2.8395061728395062E-2"/>
    <n v="0.94460641399416911"/>
    <x v="0"/>
    <n v="0"/>
    <n v="0"/>
    <s v="None"/>
    <n v="29"/>
    <n v="2668"/>
    <n v="15630"/>
    <n v="3020"/>
    <n v="3020"/>
    <x v="464"/>
    <n v="7500"/>
  </r>
  <r>
    <s v="PR-1007"/>
    <d v="2026-07-01T00:00:00"/>
    <x v="2"/>
    <x v="2"/>
    <s v="Wednesday"/>
    <x v="2"/>
    <x v="2"/>
    <x v="2"/>
    <s v="Dental Floss"/>
    <x v="4"/>
    <s v="Interdental Brush Pack of 10"/>
    <s v="B260701-L3C"/>
    <s v="A. Gupta"/>
    <x v="1"/>
    <x v="2"/>
    <x v="10"/>
    <n v="4890"/>
    <n v="4750"/>
    <n v="77"/>
    <n v="1.6210526315789474E-2"/>
    <n v="0.97137014314928427"/>
    <x v="0"/>
    <n v="0"/>
    <n v="0"/>
    <s v="None"/>
    <n v="29"/>
    <n v="2233"/>
    <n v="16221"/>
    <n v="5130"/>
    <n v="5130"/>
    <x v="465"/>
    <n v="7500"/>
  </r>
  <r>
    <s v="PR-1418"/>
    <d v="2026-08-08T00:00:00"/>
    <x v="1"/>
    <x v="1"/>
    <s v="Saturday"/>
    <x v="0"/>
    <x v="2"/>
    <x v="2"/>
    <s v="Dental Floss"/>
    <x v="4"/>
    <s v="Interdental Brush Pack of 10"/>
    <s v="B260808-L3A"/>
    <s v="R. Sharma"/>
    <x v="2"/>
    <x v="2"/>
    <x v="10"/>
    <n v="5250"/>
    <n v="5460"/>
    <n v="137"/>
    <n v="2.5091575091575093E-2"/>
    <n v="1.04"/>
    <x v="2"/>
    <n v="0"/>
    <n v="0"/>
    <s v="None"/>
    <n v="29"/>
    <n v="3973"/>
    <n v="14950"/>
    <n v="4500"/>
    <n v="4500"/>
    <x v="466"/>
    <n v="7500"/>
  </r>
  <r>
    <s v="PR-1865"/>
    <d v="2026-09-18T00:00:00"/>
    <x v="0"/>
    <x v="0"/>
    <s v="Friday"/>
    <x v="1"/>
    <x v="2"/>
    <x v="2"/>
    <s v="Dental Floss"/>
    <x v="4"/>
    <s v="Interdental Brush Pack of 10"/>
    <s v="B260918-L3B"/>
    <s v="S. Yadav"/>
    <x v="2"/>
    <x v="2"/>
    <x v="10"/>
    <n v="4750"/>
    <n v="4420"/>
    <n v="69"/>
    <n v="1.5610859728506787E-2"/>
    <n v="0.93052631578947365"/>
    <x v="5"/>
    <n v="0"/>
    <n v="0"/>
    <s v="None"/>
    <n v="29"/>
    <n v="2001"/>
    <n v="15807"/>
    <n v="4380"/>
    <n v="4380"/>
    <x v="467"/>
    <n v="7500"/>
  </r>
  <r>
    <s v="PR-1881"/>
    <d v="2026-09-19T00:00:00"/>
    <x v="0"/>
    <x v="0"/>
    <s v="Saturday"/>
    <x v="2"/>
    <x v="2"/>
    <x v="2"/>
    <s v="Dental Floss"/>
    <x v="4"/>
    <s v="Interdental Brush Pack of 10"/>
    <s v="B260919-L3C"/>
    <s v="M. Khan"/>
    <x v="1"/>
    <x v="2"/>
    <x v="8"/>
    <n v="4550"/>
    <n v="3920"/>
    <n v="103"/>
    <n v="2.6275510204081632E-2"/>
    <n v="0.86153846153846159"/>
    <x v="0"/>
    <n v="0"/>
    <n v="0"/>
    <s v="None"/>
    <n v="29"/>
    <n v="2987"/>
    <n v="15778"/>
    <n v="3810"/>
    <n v="3810"/>
    <x v="468"/>
    <n v="7500"/>
  </r>
  <r>
    <s v="PR-1723"/>
    <d v="2026-09-05T00:00:00"/>
    <x v="0"/>
    <x v="0"/>
    <s v="Saturday"/>
    <x v="0"/>
    <x v="2"/>
    <x v="2"/>
    <s v="Dental Floss"/>
    <x v="4"/>
    <s v="Interdental Brush Pack of 10"/>
    <s v="B260905-L3A"/>
    <s v="K. Verma"/>
    <x v="1"/>
    <x v="2"/>
    <x v="8"/>
    <n v="4890"/>
    <n v="4410"/>
    <n v="112"/>
    <n v="2.5396825396825397E-2"/>
    <n v="0.90184049079754602"/>
    <x v="0"/>
    <n v="72"/>
    <n v="1.2"/>
    <s v="Changeover"/>
    <n v="29"/>
    <n v="3248"/>
    <n v="15924"/>
    <n v="4430"/>
    <n v="4430"/>
    <x v="469"/>
    <n v="7500"/>
  </r>
  <r>
    <s v="PR-0423"/>
    <d v="2026-05-09T00:00:00"/>
    <x v="4"/>
    <x v="4"/>
    <s v="Saturday"/>
    <x v="1"/>
    <x v="0"/>
    <x v="0"/>
    <s v="Mouthwash"/>
    <x v="2"/>
    <s v="Mint Mouthwash 500ml"/>
    <s v="B260509-L2B"/>
    <s v="S. Yadav"/>
    <x v="1"/>
    <x v="0"/>
    <x v="0"/>
    <n v="4790"/>
    <n v="4700"/>
    <n v="87"/>
    <n v="1.8510638297872341E-2"/>
    <n v="0.98121085594989566"/>
    <x v="4"/>
    <n v="56"/>
    <n v="0.93333333333333335"/>
    <s v="Changeover"/>
    <n v="79"/>
    <n v="6873"/>
    <n v="15221"/>
    <n v="4040"/>
    <n v="4040"/>
    <x v="470"/>
    <n v="6750"/>
  </r>
  <r>
    <s v="PR-1833"/>
    <d v="2026-09-15T00:00:00"/>
    <x v="0"/>
    <x v="0"/>
    <s v="Tuesday"/>
    <x v="2"/>
    <x v="2"/>
    <x v="2"/>
    <s v="Dental Floss"/>
    <x v="4"/>
    <s v="Interdental Brush Pack of 10"/>
    <s v="B260915-L3C"/>
    <s v="M. Khan"/>
    <x v="1"/>
    <x v="2"/>
    <x v="8"/>
    <n v="4720"/>
    <n v="4230"/>
    <n v="167"/>
    <n v="3.9479905437352247E-2"/>
    <n v="0.89618644067796616"/>
    <x v="2"/>
    <n v="0"/>
    <n v="0"/>
    <s v="None"/>
    <n v="29"/>
    <n v="4843"/>
    <n v="16294"/>
    <n v="4550"/>
    <n v="4550"/>
    <x v="471"/>
    <n v="7500"/>
  </r>
  <r>
    <s v="PR-0086"/>
    <d v="2026-04-08T00:00:00"/>
    <x v="5"/>
    <x v="5"/>
    <s v="Wednesday"/>
    <x v="2"/>
    <x v="3"/>
    <x v="3"/>
    <s v="Toothpaste"/>
    <x v="5"/>
    <s v="Charcoal Toothpaste 150g"/>
    <s v="B260408-L1C"/>
    <s v="A. Gupta"/>
    <x v="1"/>
    <x v="3"/>
    <x v="3"/>
    <n v="5630"/>
    <n v="5250"/>
    <n v="66"/>
    <n v="1.2571428571428572E-2"/>
    <n v="0.93250444049733572"/>
    <x v="0"/>
    <n v="0"/>
    <n v="0"/>
    <s v="None"/>
    <n v="51"/>
    <n v="3366"/>
    <n v="16036"/>
    <n v="5410"/>
    <n v="5410"/>
    <x v="472"/>
    <n v="9000"/>
  </r>
  <r>
    <s v="PR-1505"/>
    <d v="2026-08-15T00:00:00"/>
    <x v="1"/>
    <x v="1"/>
    <s v="Saturday"/>
    <x v="2"/>
    <x v="2"/>
    <x v="2"/>
    <s v="Dental Floss"/>
    <x v="4"/>
    <s v="Interdental Brush Pack of 10"/>
    <s v="B260815-L3C"/>
    <s v="M. Khan"/>
    <x v="2"/>
    <x v="2"/>
    <x v="9"/>
    <n v="4870"/>
    <n v="4250"/>
    <n v="152"/>
    <n v="3.5764705882352942E-2"/>
    <n v="0.87268993839835729"/>
    <x v="3"/>
    <n v="0"/>
    <n v="0"/>
    <s v="None"/>
    <n v="29"/>
    <n v="4408"/>
    <n v="16388"/>
    <n v="4670"/>
    <n v="4670"/>
    <x v="473"/>
    <n v="7500"/>
  </r>
  <r>
    <s v="PR-0432"/>
    <d v="2026-05-10T00:00:00"/>
    <x v="4"/>
    <x v="4"/>
    <s v="Sunday"/>
    <x v="1"/>
    <x v="0"/>
    <x v="0"/>
    <s v="Mouthwash"/>
    <x v="2"/>
    <s v="Mint Mouthwash 500ml"/>
    <s v="B260510-L2B"/>
    <s v="P. Singh"/>
    <x v="2"/>
    <x v="0"/>
    <x v="1"/>
    <n v="2950"/>
    <n v="2870"/>
    <n v="77"/>
    <n v="2.6829268292682926E-2"/>
    <n v="0.97288135593220337"/>
    <x v="0"/>
    <n v="0"/>
    <n v="0"/>
    <s v="None"/>
    <n v="79"/>
    <n v="6083"/>
    <n v="15794"/>
    <n v="2770"/>
    <n v="2770"/>
    <x v="474"/>
    <n v="6750"/>
  </r>
  <r>
    <s v="PR-0552"/>
    <d v="2026-05-21T00:00:00"/>
    <x v="4"/>
    <x v="4"/>
    <s v="Thursday"/>
    <x v="1"/>
    <x v="2"/>
    <x v="2"/>
    <s v="Dental Floss"/>
    <x v="4"/>
    <s v="Interdental Brush Pack of 10"/>
    <s v="B260521-L3B"/>
    <s v="S. Yadav"/>
    <x v="1"/>
    <x v="2"/>
    <x v="10"/>
    <n v="5030"/>
    <n v="4790"/>
    <n v="106"/>
    <n v="2.2129436325678497E-2"/>
    <n v="0.95228628230616297"/>
    <x v="4"/>
    <n v="0"/>
    <n v="0"/>
    <s v="None"/>
    <n v="29"/>
    <n v="3074"/>
    <n v="15264"/>
    <n v="4130"/>
    <n v="4130"/>
    <x v="475"/>
    <n v="7500"/>
  </r>
  <r>
    <s v="PR-0327"/>
    <d v="2026-04-30T00:00:00"/>
    <x v="5"/>
    <x v="5"/>
    <s v="Thursday"/>
    <x v="2"/>
    <x v="2"/>
    <x v="2"/>
    <s v="Dental Floss"/>
    <x v="4"/>
    <s v="Interdental Brush Pack of 10"/>
    <s v="B260430-L3C"/>
    <s v="M. Khan"/>
    <x v="1"/>
    <x v="2"/>
    <x v="8"/>
    <n v="4520"/>
    <n v="3960"/>
    <n v="58"/>
    <n v="1.4646464646464647E-2"/>
    <n v="0.87610619469026552"/>
    <x v="4"/>
    <n v="65"/>
    <n v="1.0833333333333333"/>
    <s v="Changeover"/>
    <n v="29"/>
    <n v="1682"/>
    <n v="15717"/>
    <n v="3800"/>
    <n v="3800"/>
    <x v="476"/>
    <n v="7500"/>
  </r>
  <r>
    <s v="PR-0983"/>
    <d v="2026-06-29T00:00:00"/>
    <x v="3"/>
    <x v="3"/>
    <s v="Monday"/>
    <x v="2"/>
    <x v="2"/>
    <x v="2"/>
    <s v="Dental Floss"/>
    <x v="4"/>
    <s v="Interdental Brush Pack of 10"/>
    <s v="B260629-L3C"/>
    <s v="M. Khan"/>
    <x v="2"/>
    <x v="2"/>
    <x v="8"/>
    <n v="4940"/>
    <n v="4570"/>
    <n v="89"/>
    <n v="1.9474835886214441E-2"/>
    <n v="0.9251012145748988"/>
    <x v="5"/>
    <n v="0"/>
    <n v="0"/>
    <s v="None"/>
    <n v="29"/>
    <n v="2581"/>
    <n v="15758"/>
    <n v="4420"/>
    <n v="4420"/>
    <x v="476"/>
    <n v="7500"/>
  </r>
  <r>
    <s v="PR-1063"/>
    <d v="2026-07-07T00:00:00"/>
    <x v="2"/>
    <x v="2"/>
    <s v="Tuesday"/>
    <x v="0"/>
    <x v="2"/>
    <x v="2"/>
    <s v="Dental Floss"/>
    <x v="4"/>
    <s v="Interdental Brush Pack of 10"/>
    <s v="B260707-L3A"/>
    <s v="R. Sharma"/>
    <x v="1"/>
    <x v="2"/>
    <x v="10"/>
    <n v="4690"/>
    <n v="4630"/>
    <n v="111"/>
    <n v="2.3974082073434124E-2"/>
    <n v="0.98720682302771856"/>
    <x v="5"/>
    <n v="0"/>
    <n v="0"/>
    <s v="None"/>
    <n v="29"/>
    <n v="3219"/>
    <n v="15534"/>
    <n v="4230"/>
    <n v="4230"/>
    <x v="477"/>
    <n v="7500"/>
  </r>
  <r>
    <s v="PR-0601"/>
    <d v="2026-05-26T00:00:00"/>
    <x v="4"/>
    <x v="4"/>
    <s v="Tuesday"/>
    <x v="0"/>
    <x v="2"/>
    <x v="2"/>
    <s v="Dental Floss"/>
    <x v="4"/>
    <s v="Interdental Brush Pack of 10"/>
    <s v="B260526-L3A"/>
    <s v="R. Sharma"/>
    <x v="1"/>
    <x v="2"/>
    <x v="8"/>
    <n v="5040"/>
    <n v="4870"/>
    <n v="147"/>
    <n v="3.0184804928131418E-2"/>
    <n v="0.96626984126984128"/>
    <x v="4"/>
    <n v="0"/>
    <n v="0"/>
    <s v="None"/>
    <n v="29"/>
    <n v="4263"/>
    <n v="16064"/>
    <n v="4960"/>
    <n v="4960"/>
    <x v="478"/>
    <n v="7500"/>
  </r>
  <r>
    <s v="PR-1806"/>
    <d v="2026-09-12T00:00:00"/>
    <x v="0"/>
    <x v="0"/>
    <s v="Saturday"/>
    <x v="2"/>
    <x v="2"/>
    <x v="2"/>
    <s v="Dental Floss"/>
    <x v="4"/>
    <s v="Interdental Brush Pack of 10"/>
    <s v="B260912-L3C"/>
    <s v="M. Khan"/>
    <x v="2"/>
    <x v="2"/>
    <x v="11"/>
    <n v="4970"/>
    <n v="4080"/>
    <n v="87"/>
    <n v="2.1323529411764706E-2"/>
    <n v="0.82092555331991957"/>
    <x v="2"/>
    <n v="0"/>
    <n v="0"/>
    <s v="None"/>
    <n v="29"/>
    <n v="2523"/>
    <n v="16108"/>
    <n v="4270"/>
    <n v="4270"/>
    <x v="479"/>
    <n v="7500"/>
  </r>
  <r>
    <s v="PR-1935"/>
    <d v="2026-09-24T00:00:00"/>
    <x v="0"/>
    <x v="0"/>
    <s v="Thursday"/>
    <x v="2"/>
    <x v="2"/>
    <x v="2"/>
    <s v="Dental Floss"/>
    <x v="4"/>
    <s v="Interdental Brush Pack of 10"/>
    <s v="B260924-L3C"/>
    <s v="M. Khan"/>
    <x v="2"/>
    <x v="2"/>
    <x v="10"/>
    <n v="4430"/>
    <n v="4290"/>
    <n v="107"/>
    <n v="2.4941724941724943E-2"/>
    <n v="0.96839729119638829"/>
    <x v="0"/>
    <n v="0"/>
    <n v="0"/>
    <s v="None"/>
    <n v="29"/>
    <n v="3103"/>
    <n v="15308"/>
    <n v="3660"/>
    <n v="3660"/>
    <x v="479"/>
    <n v="7500"/>
  </r>
  <r>
    <s v="PR-1738"/>
    <d v="2026-09-07T00:00:00"/>
    <x v="0"/>
    <x v="0"/>
    <s v="Monday"/>
    <x v="0"/>
    <x v="2"/>
    <x v="2"/>
    <s v="Dental Floss"/>
    <x v="4"/>
    <s v="Interdental Brush Pack of 10"/>
    <s v="B260907-L3A"/>
    <s v="R. Sharma"/>
    <x v="1"/>
    <x v="2"/>
    <x v="10"/>
    <n v="4680"/>
    <n v="4520"/>
    <n v="63"/>
    <n v="1.3938053097345133E-2"/>
    <n v="0.96581196581196582"/>
    <x v="2"/>
    <n v="0"/>
    <n v="0"/>
    <s v="None"/>
    <n v="29"/>
    <n v="1827"/>
    <n v="15547"/>
    <n v="4170"/>
    <n v="4170"/>
    <x v="480"/>
    <n v="7500"/>
  </r>
  <r>
    <s v="PR-0435"/>
    <d v="2026-05-11T00:00:00"/>
    <x v="4"/>
    <x v="4"/>
    <s v="Monday"/>
    <x v="0"/>
    <x v="0"/>
    <x v="0"/>
    <s v="Mouthwash"/>
    <x v="2"/>
    <s v="Mint Mouthwash 500ml"/>
    <s v="B260511-L2A"/>
    <s v="K. Verma"/>
    <x v="2"/>
    <x v="0"/>
    <x v="0"/>
    <n v="4750"/>
    <n v="4520"/>
    <n v="150"/>
    <n v="3.3185840707964605E-2"/>
    <n v="0.95157894736842108"/>
    <x v="5"/>
    <n v="0"/>
    <n v="0"/>
    <s v="None"/>
    <n v="79"/>
    <n v="11850"/>
    <n v="15817"/>
    <n v="4350"/>
    <n v="4350"/>
    <x v="481"/>
    <n v="6750"/>
  </r>
  <r>
    <s v="PR-1943"/>
    <d v="2026-09-25T00:00:00"/>
    <x v="0"/>
    <x v="0"/>
    <s v="Friday"/>
    <x v="1"/>
    <x v="2"/>
    <x v="2"/>
    <s v="Dental Floss"/>
    <x v="4"/>
    <s v="Interdental Brush Pack of 10"/>
    <s v="B260925-L3B"/>
    <s v="S. Yadav"/>
    <x v="1"/>
    <x v="2"/>
    <x v="10"/>
    <n v="4600"/>
    <n v="4440"/>
    <n v="95"/>
    <n v="2.1396396396396396E-2"/>
    <n v="0.9652173913043478"/>
    <x v="4"/>
    <n v="0"/>
    <n v="0"/>
    <s v="None"/>
    <n v="29"/>
    <n v="2755"/>
    <n v="15511"/>
    <n v="4000"/>
    <n v="4000"/>
    <x v="482"/>
    <n v="7500"/>
  </r>
  <r>
    <s v="PR-0313"/>
    <d v="2026-04-29T00:00:00"/>
    <x v="5"/>
    <x v="5"/>
    <s v="Wednesday"/>
    <x v="2"/>
    <x v="3"/>
    <x v="3"/>
    <s v="Toothpaste"/>
    <x v="5"/>
    <s v="Charcoal Toothpaste 150g"/>
    <s v="B260429-L1C"/>
    <s v="A. Gupta"/>
    <x v="2"/>
    <x v="3"/>
    <x v="2"/>
    <n v="6030"/>
    <n v="5680"/>
    <n v="145"/>
    <n v="2.5528169014084508E-2"/>
    <n v="0.94195688225538976"/>
    <x v="0"/>
    <n v="32"/>
    <n v="0.53333333333333333"/>
    <s v="Changeover"/>
    <n v="51"/>
    <n v="7395"/>
    <n v="15917"/>
    <n v="5590"/>
    <n v="5590"/>
    <x v="483"/>
    <n v="9000"/>
  </r>
  <r>
    <s v="PR-0500"/>
    <d v="2026-05-16T00:00:00"/>
    <x v="4"/>
    <x v="4"/>
    <s v="Saturday"/>
    <x v="1"/>
    <x v="2"/>
    <x v="2"/>
    <s v="Dental Floss"/>
    <x v="4"/>
    <s v="Interdental Brush Pack of 10"/>
    <s v="B260516-L3B"/>
    <s v="P. Singh"/>
    <x v="1"/>
    <x v="2"/>
    <x v="10"/>
    <n v="5360"/>
    <n v="5210"/>
    <n v="159"/>
    <n v="3.0518234165067177E-2"/>
    <n v="0.97201492537313428"/>
    <x v="4"/>
    <n v="50"/>
    <n v="0.83333333333333337"/>
    <s v="Machine Breakdown"/>
    <n v="29"/>
    <n v="4611"/>
    <n v="15313"/>
    <n v="4470"/>
    <n v="4470"/>
    <x v="484"/>
    <n v="7500"/>
  </r>
  <r>
    <s v="PR-1393"/>
    <d v="2026-08-06T00:00:00"/>
    <x v="1"/>
    <x v="1"/>
    <s v="Thursday"/>
    <x v="0"/>
    <x v="0"/>
    <x v="0"/>
    <s v="Mouthwash"/>
    <x v="1"/>
    <s v="Alcohol-Free Mouthwash 250ml"/>
    <s v="B260806-L2A"/>
    <s v="K. Verma"/>
    <x v="0"/>
    <x v="0"/>
    <x v="0"/>
    <n v="6300"/>
    <n v="6300"/>
    <n v="632"/>
    <n v="0.10031746031746032"/>
    <n v="1"/>
    <x v="1"/>
    <n v="0"/>
    <n v="0"/>
    <s v="None"/>
    <n v="58"/>
    <n v="36656"/>
    <n v="15698"/>
    <n v="5460"/>
    <n v="5460"/>
    <x v="485"/>
    <n v="9000"/>
  </r>
  <r>
    <s v="PR-1086"/>
    <d v="2026-07-09T00:00:00"/>
    <x v="2"/>
    <x v="2"/>
    <s v="Thursday"/>
    <x v="0"/>
    <x v="0"/>
    <x v="0"/>
    <s v="Mouthwash"/>
    <x v="2"/>
    <s v="Mint Mouthwash 500ml"/>
    <s v="B260709-L2A"/>
    <s v="K. Verma"/>
    <x v="2"/>
    <x v="0"/>
    <x v="0"/>
    <n v="4440"/>
    <n v="4000"/>
    <n v="115"/>
    <n v="2.8750000000000001E-2"/>
    <n v="0.90090090090090091"/>
    <x v="3"/>
    <n v="0"/>
    <n v="0"/>
    <s v="None"/>
    <n v="79"/>
    <n v="9085"/>
    <n v="16431"/>
    <n v="4400"/>
    <n v="4400"/>
    <x v="486"/>
    <n v="6750"/>
  </r>
  <r>
    <s v="PR-0301"/>
    <d v="2026-04-28T00:00:00"/>
    <x v="5"/>
    <x v="5"/>
    <s v="Tuesday"/>
    <x v="2"/>
    <x v="3"/>
    <x v="3"/>
    <s v="Toothpaste"/>
    <x v="5"/>
    <s v="Charcoal Toothpaste 150g"/>
    <s v="B260428-L1C"/>
    <s v="A. Gupta"/>
    <x v="2"/>
    <x v="3"/>
    <x v="3"/>
    <n v="5770"/>
    <n v="5300"/>
    <n v="113"/>
    <n v="2.1320754716981132E-2"/>
    <n v="0.91854419410745236"/>
    <x v="2"/>
    <n v="50"/>
    <n v="0.83333333333333337"/>
    <s v="Changeover"/>
    <n v="51"/>
    <n v="5763"/>
    <n v="15170"/>
    <n v="4440"/>
    <n v="4440"/>
    <x v="487"/>
    <n v="9000"/>
  </r>
  <r>
    <s v="PR-1683"/>
    <d v="2026-09-01T00:00:00"/>
    <x v="0"/>
    <x v="0"/>
    <s v="Tuesday"/>
    <x v="2"/>
    <x v="2"/>
    <x v="2"/>
    <s v="Dental Floss"/>
    <x v="4"/>
    <s v="Interdental Brush Pack of 10"/>
    <s v="B260901-L3C"/>
    <s v="M. Khan"/>
    <x v="2"/>
    <x v="2"/>
    <x v="11"/>
    <n v="5010"/>
    <n v="4090"/>
    <n v="103"/>
    <n v="2.5183374083129585E-2"/>
    <n v="0.81636726546906191"/>
    <x v="2"/>
    <n v="0"/>
    <n v="0"/>
    <s v="None"/>
    <n v="29"/>
    <n v="2987"/>
    <n v="16767"/>
    <n v="4830"/>
    <n v="4830"/>
    <x v="488"/>
    <n v="7500"/>
  </r>
  <r>
    <s v="PR-1111"/>
    <d v="2026-07-11T00:00:00"/>
    <x v="2"/>
    <x v="2"/>
    <s v="Saturday"/>
    <x v="0"/>
    <x v="2"/>
    <x v="2"/>
    <s v="Dental Floss"/>
    <x v="4"/>
    <s v="Interdental Brush Pack of 10"/>
    <s v="B260711-L3A"/>
    <s v="R. Sharma"/>
    <x v="2"/>
    <x v="2"/>
    <x v="10"/>
    <n v="4950"/>
    <n v="4700"/>
    <n v="84"/>
    <n v="1.7872340425531916E-2"/>
    <n v="0.9494949494949495"/>
    <x v="2"/>
    <n v="0"/>
    <n v="0"/>
    <s v="None"/>
    <n v="29"/>
    <n v="2436"/>
    <n v="15674"/>
    <n v="4350"/>
    <n v="4350"/>
    <x v="489"/>
    <n v="7500"/>
  </r>
  <r>
    <s v="PR-0428"/>
    <d v="2026-05-09T00:00:00"/>
    <x v="4"/>
    <x v="4"/>
    <s v="Saturday"/>
    <x v="2"/>
    <x v="2"/>
    <x v="2"/>
    <s v="Dental Floss"/>
    <x v="4"/>
    <s v="Interdental Brush Pack of 10"/>
    <s v="B260509-L3C"/>
    <s v="A. Gupta"/>
    <x v="1"/>
    <x v="2"/>
    <x v="10"/>
    <n v="4840"/>
    <n v="4620"/>
    <n v="111"/>
    <n v="2.4025974025974027E-2"/>
    <n v="0.95454545454545459"/>
    <x v="3"/>
    <n v="0"/>
    <n v="0"/>
    <s v="None"/>
    <n v="29"/>
    <n v="3219"/>
    <n v="16002"/>
    <n v="4570"/>
    <n v="4570"/>
    <x v="490"/>
    <n v="7500"/>
  </r>
  <r>
    <s v="PR-0360"/>
    <d v="2026-05-04T00:00:00"/>
    <x v="4"/>
    <x v="4"/>
    <s v="Monday"/>
    <x v="0"/>
    <x v="2"/>
    <x v="2"/>
    <s v="Dental Floss"/>
    <x v="4"/>
    <s v="Interdental Brush Pack of 10"/>
    <s v="B260504-L3A"/>
    <s v="K. Verma"/>
    <x v="1"/>
    <x v="2"/>
    <x v="8"/>
    <n v="4630"/>
    <n v="4330"/>
    <n v="143"/>
    <n v="3.3025404157043879E-2"/>
    <n v="0.93520518358531313"/>
    <x v="5"/>
    <n v="29"/>
    <n v="0.48333333333333334"/>
    <s v="Power Interruption"/>
    <n v="29"/>
    <n v="4147"/>
    <n v="16000"/>
    <n v="4230"/>
    <n v="4230"/>
    <x v="491"/>
    <n v="7500"/>
  </r>
  <r>
    <s v="PR-1361"/>
    <d v="2026-08-03T00:00:00"/>
    <x v="1"/>
    <x v="1"/>
    <s v="Monday"/>
    <x v="1"/>
    <x v="0"/>
    <x v="0"/>
    <s v="Mouthwash"/>
    <x v="0"/>
    <s v="Mint Mouthwash 250ml"/>
    <s v="B260803-L2B"/>
    <s v="S. Yadav"/>
    <x v="0"/>
    <x v="0"/>
    <x v="1"/>
    <n v="7010"/>
    <n v="6390"/>
    <n v="752"/>
    <n v="0.11768388106416275"/>
    <n v="0.9115549215406562"/>
    <x v="3"/>
    <n v="31"/>
    <n v="0.51666666666666672"/>
    <s v="Cleaning / Sanitation"/>
    <n v="46"/>
    <n v="34592"/>
    <n v="17089"/>
    <n v="6750"/>
    <n v="6750"/>
    <x v="492"/>
    <n v="10500"/>
  </r>
  <r>
    <s v="PR-0354"/>
    <d v="2026-05-03T00:00:00"/>
    <x v="4"/>
    <x v="4"/>
    <s v="Sunday"/>
    <x v="0"/>
    <x v="2"/>
    <x v="2"/>
    <s v="Dental Floss"/>
    <x v="4"/>
    <s v="Interdental Brush Pack of 10"/>
    <s v="B260503-L3A"/>
    <s v="K. Verma"/>
    <x v="1"/>
    <x v="2"/>
    <x v="10"/>
    <n v="3580"/>
    <n v="3270"/>
    <n v="120"/>
    <n v="3.669724770642202E-2"/>
    <n v="0.91340782122905029"/>
    <x v="4"/>
    <n v="36"/>
    <n v="0.6"/>
    <s v="Material Shortage"/>
    <n v="29"/>
    <n v="3480"/>
    <n v="15620"/>
    <n v="2770"/>
    <n v="2770"/>
    <x v="493"/>
    <n v="7500"/>
  </r>
  <r>
    <s v="PR-0424"/>
    <d v="2026-05-09T00:00:00"/>
    <x v="4"/>
    <x v="4"/>
    <s v="Saturday"/>
    <x v="1"/>
    <x v="2"/>
    <x v="2"/>
    <s v="Dental Floss"/>
    <x v="4"/>
    <s v="Interdental Brush Pack of 10"/>
    <s v="B260509-L3B"/>
    <s v="S. Yadav"/>
    <x v="1"/>
    <x v="2"/>
    <x v="11"/>
    <n v="4900"/>
    <n v="4170"/>
    <n v="120"/>
    <n v="2.8776978417266189E-2"/>
    <n v="0.8510204081632653"/>
    <x v="2"/>
    <n v="0"/>
    <n v="0"/>
    <s v="None"/>
    <n v="29"/>
    <n v="3480"/>
    <n v="16812"/>
    <n v="4860"/>
    <n v="4860"/>
    <x v="494"/>
    <n v="7500"/>
  </r>
  <r>
    <s v="PR-1437"/>
    <d v="2026-08-10T00:00:00"/>
    <x v="1"/>
    <x v="1"/>
    <s v="Monday"/>
    <x v="0"/>
    <x v="2"/>
    <x v="2"/>
    <s v="Dental Floss"/>
    <x v="4"/>
    <s v="Interdental Brush Pack of 10"/>
    <s v="B260810-L3A"/>
    <s v="R. Sharma"/>
    <x v="1"/>
    <x v="2"/>
    <x v="10"/>
    <n v="4680"/>
    <n v="4480"/>
    <n v="166"/>
    <n v="3.7053571428571429E-2"/>
    <n v="0.95726495726495731"/>
    <x v="5"/>
    <n v="10"/>
    <n v="0.16666666666666666"/>
    <s v="Machine Breakdown"/>
    <n v="29"/>
    <n v="4814"/>
    <n v="15773"/>
    <n v="4080"/>
    <n v="4080"/>
    <x v="495"/>
    <n v="7500"/>
  </r>
  <r>
    <s v="PR-0231"/>
    <d v="2026-04-22T00:00:00"/>
    <x v="5"/>
    <x v="5"/>
    <s v="Wednesday"/>
    <x v="0"/>
    <x v="3"/>
    <x v="3"/>
    <s v="Toothpaste"/>
    <x v="5"/>
    <s v="Charcoal Toothpaste 150g"/>
    <s v="B260422-L1A"/>
    <s v="K. Verma"/>
    <x v="2"/>
    <x v="3"/>
    <x v="2"/>
    <n v="6100"/>
    <n v="5620"/>
    <n v="185"/>
    <n v="3.2918149466192169E-2"/>
    <n v="0.92131147540983604"/>
    <x v="4"/>
    <n v="60"/>
    <n v="1"/>
    <s v="Changeover"/>
    <n v="51"/>
    <n v="9435"/>
    <n v="15743"/>
    <n v="5170"/>
    <n v="5170"/>
    <x v="496"/>
    <n v="9000"/>
  </r>
  <r>
    <s v="PR-0154"/>
    <d v="2026-04-15T00:00:00"/>
    <x v="5"/>
    <x v="5"/>
    <s v="Wednesday"/>
    <x v="0"/>
    <x v="3"/>
    <x v="3"/>
    <s v="Toothpaste"/>
    <x v="5"/>
    <s v="Charcoal Toothpaste 150g"/>
    <s v="B260415-L1A"/>
    <s v="R. Sharma"/>
    <x v="1"/>
    <x v="3"/>
    <x v="4"/>
    <n v="6430"/>
    <n v="5730"/>
    <n v="138"/>
    <n v="2.4083769633507852E-2"/>
    <n v="0.89113530326594093"/>
    <x v="2"/>
    <n v="65"/>
    <n v="1.0833333333333333"/>
    <s v="Cleaning / Sanitation"/>
    <n v="51"/>
    <n v="7038"/>
    <n v="15735"/>
    <n v="5310"/>
    <n v="5310"/>
    <x v="497"/>
    <n v="9000"/>
  </r>
  <r>
    <s v="PR-0138"/>
    <d v="2026-04-13T00:00:00"/>
    <x v="5"/>
    <x v="5"/>
    <s v="Monday"/>
    <x v="2"/>
    <x v="3"/>
    <x v="3"/>
    <s v="Toothpaste"/>
    <x v="5"/>
    <s v="Charcoal Toothpaste 150g"/>
    <s v="B260413-L1C"/>
    <s v="M. Khan"/>
    <x v="2"/>
    <x v="3"/>
    <x v="3"/>
    <n v="5890"/>
    <n v="5390"/>
    <n v="159"/>
    <n v="2.9499072356215215E-2"/>
    <n v="0.91511035653650252"/>
    <x v="4"/>
    <n v="56"/>
    <n v="0.93333333333333335"/>
    <s v="Changeover"/>
    <n v="51"/>
    <n v="8109"/>
    <n v="16290"/>
    <n v="5500"/>
    <n v="5500"/>
    <x v="498"/>
    <n v="9000"/>
  </r>
  <r>
    <s v="PR-0341"/>
    <d v="2026-05-02T00:00:00"/>
    <x v="4"/>
    <x v="4"/>
    <s v="Saturday"/>
    <x v="0"/>
    <x v="3"/>
    <x v="3"/>
    <s v="Toothpaste"/>
    <x v="5"/>
    <s v="Charcoal Toothpaste 150g"/>
    <s v="B260502-L1A"/>
    <s v="R. Sharma"/>
    <x v="1"/>
    <x v="3"/>
    <x v="2"/>
    <n v="6050"/>
    <n v="5570"/>
    <n v="95"/>
    <n v="1.7055655296229804E-2"/>
    <n v="0.92066115702479334"/>
    <x v="5"/>
    <n v="20"/>
    <n v="0.33333333333333331"/>
    <s v="Power Interruption"/>
    <n v="51"/>
    <n v="4845"/>
    <n v="16168"/>
    <n v="5610"/>
    <n v="5610"/>
    <x v="499"/>
    <n v="9000"/>
  </r>
  <r>
    <s v="PR-0942"/>
    <d v="2026-06-25T00:00:00"/>
    <x v="3"/>
    <x v="3"/>
    <s v="Thursday"/>
    <x v="2"/>
    <x v="2"/>
    <x v="2"/>
    <s v="Dental Floss"/>
    <x v="4"/>
    <s v="Interdental Brush Pack of 10"/>
    <s v="B260625-L3C"/>
    <s v="A. Gupta"/>
    <x v="1"/>
    <x v="2"/>
    <x v="8"/>
    <n v="4580"/>
    <n v="4190"/>
    <n v="78"/>
    <n v="1.8615751789976133E-2"/>
    <n v="0.91484716157205237"/>
    <x v="3"/>
    <n v="0"/>
    <n v="0"/>
    <s v="None"/>
    <n v="29"/>
    <n v="2262"/>
    <n v="15743"/>
    <n v="3820"/>
    <n v="3820"/>
    <x v="500"/>
    <n v="7500"/>
  </r>
  <r>
    <s v="PR-0082"/>
    <d v="2026-04-08T00:00:00"/>
    <x v="5"/>
    <x v="5"/>
    <s v="Wednesday"/>
    <x v="1"/>
    <x v="3"/>
    <x v="3"/>
    <s v="Toothpaste"/>
    <x v="5"/>
    <s v="Charcoal Toothpaste 150g"/>
    <s v="B260408-L1B"/>
    <s v="S. Yadav"/>
    <x v="2"/>
    <x v="3"/>
    <x v="4"/>
    <n v="6290"/>
    <n v="5660"/>
    <n v="136"/>
    <n v="2.4028268551236749E-2"/>
    <n v="0.89984101748807632"/>
    <x v="0"/>
    <n v="26"/>
    <n v="0.43333333333333335"/>
    <s v="Power Interruption"/>
    <n v="51"/>
    <n v="6936"/>
    <n v="16562"/>
    <n v="6050"/>
    <n v="6050"/>
    <x v="501"/>
    <n v="9000"/>
  </r>
  <r>
    <s v="PR-1091"/>
    <d v="2026-07-09T00:00:00"/>
    <x v="2"/>
    <x v="2"/>
    <s v="Thursday"/>
    <x v="1"/>
    <x v="2"/>
    <x v="2"/>
    <s v="Dental Floss"/>
    <x v="4"/>
    <s v="Interdental Brush Pack of 10"/>
    <s v="B260709-L3B"/>
    <s v="P. Singh"/>
    <x v="1"/>
    <x v="2"/>
    <x v="8"/>
    <n v="5000"/>
    <n v="4850"/>
    <n v="138"/>
    <n v="2.8453608247422681E-2"/>
    <n v="0.97"/>
    <x v="4"/>
    <n v="0"/>
    <n v="0"/>
    <s v="None"/>
    <n v="29"/>
    <n v="4002"/>
    <n v="15528"/>
    <n v="4200"/>
    <n v="4200"/>
    <x v="502"/>
    <n v="7500"/>
  </r>
  <r>
    <s v="PR-0585"/>
    <d v="2026-05-24T00:00:00"/>
    <x v="4"/>
    <x v="4"/>
    <s v="Sunday"/>
    <x v="1"/>
    <x v="2"/>
    <x v="2"/>
    <s v="Dental Floss"/>
    <x v="4"/>
    <s v="Interdental Brush Pack of 10"/>
    <s v="B260524-L3B"/>
    <s v="S. Yadav"/>
    <x v="2"/>
    <x v="2"/>
    <x v="10"/>
    <n v="3740"/>
    <n v="3550"/>
    <n v="72"/>
    <n v="2.028169014084507E-2"/>
    <n v="0.94919786096256686"/>
    <x v="3"/>
    <n v="0"/>
    <n v="0"/>
    <s v="None"/>
    <n v="29"/>
    <n v="2088"/>
    <n v="15686"/>
    <n v="3100"/>
    <n v="3100"/>
    <x v="503"/>
    <n v="7500"/>
  </r>
  <r>
    <s v="PR-1790"/>
    <d v="2026-09-11T00:00:00"/>
    <x v="0"/>
    <x v="0"/>
    <s v="Friday"/>
    <x v="1"/>
    <x v="2"/>
    <x v="2"/>
    <s v="Dental Floss"/>
    <x v="4"/>
    <s v="Interdental Brush Pack of 10"/>
    <s v="B260911-L3B"/>
    <s v="S. Yadav"/>
    <x v="1"/>
    <x v="2"/>
    <x v="10"/>
    <n v="5040"/>
    <n v="4880"/>
    <n v="116"/>
    <n v="2.3770491803278688E-2"/>
    <n v="0.96825396825396826"/>
    <x v="3"/>
    <n v="0"/>
    <n v="0"/>
    <s v="None"/>
    <n v="29"/>
    <n v="3364"/>
    <n v="15747"/>
    <n v="4410"/>
    <n v="4410"/>
    <x v="504"/>
    <n v="7500"/>
  </r>
  <r>
    <s v="PR-1794"/>
    <d v="2026-09-11T00:00:00"/>
    <x v="0"/>
    <x v="0"/>
    <s v="Friday"/>
    <x v="2"/>
    <x v="2"/>
    <x v="2"/>
    <s v="Dental Floss"/>
    <x v="4"/>
    <s v="Interdental Brush Pack of 10"/>
    <s v="B260911-L3C"/>
    <s v="M. Khan"/>
    <x v="1"/>
    <x v="2"/>
    <x v="8"/>
    <n v="4780"/>
    <n v="4410"/>
    <n v="133"/>
    <n v="3.0158730158730159E-2"/>
    <n v="0.92259414225941427"/>
    <x v="2"/>
    <n v="0"/>
    <n v="0"/>
    <s v="None"/>
    <n v="29"/>
    <n v="3857"/>
    <n v="16101"/>
    <n v="4270"/>
    <n v="4270"/>
    <x v="505"/>
    <n v="7500"/>
  </r>
  <r>
    <s v="PR-0374"/>
    <d v="2026-05-05T00:00:00"/>
    <x v="4"/>
    <x v="4"/>
    <s v="Tuesday"/>
    <x v="1"/>
    <x v="3"/>
    <x v="3"/>
    <s v="Toothpaste"/>
    <x v="5"/>
    <s v="Charcoal Toothpaste 150g"/>
    <s v="B260505-L1B"/>
    <s v="P. Singh"/>
    <x v="1"/>
    <x v="3"/>
    <x v="3"/>
    <n v="5910"/>
    <n v="5570"/>
    <n v="191"/>
    <n v="3.4290843806104129E-2"/>
    <n v="0.94247038917089676"/>
    <x v="5"/>
    <n v="0"/>
    <n v="0"/>
    <s v="None"/>
    <n v="51"/>
    <n v="9741"/>
    <n v="16399"/>
    <n v="5660"/>
    <n v="5660"/>
    <x v="506"/>
    <n v="9000"/>
  </r>
  <r>
    <s v="PR-1519"/>
    <d v="2026-08-17T00:00:00"/>
    <x v="1"/>
    <x v="1"/>
    <s v="Monday"/>
    <x v="2"/>
    <x v="2"/>
    <x v="2"/>
    <s v="Dental Floss"/>
    <x v="4"/>
    <s v="Interdental Brush Pack of 10"/>
    <s v="B260817-L3C"/>
    <s v="A. Gupta"/>
    <x v="2"/>
    <x v="2"/>
    <x v="9"/>
    <n v="5090"/>
    <n v="4580"/>
    <n v="117"/>
    <n v="2.5545851528384279E-2"/>
    <n v="0.89980353634577603"/>
    <x v="4"/>
    <n v="34"/>
    <n v="0.56666666666666665"/>
    <s v="Cleaning / Sanitation"/>
    <n v="29"/>
    <n v="3393"/>
    <n v="15816"/>
    <n v="4160"/>
    <n v="4160"/>
    <x v="507"/>
    <n v="7500"/>
  </r>
  <r>
    <s v="PR-1441"/>
    <d v="2026-08-10T00:00:00"/>
    <x v="1"/>
    <x v="1"/>
    <s v="Monday"/>
    <x v="1"/>
    <x v="2"/>
    <x v="2"/>
    <s v="Dental Floss"/>
    <x v="4"/>
    <s v="Interdental Brush Pack of 10"/>
    <s v="B260810-L3B"/>
    <s v="P. Singh"/>
    <x v="1"/>
    <x v="2"/>
    <x v="8"/>
    <n v="4610"/>
    <n v="4230"/>
    <n v="65"/>
    <n v="1.5366430260047281E-2"/>
    <n v="0.91757049891540132"/>
    <x v="4"/>
    <n v="28"/>
    <n v="0.46666666666666667"/>
    <s v="Material Shortage"/>
    <n v="29"/>
    <n v="1885"/>
    <n v="16007"/>
    <n v="4020"/>
    <n v="4020"/>
    <x v="508"/>
    <n v="7500"/>
  </r>
  <r>
    <s v="PR-0337"/>
    <d v="2026-05-01T00:00:00"/>
    <x v="4"/>
    <x v="4"/>
    <s v="Friday"/>
    <x v="2"/>
    <x v="3"/>
    <x v="3"/>
    <s v="Toothpaste"/>
    <x v="5"/>
    <s v="Charcoal Toothpaste 150g"/>
    <s v="B260501-L1C"/>
    <s v="M. Khan"/>
    <x v="1"/>
    <x v="3"/>
    <x v="3"/>
    <n v="5740"/>
    <n v="5270"/>
    <n v="92"/>
    <n v="1.7457305502846299E-2"/>
    <n v="0.91811846689895471"/>
    <x v="0"/>
    <n v="0"/>
    <n v="0"/>
    <s v="None"/>
    <n v="51"/>
    <n v="4692"/>
    <n v="16430"/>
    <n v="5440"/>
    <n v="5440"/>
    <x v="509"/>
    <n v="9000"/>
  </r>
  <r>
    <s v="PR-0464"/>
    <d v="2026-05-13T00:00:00"/>
    <x v="4"/>
    <x v="4"/>
    <s v="Wednesday"/>
    <x v="1"/>
    <x v="2"/>
    <x v="2"/>
    <s v="Dental Floss"/>
    <x v="4"/>
    <s v="Interdental Brush Pack of 10"/>
    <s v="B260513-L3B"/>
    <s v="S. Yadav"/>
    <x v="1"/>
    <x v="2"/>
    <x v="8"/>
    <n v="4910"/>
    <n v="4410"/>
    <n v="111"/>
    <n v="2.5170068027210883E-2"/>
    <n v="0.89816700610997968"/>
    <x v="0"/>
    <n v="0"/>
    <n v="0"/>
    <s v="None"/>
    <n v="29"/>
    <n v="3219"/>
    <n v="16429"/>
    <n v="4560"/>
    <n v="4560"/>
    <x v="509"/>
    <n v="7500"/>
  </r>
  <r>
    <s v="PR-0680"/>
    <d v="2026-06-02T00:00:00"/>
    <x v="3"/>
    <x v="3"/>
    <s v="Tuesday"/>
    <x v="1"/>
    <x v="0"/>
    <x v="0"/>
    <s v="Mouthwash"/>
    <x v="2"/>
    <s v="Mint Mouthwash 500ml"/>
    <s v="B260602-L2B"/>
    <s v="S. Yadav"/>
    <x v="1"/>
    <x v="0"/>
    <x v="0"/>
    <n v="4250"/>
    <n v="3970"/>
    <n v="105"/>
    <n v="2.6448362720403022E-2"/>
    <n v="0.9341176470588235"/>
    <x v="0"/>
    <n v="0"/>
    <n v="0"/>
    <s v="None"/>
    <n v="79"/>
    <n v="8295"/>
    <n v="15603"/>
    <n v="3250"/>
    <n v="3250"/>
    <x v="510"/>
    <n v="6750"/>
  </r>
  <r>
    <s v="PR-0991"/>
    <d v="2026-06-30T00:00:00"/>
    <x v="3"/>
    <x v="3"/>
    <s v="Tuesday"/>
    <x v="1"/>
    <x v="2"/>
    <x v="2"/>
    <s v="Dental Floss"/>
    <x v="4"/>
    <s v="Interdental Brush Pack of 10"/>
    <s v="B260630-L3B"/>
    <s v="S. Yadav"/>
    <x v="2"/>
    <x v="2"/>
    <x v="9"/>
    <n v="4680"/>
    <n v="4480"/>
    <n v="78"/>
    <n v="1.7410714285714286E-2"/>
    <n v="0.95726495726495731"/>
    <x v="5"/>
    <n v="0"/>
    <n v="0"/>
    <s v="None"/>
    <n v="29"/>
    <n v="2262"/>
    <n v="15819"/>
    <n v="4000"/>
    <n v="4000"/>
    <x v="511"/>
    <n v="7500"/>
  </r>
  <r>
    <s v="PR-1071"/>
    <d v="2026-07-07T00:00:00"/>
    <x v="2"/>
    <x v="2"/>
    <s v="Tuesday"/>
    <x v="2"/>
    <x v="2"/>
    <x v="2"/>
    <s v="Dental Floss"/>
    <x v="4"/>
    <s v="Interdental Brush Pack of 10"/>
    <s v="B260707-L3C"/>
    <s v="A. Gupta"/>
    <x v="2"/>
    <x v="2"/>
    <x v="8"/>
    <n v="4600"/>
    <n v="4170"/>
    <n v="76"/>
    <n v="1.8225419664268584E-2"/>
    <n v="0.90652173913043477"/>
    <x v="0"/>
    <n v="0"/>
    <n v="0"/>
    <s v="None"/>
    <n v="29"/>
    <n v="2204"/>
    <n v="16554"/>
    <n v="4390"/>
    <n v="4390"/>
    <x v="512"/>
    <n v="7500"/>
  </r>
  <r>
    <s v="PR-0472"/>
    <d v="2026-05-14T00:00:00"/>
    <x v="4"/>
    <x v="4"/>
    <s v="Thursday"/>
    <x v="0"/>
    <x v="2"/>
    <x v="2"/>
    <s v="Dental Floss"/>
    <x v="4"/>
    <s v="Interdental Brush Pack of 10"/>
    <s v="B260514-L3A"/>
    <s v="R. Sharma"/>
    <x v="2"/>
    <x v="2"/>
    <x v="8"/>
    <n v="5250"/>
    <n v="4740"/>
    <n v="157"/>
    <n v="3.3122362869198313E-2"/>
    <n v="0.9028571428571428"/>
    <x v="5"/>
    <n v="67"/>
    <n v="1.1166666666666667"/>
    <s v="Machine Breakdown"/>
    <n v="29"/>
    <n v="4553"/>
    <n v="16372"/>
    <n v="4690"/>
    <n v="4690"/>
    <x v="513"/>
    <n v="7500"/>
  </r>
  <r>
    <s v="PR-0122"/>
    <d v="2026-04-11T00:00:00"/>
    <x v="5"/>
    <x v="5"/>
    <s v="Saturday"/>
    <x v="2"/>
    <x v="3"/>
    <x v="3"/>
    <s v="Toothpaste"/>
    <x v="5"/>
    <s v="Charcoal Toothpaste 150g"/>
    <s v="B260411-L1C"/>
    <s v="A. Gupta"/>
    <x v="1"/>
    <x v="3"/>
    <x v="8"/>
    <n v="5880"/>
    <n v="4570"/>
    <n v="90"/>
    <n v="1.9693654266958426E-2"/>
    <n v="0.77721088435374153"/>
    <x v="3"/>
    <n v="0"/>
    <n v="0"/>
    <s v="None"/>
    <n v="51"/>
    <n v="4590"/>
    <n v="17230"/>
    <n v="5420"/>
    <n v="5420"/>
    <x v="514"/>
    <n v="9000"/>
  </r>
  <r>
    <s v="PR-0364"/>
    <d v="2026-05-04T00:00:00"/>
    <x v="4"/>
    <x v="4"/>
    <s v="Monday"/>
    <x v="1"/>
    <x v="2"/>
    <x v="2"/>
    <s v="Dental Floss"/>
    <x v="4"/>
    <s v="Interdental Brush Pack of 10"/>
    <s v="B260504-L3B"/>
    <s v="S. Yadav"/>
    <x v="2"/>
    <x v="2"/>
    <x v="10"/>
    <n v="4660"/>
    <n v="4430"/>
    <n v="113"/>
    <n v="2.5507900677200903E-2"/>
    <n v="0.95064377682403434"/>
    <x v="3"/>
    <n v="0"/>
    <n v="0"/>
    <s v="None"/>
    <n v="29"/>
    <n v="3277"/>
    <n v="15957"/>
    <n v="3980"/>
    <n v="3980"/>
    <x v="515"/>
    <n v="7500"/>
  </r>
  <r>
    <s v="PR-1825"/>
    <d v="2026-09-15T00:00:00"/>
    <x v="0"/>
    <x v="0"/>
    <s v="Tuesday"/>
    <x v="0"/>
    <x v="2"/>
    <x v="2"/>
    <s v="Dental Floss"/>
    <x v="4"/>
    <s v="Interdental Brush Pack of 10"/>
    <s v="B260915-L3A"/>
    <s v="K. Verma"/>
    <x v="1"/>
    <x v="2"/>
    <x v="8"/>
    <n v="5240"/>
    <n v="5130"/>
    <n v="87"/>
    <n v="1.6959064327485378E-2"/>
    <n v="0.97900763358778631"/>
    <x v="3"/>
    <n v="0"/>
    <n v="0"/>
    <s v="None"/>
    <n v="29"/>
    <n v="2523"/>
    <n v="15831"/>
    <n v="4580"/>
    <n v="4580"/>
    <x v="515"/>
    <n v="7500"/>
  </r>
  <r>
    <s v="PR-0468"/>
    <d v="2026-05-13T00:00:00"/>
    <x v="4"/>
    <x v="4"/>
    <s v="Wednesday"/>
    <x v="2"/>
    <x v="2"/>
    <x v="2"/>
    <s v="Dental Floss"/>
    <x v="4"/>
    <s v="Interdental Brush Pack of 10"/>
    <s v="B260513-L3C"/>
    <s v="M. Khan"/>
    <x v="2"/>
    <x v="2"/>
    <x v="8"/>
    <n v="4770"/>
    <n v="4390"/>
    <n v="126"/>
    <n v="2.8701594533029614E-2"/>
    <n v="0.92033542976939209"/>
    <x v="4"/>
    <n v="47"/>
    <n v="0.78333333333333333"/>
    <s v="Material Shortage"/>
    <n v="29"/>
    <n v="3654"/>
    <n v="16168"/>
    <n v="4060"/>
    <n v="4060"/>
    <x v="516"/>
    <n v="7500"/>
  </r>
  <r>
    <s v="PR-1527"/>
    <d v="2026-08-18T00:00:00"/>
    <x v="1"/>
    <x v="1"/>
    <s v="Tuesday"/>
    <x v="1"/>
    <x v="2"/>
    <x v="2"/>
    <s v="Dental Floss"/>
    <x v="4"/>
    <s v="Interdental Brush Pack of 10"/>
    <s v="B260818-L3B"/>
    <s v="P. Singh"/>
    <x v="1"/>
    <x v="2"/>
    <x v="8"/>
    <n v="4860"/>
    <n v="4750"/>
    <n v="144"/>
    <n v="3.0315789473684209E-2"/>
    <n v="0.97736625514403297"/>
    <x v="3"/>
    <n v="0"/>
    <n v="0"/>
    <s v="None"/>
    <n v="29"/>
    <n v="4176"/>
    <n v="16119"/>
    <n v="4340"/>
    <n v="4340"/>
    <x v="517"/>
    <n v="7500"/>
  </r>
  <r>
    <s v="PR-1497"/>
    <d v="2026-08-15T00:00:00"/>
    <x v="1"/>
    <x v="1"/>
    <s v="Saturday"/>
    <x v="0"/>
    <x v="2"/>
    <x v="2"/>
    <s v="Dental Floss"/>
    <x v="4"/>
    <s v="Interdental Brush Pack of 10"/>
    <s v="B260815-L3A"/>
    <s v="K. Verma"/>
    <x v="2"/>
    <x v="2"/>
    <x v="8"/>
    <n v="5030"/>
    <n v="4650"/>
    <n v="143"/>
    <n v="3.0752688172043012E-2"/>
    <n v="0.92445328031809149"/>
    <x v="4"/>
    <n v="0"/>
    <n v="0"/>
    <s v="None"/>
    <n v="29"/>
    <n v="4147"/>
    <n v="16411"/>
    <n v="4530"/>
    <n v="4530"/>
    <x v="518"/>
    <n v="7500"/>
  </r>
  <r>
    <s v="PR-0358"/>
    <d v="2026-05-04T00:00:00"/>
    <x v="4"/>
    <x v="4"/>
    <s v="Monday"/>
    <x v="0"/>
    <x v="3"/>
    <x v="3"/>
    <s v="Toothpaste"/>
    <x v="5"/>
    <s v="Charcoal Toothpaste 150g"/>
    <s v="B260504-L1A"/>
    <s v="R. Sharma"/>
    <x v="2"/>
    <x v="3"/>
    <x v="2"/>
    <n v="5800"/>
    <n v="5160"/>
    <n v="143"/>
    <n v="2.7713178294573645E-2"/>
    <n v="0.8896551724137931"/>
    <x v="5"/>
    <n v="18"/>
    <n v="0.3"/>
    <s v="Power Interruption"/>
    <n v="51"/>
    <n v="7293"/>
    <n v="16722"/>
    <n v="5340"/>
    <n v="5340"/>
    <x v="519"/>
    <n v="9000"/>
  </r>
  <r>
    <s v="PR-1489"/>
    <d v="2026-08-14T00:00:00"/>
    <x v="1"/>
    <x v="1"/>
    <s v="Friday"/>
    <x v="1"/>
    <x v="2"/>
    <x v="2"/>
    <s v="Dental Floss"/>
    <x v="4"/>
    <s v="Interdental Brush Pack of 10"/>
    <s v="B260814-L3B"/>
    <s v="P. Singh"/>
    <x v="1"/>
    <x v="2"/>
    <x v="10"/>
    <n v="4950"/>
    <n v="4880"/>
    <n v="101"/>
    <n v="2.0696721311475409E-2"/>
    <n v="0.98585858585858588"/>
    <x v="2"/>
    <n v="52"/>
    <n v="0.8666666666666667"/>
    <s v="Changeover"/>
    <n v="29"/>
    <n v="2929"/>
    <n v="16152"/>
    <n v="4520"/>
    <n v="4520"/>
    <x v="520"/>
    <n v="7500"/>
  </r>
  <r>
    <s v="PR-0223"/>
    <d v="2026-04-21T00:00:00"/>
    <x v="5"/>
    <x v="5"/>
    <s v="Tuesday"/>
    <x v="1"/>
    <x v="3"/>
    <x v="3"/>
    <s v="Toothpaste"/>
    <x v="5"/>
    <s v="Charcoal Toothpaste 150g"/>
    <s v="B260421-L1B"/>
    <s v="P. Singh"/>
    <x v="1"/>
    <x v="3"/>
    <x v="3"/>
    <n v="5670"/>
    <n v="5140"/>
    <n v="154"/>
    <n v="2.9961089494163425E-2"/>
    <n v="0.90652557319223981"/>
    <x v="2"/>
    <n v="64"/>
    <n v="1.0666666666666667"/>
    <s v="Machine Breakdown"/>
    <n v="51"/>
    <n v="7854"/>
    <n v="16961"/>
    <n v="5530"/>
    <n v="5530"/>
    <x v="521"/>
    <n v="9000"/>
  </r>
  <r>
    <s v="PR-0452"/>
    <d v="2026-05-12T00:00:00"/>
    <x v="4"/>
    <x v="4"/>
    <s v="Tuesday"/>
    <x v="1"/>
    <x v="2"/>
    <x v="2"/>
    <s v="Dental Floss"/>
    <x v="4"/>
    <s v="Interdental Brush Pack of 10"/>
    <s v="B260512-L3B"/>
    <s v="P. Singh"/>
    <x v="1"/>
    <x v="2"/>
    <x v="8"/>
    <n v="4620"/>
    <n v="4200"/>
    <n v="72"/>
    <n v="1.7142857142857144E-2"/>
    <n v="0.90909090909090906"/>
    <x v="5"/>
    <n v="0"/>
    <n v="0"/>
    <s v="None"/>
    <n v="29"/>
    <n v="2088"/>
    <n v="15941"/>
    <n v="3640"/>
    <n v="3640"/>
    <x v="522"/>
    <n v="7500"/>
  </r>
  <r>
    <s v="PR-0329"/>
    <d v="2026-05-01T00:00:00"/>
    <x v="4"/>
    <x v="4"/>
    <s v="Friday"/>
    <x v="0"/>
    <x v="3"/>
    <x v="3"/>
    <s v="Toothpaste"/>
    <x v="5"/>
    <s v="Charcoal Toothpaste 150g"/>
    <s v="B260501-L1A"/>
    <s v="R. Sharma"/>
    <x v="1"/>
    <x v="3"/>
    <x v="3"/>
    <n v="6480"/>
    <n v="6060"/>
    <n v="162"/>
    <n v="2.6732673267326732E-2"/>
    <n v="0.93518518518518523"/>
    <x v="5"/>
    <n v="74"/>
    <n v="1.2333333333333334"/>
    <s v="Cleaning / Sanitation"/>
    <n v="51"/>
    <n v="8262"/>
    <n v="15862"/>
    <n v="5330"/>
    <n v="5330"/>
    <x v="523"/>
    <n v="9000"/>
  </r>
  <r>
    <s v="PR-1082"/>
    <d v="2026-07-08T00:00:00"/>
    <x v="2"/>
    <x v="2"/>
    <s v="Wednesday"/>
    <x v="2"/>
    <x v="0"/>
    <x v="0"/>
    <s v="Mouthwash"/>
    <x v="2"/>
    <s v="Mint Mouthwash 500ml"/>
    <s v="B260708-L2C"/>
    <s v="A. Gupta"/>
    <x v="0"/>
    <x v="0"/>
    <x v="4"/>
    <n v="4390"/>
    <n v="3680"/>
    <n v="307"/>
    <n v="8.3423913043478265E-2"/>
    <n v="0.8382687927107062"/>
    <x v="1"/>
    <n v="0"/>
    <n v="0"/>
    <s v="None"/>
    <n v="79"/>
    <n v="24253"/>
    <n v="17188"/>
    <n v="4130"/>
    <n v="4130"/>
    <x v="524"/>
    <n v="6750"/>
  </r>
  <r>
    <s v="PR-0368"/>
    <d v="2026-05-04T00:00:00"/>
    <x v="4"/>
    <x v="4"/>
    <s v="Monday"/>
    <x v="2"/>
    <x v="2"/>
    <x v="2"/>
    <s v="Dental Floss"/>
    <x v="4"/>
    <s v="Interdental Brush Pack of 10"/>
    <s v="B260504-L3C"/>
    <s v="M. Khan"/>
    <x v="1"/>
    <x v="2"/>
    <x v="8"/>
    <n v="5060"/>
    <n v="4700"/>
    <n v="167"/>
    <n v="3.5531914893617018E-2"/>
    <n v="0.92885375494071143"/>
    <x v="4"/>
    <n v="0"/>
    <n v="0"/>
    <s v="None"/>
    <n v="29"/>
    <n v="4843"/>
    <n v="16294"/>
    <n v="4390"/>
    <n v="4390"/>
    <x v="525"/>
    <n v="7500"/>
  </r>
  <r>
    <s v="PR-0376"/>
    <d v="2026-05-05T00:00:00"/>
    <x v="4"/>
    <x v="4"/>
    <s v="Tuesday"/>
    <x v="1"/>
    <x v="2"/>
    <x v="2"/>
    <s v="Dental Floss"/>
    <x v="4"/>
    <s v="Interdental Brush Pack of 10"/>
    <s v="B260505-L3B"/>
    <s v="P. Singh"/>
    <x v="2"/>
    <x v="2"/>
    <x v="10"/>
    <n v="5060"/>
    <n v="5060"/>
    <n v="104"/>
    <n v="2.0553359683794466E-2"/>
    <n v="1"/>
    <x v="2"/>
    <n v="63"/>
    <n v="1.05"/>
    <s v="Cleaning / Sanitation"/>
    <n v="29"/>
    <n v="3016"/>
    <n v="16437"/>
    <n v="4920"/>
    <n v="4920"/>
    <x v="526"/>
    <n v="7500"/>
  </r>
  <r>
    <s v="PR-1067"/>
    <d v="2026-07-07T00:00:00"/>
    <x v="2"/>
    <x v="2"/>
    <s v="Tuesday"/>
    <x v="1"/>
    <x v="2"/>
    <x v="2"/>
    <s v="Dental Floss"/>
    <x v="4"/>
    <s v="Interdental Brush Pack of 10"/>
    <s v="B260707-L3B"/>
    <s v="S. Yadav"/>
    <x v="1"/>
    <x v="2"/>
    <x v="10"/>
    <n v="4950"/>
    <n v="4820"/>
    <n v="169"/>
    <n v="3.5062240663900415E-2"/>
    <n v="0.97373737373737379"/>
    <x v="4"/>
    <n v="0"/>
    <n v="0"/>
    <s v="None"/>
    <n v="29"/>
    <n v="4901"/>
    <n v="15823"/>
    <n v="3920"/>
    <n v="3920"/>
    <x v="527"/>
    <n v="7500"/>
  </r>
  <r>
    <s v="PR-0692"/>
    <d v="2026-06-03T00:00:00"/>
    <x v="3"/>
    <x v="3"/>
    <s v="Wednesday"/>
    <x v="1"/>
    <x v="0"/>
    <x v="0"/>
    <s v="Mouthwash"/>
    <x v="2"/>
    <s v="Mint Mouthwash 500ml"/>
    <s v="B260603-L2B"/>
    <s v="P. Singh"/>
    <x v="1"/>
    <x v="0"/>
    <x v="0"/>
    <n v="4240"/>
    <n v="4190"/>
    <n v="51"/>
    <n v="1.2171837708830549E-2"/>
    <n v="0.9882075471698113"/>
    <x v="2"/>
    <n v="0"/>
    <n v="0"/>
    <s v="None"/>
    <n v="79"/>
    <n v="4029"/>
    <n v="16218"/>
    <n v="3800"/>
    <n v="3800"/>
    <x v="528"/>
    <n v="6750"/>
  </r>
  <r>
    <s v="PR-0074"/>
    <d v="2026-04-07T00:00:00"/>
    <x v="5"/>
    <x v="5"/>
    <s v="Tuesday"/>
    <x v="2"/>
    <x v="3"/>
    <x v="3"/>
    <s v="Toothpaste"/>
    <x v="5"/>
    <s v="Charcoal Toothpaste 150g"/>
    <s v="B260407-L1C"/>
    <s v="M. Khan"/>
    <x v="1"/>
    <x v="3"/>
    <x v="5"/>
    <n v="5390"/>
    <n v="4600"/>
    <n v="179"/>
    <n v="3.891304347826087E-2"/>
    <n v="0.85343228200371057"/>
    <x v="5"/>
    <n v="71"/>
    <n v="1.1833333333333333"/>
    <s v="Machine Breakdown"/>
    <n v="51"/>
    <n v="9129"/>
    <n v="17041"/>
    <n v="4900"/>
    <n v="4900"/>
    <x v="529"/>
    <n v="9000"/>
  </r>
  <r>
    <s v="PR-0696"/>
    <d v="2026-06-03T00:00:00"/>
    <x v="3"/>
    <x v="3"/>
    <s v="Wednesday"/>
    <x v="2"/>
    <x v="0"/>
    <x v="0"/>
    <s v="Mouthwash"/>
    <x v="2"/>
    <s v="Mint Mouthwash 500ml"/>
    <s v="B260603-L2C"/>
    <s v="M. Khan"/>
    <x v="1"/>
    <x v="0"/>
    <x v="3"/>
    <n v="4070"/>
    <n v="3700"/>
    <n v="131"/>
    <n v="3.5405405405405405E-2"/>
    <n v="0.90909090909090906"/>
    <x v="5"/>
    <n v="0"/>
    <n v="0"/>
    <s v="None"/>
    <n v="79"/>
    <n v="10349"/>
    <n v="16557"/>
    <n v="3520"/>
    <n v="3520"/>
    <x v="530"/>
    <n v="6750"/>
  </r>
  <r>
    <s v="PR-1535"/>
    <d v="2026-08-19T00:00:00"/>
    <x v="1"/>
    <x v="1"/>
    <s v="Wednesday"/>
    <x v="0"/>
    <x v="2"/>
    <x v="2"/>
    <s v="Dental Floss"/>
    <x v="4"/>
    <s v="Interdental Brush Pack of 10"/>
    <s v="B260819-L3A"/>
    <s v="R. Sharma"/>
    <x v="2"/>
    <x v="2"/>
    <x v="10"/>
    <n v="4750"/>
    <n v="4600"/>
    <n v="75"/>
    <n v="1.6304347826086956E-2"/>
    <n v="0.96842105263157896"/>
    <x v="4"/>
    <n v="0"/>
    <n v="0"/>
    <s v="None"/>
    <n v="29"/>
    <n v="2175"/>
    <n v="16385"/>
    <n v="4290"/>
    <n v="4290"/>
    <x v="531"/>
    <n v="7500"/>
  </r>
  <r>
    <s v="PR-1183"/>
    <d v="2026-07-17T00:00:00"/>
    <x v="2"/>
    <x v="2"/>
    <s v="Friday"/>
    <x v="2"/>
    <x v="0"/>
    <x v="0"/>
    <s v="Mouthwash"/>
    <x v="1"/>
    <s v="Alcohol-Free Mouthwash 250ml"/>
    <s v="B260717-L2C"/>
    <s v="M. Khan"/>
    <x v="0"/>
    <x v="0"/>
    <x v="4"/>
    <n v="5260"/>
    <n v="4410"/>
    <n v="577"/>
    <n v="0.1308390022675737"/>
    <n v="0.83840304182509506"/>
    <x v="1"/>
    <n v="0"/>
    <n v="0"/>
    <s v="None"/>
    <n v="58"/>
    <n v="33466"/>
    <n v="18042"/>
    <n v="5230"/>
    <n v="5230"/>
    <x v="532"/>
    <n v="9000"/>
  </r>
  <r>
    <s v="PR-0392"/>
    <d v="2026-05-06T00:00:00"/>
    <x v="4"/>
    <x v="4"/>
    <s v="Wednesday"/>
    <x v="2"/>
    <x v="2"/>
    <x v="2"/>
    <s v="Dental Floss"/>
    <x v="4"/>
    <s v="Interdental Brush Pack of 10"/>
    <s v="B260506-L3C"/>
    <s v="A. Gupta"/>
    <x v="2"/>
    <x v="2"/>
    <x v="8"/>
    <n v="5080"/>
    <n v="4930"/>
    <n v="115"/>
    <n v="2.332657200811359E-2"/>
    <n v="0.97047244094488194"/>
    <x v="0"/>
    <n v="0"/>
    <n v="0"/>
    <s v="None"/>
    <n v="29"/>
    <n v="3335"/>
    <n v="16473"/>
    <n v="4630"/>
    <n v="4630"/>
    <x v="533"/>
    <n v="7500"/>
  </r>
  <r>
    <s v="PR-0207"/>
    <d v="2026-04-20T00:00:00"/>
    <x v="5"/>
    <x v="5"/>
    <s v="Monday"/>
    <x v="0"/>
    <x v="3"/>
    <x v="3"/>
    <s v="Toothpaste"/>
    <x v="5"/>
    <s v="Charcoal Toothpaste 150g"/>
    <s v="B260420-L1A"/>
    <s v="K. Verma"/>
    <x v="2"/>
    <x v="3"/>
    <x v="3"/>
    <n v="6180"/>
    <n v="5630"/>
    <n v="143"/>
    <n v="2.5399644760213145E-2"/>
    <n v="0.9110032362459547"/>
    <x v="2"/>
    <n v="31"/>
    <n v="0.51666666666666672"/>
    <s v="Machine Breakdown"/>
    <n v="51"/>
    <n v="7293"/>
    <n v="17066"/>
    <n v="5880"/>
    <n v="5880"/>
    <x v="534"/>
    <n v="9000"/>
  </r>
  <r>
    <s v="PR-0058"/>
    <d v="2026-04-06T00:00:00"/>
    <x v="5"/>
    <x v="5"/>
    <s v="Monday"/>
    <x v="1"/>
    <x v="3"/>
    <x v="3"/>
    <s v="Toothpaste"/>
    <x v="5"/>
    <s v="Charcoal Toothpaste 150g"/>
    <s v="B260406-L1B"/>
    <s v="S. Yadav"/>
    <x v="1"/>
    <x v="3"/>
    <x v="3"/>
    <n v="6350"/>
    <n v="5880"/>
    <n v="97"/>
    <n v="1.6496598639455781E-2"/>
    <n v="0.92598425196850398"/>
    <x v="3"/>
    <n v="0"/>
    <n v="0"/>
    <s v="None"/>
    <n v="51"/>
    <n v="4947"/>
    <n v="16976"/>
    <n v="6060"/>
    <n v="6060"/>
    <x v="535"/>
    <n v="9000"/>
  </r>
  <r>
    <s v="PR-0090"/>
    <d v="2026-04-09T00:00:00"/>
    <x v="5"/>
    <x v="5"/>
    <s v="Thursday"/>
    <x v="0"/>
    <x v="3"/>
    <x v="3"/>
    <s v="Toothpaste"/>
    <x v="5"/>
    <s v="Charcoal Toothpaste 150g"/>
    <s v="B260409-L1A"/>
    <s v="R. Sharma"/>
    <x v="1"/>
    <x v="3"/>
    <x v="2"/>
    <n v="5720"/>
    <n v="5820"/>
    <n v="124"/>
    <n v="2.1305841924398626E-2"/>
    <n v="1.0174825174825175"/>
    <x v="0"/>
    <n v="0"/>
    <n v="0"/>
    <s v="None"/>
    <n v="51"/>
    <n v="6324"/>
    <n v="15810"/>
    <n v="4800"/>
    <n v="4800"/>
    <x v="536"/>
    <n v="9000"/>
  </r>
  <r>
    <s v="PR-0704"/>
    <d v="2026-06-04T00:00:00"/>
    <x v="3"/>
    <x v="3"/>
    <s v="Thursday"/>
    <x v="1"/>
    <x v="0"/>
    <x v="0"/>
    <s v="Mouthwash"/>
    <x v="2"/>
    <s v="Mint Mouthwash 500ml"/>
    <s v="B260604-L2B"/>
    <s v="P. Singh"/>
    <x v="1"/>
    <x v="0"/>
    <x v="0"/>
    <n v="4700"/>
    <n v="4450"/>
    <n v="116"/>
    <n v="2.6067415730337079E-2"/>
    <n v="0.94680851063829785"/>
    <x v="5"/>
    <n v="0"/>
    <n v="0"/>
    <s v="None"/>
    <n v="79"/>
    <n v="9164"/>
    <n v="16606"/>
    <n v="4220"/>
    <n v="4220"/>
    <x v="537"/>
    <n v="6750"/>
  </r>
  <r>
    <s v="PR-0345"/>
    <d v="2026-05-02T00:00:00"/>
    <x v="4"/>
    <x v="4"/>
    <s v="Saturday"/>
    <x v="1"/>
    <x v="3"/>
    <x v="3"/>
    <s v="Toothpaste"/>
    <x v="5"/>
    <s v="Charcoal Toothpaste 150g"/>
    <s v="B260502-L1B"/>
    <s v="S. Yadav"/>
    <x v="1"/>
    <x v="3"/>
    <x v="2"/>
    <n v="6090"/>
    <n v="5880"/>
    <n v="101"/>
    <n v="1.7176870748299319E-2"/>
    <n v="0.96551724137931039"/>
    <x v="4"/>
    <n v="35"/>
    <n v="0.58333333333333337"/>
    <s v="Material Shortage"/>
    <n v="51"/>
    <n v="5151"/>
    <n v="16033"/>
    <n v="5090"/>
    <n v="5090"/>
    <x v="538"/>
    <n v="9000"/>
  </r>
  <r>
    <s v="PR-0737"/>
    <d v="2026-06-07T00:00:00"/>
    <x v="3"/>
    <x v="3"/>
    <s v="Sunday"/>
    <x v="1"/>
    <x v="0"/>
    <x v="0"/>
    <s v="Mouthwash"/>
    <x v="2"/>
    <s v="Mint Mouthwash 500ml"/>
    <s v="B260607-L2B"/>
    <s v="P. Singh"/>
    <x v="1"/>
    <x v="0"/>
    <x v="3"/>
    <n v="3370"/>
    <n v="2970"/>
    <n v="86"/>
    <n v="2.8956228956228958E-2"/>
    <n v="0.88130563798219586"/>
    <x v="0"/>
    <n v="69"/>
    <n v="1.1499999999999999"/>
    <s v="Power Interruption"/>
    <n v="79"/>
    <n v="6794"/>
    <n v="16884"/>
    <n v="3030"/>
    <n v="3030"/>
    <x v="539"/>
    <n v="6750"/>
  </r>
  <r>
    <s v="PR-1671"/>
    <d v="2026-08-31T00:00:00"/>
    <x v="1"/>
    <x v="1"/>
    <s v="Monday"/>
    <x v="2"/>
    <x v="2"/>
    <x v="2"/>
    <s v="Dental Floss"/>
    <x v="4"/>
    <s v="Interdental Brush Pack of 10"/>
    <s v="B260831-L3C"/>
    <s v="A. Gupta"/>
    <x v="1"/>
    <x v="2"/>
    <x v="8"/>
    <n v="5120"/>
    <n v="4750"/>
    <n v="135"/>
    <n v="2.8421052631578948E-2"/>
    <n v="0.927734375"/>
    <x v="4"/>
    <n v="0"/>
    <n v="0"/>
    <s v="None"/>
    <n v="29"/>
    <n v="3915"/>
    <n v="17112"/>
    <n v="4960"/>
    <n v="4960"/>
    <x v="540"/>
    <n v="7500"/>
  </r>
  <r>
    <s v="PR-0178"/>
    <d v="2026-04-17T00:00:00"/>
    <x v="5"/>
    <x v="5"/>
    <s v="Friday"/>
    <x v="0"/>
    <x v="3"/>
    <x v="3"/>
    <s v="Toothpaste"/>
    <x v="5"/>
    <s v="Charcoal Toothpaste 150g"/>
    <s v="B260417-L1A"/>
    <s v="K. Verma"/>
    <x v="1"/>
    <x v="3"/>
    <x v="2"/>
    <n v="5940"/>
    <n v="5940"/>
    <n v="138"/>
    <n v="2.3232323232323233E-2"/>
    <n v="1"/>
    <x v="4"/>
    <n v="0"/>
    <n v="0"/>
    <s v="None"/>
    <n v="51"/>
    <n v="7038"/>
    <n v="16017"/>
    <n v="5050"/>
    <n v="5050"/>
    <x v="541"/>
    <n v="9000"/>
  </r>
  <r>
    <s v="PR-0378"/>
    <d v="2026-05-05T00:00:00"/>
    <x v="4"/>
    <x v="4"/>
    <s v="Tuesday"/>
    <x v="2"/>
    <x v="3"/>
    <x v="3"/>
    <s v="Toothpaste"/>
    <x v="5"/>
    <s v="Charcoal Toothpaste 150g"/>
    <s v="B260505-L1C"/>
    <s v="A. Gupta"/>
    <x v="2"/>
    <x v="3"/>
    <x v="3"/>
    <n v="5760"/>
    <n v="5730"/>
    <n v="177"/>
    <n v="3.0890052356020943E-2"/>
    <n v="0.99479166666666663"/>
    <x v="0"/>
    <n v="0"/>
    <n v="0"/>
    <s v="None"/>
    <n v="51"/>
    <n v="9027"/>
    <n v="16118"/>
    <n v="4900"/>
    <n v="4900"/>
    <x v="542"/>
    <n v="9000"/>
  </r>
  <r>
    <s v="PR-1551"/>
    <d v="2026-08-20T00:00:00"/>
    <x v="1"/>
    <x v="1"/>
    <s v="Thursday"/>
    <x v="1"/>
    <x v="2"/>
    <x v="2"/>
    <s v="Dental Floss"/>
    <x v="4"/>
    <s v="Interdental Brush Pack of 10"/>
    <s v="B260820-L3B"/>
    <s v="S. Yadav"/>
    <x v="2"/>
    <x v="2"/>
    <x v="10"/>
    <n v="4870"/>
    <n v="4630"/>
    <n v="111"/>
    <n v="2.3974082073434124E-2"/>
    <n v="0.95071868583162222"/>
    <x v="4"/>
    <n v="0"/>
    <n v="0"/>
    <s v="None"/>
    <n v="29"/>
    <n v="3219"/>
    <n v="16620"/>
    <n v="4340"/>
    <n v="4340"/>
    <x v="543"/>
    <n v="7500"/>
  </r>
  <r>
    <s v="PR-0396"/>
    <d v="2026-05-07T00:00:00"/>
    <x v="4"/>
    <x v="4"/>
    <s v="Thursday"/>
    <x v="0"/>
    <x v="2"/>
    <x v="2"/>
    <s v="Dental Floss"/>
    <x v="4"/>
    <s v="Interdental Brush Pack of 10"/>
    <s v="B260507-L3A"/>
    <s v="K. Verma"/>
    <x v="1"/>
    <x v="2"/>
    <x v="10"/>
    <n v="5390"/>
    <n v="5230"/>
    <n v="136"/>
    <n v="2.6003824091778201E-2"/>
    <n v="0.9703153988868275"/>
    <x v="5"/>
    <n v="0"/>
    <n v="0"/>
    <s v="None"/>
    <n v="29"/>
    <n v="3944"/>
    <n v="16658"/>
    <n v="4940"/>
    <n v="4940"/>
    <x v="544"/>
    <n v="7500"/>
  </r>
  <r>
    <s v="PR-1074"/>
    <d v="2026-07-08T00:00:00"/>
    <x v="2"/>
    <x v="2"/>
    <s v="Wednesday"/>
    <x v="0"/>
    <x v="0"/>
    <x v="0"/>
    <s v="Mouthwash"/>
    <x v="2"/>
    <s v="Mint Mouthwash 500ml"/>
    <s v="B260708-L2A"/>
    <s v="K. Verma"/>
    <x v="0"/>
    <x v="0"/>
    <x v="1"/>
    <n v="4540"/>
    <n v="4200"/>
    <n v="464"/>
    <n v="0.11047619047619048"/>
    <n v="0.92511013215859028"/>
    <x v="1"/>
    <n v="0"/>
    <n v="0"/>
    <s v="None"/>
    <n v="79"/>
    <n v="36656"/>
    <n v="17092"/>
    <n v="4010"/>
    <n v="4010"/>
    <x v="545"/>
    <n v="6750"/>
  </r>
  <r>
    <s v="PR-0728"/>
    <d v="2026-06-06T00:00:00"/>
    <x v="3"/>
    <x v="3"/>
    <s v="Saturday"/>
    <x v="1"/>
    <x v="0"/>
    <x v="0"/>
    <s v="Mouthwash"/>
    <x v="2"/>
    <s v="Mint Mouthwash 500ml"/>
    <s v="B260606-L2B"/>
    <s v="S. Yadav"/>
    <x v="1"/>
    <x v="0"/>
    <x v="2"/>
    <n v="4600"/>
    <n v="4230"/>
    <n v="82"/>
    <n v="1.9385342789598109E-2"/>
    <n v="0.91956521739130437"/>
    <x v="4"/>
    <n v="65"/>
    <n v="1.0833333333333333"/>
    <s v="Changeover"/>
    <n v="79"/>
    <n v="6478"/>
    <n v="17166"/>
    <n v="4430"/>
    <n v="4430"/>
    <x v="546"/>
    <n v="6750"/>
  </r>
  <r>
    <s v="PR-0215"/>
    <d v="2026-04-20T00:00:00"/>
    <x v="5"/>
    <x v="5"/>
    <s v="Monday"/>
    <x v="2"/>
    <x v="3"/>
    <x v="3"/>
    <s v="Toothpaste"/>
    <x v="5"/>
    <s v="Charcoal Toothpaste 150g"/>
    <s v="B260420-L1C"/>
    <s v="A. Gupta"/>
    <x v="2"/>
    <x v="3"/>
    <x v="3"/>
    <n v="5750"/>
    <n v="5170"/>
    <n v="132"/>
    <n v="2.553191489361702E-2"/>
    <n v="0.89913043478260868"/>
    <x v="0"/>
    <n v="34"/>
    <n v="0.56666666666666665"/>
    <s v="Power Interruption"/>
    <n v="51"/>
    <n v="6732"/>
    <n v="16673"/>
    <n v="4750"/>
    <n v="4750"/>
    <x v="547"/>
    <n v="9000"/>
  </r>
  <r>
    <s v="PR-0773"/>
    <d v="2026-06-10T00:00:00"/>
    <x v="3"/>
    <x v="3"/>
    <s v="Wednesday"/>
    <x v="2"/>
    <x v="0"/>
    <x v="0"/>
    <s v="Mouthwash"/>
    <x v="2"/>
    <s v="Mint Mouthwash 500ml"/>
    <s v="B260610-L2C"/>
    <s v="A. Gupta"/>
    <x v="2"/>
    <x v="0"/>
    <x v="3"/>
    <n v="4370"/>
    <n v="3760"/>
    <n v="115"/>
    <n v="3.0585106382978722E-2"/>
    <n v="0.86041189931350115"/>
    <x v="5"/>
    <n v="74"/>
    <n v="1.2333333333333334"/>
    <s v="Material Shortage"/>
    <n v="79"/>
    <n v="9085"/>
    <n v="17062"/>
    <n v="3740"/>
    <n v="3740"/>
    <x v="548"/>
    <n v="6750"/>
  </r>
  <r>
    <s v="PR-0037"/>
    <d v="2026-04-04T00:00:00"/>
    <x v="5"/>
    <x v="5"/>
    <s v="Saturday"/>
    <x v="0"/>
    <x v="3"/>
    <x v="3"/>
    <s v="Toothpaste"/>
    <x v="5"/>
    <s v="Charcoal Toothpaste 150g"/>
    <s v="B260404-L1A"/>
    <s v="R. Sharma"/>
    <x v="2"/>
    <x v="3"/>
    <x v="4"/>
    <n v="5600"/>
    <n v="5170"/>
    <n v="149"/>
    <n v="2.8820116054158608E-2"/>
    <n v="0.92321428571428577"/>
    <x v="3"/>
    <n v="68"/>
    <n v="1.1333333333333333"/>
    <s v="Machine Breakdown"/>
    <n v="51"/>
    <n v="7599"/>
    <n v="17275"/>
    <n v="5320"/>
    <n v="5320"/>
    <x v="549"/>
    <n v="9000"/>
  </r>
  <r>
    <s v="PR-1058"/>
    <d v="2026-07-06T00:00:00"/>
    <x v="2"/>
    <x v="2"/>
    <s v="Monday"/>
    <x v="2"/>
    <x v="0"/>
    <x v="0"/>
    <s v="Mouthwash"/>
    <x v="2"/>
    <s v="Mint Mouthwash 500ml"/>
    <s v="B260706-L2C"/>
    <s v="M. Khan"/>
    <x v="0"/>
    <x v="0"/>
    <x v="4"/>
    <n v="4170"/>
    <n v="3580"/>
    <n v="430"/>
    <n v="0.12011173184357542"/>
    <n v="0.85851318944844124"/>
    <x v="1"/>
    <n v="0"/>
    <n v="0"/>
    <s v="None"/>
    <n v="79"/>
    <n v="33970"/>
    <n v="17833"/>
    <n v="3990"/>
    <n v="3990"/>
    <x v="550"/>
    <n v="6750"/>
  </r>
  <r>
    <s v="PR-0708"/>
    <d v="2026-06-04T00:00:00"/>
    <x v="3"/>
    <x v="3"/>
    <s v="Thursday"/>
    <x v="2"/>
    <x v="0"/>
    <x v="0"/>
    <s v="Mouthwash"/>
    <x v="2"/>
    <s v="Mint Mouthwash 500ml"/>
    <s v="B260604-L2C"/>
    <s v="A. Gupta"/>
    <x v="1"/>
    <x v="0"/>
    <x v="2"/>
    <n v="4440"/>
    <n v="4000"/>
    <n v="113"/>
    <n v="2.8250000000000001E-2"/>
    <n v="0.90090090090090091"/>
    <x v="3"/>
    <n v="24"/>
    <n v="0.4"/>
    <s v="Machine Breakdown"/>
    <n v="79"/>
    <n v="8927"/>
    <n v="16720"/>
    <n v="3610"/>
    <n v="3610"/>
    <x v="551"/>
    <n v="6750"/>
  </r>
  <r>
    <s v="PR-0785"/>
    <d v="2026-06-11T00:00:00"/>
    <x v="3"/>
    <x v="3"/>
    <s v="Thursday"/>
    <x v="2"/>
    <x v="0"/>
    <x v="0"/>
    <s v="Mouthwash"/>
    <x v="2"/>
    <s v="Mint Mouthwash 500ml"/>
    <s v="B260611-L2C"/>
    <s v="A. Gupta"/>
    <x v="2"/>
    <x v="0"/>
    <x v="1"/>
    <n v="4440"/>
    <n v="4300"/>
    <n v="90"/>
    <n v="2.0930232558139535E-2"/>
    <n v="0.96846846846846846"/>
    <x v="0"/>
    <n v="63"/>
    <n v="1.05"/>
    <s v="Machine Breakdown"/>
    <n v="79"/>
    <n v="7110"/>
    <n v="16967"/>
    <n v="4150"/>
    <n v="4150"/>
    <x v="552"/>
    <n v="6750"/>
  </r>
  <r>
    <s v="PR-0070"/>
    <d v="2026-04-07T00:00:00"/>
    <x v="5"/>
    <x v="5"/>
    <s v="Tuesday"/>
    <x v="1"/>
    <x v="3"/>
    <x v="3"/>
    <s v="Toothpaste"/>
    <x v="5"/>
    <s v="Charcoal Toothpaste 150g"/>
    <s v="B260407-L1B"/>
    <s v="P. Singh"/>
    <x v="1"/>
    <x v="3"/>
    <x v="4"/>
    <n v="5610"/>
    <n v="5140"/>
    <n v="48"/>
    <n v="9.3385214007782099E-3"/>
    <n v="0.91622103386809273"/>
    <x v="5"/>
    <n v="0"/>
    <n v="0"/>
    <s v="None"/>
    <n v="51"/>
    <n v="2448"/>
    <n v="16699"/>
    <n v="4750"/>
    <n v="4750"/>
    <x v="553"/>
    <n v="9000"/>
  </r>
  <r>
    <s v="PR-1567"/>
    <d v="2026-08-21T00:00:00"/>
    <x v="1"/>
    <x v="1"/>
    <s v="Friday"/>
    <x v="2"/>
    <x v="2"/>
    <x v="2"/>
    <s v="Dental Floss"/>
    <x v="4"/>
    <s v="Interdental Brush Pack of 10"/>
    <s v="B260821-L3C"/>
    <s v="M. Khan"/>
    <x v="1"/>
    <x v="2"/>
    <x v="10"/>
    <n v="4930"/>
    <n v="4620"/>
    <n v="132"/>
    <n v="2.8571428571428571E-2"/>
    <n v="0.93711967545638941"/>
    <x v="0"/>
    <n v="0"/>
    <n v="0"/>
    <s v="None"/>
    <n v="29"/>
    <n v="3828"/>
    <n v="17105"/>
    <n v="4540"/>
    <n v="4540"/>
    <x v="554"/>
    <n v="7500"/>
  </r>
  <r>
    <s v="PR-0745"/>
    <d v="2026-06-08T00:00:00"/>
    <x v="3"/>
    <x v="3"/>
    <s v="Monday"/>
    <x v="1"/>
    <x v="0"/>
    <x v="0"/>
    <s v="Mouthwash"/>
    <x v="2"/>
    <s v="Mint Mouthwash 500ml"/>
    <s v="B260608-L2B"/>
    <s v="P. Singh"/>
    <x v="1"/>
    <x v="0"/>
    <x v="1"/>
    <n v="4180"/>
    <n v="3990"/>
    <n v="126"/>
    <n v="3.1578947368421054E-2"/>
    <n v="0.95454545454545459"/>
    <x v="3"/>
    <n v="0"/>
    <n v="0"/>
    <s v="None"/>
    <n v="79"/>
    <n v="9954"/>
    <n v="16738"/>
    <n v="3540"/>
    <n v="3540"/>
    <x v="555"/>
    <n v="6750"/>
  </r>
  <r>
    <s v="PR-0182"/>
    <d v="2026-04-17T00:00:00"/>
    <x v="5"/>
    <x v="5"/>
    <s v="Friday"/>
    <x v="1"/>
    <x v="3"/>
    <x v="3"/>
    <s v="Toothpaste"/>
    <x v="5"/>
    <s v="Charcoal Toothpaste 150g"/>
    <s v="B260417-L1B"/>
    <s v="P. Singh"/>
    <x v="1"/>
    <x v="3"/>
    <x v="2"/>
    <n v="5900"/>
    <n v="5560"/>
    <n v="113"/>
    <n v="2.0323741007194245E-2"/>
    <n v="0.94237288135593222"/>
    <x v="2"/>
    <n v="0"/>
    <n v="0"/>
    <s v="None"/>
    <n v="51"/>
    <n v="5763"/>
    <n v="16769"/>
    <n v="5150"/>
    <n v="5150"/>
    <x v="556"/>
    <n v="9000"/>
  </r>
  <r>
    <s v="PR-1349"/>
    <d v="2026-08-01T00:00:00"/>
    <x v="1"/>
    <x v="1"/>
    <s v="Saturday"/>
    <x v="2"/>
    <x v="0"/>
    <x v="0"/>
    <s v="Mouthwash"/>
    <x v="0"/>
    <s v="Mint Mouthwash 250ml"/>
    <s v="B260801-L2C"/>
    <s v="M. Khan"/>
    <x v="2"/>
    <x v="0"/>
    <x v="1"/>
    <n v="6570"/>
    <n v="6180"/>
    <n v="103"/>
    <n v="1.6666666666666666E-2"/>
    <n v="0.94063926940639264"/>
    <x v="0"/>
    <n v="42"/>
    <n v="0.7"/>
    <s v="Material Shortage"/>
    <n v="46"/>
    <n v="4738"/>
    <n v="17472"/>
    <n v="6460"/>
    <n v="6460"/>
    <x v="557"/>
    <n v="10500"/>
  </r>
  <r>
    <s v="PR-1066"/>
    <d v="2026-07-07T00:00:00"/>
    <x v="2"/>
    <x v="2"/>
    <s v="Tuesday"/>
    <x v="1"/>
    <x v="0"/>
    <x v="0"/>
    <s v="Mouthwash"/>
    <x v="2"/>
    <s v="Mint Mouthwash 500ml"/>
    <s v="B260707-L2B"/>
    <s v="S. Yadav"/>
    <x v="1"/>
    <x v="0"/>
    <x v="0"/>
    <n v="4220"/>
    <n v="4080"/>
    <n v="81"/>
    <n v="1.9852941176470587E-2"/>
    <n v="0.96682464454976302"/>
    <x v="5"/>
    <n v="0"/>
    <n v="0"/>
    <s v="None"/>
    <n v="79"/>
    <n v="6399"/>
    <n v="16993"/>
    <n v="3900"/>
    <n v="3900"/>
    <x v="558"/>
    <n v="6750"/>
  </r>
  <r>
    <s v="PR-1559"/>
    <d v="2026-08-21T00:00:00"/>
    <x v="1"/>
    <x v="1"/>
    <s v="Friday"/>
    <x v="0"/>
    <x v="2"/>
    <x v="2"/>
    <s v="Dental Floss"/>
    <x v="4"/>
    <s v="Interdental Brush Pack of 10"/>
    <s v="B260821-L3A"/>
    <s v="K. Verma"/>
    <x v="2"/>
    <x v="2"/>
    <x v="10"/>
    <n v="4720"/>
    <n v="4410"/>
    <n v="144"/>
    <n v="3.2653061224489799E-2"/>
    <n v="0.93432203389830504"/>
    <x v="4"/>
    <n v="0"/>
    <n v="0"/>
    <s v="None"/>
    <n v="29"/>
    <n v="4176"/>
    <n v="16799"/>
    <n v="3960"/>
    <n v="3960"/>
    <x v="559"/>
    <n v="7500"/>
  </r>
  <r>
    <s v="PR-1658"/>
    <d v="2026-08-30T00:00:00"/>
    <x v="1"/>
    <x v="1"/>
    <s v="Sunday"/>
    <x v="0"/>
    <x v="2"/>
    <x v="2"/>
    <s v="Dental Floss"/>
    <x v="4"/>
    <s v="Interdental Brush Pack of 10"/>
    <s v="B260830-L3A"/>
    <s v="K. Verma"/>
    <x v="2"/>
    <x v="2"/>
    <x v="8"/>
    <n v="3600"/>
    <n v="3410"/>
    <n v="91"/>
    <n v="2.6686217008797655E-2"/>
    <n v="0.94722222222222219"/>
    <x v="3"/>
    <n v="47"/>
    <n v="0.78333333333333333"/>
    <s v="Material Shortage"/>
    <n v="29"/>
    <n v="2639"/>
    <n v="17333"/>
    <n v="3540"/>
    <n v="3540"/>
    <x v="560"/>
    <n v="7500"/>
  </r>
  <r>
    <s v="PR-0712"/>
    <d v="2026-06-05T00:00:00"/>
    <x v="3"/>
    <x v="3"/>
    <s v="Friday"/>
    <x v="0"/>
    <x v="0"/>
    <x v="0"/>
    <s v="Mouthwash"/>
    <x v="2"/>
    <s v="Mint Mouthwash 500ml"/>
    <s v="B260605-L2A"/>
    <s v="R. Sharma"/>
    <x v="2"/>
    <x v="0"/>
    <x v="1"/>
    <n v="4850"/>
    <n v="4670"/>
    <n v="91"/>
    <n v="1.948608137044968E-2"/>
    <n v="0.96288659793814435"/>
    <x v="0"/>
    <n v="0"/>
    <n v="0"/>
    <s v="None"/>
    <n v="79"/>
    <n v="7189"/>
    <n v="16997"/>
    <n v="4410"/>
    <n v="4410"/>
    <x v="561"/>
    <n v="6750"/>
  </r>
  <r>
    <s v="PR-1078"/>
    <d v="2026-07-08T00:00:00"/>
    <x v="2"/>
    <x v="2"/>
    <s v="Wednesday"/>
    <x v="1"/>
    <x v="0"/>
    <x v="0"/>
    <s v="Mouthwash"/>
    <x v="2"/>
    <s v="Mint Mouthwash 500ml"/>
    <s v="B260708-L2B"/>
    <s v="S. Yadav"/>
    <x v="1"/>
    <x v="0"/>
    <x v="1"/>
    <n v="4590"/>
    <n v="4380"/>
    <n v="130"/>
    <n v="2.9680365296803651E-2"/>
    <n v="0.95424836601307195"/>
    <x v="5"/>
    <n v="10"/>
    <n v="0.16666666666666666"/>
    <s v="Material Shortage"/>
    <n v="79"/>
    <n v="10270"/>
    <n v="16818"/>
    <n v="3880"/>
    <n v="3880"/>
    <x v="562"/>
    <n v="6750"/>
  </r>
  <r>
    <s v="PR-0462"/>
    <d v="2026-05-13T00:00:00"/>
    <x v="4"/>
    <x v="4"/>
    <s v="Wednesday"/>
    <x v="1"/>
    <x v="3"/>
    <x v="3"/>
    <s v="Toothpaste"/>
    <x v="5"/>
    <s v="Charcoal Toothpaste 150g"/>
    <s v="B260513-L1B"/>
    <s v="S. Yadav"/>
    <x v="2"/>
    <x v="3"/>
    <x v="2"/>
    <n v="5950"/>
    <n v="5410"/>
    <n v="126"/>
    <n v="2.3290203327171903E-2"/>
    <n v="0.90924369747899159"/>
    <x v="3"/>
    <n v="69"/>
    <n v="1.1499999999999999"/>
    <s v="Cleaning / Sanitation"/>
    <n v="51"/>
    <n v="6426"/>
    <n v="17844"/>
    <n v="5910"/>
    <n v="5910"/>
    <x v="563"/>
    <n v="9000"/>
  </r>
  <r>
    <s v="PR-0118"/>
    <d v="2026-04-11T00:00:00"/>
    <x v="5"/>
    <x v="5"/>
    <s v="Saturday"/>
    <x v="1"/>
    <x v="3"/>
    <x v="3"/>
    <s v="Toothpaste"/>
    <x v="5"/>
    <s v="Charcoal Toothpaste 150g"/>
    <s v="B260411-L1B"/>
    <s v="S. Yadav"/>
    <x v="1"/>
    <x v="3"/>
    <x v="2"/>
    <n v="6180"/>
    <n v="5800"/>
    <n v="86"/>
    <n v="1.4827586206896552E-2"/>
    <n v="0.93851132686084138"/>
    <x v="3"/>
    <n v="0"/>
    <n v="0"/>
    <s v="None"/>
    <n v="51"/>
    <n v="4386"/>
    <n v="16706"/>
    <n v="5190"/>
    <n v="5190"/>
    <x v="564"/>
    <n v="9000"/>
  </r>
  <r>
    <s v="PR-0029"/>
    <d v="2026-04-03T00:00:00"/>
    <x v="5"/>
    <x v="5"/>
    <s v="Friday"/>
    <x v="1"/>
    <x v="3"/>
    <x v="3"/>
    <s v="Toothpaste"/>
    <x v="5"/>
    <s v="Charcoal Toothpaste 150g"/>
    <s v="B260403-L1B"/>
    <s v="P. Singh"/>
    <x v="2"/>
    <x v="3"/>
    <x v="2"/>
    <n v="6270"/>
    <n v="6240"/>
    <n v="109"/>
    <n v="1.7467948717948718E-2"/>
    <n v="0.99521531100478466"/>
    <x v="2"/>
    <n v="0"/>
    <n v="0"/>
    <s v="None"/>
    <n v="51"/>
    <n v="5559"/>
    <n v="17334"/>
    <n v="6190"/>
    <n v="6190"/>
    <x v="565"/>
    <n v="9000"/>
  </r>
  <r>
    <s v="PR-0402"/>
    <d v="2026-05-07T00:00:00"/>
    <x v="4"/>
    <x v="4"/>
    <s v="Thursday"/>
    <x v="2"/>
    <x v="3"/>
    <x v="3"/>
    <s v="Toothpaste"/>
    <x v="5"/>
    <s v="Charcoal Toothpaste 150g"/>
    <s v="B260507-L1C"/>
    <s v="M. Khan"/>
    <x v="1"/>
    <x v="3"/>
    <x v="10"/>
    <n v="5650"/>
    <n v="4940"/>
    <n v="142"/>
    <n v="2.8744939271255061E-2"/>
    <n v="0.87433628318584067"/>
    <x v="5"/>
    <n v="0"/>
    <n v="0"/>
    <s v="None"/>
    <n v="51"/>
    <n v="7242"/>
    <n v="17492"/>
    <n v="4960"/>
    <n v="4960"/>
    <x v="566"/>
    <n v="9000"/>
  </r>
  <r>
    <s v="PR-1643"/>
    <d v="2026-08-28T00:00:00"/>
    <x v="1"/>
    <x v="1"/>
    <s v="Friday"/>
    <x v="2"/>
    <x v="2"/>
    <x v="2"/>
    <s v="Dental Floss"/>
    <x v="4"/>
    <s v="Interdental Brush Pack of 10"/>
    <s v="B260828-L3C"/>
    <s v="M. Khan"/>
    <x v="1"/>
    <x v="2"/>
    <x v="9"/>
    <n v="4710"/>
    <n v="4340"/>
    <n v="154"/>
    <n v="3.5483870967741936E-2"/>
    <n v="0.92144373673036095"/>
    <x v="4"/>
    <n v="20"/>
    <n v="0.33333333333333331"/>
    <s v="Material Shortage"/>
    <n v="29"/>
    <n v="4466"/>
    <n v="17487"/>
    <n v="4340"/>
    <n v="4340"/>
    <x v="567"/>
    <n v="7500"/>
  </r>
  <r>
    <n v="2000"/>
    <d v="2026-04-02T00:00:00"/>
    <x v="5"/>
    <x v="5"/>
    <s v="Thursday"/>
    <x v="1"/>
    <x v="3"/>
    <x v="3"/>
    <s v="Toothpaste"/>
    <x v="5"/>
    <s v="Charcoal Toothpaste 150g"/>
    <s v="B260402-L1B"/>
    <s v="P. Singh"/>
    <x v="2"/>
    <x v="3"/>
    <x v="3"/>
    <n v="6060"/>
    <n v="5660"/>
    <n v="156"/>
    <n v="2.756183745583039E-2"/>
    <n v="0.93399339933993397"/>
    <x v="2"/>
    <n v="0"/>
    <n v="0"/>
    <s v="None"/>
    <n v="51"/>
    <n v="7956"/>
    <n v="17650"/>
    <n v="5820"/>
    <n v="5820"/>
    <x v="568"/>
    <n v="9000"/>
  </r>
  <r>
    <s v="PR-1595"/>
    <d v="2026-08-24T00:00:00"/>
    <x v="1"/>
    <x v="1"/>
    <s v="Monday"/>
    <x v="2"/>
    <x v="2"/>
    <x v="2"/>
    <s v="Dental Floss"/>
    <x v="4"/>
    <s v="Interdental Brush Pack of 10"/>
    <s v="B260824-L3C"/>
    <s v="A. Gupta"/>
    <x v="1"/>
    <x v="2"/>
    <x v="8"/>
    <n v="4860"/>
    <n v="4550"/>
    <n v="110"/>
    <n v="2.4175824175824177E-2"/>
    <n v="0.93621399176954734"/>
    <x v="2"/>
    <n v="0"/>
    <n v="0"/>
    <s v="None"/>
    <n v="29"/>
    <n v="3190"/>
    <n v="17503"/>
    <n v="4550"/>
    <n v="4550"/>
    <x v="569"/>
    <n v="7500"/>
  </r>
  <r>
    <s v="PR-0498"/>
    <d v="2026-05-16T00:00:00"/>
    <x v="4"/>
    <x v="4"/>
    <s v="Saturday"/>
    <x v="1"/>
    <x v="3"/>
    <x v="3"/>
    <s v="Toothpaste"/>
    <x v="5"/>
    <s v="Charcoal Toothpaste 150g"/>
    <s v="B260516-L1B"/>
    <s v="S. Yadav"/>
    <x v="1"/>
    <x v="3"/>
    <x v="5"/>
    <n v="5660"/>
    <n v="5010"/>
    <n v="147"/>
    <n v="2.9341317365269463E-2"/>
    <n v="0.88515901060070667"/>
    <x v="3"/>
    <n v="0"/>
    <n v="0"/>
    <s v="None"/>
    <n v="51"/>
    <n v="7497"/>
    <n v="18126"/>
    <n v="5550"/>
    <n v="5550"/>
    <x v="570"/>
    <n v="9000"/>
  </r>
  <r>
    <s v="PR-1317"/>
    <d v="2026-07-30T00:00:00"/>
    <x v="2"/>
    <x v="2"/>
    <s v="Thursday"/>
    <x v="0"/>
    <x v="0"/>
    <x v="0"/>
    <s v="Mouthwash"/>
    <x v="0"/>
    <s v="Mint Mouthwash 250ml"/>
    <s v="B260730-L2A"/>
    <s v="K. Verma"/>
    <x v="0"/>
    <x v="0"/>
    <x v="1"/>
    <n v="6960"/>
    <n v="6290"/>
    <n v="656"/>
    <n v="0.10429252782193958"/>
    <n v="0.90373563218390807"/>
    <x v="1"/>
    <n v="0"/>
    <n v="0"/>
    <s v="None"/>
    <n v="46"/>
    <n v="30176"/>
    <n v="18668"/>
    <n v="6830"/>
    <n v="6830"/>
    <x v="571"/>
    <n v="10500"/>
  </r>
  <r>
    <s v="PR-1607"/>
    <d v="2026-08-25T00:00:00"/>
    <x v="1"/>
    <x v="1"/>
    <s v="Tuesday"/>
    <x v="2"/>
    <x v="2"/>
    <x v="2"/>
    <s v="Dental Floss"/>
    <x v="4"/>
    <s v="Interdental Brush Pack of 10"/>
    <s v="B260825-L3C"/>
    <s v="A. Gupta"/>
    <x v="1"/>
    <x v="2"/>
    <x v="10"/>
    <n v="4690"/>
    <n v="4600"/>
    <n v="96"/>
    <n v="2.0869565217391306E-2"/>
    <n v="0.98081023454157779"/>
    <x v="0"/>
    <n v="30"/>
    <n v="0.5"/>
    <s v="Changeover"/>
    <n v="29"/>
    <n v="2784"/>
    <n v="17393"/>
    <n v="4410"/>
    <n v="4410"/>
    <x v="572"/>
    <n v="7500"/>
  </r>
  <r>
    <s v="PR-0394"/>
    <d v="2026-05-07T00:00:00"/>
    <x v="4"/>
    <x v="4"/>
    <s v="Thursday"/>
    <x v="0"/>
    <x v="3"/>
    <x v="3"/>
    <s v="Toothpaste"/>
    <x v="5"/>
    <s v="Charcoal Toothpaste 150g"/>
    <s v="B260507-L1A"/>
    <s v="K. Verma"/>
    <x v="1"/>
    <x v="3"/>
    <x v="2"/>
    <n v="6420"/>
    <n v="6340"/>
    <n v="175"/>
    <n v="2.7602523659305992E-2"/>
    <n v="0.98753894080996885"/>
    <x v="0"/>
    <n v="0"/>
    <n v="0"/>
    <s v="None"/>
    <n v="51"/>
    <n v="8925"/>
    <n v="17673"/>
    <n v="6350"/>
    <n v="6350"/>
    <x v="573"/>
    <n v="9000"/>
  </r>
  <r>
    <s v="PR-0398"/>
    <d v="2026-05-07T00:00:00"/>
    <x v="4"/>
    <x v="4"/>
    <s v="Thursday"/>
    <x v="1"/>
    <x v="3"/>
    <x v="3"/>
    <s v="Toothpaste"/>
    <x v="5"/>
    <s v="Charcoal Toothpaste 150g"/>
    <s v="B260507-L1B"/>
    <s v="P. Singh"/>
    <x v="2"/>
    <x v="3"/>
    <x v="2"/>
    <n v="6110"/>
    <n v="5810"/>
    <n v="116"/>
    <n v="1.9965576592082618E-2"/>
    <n v="0.95090016366612107"/>
    <x v="4"/>
    <n v="0"/>
    <n v="0"/>
    <s v="None"/>
    <n v="51"/>
    <n v="5916"/>
    <n v="17488"/>
    <n v="5690"/>
    <n v="5690"/>
    <x v="574"/>
    <n v="9000"/>
  </r>
  <r>
    <s v="PR-1584"/>
    <d v="2026-08-23T00:00:00"/>
    <x v="1"/>
    <x v="1"/>
    <s v="Sunday"/>
    <x v="1"/>
    <x v="2"/>
    <x v="2"/>
    <s v="Dental Floss"/>
    <x v="4"/>
    <s v="Interdental Brush Pack of 10"/>
    <s v="B260823-L3B"/>
    <s v="S. Yadav"/>
    <x v="2"/>
    <x v="2"/>
    <x v="10"/>
    <n v="3250"/>
    <n v="3160"/>
    <n v="90"/>
    <n v="2.8481012658227847E-2"/>
    <n v="0.97230769230769232"/>
    <x v="5"/>
    <n v="51"/>
    <n v="0.85"/>
    <s v="Changeover"/>
    <n v="29"/>
    <n v="2610"/>
    <n v="17053"/>
    <n v="2620"/>
    <n v="2620"/>
    <x v="575"/>
    <n v="7500"/>
  </r>
  <r>
    <s v="PR-0410"/>
    <d v="2026-05-08T00:00:00"/>
    <x v="4"/>
    <x v="4"/>
    <s v="Friday"/>
    <x v="1"/>
    <x v="3"/>
    <x v="3"/>
    <s v="Toothpaste"/>
    <x v="5"/>
    <s v="Charcoal Toothpaste 150g"/>
    <s v="B260508-L1B"/>
    <s v="P. Singh"/>
    <x v="2"/>
    <x v="3"/>
    <x v="2"/>
    <n v="5850"/>
    <n v="5820"/>
    <n v="196"/>
    <n v="3.367697594501718E-2"/>
    <n v="0.99487179487179489"/>
    <x v="3"/>
    <n v="0"/>
    <n v="0"/>
    <s v="None"/>
    <n v="51"/>
    <n v="9996"/>
    <n v="17330"/>
    <n v="5440"/>
    <n v="5440"/>
    <x v="576"/>
    <n v="9000"/>
  </r>
  <r>
    <s v="PR-1030"/>
    <d v="2026-07-03T00:00:00"/>
    <x v="2"/>
    <x v="2"/>
    <s v="Friday"/>
    <x v="2"/>
    <x v="0"/>
    <x v="0"/>
    <s v="Mouthwash"/>
    <x v="2"/>
    <s v="Mint Mouthwash 500ml"/>
    <s v="B260703-L2C"/>
    <s v="M. Khan"/>
    <x v="0"/>
    <x v="0"/>
    <x v="1"/>
    <n v="4600"/>
    <n v="4320"/>
    <n v="477"/>
    <n v="0.11041666666666666"/>
    <n v="0.93913043478260871"/>
    <x v="5"/>
    <n v="59"/>
    <n v="0.98333333333333328"/>
    <s v="Power Interruption"/>
    <n v="79"/>
    <n v="37683"/>
    <n v="18193"/>
    <n v="4470"/>
    <n v="4470"/>
    <x v="577"/>
    <n v="6750"/>
  </r>
  <r>
    <s v="PR-1045"/>
    <d v="2026-07-05T00:00:00"/>
    <x v="2"/>
    <x v="2"/>
    <s v="Sunday"/>
    <x v="0"/>
    <x v="0"/>
    <x v="0"/>
    <s v="Mouthwash"/>
    <x v="2"/>
    <s v="Mint Mouthwash 500ml"/>
    <s v="B260705-L2A"/>
    <s v="R. Sharma"/>
    <x v="2"/>
    <x v="0"/>
    <x v="1"/>
    <n v="3040"/>
    <n v="2680"/>
    <n v="48"/>
    <n v="1.7910447761194031E-2"/>
    <n v="0.88157894736842102"/>
    <x v="0"/>
    <n v="0"/>
    <n v="0"/>
    <s v="None"/>
    <n v="79"/>
    <n v="3792"/>
    <n v="17566"/>
    <n v="2630"/>
    <n v="2630"/>
    <x v="578"/>
    <n v="6750"/>
  </r>
  <r>
    <s v="PR-0699"/>
    <d v="2026-06-04T00:00:00"/>
    <x v="3"/>
    <x v="3"/>
    <s v="Thursday"/>
    <x v="0"/>
    <x v="3"/>
    <x v="3"/>
    <s v="Toothpaste"/>
    <x v="5"/>
    <s v="Charcoal Toothpaste 150g"/>
    <s v="B260604-L1A"/>
    <s v="R. Sharma"/>
    <x v="2"/>
    <x v="3"/>
    <x v="4"/>
    <n v="6350"/>
    <n v="5800"/>
    <n v="184"/>
    <n v="3.1724137931034485E-2"/>
    <n v="0.91338582677165359"/>
    <x v="2"/>
    <n v="0"/>
    <n v="0"/>
    <s v="None"/>
    <n v="51"/>
    <n v="9384"/>
    <n v="18111"/>
    <n v="6090"/>
    <n v="6090"/>
    <x v="579"/>
    <n v="9000"/>
  </r>
  <r>
    <s v="PR-0009"/>
    <d v="2026-04-01T00:00:00"/>
    <x v="5"/>
    <x v="5"/>
    <s v="Wednesday"/>
    <x v="2"/>
    <x v="3"/>
    <x v="3"/>
    <s v="Toothpaste"/>
    <x v="5"/>
    <s v="Charcoal Toothpaste 150g"/>
    <s v="B260401-L1C"/>
    <s v="A. Gupta"/>
    <x v="1"/>
    <x v="3"/>
    <x v="4"/>
    <n v="6140"/>
    <n v="5770"/>
    <n v="170"/>
    <n v="2.9462738301559793E-2"/>
    <n v="0.93973941368078173"/>
    <x v="0"/>
    <n v="0"/>
    <n v="0"/>
    <s v="None"/>
    <n v="51"/>
    <n v="8670"/>
    <n v="18000"/>
    <n v="5950"/>
    <n v="5950"/>
    <x v="580"/>
    <n v="9000"/>
  </r>
  <r>
    <s v="PR-0390"/>
    <d v="2026-05-06T00:00:00"/>
    <x v="4"/>
    <x v="4"/>
    <s v="Wednesday"/>
    <x v="2"/>
    <x v="3"/>
    <x v="3"/>
    <s v="Toothpaste"/>
    <x v="5"/>
    <s v="Charcoal Toothpaste 150g"/>
    <s v="B260506-L1C"/>
    <s v="M. Khan"/>
    <x v="1"/>
    <x v="3"/>
    <x v="5"/>
    <n v="5690"/>
    <n v="5120"/>
    <n v="98"/>
    <n v="1.9140625000000001E-2"/>
    <n v="0.89982425307557112"/>
    <x v="5"/>
    <n v="17"/>
    <n v="0.28333333333333333"/>
    <s v="Changeover"/>
    <n v="51"/>
    <n v="4998"/>
    <n v="16771"/>
    <n v="4120"/>
    <n v="4120"/>
    <x v="581"/>
    <n v="9000"/>
  </r>
  <r>
    <s v="PR-0450"/>
    <d v="2026-05-12T00:00:00"/>
    <x v="4"/>
    <x v="4"/>
    <s v="Tuesday"/>
    <x v="1"/>
    <x v="3"/>
    <x v="3"/>
    <s v="Toothpaste"/>
    <x v="5"/>
    <s v="Charcoal Toothpaste 150g"/>
    <s v="B260512-L1B"/>
    <s v="S. Yadav"/>
    <x v="2"/>
    <x v="3"/>
    <x v="3"/>
    <n v="6320"/>
    <n v="5560"/>
    <n v="200"/>
    <n v="3.5971223021582732E-2"/>
    <n v="0.879746835443038"/>
    <x v="2"/>
    <n v="0"/>
    <n v="0"/>
    <s v="None"/>
    <n v="51"/>
    <n v="10200"/>
    <n v="18077"/>
    <n v="5750"/>
    <n v="5750"/>
    <x v="582"/>
    <n v="9000"/>
  </r>
  <r>
    <s v="PR-0801"/>
    <d v="2026-06-13T00:00:00"/>
    <x v="3"/>
    <x v="3"/>
    <s v="Saturday"/>
    <x v="0"/>
    <x v="0"/>
    <x v="0"/>
    <s v="Mouthwash"/>
    <x v="2"/>
    <s v="Mint Mouthwash 500ml"/>
    <s v="B260613-L2A"/>
    <s v="R. Sharma"/>
    <x v="2"/>
    <x v="0"/>
    <x v="0"/>
    <n v="4360"/>
    <n v="4100"/>
    <n v="115"/>
    <n v="2.8048780487804879E-2"/>
    <n v="0.94036697247706424"/>
    <x v="5"/>
    <n v="0"/>
    <n v="0"/>
    <s v="None"/>
    <n v="79"/>
    <n v="9085"/>
    <n v="17027"/>
    <n v="3260"/>
    <n v="3260"/>
    <x v="583"/>
    <n v="6750"/>
  </r>
  <r>
    <s v="PR-0886"/>
    <d v="2026-06-20T00:00:00"/>
    <x v="3"/>
    <x v="3"/>
    <s v="Saturday"/>
    <x v="2"/>
    <x v="3"/>
    <x v="3"/>
    <s v="Toothpaste"/>
    <x v="5"/>
    <s v="Charcoal Toothpaste 150g"/>
    <s v="B260620-L1C"/>
    <s v="M. Khan"/>
    <x v="2"/>
    <x v="3"/>
    <x v="4"/>
    <n v="6130"/>
    <n v="5390"/>
    <n v="138"/>
    <n v="2.5602968460111317E-2"/>
    <n v="0.87928221859706357"/>
    <x v="5"/>
    <n v="0"/>
    <n v="0"/>
    <s v="None"/>
    <n v="51"/>
    <n v="7038"/>
    <n v="18413"/>
    <n v="5890"/>
    <n v="5890"/>
    <x v="584"/>
    <n v="9000"/>
  </r>
  <r>
    <s v="PR-1048"/>
    <d v="2026-07-05T00:00:00"/>
    <x v="2"/>
    <x v="2"/>
    <s v="Sunday"/>
    <x v="1"/>
    <x v="0"/>
    <x v="0"/>
    <s v="Mouthwash"/>
    <x v="2"/>
    <s v="Mint Mouthwash 500ml"/>
    <s v="B260705-L2B"/>
    <s v="P. Singh"/>
    <x v="1"/>
    <x v="0"/>
    <x v="3"/>
    <n v="3370"/>
    <n v="3000"/>
    <n v="65"/>
    <n v="2.1666666666666667E-2"/>
    <n v="0.89020771513353114"/>
    <x v="0"/>
    <n v="65"/>
    <n v="1.0833333333333333"/>
    <s v="Changeover"/>
    <n v="79"/>
    <n v="5135"/>
    <n v="17568"/>
    <n v="2670"/>
    <n v="2670"/>
    <x v="585"/>
    <n v="6750"/>
  </r>
  <r>
    <s v="PR-0454"/>
    <d v="2026-05-12T00:00:00"/>
    <x v="4"/>
    <x v="4"/>
    <s v="Tuesday"/>
    <x v="2"/>
    <x v="3"/>
    <x v="3"/>
    <s v="Toothpaste"/>
    <x v="5"/>
    <s v="Charcoal Toothpaste 150g"/>
    <s v="B260512-L1C"/>
    <s v="A. Gupta"/>
    <x v="2"/>
    <x v="3"/>
    <x v="4"/>
    <n v="5860"/>
    <n v="5240"/>
    <n v="103"/>
    <n v="1.9656488549618319E-2"/>
    <n v="0.89419795221843001"/>
    <x v="4"/>
    <n v="0"/>
    <n v="0"/>
    <s v="None"/>
    <n v="51"/>
    <n v="5253"/>
    <n v="17687"/>
    <n v="4980"/>
    <n v="4980"/>
    <x v="586"/>
    <n v="9000"/>
  </r>
  <r>
    <s v="PR-0514"/>
    <d v="2026-05-18T00:00:00"/>
    <x v="4"/>
    <x v="4"/>
    <s v="Monday"/>
    <x v="1"/>
    <x v="3"/>
    <x v="3"/>
    <s v="Toothpaste"/>
    <x v="5"/>
    <s v="Charcoal Toothpaste 150g"/>
    <s v="B260518-L1B"/>
    <s v="S. Yadav"/>
    <x v="1"/>
    <x v="3"/>
    <x v="4"/>
    <n v="5630"/>
    <n v="5200"/>
    <n v="180"/>
    <n v="3.4615384615384617E-2"/>
    <n v="0.92362344582593248"/>
    <x v="4"/>
    <n v="0"/>
    <n v="0"/>
    <s v="None"/>
    <n v="51"/>
    <n v="9180"/>
    <n v="17997"/>
    <n v="5160"/>
    <n v="5160"/>
    <x v="587"/>
    <n v="9000"/>
  </r>
  <r>
    <s v="PR-0482"/>
    <d v="2026-05-15T00:00:00"/>
    <x v="4"/>
    <x v="4"/>
    <s v="Friday"/>
    <x v="0"/>
    <x v="3"/>
    <x v="3"/>
    <s v="Toothpaste"/>
    <x v="5"/>
    <s v="Charcoal Toothpaste 150g"/>
    <s v="B260515-L1A"/>
    <s v="K. Verma"/>
    <x v="2"/>
    <x v="3"/>
    <x v="3"/>
    <n v="6410"/>
    <n v="6040"/>
    <n v="160"/>
    <n v="2.6490066225165563E-2"/>
    <n v="0.94227769110764426"/>
    <x v="5"/>
    <n v="0"/>
    <n v="0"/>
    <s v="None"/>
    <n v="51"/>
    <n v="8160"/>
    <n v="17218"/>
    <n v="5220"/>
    <n v="5220"/>
    <x v="588"/>
    <n v="9000"/>
  </r>
  <r>
    <s v="PR-0890"/>
    <d v="2026-06-21T00:00:00"/>
    <x v="3"/>
    <x v="3"/>
    <s v="Sunday"/>
    <x v="0"/>
    <x v="3"/>
    <x v="3"/>
    <s v="Toothpaste"/>
    <x v="5"/>
    <s v="Charcoal Toothpaste 150g"/>
    <s v="B260621-L1A"/>
    <s v="R. Sharma"/>
    <x v="2"/>
    <x v="3"/>
    <x v="4"/>
    <n v="4060"/>
    <n v="3700"/>
    <n v="81"/>
    <n v="2.189189189189189E-2"/>
    <n v="0.91133004926108374"/>
    <x v="5"/>
    <n v="0"/>
    <n v="0"/>
    <s v="None"/>
    <n v="51"/>
    <n v="4131"/>
    <n v="17775"/>
    <n v="3460"/>
    <n v="3460"/>
    <x v="589"/>
    <n v="9000"/>
  </r>
  <r>
    <s v="PR-0522"/>
    <d v="2026-05-19T00:00:00"/>
    <x v="4"/>
    <x v="4"/>
    <s v="Tuesday"/>
    <x v="0"/>
    <x v="3"/>
    <x v="3"/>
    <s v="Toothpaste"/>
    <x v="5"/>
    <s v="Charcoal Toothpaste 150g"/>
    <s v="B260519-L1A"/>
    <s v="K. Verma"/>
    <x v="1"/>
    <x v="3"/>
    <x v="3"/>
    <n v="6110"/>
    <n v="5680"/>
    <n v="188"/>
    <n v="3.3098591549295772E-2"/>
    <n v="0.9296235679214403"/>
    <x v="3"/>
    <n v="0"/>
    <n v="0"/>
    <s v="None"/>
    <n v="51"/>
    <n v="9588"/>
    <n v="17857"/>
    <n v="5410"/>
    <n v="5410"/>
    <x v="590"/>
    <n v="9000"/>
  </r>
  <r>
    <s v="PR-0760"/>
    <d v="2026-06-09T00:00:00"/>
    <x v="3"/>
    <x v="3"/>
    <s v="Tuesday"/>
    <x v="2"/>
    <x v="3"/>
    <x v="3"/>
    <s v="Toothpaste"/>
    <x v="5"/>
    <s v="Charcoal Toothpaste 150g"/>
    <s v="B260609-L1C"/>
    <s v="A. Gupta"/>
    <x v="1"/>
    <x v="3"/>
    <x v="2"/>
    <n v="6110"/>
    <n v="5720"/>
    <n v="111"/>
    <n v="1.9405594405594407E-2"/>
    <n v="0.93617021276595747"/>
    <x v="0"/>
    <n v="0"/>
    <n v="0"/>
    <s v="None"/>
    <n v="51"/>
    <n v="5661"/>
    <n v="17637"/>
    <n v="5280"/>
    <n v="5280"/>
    <x v="591"/>
    <n v="9000"/>
  </r>
  <r>
    <s v="PR-0510"/>
    <d v="2026-05-18T00:00:00"/>
    <x v="4"/>
    <x v="4"/>
    <s v="Monday"/>
    <x v="0"/>
    <x v="3"/>
    <x v="3"/>
    <s v="Toothpaste"/>
    <x v="5"/>
    <s v="Charcoal Toothpaste 150g"/>
    <s v="B260518-L1A"/>
    <s v="R. Sharma"/>
    <x v="2"/>
    <x v="3"/>
    <x v="3"/>
    <n v="5860"/>
    <n v="5780"/>
    <n v="212"/>
    <n v="3.6678200692041522E-2"/>
    <n v="0.98634812286689422"/>
    <x v="0"/>
    <n v="0"/>
    <n v="0"/>
    <s v="None"/>
    <n v="51"/>
    <n v="10812"/>
    <n v="17439"/>
    <n v="5010"/>
    <n v="5010"/>
    <x v="592"/>
    <n v="9000"/>
  </r>
  <r>
    <s v="PR-1179"/>
    <d v="2026-07-17T00:00:00"/>
    <x v="2"/>
    <x v="2"/>
    <s v="Friday"/>
    <x v="1"/>
    <x v="0"/>
    <x v="0"/>
    <s v="Mouthwash"/>
    <x v="1"/>
    <s v="Alcohol-Free Mouthwash 250ml"/>
    <s v="B260717-L2B"/>
    <s v="S. Yadav"/>
    <x v="2"/>
    <x v="0"/>
    <x v="3"/>
    <n v="6300"/>
    <n v="5610"/>
    <n v="153"/>
    <n v="2.7272727272727271E-2"/>
    <n v="0.89047619047619042"/>
    <x v="5"/>
    <n v="39"/>
    <n v="0.65"/>
    <s v="Cleaning / Sanitation"/>
    <n v="58"/>
    <n v="8874"/>
    <n v="18515"/>
    <n v="5930"/>
    <n v="5930"/>
    <x v="593"/>
    <n v="9000"/>
  </r>
  <r>
    <s v="PR-0675"/>
    <d v="2026-06-02T00:00:00"/>
    <x v="3"/>
    <x v="3"/>
    <s v="Tuesday"/>
    <x v="0"/>
    <x v="3"/>
    <x v="3"/>
    <s v="Toothpaste"/>
    <x v="5"/>
    <s v="Charcoal Toothpaste 150g"/>
    <s v="B260602-L1A"/>
    <s v="K. Verma"/>
    <x v="2"/>
    <x v="3"/>
    <x v="2"/>
    <n v="6180"/>
    <n v="5840"/>
    <n v="187"/>
    <n v="3.202054794520548E-2"/>
    <n v="0.94498381877022652"/>
    <x v="5"/>
    <n v="0"/>
    <n v="0"/>
    <s v="None"/>
    <n v="51"/>
    <n v="9537"/>
    <n v="18518"/>
    <n v="6120"/>
    <n v="6120"/>
    <x v="594"/>
    <n v="9000"/>
  </r>
  <r>
    <s v="PR-0830"/>
    <d v="2026-06-16T00:00:00"/>
    <x v="3"/>
    <x v="3"/>
    <s v="Tuesday"/>
    <x v="0"/>
    <x v="3"/>
    <x v="3"/>
    <s v="Toothpaste"/>
    <x v="5"/>
    <s v="Charcoal Toothpaste 150g"/>
    <s v="B260616-L1A"/>
    <s v="R. Sharma"/>
    <x v="1"/>
    <x v="3"/>
    <x v="2"/>
    <n v="5690"/>
    <n v="5450"/>
    <n v="68"/>
    <n v="1.2477064220183486E-2"/>
    <n v="0.95782073813708257"/>
    <x v="0"/>
    <n v="0"/>
    <n v="0"/>
    <s v="None"/>
    <n v="51"/>
    <n v="3468"/>
    <n v="18528"/>
    <n v="5840"/>
    <n v="5840"/>
    <x v="595"/>
    <n v="9000"/>
  </r>
  <r>
    <s v="PR-0091"/>
    <d v="2026-04-09T00:00:00"/>
    <x v="5"/>
    <x v="5"/>
    <s v="Thursday"/>
    <x v="0"/>
    <x v="0"/>
    <x v="0"/>
    <s v="Mouthwash"/>
    <x v="1"/>
    <s v="Alcohol-Free Mouthwash 250ml"/>
    <s v="B260409-L2A"/>
    <s v="K. Verma"/>
    <x v="2"/>
    <x v="0"/>
    <x v="1"/>
    <n v="5890"/>
    <n v="5180"/>
    <n v="174"/>
    <n v="3.3590733590733592E-2"/>
    <n v="0.87945670628183359"/>
    <x v="2"/>
    <n v="0"/>
    <n v="0"/>
    <s v="None"/>
    <n v="58"/>
    <n v="10092"/>
    <n v="18375"/>
    <n v="5310"/>
    <n v="5310"/>
    <x v="596"/>
    <n v="9000"/>
  </r>
  <r>
    <s v="PR-0422"/>
    <d v="2026-05-09T00:00:00"/>
    <x v="4"/>
    <x v="4"/>
    <s v="Saturday"/>
    <x v="1"/>
    <x v="3"/>
    <x v="3"/>
    <s v="Toothpaste"/>
    <x v="5"/>
    <s v="Charcoal Toothpaste 150g"/>
    <s v="B260509-L1B"/>
    <s v="S. Yadav"/>
    <x v="2"/>
    <x v="3"/>
    <x v="4"/>
    <n v="6140"/>
    <n v="5820"/>
    <n v="117"/>
    <n v="2.0103092783505156E-2"/>
    <n v="0.94788273615635177"/>
    <x v="4"/>
    <n v="64"/>
    <n v="1.0666666666666667"/>
    <s v="Changeover"/>
    <n v="51"/>
    <n v="5967"/>
    <n v="17514"/>
    <n v="5140"/>
    <n v="5140"/>
    <x v="597"/>
    <n v="9000"/>
  </r>
  <r>
    <s v="PR-0875"/>
    <d v="2026-06-19T00:00:00"/>
    <x v="3"/>
    <x v="3"/>
    <s v="Friday"/>
    <x v="2"/>
    <x v="0"/>
    <x v="0"/>
    <s v="Mouthwash"/>
    <x v="2"/>
    <s v="Mint Mouthwash 500ml"/>
    <s v="B260619-L2C"/>
    <s v="M. Khan"/>
    <x v="1"/>
    <x v="0"/>
    <x v="4"/>
    <n v="4320"/>
    <n v="3550"/>
    <n v="92"/>
    <n v="2.5915492957746478E-2"/>
    <n v="0.8217592592592593"/>
    <x v="0"/>
    <n v="0"/>
    <n v="0"/>
    <s v="None"/>
    <n v="79"/>
    <n v="7268"/>
    <n v="18890"/>
    <n v="4240"/>
    <n v="4240"/>
    <x v="598"/>
    <n v="6750"/>
  </r>
  <r>
    <s v="PR-0691"/>
    <d v="2026-06-03T00:00:00"/>
    <x v="3"/>
    <x v="3"/>
    <s v="Wednesday"/>
    <x v="1"/>
    <x v="3"/>
    <x v="3"/>
    <s v="Toothpaste"/>
    <x v="5"/>
    <s v="Charcoal Toothpaste 150g"/>
    <s v="B260603-L1B"/>
    <s v="P. Singh"/>
    <x v="2"/>
    <x v="3"/>
    <x v="4"/>
    <n v="5970"/>
    <n v="5500"/>
    <n v="160"/>
    <n v="2.9090909090909091E-2"/>
    <n v="0.92127303182579567"/>
    <x v="5"/>
    <n v="0"/>
    <n v="0"/>
    <s v="None"/>
    <n v="51"/>
    <n v="8160"/>
    <n v="18051"/>
    <n v="5280"/>
    <n v="5280"/>
    <x v="599"/>
    <n v="9000"/>
  </r>
  <r>
    <s v="PR-0494"/>
    <d v="2026-05-16T00:00:00"/>
    <x v="4"/>
    <x v="4"/>
    <s v="Saturday"/>
    <x v="0"/>
    <x v="3"/>
    <x v="3"/>
    <s v="Toothpaste"/>
    <x v="5"/>
    <s v="Charcoal Toothpaste 150g"/>
    <s v="B260516-L1A"/>
    <s v="K. Verma"/>
    <x v="1"/>
    <x v="3"/>
    <x v="3"/>
    <n v="6100"/>
    <n v="5870"/>
    <n v="150"/>
    <n v="2.5553662691652469E-2"/>
    <n v="0.96229508196721314"/>
    <x v="2"/>
    <n v="11"/>
    <n v="0.18333333333333332"/>
    <s v="Changeover"/>
    <n v="51"/>
    <n v="7650"/>
    <n v="18146"/>
    <n v="5740"/>
    <n v="5740"/>
    <x v="600"/>
    <n v="9000"/>
  </r>
  <r>
    <s v="PR-0486"/>
    <d v="2026-05-15T00:00:00"/>
    <x v="4"/>
    <x v="4"/>
    <s v="Friday"/>
    <x v="1"/>
    <x v="3"/>
    <x v="3"/>
    <s v="Toothpaste"/>
    <x v="5"/>
    <s v="Charcoal Toothpaste 150g"/>
    <s v="B260515-L1B"/>
    <s v="S. Yadav"/>
    <x v="1"/>
    <x v="3"/>
    <x v="3"/>
    <n v="6210"/>
    <n v="5830"/>
    <n v="172"/>
    <n v="2.9502572898799314E-2"/>
    <n v="0.93880837359098224"/>
    <x v="0"/>
    <n v="65"/>
    <n v="1.0833333333333333"/>
    <s v="Material Shortage"/>
    <n v="51"/>
    <n v="8772"/>
    <n v="17878"/>
    <n v="5390"/>
    <n v="5390"/>
    <x v="601"/>
    <n v="9000"/>
  </r>
  <r>
    <s v="PR-0819"/>
    <d v="2026-06-15T00:00:00"/>
    <x v="3"/>
    <x v="3"/>
    <s v="Monday"/>
    <x v="0"/>
    <x v="0"/>
    <x v="0"/>
    <s v="Mouthwash"/>
    <x v="2"/>
    <s v="Mint Mouthwash 500ml"/>
    <s v="B260615-L2A"/>
    <s v="K. Verma"/>
    <x v="2"/>
    <x v="0"/>
    <x v="0"/>
    <n v="4250"/>
    <n v="4190"/>
    <n v="68"/>
    <n v="1.6229116945107397E-2"/>
    <n v="0.98588235294117643"/>
    <x v="5"/>
    <n v="70"/>
    <n v="1.1666666666666667"/>
    <s v="Power Interruption"/>
    <n v="79"/>
    <n v="5372"/>
    <n v="17752"/>
    <n v="3710"/>
    <n v="3710"/>
    <x v="602"/>
    <n v="6750"/>
  </r>
  <r>
    <s v="PR-1018"/>
    <d v="2026-07-02T00:00:00"/>
    <x v="2"/>
    <x v="2"/>
    <s v="Thursday"/>
    <x v="2"/>
    <x v="0"/>
    <x v="0"/>
    <s v="Mouthwash"/>
    <x v="2"/>
    <s v="Mint Mouthwash 500ml"/>
    <s v="B260702-L2C"/>
    <s v="A. Gupta"/>
    <x v="0"/>
    <x v="0"/>
    <x v="4"/>
    <n v="4050"/>
    <n v="3530"/>
    <n v="288"/>
    <n v="8.1586402266288952E-2"/>
    <n v="0.8716049382716049"/>
    <x v="1"/>
    <n v="49"/>
    <n v="0.81666666666666665"/>
    <s v="Power Interruption"/>
    <n v="79"/>
    <n v="22752"/>
    <n v="18401"/>
    <n v="3450"/>
    <n v="3450"/>
    <x v="603"/>
    <n v="6750"/>
  </r>
  <r>
    <s v="PR-0905"/>
    <d v="2026-06-22T00:00:00"/>
    <x v="3"/>
    <x v="3"/>
    <s v="Monday"/>
    <x v="2"/>
    <x v="0"/>
    <x v="0"/>
    <s v="Mouthwash"/>
    <x v="2"/>
    <s v="Mint Mouthwash 500ml"/>
    <s v="B260622-L2C"/>
    <s v="M. Khan"/>
    <x v="2"/>
    <x v="0"/>
    <x v="2"/>
    <n v="4300"/>
    <n v="4020"/>
    <n v="106"/>
    <n v="2.6368159203980099E-2"/>
    <n v="0.93488372093023253"/>
    <x v="0"/>
    <n v="26"/>
    <n v="0.43333333333333335"/>
    <s v="Cleaning / Sanitation"/>
    <n v="79"/>
    <n v="8374"/>
    <n v="18108"/>
    <n v="3800"/>
    <n v="3800"/>
    <x v="604"/>
    <n v="6750"/>
  </r>
  <r>
    <s v="PR-0764"/>
    <d v="2026-06-10T00:00:00"/>
    <x v="3"/>
    <x v="3"/>
    <s v="Wednesday"/>
    <x v="0"/>
    <x v="3"/>
    <x v="3"/>
    <s v="Toothpaste"/>
    <x v="5"/>
    <s v="Charcoal Toothpaste 150g"/>
    <s v="B260610-L1A"/>
    <s v="R. Sharma"/>
    <x v="1"/>
    <x v="3"/>
    <x v="3"/>
    <n v="6450"/>
    <n v="6170"/>
    <n v="150"/>
    <n v="2.4311183144246355E-2"/>
    <n v="0.95658914728682165"/>
    <x v="3"/>
    <n v="53"/>
    <n v="0.8833333333333333"/>
    <s v="Changeover"/>
    <n v="51"/>
    <n v="7650"/>
    <n v="17966"/>
    <n v="5670"/>
    <n v="5670"/>
    <x v="605"/>
    <n v="9000"/>
  </r>
  <r>
    <s v="PR-0896"/>
    <d v="2026-06-22T00:00:00"/>
    <x v="3"/>
    <x v="3"/>
    <s v="Monday"/>
    <x v="0"/>
    <x v="3"/>
    <x v="3"/>
    <s v="Toothpaste"/>
    <x v="5"/>
    <s v="Charcoal Toothpaste 150g"/>
    <s v="B260622-L1A"/>
    <s v="R. Sharma"/>
    <x v="2"/>
    <x v="3"/>
    <x v="2"/>
    <n v="6120"/>
    <n v="5910"/>
    <n v="161"/>
    <n v="2.72419627749577E-2"/>
    <n v="0.96568627450980393"/>
    <x v="5"/>
    <n v="0"/>
    <n v="0"/>
    <s v="None"/>
    <n v="51"/>
    <n v="8211"/>
    <n v="17934"/>
    <n v="5350"/>
    <n v="5350"/>
    <x v="606"/>
    <n v="9000"/>
  </r>
  <r>
    <s v="PR-0119"/>
    <d v="2026-04-11T00:00:00"/>
    <x v="5"/>
    <x v="5"/>
    <s v="Saturday"/>
    <x v="1"/>
    <x v="0"/>
    <x v="0"/>
    <s v="Mouthwash"/>
    <x v="1"/>
    <s v="Alcohol-Free Mouthwash 250ml"/>
    <s v="B260411-L2B"/>
    <s v="P. Singh"/>
    <x v="1"/>
    <x v="0"/>
    <x v="1"/>
    <n v="6160"/>
    <n v="5640"/>
    <n v="96"/>
    <n v="1.7021276595744681E-2"/>
    <n v="0.91558441558441561"/>
    <x v="3"/>
    <n v="0"/>
    <n v="0"/>
    <s v="None"/>
    <n v="58"/>
    <n v="5568"/>
    <n v="18071"/>
    <n v="5260"/>
    <n v="5260"/>
    <x v="607"/>
    <n v="9000"/>
  </r>
  <r>
    <s v="PR-0087"/>
    <d v="2026-04-08T00:00:00"/>
    <x v="5"/>
    <x v="5"/>
    <s v="Wednesday"/>
    <x v="2"/>
    <x v="0"/>
    <x v="0"/>
    <s v="Mouthwash"/>
    <x v="1"/>
    <s v="Alcohol-Free Mouthwash 250ml"/>
    <s v="B260408-L2C"/>
    <s v="A. Gupta"/>
    <x v="1"/>
    <x v="0"/>
    <x v="0"/>
    <n v="5820"/>
    <n v="5280"/>
    <n v="133"/>
    <n v="2.5189393939393939E-2"/>
    <n v="0.90721649484536082"/>
    <x v="3"/>
    <n v="0"/>
    <n v="0"/>
    <s v="None"/>
    <n v="58"/>
    <n v="7714"/>
    <n v="18638"/>
    <n v="5410"/>
    <n v="5410"/>
    <x v="608"/>
    <n v="9000"/>
  </r>
  <r>
    <s v="PR-1006"/>
    <d v="2026-07-01T00:00:00"/>
    <x v="2"/>
    <x v="2"/>
    <s v="Wednesday"/>
    <x v="2"/>
    <x v="0"/>
    <x v="0"/>
    <s v="Mouthwash"/>
    <x v="2"/>
    <s v="Mint Mouthwash 500ml"/>
    <s v="B260701-L2C"/>
    <s v="A. Gupta"/>
    <x v="0"/>
    <x v="0"/>
    <x v="2"/>
    <n v="4500"/>
    <n v="4230"/>
    <n v="366"/>
    <n v="8.6524822695035461E-2"/>
    <n v="0.94"/>
    <x v="1"/>
    <n v="63"/>
    <n v="1.05"/>
    <s v="Manpower Shortage"/>
    <n v="79"/>
    <n v="28914"/>
    <n v="18797"/>
    <n v="4260"/>
    <n v="4260"/>
    <x v="609"/>
    <n v="6750"/>
  </r>
  <r>
    <s v="PR-0850"/>
    <d v="2026-06-17T00:00:00"/>
    <x v="3"/>
    <x v="3"/>
    <s v="Wednesday"/>
    <x v="2"/>
    <x v="3"/>
    <x v="3"/>
    <s v="Toothpaste"/>
    <x v="5"/>
    <s v="Charcoal Toothpaste 150g"/>
    <s v="B260617-L1C"/>
    <s v="M. Khan"/>
    <x v="1"/>
    <x v="3"/>
    <x v="3"/>
    <n v="5820"/>
    <n v="5670"/>
    <n v="122"/>
    <n v="2.1516754850088183E-2"/>
    <n v="0.97422680412371132"/>
    <x v="4"/>
    <n v="0"/>
    <n v="0"/>
    <s v="None"/>
    <n v="51"/>
    <n v="6222"/>
    <n v="18495"/>
    <n v="5630"/>
    <n v="5630"/>
    <x v="610"/>
    <n v="9000"/>
  </r>
  <r>
    <s v="PR-0784"/>
    <d v="2026-06-11T00:00:00"/>
    <x v="3"/>
    <x v="3"/>
    <s v="Thursday"/>
    <x v="2"/>
    <x v="3"/>
    <x v="3"/>
    <s v="Toothpaste"/>
    <x v="5"/>
    <s v="Charcoal Toothpaste 150g"/>
    <s v="B260611-L1C"/>
    <s v="M. Khan"/>
    <x v="2"/>
    <x v="3"/>
    <x v="5"/>
    <n v="5240"/>
    <n v="4370"/>
    <n v="74"/>
    <n v="1.6933638443935927E-2"/>
    <n v="0.83396946564885499"/>
    <x v="0"/>
    <n v="33"/>
    <n v="0.55000000000000004"/>
    <s v="Machine Breakdown"/>
    <n v="51"/>
    <n v="3774"/>
    <n v="18891"/>
    <n v="4760"/>
    <n v="4760"/>
    <x v="611"/>
    <n v="9000"/>
  </r>
  <r>
    <s v="PR-0842"/>
    <d v="2026-06-17T00:00:00"/>
    <x v="3"/>
    <x v="3"/>
    <s v="Wednesday"/>
    <x v="0"/>
    <x v="3"/>
    <x v="3"/>
    <s v="Toothpaste"/>
    <x v="5"/>
    <s v="Charcoal Toothpaste 150g"/>
    <s v="B260617-L1A"/>
    <s v="R. Sharma"/>
    <x v="2"/>
    <x v="3"/>
    <x v="2"/>
    <n v="5800"/>
    <n v="5580"/>
    <n v="175"/>
    <n v="3.1362007168458779E-2"/>
    <n v="0.96206896551724141"/>
    <x v="3"/>
    <n v="0"/>
    <n v="0"/>
    <s v="None"/>
    <n v="51"/>
    <n v="8925"/>
    <n v="18070"/>
    <n v="4980"/>
    <n v="4980"/>
    <x v="612"/>
    <n v="9000"/>
  </r>
  <r>
    <s v="PR-1171"/>
    <d v="2026-07-16T00:00:00"/>
    <x v="2"/>
    <x v="2"/>
    <s v="Thursday"/>
    <x v="2"/>
    <x v="0"/>
    <x v="0"/>
    <s v="Mouthwash"/>
    <x v="1"/>
    <s v="Alcohol-Free Mouthwash 250ml"/>
    <s v="B260716-L2C"/>
    <s v="M. Khan"/>
    <x v="0"/>
    <x v="0"/>
    <x v="1"/>
    <n v="5930"/>
    <n v="5630"/>
    <n v="436"/>
    <n v="7.7442273534635883E-2"/>
    <n v="0.94940978077571669"/>
    <x v="1"/>
    <n v="28"/>
    <n v="0.46666666666666667"/>
    <s v="Material Shortage"/>
    <n v="58"/>
    <n v="25288"/>
    <n v="19121"/>
    <n v="5800"/>
    <n v="5800"/>
    <x v="613"/>
    <n v="9000"/>
  </r>
  <r>
    <s v="PR-0671"/>
    <d v="2026-06-01T00:00:00"/>
    <x v="3"/>
    <x v="3"/>
    <s v="Monday"/>
    <x v="2"/>
    <x v="3"/>
    <x v="3"/>
    <s v="Toothpaste"/>
    <x v="5"/>
    <s v="Charcoal Toothpaste 150g"/>
    <s v="B260601-L1C"/>
    <s v="A. Gupta"/>
    <x v="1"/>
    <x v="3"/>
    <x v="4"/>
    <n v="5790"/>
    <n v="5060"/>
    <n v="94"/>
    <n v="1.857707509881423E-2"/>
    <n v="0.87392055267702939"/>
    <x v="4"/>
    <n v="62"/>
    <n v="1.0333333333333334"/>
    <s v="Material Shortage"/>
    <n v="51"/>
    <n v="4794"/>
    <n v="19092"/>
    <n v="5540"/>
    <n v="5540"/>
    <x v="614"/>
    <n v="9000"/>
  </r>
  <r>
    <s v="PR-0804"/>
    <d v="2026-06-13T00:00:00"/>
    <x v="3"/>
    <x v="3"/>
    <s v="Saturday"/>
    <x v="1"/>
    <x v="3"/>
    <x v="3"/>
    <s v="Toothpaste"/>
    <x v="5"/>
    <s v="Charcoal Toothpaste 150g"/>
    <s v="B260613-L1B"/>
    <s v="P. Singh"/>
    <x v="1"/>
    <x v="3"/>
    <x v="4"/>
    <n v="6180"/>
    <n v="5250"/>
    <n v="59"/>
    <n v="1.1238095238095238E-2"/>
    <n v="0.84951456310679607"/>
    <x v="5"/>
    <n v="30"/>
    <n v="0.5"/>
    <s v="Machine Breakdown"/>
    <n v="51"/>
    <n v="3009"/>
    <n v="18427"/>
    <n v="5090"/>
    <n v="5090"/>
    <x v="615"/>
    <n v="9000"/>
  </r>
  <r>
    <s v="PR-0928"/>
    <d v="2026-06-24T00:00:00"/>
    <x v="3"/>
    <x v="3"/>
    <s v="Wednesday"/>
    <x v="2"/>
    <x v="3"/>
    <x v="3"/>
    <s v="Toothpaste"/>
    <x v="5"/>
    <s v="Charcoal Toothpaste 150g"/>
    <s v="B260624-L1C"/>
    <s v="A. Gupta"/>
    <x v="1"/>
    <x v="3"/>
    <x v="2"/>
    <n v="5360"/>
    <n v="5090"/>
    <n v="124"/>
    <n v="2.4361493123772102E-2"/>
    <n v="0.94962686567164178"/>
    <x v="3"/>
    <n v="0"/>
    <n v="0"/>
    <s v="None"/>
    <n v="51"/>
    <n v="6324"/>
    <n v="18333"/>
    <n v="4770"/>
    <n v="4770"/>
    <x v="616"/>
    <n v="9000"/>
  </r>
  <r>
    <e v="#N/A"/>
    <d v="2026-04-02T00:00:00"/>
    <x v="5"/>
    <x v="5"/>
    <s v="Thursday"/>
    <x v="0"/>
    <x v="0"/>
    <x v="0"/>
    <s v="Mouthwash"/>
    <x v="1"/>
    <s v="Alcohol-Free Mouthwash 250ml"/>
    <s v="B260402-L2A"/>
    <s v="K. Verma"/>
    <x v="1"/>
    <x v="0"/>
    <x v="0"/>
    <n v="5990"/>
    <n v="5830"/>
    <n v="138"/>
    <n v="2.3670668953687822E-2"/>
    <n v="0.97328881469115192"/>
    <x v="0"/>
    <n v="56"/>
    <n v="0.93333333333333335"/>
    <s v="Power Interruption"/>
    <n v="58"/>
    <n v="8004"/>
    <n v="18000"/>
    <n v="5160"/>
    <n v="5160"/>
    <x v="617"/>
    <n v="9000"/>
  </r>
  <r>
    <s v="PR-0982"/>
    <d v="2026-06-29T00:00:00"/>
    <x v="3"/>
    <x v="3"/>
    <s v="Monday"/>
    <x v="2"/>
    <x v="0"/>
    <x v="0"/>
    <s v="Mouthwash"/>
    <x v="2"/>
    <s v="Mint Mouthwash 500ml"/>
    <s v="B260629-L2C"/>
    <s v="A. Gupta"/>
    <x v="1"/>
    <x v="0"/>
    <x v="4"/>
    <n v="4180"/>
    <n v="3560"/>
    <n v="56"/>
    <n v="1.5730337078651686E-2"/>
    <n v="0.85167464114832536"/>
    <x v="0"/>
    <n v="0"/>
    <n v="0"/>
    <s v="None"/>
    <n v="79"/>
    <n v="4424"/>
    <n v="19060"/>
    <n v="4000"/>
    <n v="4000"/>
    <x v="618"/>
    <n v="6750"/>
  </r>
  <r>
    <s v="PR-0936"/>
    <d v="2026-06-25T00:00:00"/>
    <x v="3"/>
    <x v="3"/>
    <s v="Thursday"/>
    <x v="1"/>
    <x v="3"/>
    <x v="3"/>
    <s v="Toothpaste"/>
    <x v="5"/>
    <s v="Charcoal Toothpaste 150g"/>
    <s v="B260625-L1B"/>
    <s v="P. Singh"/>
    <x v="2"/>
    <x v="3"/>
    <x v="3"/>
    <n v="5570"/>
    <n v="5430"/>
    <n v="144"/>
    <n v="2.6519337016574586E-2"/>
    <n v="0.9748653500897666"/>
    <x v="0"/>
    <n v="34"/>
    <n v="0.56666666666666665"/>
    <s v="Changeover"/>
    <n v="51"/>
    <n v="7344"/>
    <n v="18529"/>
    <n v="5240"/>
    <n v="5240"/>
    <x v="619"/>
    <n v="9000"/>
  </r>
  <r>
    <s v="PR-0079"/>
    <d v="2026-04-08T00:00:00"/>
    <x v="5"/>
    <x v="5"/>
    <s v="Wednesday"/>
    <x v="0"/>
    <x v="0"/>
    <x v="0"/>
    <s v="Mouthwash"/>
    <x v="1"/>
    <s v="Alcohol-Free Mouthwash 250ml"/>
    <s v="B260408-L2A"/>
    <s v="K. Verma"/>
    <x v="1"/>
    <x v="0"/>
    <x v="4"/>
    <n v="5980"/>
    <n v="5130"/>
    <n v="95"/>
    <n v="1.8518518518518517E-2"/>
    <n v="0.85785953177257523"/>
    <x v="0"/>
    <n v="0"/>
    <n v="0"/>
    <s v="None"/>
    <n v="58"/>
    <n v="5510"/>
    <n v="19666"/>
    <n v="6080"/>
    <n v="6080"/>
    <x v="620"/>
    <n v="9000"/>
  </r>
  <r>
    <s v="PR-0083"/>
    <d v="2026-04-08T00:00:00"/>
    <x v="5"/>
    <x v="5"/>
    <s v="Wednesday"/>
    <x v="1"/>
    <x v="0"/>
    <x v="0"/>
    <s v="Mouthwash"/>
    <x v="1"/>
    <s v="Alcohol-Free Mouthwash 250ml"/>
    <s v="B260408-L2B"/>
    <s v="P. Singh"/>
    <x v="2"/>
    <x v="0"/>
    <x v="2"/>
    <n v="6150"/>
    <n v="5590"/>
    <n v="153"/>
    <n v="2.7370304114490162E-2"/>
    <n v="0.9089430894308943"/>
    <x v="4"/>
    <n v="31"/>
    <n v="0.51666666666666672"/>
    <s v="Manpower Shortage"/>
    <n v="58"/>
    <n v="8874"/>
    <n v="18621"/>
    <n v="5420"/>
    <n v="5420"/>
    <x v="621"/>
    <n v="9000"/>
  </r>
  <r>
    <s v="PR-0151"/>
    <d v="2026-04-14T00:00:00"/>
    <x v="5"/>
    <x v="5"/>
    <s v="Tuesday"/>
    <x v="2"/>
    <x v="0"/>
    <x v="0"/>
    <s v="Mouthwash"/>
    <x v="1"/>
    <s v="Alcohol-Free Mouthwash 250ml"/>
    <s v="B260414-L2C"/>
    <s v="A. Gupta"/>
    <x v="1"/>
    <x v="0"/>
    <x v="3"/>
    <n v="5980"/>
    <n v="5090"/>
    <n v="103"/>
    <n v="2.0235756385068762E-2"/>
    <n v="0.8511705685618729"/>
    <x v="3"/>
    <n v="0"/>
    <n v="0"/>
    <s v="None"/>
    <n v="58"/>
    <n v="5974"/>
    <n v="18811"/>
    <n v="5160"/>
    <n v="5160"/>
    <x v="621"/>
    <n v="9000"/>
  </r>
  <r>
    <s v="PR-1297"/>
    <d v="2026-07-28T00:00:00"/>
    <x v="2"/>
    <x v="2"/>
    <s v="Tuesday"/>
    <x v="1"/>
    <x v="0"/>
    <x v="0"/>
    <s v="Mouthwash"/>
    <x v="0"/>
    <s v="Mint Mouthwash 250ml"/>
    <s v="B260728-L2B"/>
    <s v="P. Singh"/>
    <x v="0"/>
    <x v="0"/>
    <x v="1"/>
    <n v="7050"/>
    <n v="6670"/>
    <n v="859"/>
    <n v="0.12878560719640181"/>
    <n v="0.94609929078014188"/>
    <x v="1"/>
    <n v="0"/>
    <n v="0"/>
    <s v="None"/>
    <n v="46"/>
    <n v="39514"/>
    <n v="19157"/>
    <n v="6300"/>
    <n v="6300"/>
    <x v="622"/>
    <n v="10500"/>
  </r>
  <r>
    <s v="PR-0990"/>
    <d v="2026-06-30T00:00:00"/>
    <x v="3"/>
    <x v="3"/>
    <s v="Tuesday"/>
    <x v="1"/>
    <x v="0"/>
    <x v="0"/>
    <s v="Mouthwash"/>
    <x v="2"/>
    <s v="Mint Mouthwash 500ml"/>
    <s v="B260630-L2B"/>
    <s v="S. Yadav"/>
    <x v="2"/>
    <x v="0"/>
    <x v="1"/>
    <n v="4280"/>
    <n v="4120"/>
    <n v="71"/>
    <n v="1.7233009708737864E-2"/>
    <n v="0.96261682242990654"/>
    <x v="5"/>
    <n v="0"/>
    <n v="0"/>
    <s v="None"/>
    <n v="79"/>
    <n v="5609"/>
    <n v="18564"/>
    <n v="3870"/>
    <n v="3870"/>
    <x v="623"/>
    <n v="6750"/>
  </r>
  <r>
    <s v="PR-0123"/>
    <d v="2026-04-11T00:00:00"/>
    <x v="5"/>
    <x v="5"/>
    <s v="Saturday"/>
    <x v="2"/>
    <x v="0"/>
    <x v="0"/>
    <s v="Mouthwash"/>
    <x v="1"/>
    <s v="Alcohol-Free Mouthwash 250ml"/>
    <s v="B260411-L2C"/>
    <s v="A. Gupta"/>
    <x v="2"/>
    <x v="0"/>
    <x v="1"/>
    <n v="5520"/>
    <n v="5290"/>
    <n v="165"/>
    <n v="3.1190926275992438E-2"/>
    <n v="0.95833333333333337"/>
    <x v="5"/>
    <n v="32"/>
    <n v="0.53333333333333333"/>
    <s v="Machine Breakdown"/>
    <n v="58"/>
    <n v="9570"/>
    <n v="18355"/>
    <n v="4720"/>
    <n v="4720"/>
    <x v="624"/>
    <n v="9000"/>
  </r>
  <r>
    <s v="PR-0994"/>
    <d v="2026-06-30T00:00:00"/>
    <x v="3"/>
    <x v="3"/>
    <s v="Tuesday"/>
    <x v="2"/>
    <x v="0"/>
    <x v="0"/>
    <s v="Mouthwash"/>
    <x v="2"/>
    <s v="Mint Mouthwash 500ml"/>
    <s v="B260630-L2C"/>
    <s v="M. Khan"/>
    <x v="1"/>
    <x v="0"/>
    <x v="2"/>
    <n v="4210"/>
    <n v="3690"/>
    <n v="56"/>
    <n v="1.5176151761517615E-2"/>
    <n v="0.87648456057007129"/>
    <x v="3"/>
    <n v="26"/>
    <n v="0.43333333333333335"/>
    <s v="Machine Breakdown"/>
    <n v="79"/>
    <n v="4424"/>
    <n v="18743"/>
    <n v="3580"/>
    <n v="3580"/>
    <x v="625"/>
    <n v="6750"/>
  </r>
  <r>
    <s v="PR-0538"/>
    <d v="2026-05-20T00:00:00"/>
    <x v="4"/>
    <x v="4"/>
    <s v="Wednesday"/>
    <x v="1"/>
    <x v="3"/>
    <x v="3"/>
    <s v="Toothpaste"/>
    <x v="5"/>
    <s v="Charcoal Toothpaste 150g"/>
    <s v="B260520-L1B"/>
    <s v="P. Singh"/>
    <x v="2"/>
    <x v="3"/>
    <x v="2"/>
    <n v="5590"/>
    <n v="5530"/>
    <n v="165"/>
    <n v="2.9837251356238697E-2"/>
    <n v="0.98926654740608233"/>
    <x v="0"/>
    <n v="0"/>
    <n v="0"/>
    <s v="None"/>
    <n v="51"/>
    <n v="8415"/>
    <n v="17939"/>
    <n v="4500"/>
    <n v="4500"/>
    <x v="626"/>
    <n v="9000"/>
  </r>
  <r>
    <s v="PR-0126"/>
    <d v="2026-04-12T00:00:00"/>
    <x v="5"/>
    <x v="5"/>
    <s v="Sunday"/>
    <x v="0"/>
    <x v="0"/>
    <x v="0"/>
    <s v="Mouthwash"/>
    <x v="1"/>
    <s v="Alcohol-Free Mouthwash 250ml"/>
    <s v="B260412-L2A"/>
    <s v="K. Verma"/>
    <x v="1"/>
    <x v="0"/>
    <x v="1"/>
    <n v="3970"/>
    <n v="3740"/>
    <n v="69"/>
    <n v="1.8449197860962566E-2"/>
    <n v="0.94206549118387906"/>
    <x v="5"/>
    <n v="21"/>
    <n v="0.35"/>
    <s v="Power Interruption"/>
    <n v="58"/>
    <n v="4002"/>
    <n v="18760"/>
    <n v="3620"/>
    <n v="3620"/>
    <x v="627"/>
    <n v="9000"/>
  </r>
  <r>
    <s v="PR-0546"/>
    <d v="2026-05-21T00:00:00"/>
    <x v="4"/>
    <x v="4"/>
    <s v="Thursday"/>
    <x v="0"/>
    <x v="3"/>
    <x v="3"/>
    <s v="Toothpaste"/>
    <x v="5"/>
    <s v="Charcoal Toothpaste 150g"/>
    <s v="B260521-L1A"/>
    <s v="K. Verma"/>
    <x v="2"/>
    <x v="3"/>
    <x v="2"/>
    <n v="6080"/>
    <n v="5610"/>
    <n v="150"/>
    <n v="2.6737967914438502E-2"/>
    <n v="0.92269736842105265"/>
    <x v="3"/>
    <n v="45"/>
    <n v="0.75"/>
    <s v="Changeover"/>
    <n v="51"/>
    <n v="7650"/>
    <n v="18804"/>
    <n v="5430"/>
    <n v="5430"/>
    <x v="628"/>
    <n v="9000"/>
  </r>
  <r>
    <s v="PR-0018"/>
    <d v="2026-04-02T00:00:00"/>
    <x v="5"/>
    <x v="5"/>
    <s v="Thursday"/>
    <x v="1"/>
    <x v="0"/>
    <x v="0"/>
    <s v="Mouthwash"/>
    <x v="1"/>
    <s v="Alcohol-Free Mouthwash 250ml"/>
    <s v="B260402-L2B"/>
    <s v="P. Singh"/>
    <x v="1"/>
    <x v="0"/>
    <x v="1"/>
    <n v="5540"/>
    <n v="5540"/>
    <n v="170"/>
    <n v="3.0685920577617327E-2"/>
    <n v="1"/>
    <x v="4"/>
    <n v="66"/>
    <n v="1.1000000000000001"/>
    <s v="Changeover"/>
    <n v="58"/>
    <n v="9860"/>
    <n v="18532"/>
    <n v="5050"/>
    <n v="5050"/>
    <x v="629"/>
    <n v="9000"/>
  </r>
  <r>
    <s v="PR-0929"/>
    <d v="2026-06-24T00:00:00"/>
    <x v="3"/>
    <x v="3"/>
    <s v="Wednesday"/>
    <x v="2"/>
    <x v="0"/>
    <x v="0"/>
    <s v="Mouthwash"/>
    <x v="2"/>
    <s v="Mint Mouthwash 500ml"/>
    <s v="B260624-L2C"/>
    <s v="A. Gupta"/>
    <x v="1"/>
    <x v="0"/>
    <x v="1"/>
    <n v="4130"/>
    <n v="3800"/>
    <n v="79"/>
    <n v="2.0789473684210528E-2"/>
    <n v="0.92009685230024219"/>
    <x v="4"/>
    <n v="0"/>
    <n v="0"/>
    <s v="None"/>
    <n v="79"/>
    <n v="6241"/>
    <n v="18222"/>
    <n v="3090"/>
    <n v="3090"/>
    <x v="630"/>
    <n v="6750"/>
  </r>
  <r>
    <s v="PR-0831"/>
    <d v="2026-06-16T00:00:00"/>
    <x v="3"/>
    <x v="3"/>
    <s v="Tuesday"/>
    <x v="0"/>
    <x v="0"/>
    <x v="0"/>
    <s v="Mouthwash"/>
    <x v="2"/>
    <s v="Mint Mouthwash 500ml"/>
    <s v="B260616-L2A"/>
    <s v="K. Verma"/>
    <x v="2"/>
    <x v="0"/>
    <x v="1"/>
    <n v="4720"/>
    <n v="4460"/>
    <n v="100"/>
    <n v="2.2421524663677129E-2"/>
    <n v="0.94491525423728817"/>
    <x v="3"/>
    <n v="0"/>
    <n v="0"/>
    <s v="None"/>
    <n v="79"/>
    <n v="7900"/>
    <n v="18164"/>
    <n v="3660"/>
    <n v="3660"/>
    <x v="631"/>
    <n v="6750"/>
  </r>
  <r>
    <s v="PR-0554"/>
    <d v="2026-05-21T00:00:00"/>
    <x v="4"/>
    <x v="4"/>
    <s v="Thursday"/>
    <x v="2"/>
    <x v="3"/>
    <x v="3"/>
    <s v="Toothpaste"/>
    <x v="5"/>
    <s v="Charcoal Toothpaste 150g"/>
    <s v="B260521-L1C"/>
    <s v="M. Khan"/>
    <x v="1"/>
    <x v="3"/>
    <x v="5"/>
    <n v="5530"/>
    <n v="4690"/>
    <n v="127"/>
    <n v="2.7078891257995737E-2"/>
    <n v="0.84810126582278478"/>
    <x v="3"/>
    <n v="0"/>
    <n v="0"/>
    <s v="None"/>
    <n v="51"/>
    <n v="6477"/>
    <n v="18834"/>
    <n v="4530"/>
    <n v="4530"/>
    <x v="632"/>
    <n v="9000"/>
  </r>
  <r>
    <s v="PR-0867"/>
    <d v="2026-06-19T00:00:00"/>
    <x v="3"/>
    <x v="3"/>
    <s v="Friday"/>
    <x v="0"/>
    <x v="0"/>
    <x v="0"/>
    <s v="Mouthwash"/>
    <x v="2"/>
    <s v="Mint Mouthwash 500ml"/>
    <s v="B260619-L2A"/>
    <s v="K. Verma"/>
    <x v="2"/>
    <x v="0"/>
    <x v="1"/>
    <n v="4610"/>
    <n v="4360"/>
    <n v="84"/>
    <n v="1.9266055045871561E-2"/>
    <n v="0.94577006507592187"/>
    <x v="4"/>
    <n v="0"/>
    <n v="0"/>
    <s v="None"/>
    <n v="79"/>
    <n v="6636"/>
    <n v="18864"/>
    <n v="4250"/>
    <n v="4250"/>
    <x v="633"/>
    <n v="6750"/>
  </r>
  <r>
    <s v="PR-0776"/>
    <d v="2026-06-11T00:00:00"/>
    <x v="3"/>
    <x v="3"/>
    <s v="Thursday"/>
    <x v="0"/>
    <x v="3"/>
    <x v="3"/>
    <s v="Toothpaste"/>
    <x v="5"/>
    <s v="Charcoal Toothpaste 150g"/>
    <s v="B260611-L1A"/>
    <s v="R. Sharma"/>
    <x v="1"/>
    <x v="3"/>
    <x v="2"/>
    <n v="5860"/>
    <n v="5980"/>
    <n v="165"/>
    <n v="2.7591973244147156E-2"/>
    <n v="1.0204778156996588"/>
    <x v="5"/>
    <n v="0"/>
    <n v="0"/>
    <s v="None"/>
    <n v="51"/>
    <n v="8415"/>
    <n v="18316"/>
    <n v="5240"/>
    <n v="5240"/>
    <x v="634"/>
    <n v="9000"/>
  </r>
  <r>
    <s v="PR-0940"/>
    <d v="2026-06-25T00:00:00"/>
    <x v="3"/>
    <x v="3"/>
    <s v="Thursday"/>
    <x v="2"/>
    <x v="3"/>
    <x v="3"/>
    <s v="Toothpaste"/>
    <x v="5"/>
    <s v="Charcoal Toothpaste 150g"/>
    <s v="B260625-L1C"/>
    <s v="A. Gupta"/>
    <x v="2"/>
    <x v="3"/>
    <x v="4"/>
    <n v="5790"/>
    <n v="5640"/>
    <n v="121"/>
    <n v="2.1453900709219858E-2"/>
    <n v="0.97409326424870468"/>
    <x v="0"/>
    <n v="0"/>
    <n v="0"/>
    <s v="None"/>
    <n v="51"/>
    <n v="6171"/>
    <n v="18575"/>
    <n v="5150"/>
    <n v="5150"/>
    <x v="635"/>
    <n v="9000"/>
  </r>
  <r>
    <s v="PR-0026"/>
    <d v="2026-04-03T00:00:00"/>
    <x v="5"/>
    <x v="5"/>
    <s v="Friday"/>
    <x v="0"/>
    <x v="0"/>
    <x v="0"/>
    <s v="Mouthwash"/>
    <x v="1"/>
    <s v="Alcohol-Free Mouthwash 250ml"/>
    <s v="B260403-L2A"/>
    <s v="R. Sharma"/>
    <x v="1"/>
    <x v="0"/>
    <x v="2"/>
    <n v="6310"/>
    <n v="5820"/>
    <n v="123"/>
    <n v="2.1134020618556702E-2"/>
    <n v="0.92234548335974642"/>
    <x v="4"/>
    <n v="0"/>
    <n v="0"/>
    <s v="None"/>
    <n v="58"/>
    <n v="7134"/>
    <n v="18852"/>
    <n v="5580"/>
    <n v="5580"/>
    <x v="636"/>
    <n v="9000"/>
  </r>
  <r>
    <s v="PR-0953"/>
    <d v="2026-06-26T00:00:00"/>
    <x v="3"/>
    <x v="3"/>
    <s v="Friday"/>
    <x v="2"/>
    <x v="0"/>
    <x v="0"/>
    <s v="Mouthwash"/>
    <x v="2"/>
    <s v="Mint Mouthwash 500ml"/>
    <s v="B260626-L2C"/>
    <s v="A. Gupta"/>
    <x v="1"/>
    <x v="0"/>
    <x v="3"/>
    <n v="4340"/>
    <n v="3980"/>
    <n v="117"/>
    <n v="2.9396984924623115E-2"/>
    <n v="0.91705069124423966"/>
    <x v="2"/>
    <n v="0"/>
    <n v="0"/>
    <s v="None"/>
    <n v="79"/>
    <n v="9243"/>
    <n v="19511"/>
    <n v="4330"/>
    <n v="4330"/>
    <x v="637"/>
    <n v="6750"/>
  </r>
  <r>
    <s v="PR-0587"/>
    <d v="2026-05-25T00:00:00"/>
    <x v="4"/>
    <x v="4"/>
    <s v="Monday"/>
    <x v="0"/>
    <x v="3"/>
    <x v="3"/>
    <s v="Toothpaste"/>
    <x v="5"/>
    <s v="Charcoal Toothpaste 150g"/>
    <s v="B260525-L1A"/>
    <s v="K. Verma"/>
    <x v="1"/>
    <x v="3"/>
    <x v="2"/>
    <n v="6010"/>
    <n v="5830"/>
    <n v="179"/>
    <n v="3.0703259005145797E-2"/>
    <n v="0.97004991680532449"/>
    <x v="4"/>
    <n v="0"/>
    <n v="0"/>
    <s v="None"/>
    <n v="51"/>
    <n v="9129"/>
    <n v="19457"/>
    <n v="6050"/>
    <n v="6050"/>
    <x v="638"/>
    <n v="9000"/>
  </r>
  <r>
    <s v="PR-0968"/>
    <d v="2026-06-28T00:00:00"/>
    <x v="3"/>
    <x v="3"/>
    <s v="Sunday"/>
    <x v="0"/>
    <x v="0"/>
    <x v="0"/>
    <s v="Mouthwash"/>
    <x v="2"/>
    <s v="Mint Mouthwash 500ml"/>
    <s v="B260628-L2A"/>
    <s v="K. Verma"/>
    <x v="1"/>
    <x v="0"/>
    <x v="1"/>
    <n v="2940"/>
    <n v="2770"/>
    <n v="68"/>
    <n v="2.4548736462093861E-2"/>
    <n v="0.94217687074829937"/>
    <x v="3"/>
    <n v="14"/>
    <n v="0.23333333333333334"/>
    <s v="Changeover"/>
    <n v="79"/>
    <n v="5372"/>
    <n v="19128"/>
    <n v="2770"/>
    <n v="2770"/>
    <x v="639"/>
    <n v="6750"/>
  </r>
  <r>
    <s v="PR-0651"/>
    <d v="2026-05-30T00:00:00"/>
    <x v="4"/>
    <x v="4"/>
    <s v="Saturday"/>
    <x v="1"/>
    <x v="3"/>
    <x v="3"/>
    <s v="Toothpaste"/>
    <x v="5"/>
    <s v="Charcoal Toothpaste 150g"/>
    <s v="B260530-L1B"/>
    <s v="S. Yadav"/>
    <x v="2"/>
    <x v="3"/>
    <x v="3"/>
    <n v="6320"/>
    <n v="5990"/>
    <n v="222"/>
    <n v="3.706176961602671E-2"/>
    <n v="0.94778481012658233"/>
    <x v="0"/>
    <n v="46"/>
    <n v="0.76666666666666672"/>
    <s v="Changeover"/>
    <n v="51"/>
    <n v="11322"/>
    <n v="19774"/>
    <n v="6450"/>
    <n v="6450"/>
    <x v="640"/>
    <n v="9000"/>
  </r>
  <r>
    <s v="PR-1155"/>
    <d v="2026-07-15T00:00:00"/>
    <x v="2"/>
    <x v="2"/>
    <s v="Wednesday"/>
    <x v="1"/>
    <x v="0"/>
    <x v="0"/>
    <s v="Mouthwash"/>
    <x v="1"/>
    <s v="Alcohol-Free Mouthwash 250ml"/>
    <s v="B260715-L2B"/>
    <s v="S. Yadav"/>
    <x v="2"/>
    <x v="0"/>
    <x v="0"/>
    <n v="5840"/>
    <n v="5550"/>
    <n v="110"/>
    <n v="1.9819819819819819E-2"/>
    <n v="0.95034246575342463"/>
    <x v="5"/>
    <n v="19"/>
    <n v="0.31666666666666665"/>
    <s v="Power Interruption"/>
    <n v="58"/>
    <n v="6380"/>
    <n v="19231"/>
    <n v="5550"/>
    <n v="5550"/>
    <x v="641"/>
    <n v="9000"/>
  </r>
  <r>
    <s v="PR-0957"/>
    <d v="2026-06-27T00:00:00"/>
    <x v="3"/>
    <x v="3"/>
    <s v="Saturday"/>
    <x v="0"/>
    <x v="0"/>
    <x v="0"/>
    <s v="Mouthwash"/>
    <x v="2"/>
    <s v="Mint Mouthwash 500ml"/>
    <s v="B260627-L2A"/>
    <s v="R. Sharma"/>
    <x v="2"/>
    <x v="0"/>
    <x v="0"/>
    <n v="4810"/>
    <n v="4850"/>
    <n v="166"/>
    <n v="3.4226804123711339E-2"/>
    <n v="1.0083160083160083"/>
    <x v="2"/>
    <n v="0"/>
    <n v="0"/>
    <s v="None"/>
    <n v="79"/>
    <n v="13114"/>
    <n v="19044"/>
    <n v="4600"/>
    <n v="4600"/>
    <x v="642"/>
    <n v="6750"/>
  </r>
  <r>
    <s v="PR-0159"/>
    <d v="2026-04-15T00:00:00"/>
    <x v="5"/>
    <x v="5"/>
    <s v="Wednesday"/>
    <x v="1"/>
    <x v="0"/>
    <x v="0"/>
    <s v="Mouthwash"/>
    <x v="1"/>
    <s v="Alcohol-Free Mouthwash 250ml"/>
    <s v="B260415-L2B"/>
    <s v="S. Yadav"/>
    <x v="2"/>
    <x v="0"/>
    <x v="1"/>
    <n v="6090"/>
    <n v="5940"/>
    <n v="96"/>
    <n v="1.6161616161616162E-2"/>
    <n v="0.97536945812807885"/>
    <x v="0"/>
    <n v="0"/>
    <n v="0"/>
    <s v="None"/>
    <n v="58"/>
    <n v="5568"/>
    <n v="18638"/>
    <n v="5350"/>
    <n v="5350"/>
    <x v="643"/>
    <n v="9000"/>
  </r>
  <r>
    <s v="PR-0034"/>
    <d v="2026-04-03T00:00:00"/>
    <x v="5"/>
    <x v="5"/>
    <s v="Friday"/>
    <x v="2"/>
    <x v="0"/>
    <x v="0"/>
    <s v="Mouthwash"/>
    <x v="1"/>
    <s v="Alcohol-Free Mouthwash 250ml"/>
    <s v="B260403-L2C"/>
    <s v="M. Khan"/>
    <x v="1"/>
    <x v="0"/>
    <x v="2"/>
    <n v="5270"/>
    <n v="5020"/>
    <n v="49"/>
    <n v="9.7609561752988044E-3"/>
    <n v="0.95256166982922197"/>
    <x v="2"/>
    <n v="13"/>
    <n v="0.21666666666666667"/>
    <s v="Power Interruption"/>
    <n v="58"/>
    <n v="2842"/>
    <n v="19397"/>
    <n v="5230"/>
    <n v="5230"/>
    <x v="644"/>
    <n v="9000"/>
  </r>
  <r>
    <s v="PR-1289"/>
    <d v="2026-07-27T00:00:00"/>
    <x v="2"/>
    <x v="2"/>
    <s v="Monday"/>
    <x v="2"/>
    <x v="0"/>
    <x v="0"/>
    <s v="Mouthwash"/>
    <x v="0"/>
    <s v="Mint Mouthwash 250ml"/>
    <s v="B260727-L2C"/>
    <s v="A. Gupta"/>
    <x v="0"/>
    <x v="0"/>
    <x v="0"/>
    <n v="6830"/>
    <n v="6760"/>
    <n v="708"/>
    <n v="0.10473372781065089"/>
    <n v="0.98975109809663253"/>
    <x v="1"/>
    <n v="46"/>
    <n v="0.76666666666666672"/>
    <s v="Changeover"/>
    <n v="46"/>
    <n v="32568"/>
    <n v="20555"/>
    <n v="7450"/>
    <n v="7450"/>
    <x v="645"/>
    <n v="10500"/>
  </r>
  <r>
    <s v="PR-0611"/>
    <d v="2026-05-27T00:00:00"/>
    <x v="4"/>
    <x v="4"/>
    <s v="Wednesday"/>
    <x v="0"/>
    <x v="3"/>
    <x v="3"/>
    <s v="Toothpaste"/>
    <x v="5"/>
    <s v="Charcoal Toothpaste 150g"/>
    <s v="B260527-L1A"/>
    <s v="K. Verma"/>
    <x v="2"/>
    <x v="3"/>
    <x v="2"/>
    <n v="5950"/>
    <n v="5920"/>
    <n v="145"/>
    <n v="2.4493243243243243E-2"/>
    <n v="0.99495798319327733"/>
    <x v="2"/>
    <n v="52"/>
    <n v="0.8666666666666667"/>
    <s v="Material Shortage"/>
    <n v="51"/>
    <n v="7395"/>
    <n v="19414"/>
    <n v="5970"/>
    <n v="5970"/>
    <x v="646"/>
    <n v="9000"/>
  </r>
  <r>
    <s v="PR-1147"/>
    <d v="2026-07-14T00:00:00"/>
    <x v="2"/>
    <x v="2"/>
    <s v="Tuesday"/>
    <x v="2"/>
    <x v="0"/>
    <x v="0"/>
    <s v="Mouthwash"/>
    <x v="1"/>
    <s v="Alcohol-Free Mouthwash 250ml"/>
    <s v="B260714-L2C"/>
    <s v="M. Khan"/>
    <x v="0"/>
    <x v="0"/>
    <x v="5"/>
    <n v="5980"/>
    <n v="5060"/>
    <n v="550"/>
    <n v="0.10869565217391304"/>
    <n v="0.84615384615384615"/>
    <x v="1"/>
    <n v="26"/>
    <n v="0.43333333333333335"/>
    <s v="Changeover"/>
    <n v="58"/>
    <n v="31900"/>
    <n v="20391"/>
    <n v="5670"/>
    <n v="5670"/>
    <x v="647"/>
    <n v="9000"/>
  </r>
  <r>
    <s v="PR-1025"/>
    <d v="2026-07-03T00:00:00"/>
    <x v="2"/>
    <x v="2"/>
    <s v="Friday"/>
    <x v="1"/>
    <x v="3"/>
    <x v="3"/>
    <s v="Toothpaste"/>
    <x v="5"/>
    <s v="Charcoal Toothpaste 150g"/>
    <s v="B260703-L1B"/>
    <s v="S. Yadav"/>
    <x v="2"/>
    <x v="3"/>
    <x v="3"/>
    <n v="5680"/>
    <n v="5280"/>
    <n v="207"/>
    <n v="3.9204545454545457E-2"/>
    <n v="0.92957746478873238"/>
    <x v="5"/>
    <n v="25"/>
    <n v="0.41666666666666669"/>
    <s v="Changeover"/>
    <n v="51"/>
    <n v="10557"/>
    <n v="19661"/>
    <n v="5470"/>
    <n v="5470"/>
    <x v="648"/>
    <n v="9000"/>
  </r>
  <r>
    <s v="PR-0566"/>
    <d v="2026-05-22T00:00:00"/>
    <x v="4"/>
    <x v="4"/>
    <s v="Friday"/>
    <x v="2"/>
    <x v="3"/>
    <x v="3"/>
    <s v="Toothpaste"/>
    <x v="5"/>
    <s v="Charcoal Toothpaste 150g"/>
    <s v="B260522-L1C"/>
    <s v="A. Gupta"/>
    <x v="1"/>
    <x v="3"/>
    <x v="3"/>
    <n v="5630"/>
    <n v="5760"/>
    <n v="151"/>
    <n v="2.6215277777777778E-2"/>
    <n v="1.0230905861456483"/>
    <x v="4"/>
    <n v="0"/>
    <n v="0"/>
    <s v="None"/>
    <n v="51"/>
    <n v="7701"/>
    <n v="18867"/>
    <n v="5110"/>
    <n v="5110"/>
    <x v="649"/>
    <n v="9000"/>
  </r>
  <r>
    <s v="PR-0030"/>
    <d v="2026-04-03T00:00:00"/>
    <x v="5"/>
    <x v="5"/>
    <s v="Friday"/>
    <x v="1"/>
    <x v="0"/>
    <x v="0"/>
    <s v="Mouthwash"/>
    <x v="1"/>
    <s v="Alcohol-Free Mouthwash 250ml"/>
    <s v="B260403-L2B"/>
    <s v="P. Singh"/>
    <x v="1"/>
    <x v="0"/>
    <x v="1"/>
    <n v="5610"/>
    <n v="5320"/>
    <n v="142"/>
    <n v="2.669172932330827E-2"/>
    <n v="0.94830659536541895"/>
    <x v="2"/>
    <n v="0"/>
    <n v="0"/>
    <s v="None"/>
    <n v="58"/>
    <n v="8236"/>
    <n v="18969"/>
    <n v="4750"/>
    <n v="4750"/>
    <x v="650"/>
    <n v="9000"/>
  </r>
  <r>
    <s v="PR-0595"/>
    <d v="2026-05-25T00:00:00"/>
    <x v="4"/>
    <x v="4"/>
    <s v="Monday"/>
    <x v="2"/>
    <x v="3"/>
    <x v="3"/>
    <s v="Toothpaste"/>
    <x v="5"/>
    <s v="Charcoal Toothpaste 150g"/>
    <s v="B260525-L1C"/>
    <s v="A. Gupta"/>
    <x v="1"/>
    <x v="3"/>
    <x v="4"/>
    <n v="5600"/>
    <n v="5360"/>
    <n v="94"/>
    <n v="1.7537313432835822E-2"/>
    <n v="0.95714285714285718"/>
    <x v="4"/>
    <n v="0"/>
    <n v="0"/>
    <s v="None"/>
    <n v="51"/>
    <n v="4794"/>
    <n v="19058"/>
    <n v="4910"/>
    <n v="4910"/>
    <x v="651"/>
    <n v="9000"/>
  </r>
  <r>
    <s v="PR-0631"/>
    <d v="2026-05-28T00:00:00"/>
    <x v="4"/>
    <x v="4"/>
    <s v="Thursday"/>
    <x v="2"/>
    <x v="3"/>
    <x v="3"/>
    <s v="Toothpaste"/>
    <x v="5"/>
    <s v="Charcoal Toothpaste 150g"/>
    <s v="B260528-L1C"/>
    <s v="A. Gupta"/>
    <x v="2"/>
    <x v="3"/>
    <x v="2"/>
    <n v="5790"/>
    <n v="5280"/>
    <n v="111"/>
    <n v="2.1022727272727273E-2"/>
    <n v="0.91191709844559588"/>
    <x v="0"/>
    <n v="0"/>
    <n v="0"/>
    <s v="None"/>
    <n v="51"/>
    <n v="5661"/>
    <n v="19746"/>
    <n v="5500"/>
    <n v="5500"/>
    <x v="652"/>
    <n v="9000"/>
  </r>
  <r>
    <s v="PR-1001"/>
    <d v="2026-07-01T00:00:00"/>
    <x v="2"/>
    <x v="2"/>
    <s v="Wednesday"/>
    <x v="1"/>
    <x v="3"/>
    <x v="3"/>
    <s v="Toothpaste"/>
    <x v="5"/>
    <s v="Charcoal Toothpaste 150g"/>
    <s v="B260701-L1B"/>
    <s v="S. Yadav"/>
    <x v="1"/>
    <x v="3"/>
    <x v="4"/>
    <n v="6390"/>
    <n v="5710"/>
    <n v="98"/>
    <n v="1.7162872154115588E-2"/>
    <n v="0.89358372456964008"/>
    <x v="0"/>
    <n v="0"/>
    <n v="0"/>
    <s v="None"/>
    <n v="51"/>
    <n v="4998"/>
    <n v="19888"/>
    <n v="6080"/>
    <n v="6080"/>
    <x v="653"/>
    <n v="9000"/>
  </r>
  <r>
    <s v="PR-0225"/>
    <d v="2026-04-21T00:00:00"/>
    <x v="5"/>
    <x v="5"/>
    <s v="Tuesday"/>
    <x v="1"/>
    <x v="2"/>
    <x v="2"/>
    <s v="Dental Floss"/>
    <x v="6"/>
    <s v="Floss Picks (100 pcs)"/>
    <s v="B260421-L3B"/>
    <s v="P. Singh"/>
    <x v="2"/>
    <x v="2"/>
    <x v="10"/>
    <n v="6760"/>
    <n v="6530"/>
    <n v="140"/>
    <n v="2.1439509954058193E-2"/>
    <n v="0.96597633136094674"/>
    <x v="2"/>
    <n v="25"/>
    <n v="0.41666666666666669"/>
    <s v="Material Shortage"/>
    <n v="33"/>
    <n v="4620"/>
    <n v="19891"/>
    <n v="6830"/>
    <n v="6830"/>
    <x v="654"/>
    <n v="9750"/>
  </r>
  <r>
    <s v="PR-0574"/>
    <d v="2026-05-23T00:00:00"/>
    <x v="4"/>
    <x v="4"/>
    <s v="Saturday"/>
    <x v="1"/>
    <x v="3"/>
    <x v="3"/>
    <s v="Toothpaste"/>
    <x v="5"/>
    <s v="Charcoal Toothpaste 150g"/>
    <s v="B260523-L1B"/>
    <s v="S. Yadav"/>
    <x v="1"/>
    <x v="3"/>
    <x v="4"/>
    <n v="5830"/>
    <n v="5320"/>
    <n v="159"/>
    <n v="2.9887218045112782E-2"/>
    <n v="0.91252144082332765"/>
    <x v="0"/>
    <n v="0"/>
    <n v="0"/>
    <s v="None"/>
    <n v="51"/>
    <n v="8109"/>
    <n v="19366"/>
    <n v="5070"/>
    <n v="5070"/>
    <x v="655"/>
    <n v="9000"/>
  </r>
  <r>
    <s v="PR-0684"/>
    <d v="2026-06-02T00:00:00"/>
    <x v="3"/>
    <x v="3"/>
    <s v="Tuesday"/>
    <x v="2"/>
    <x v="0"/>
    <x v="0"/>
    <s v="Mouthwash"/>
    <x v="1"/>
    <s v="Alcohol-Free Mouthwash 250ml"/>
    <s v="B260602-L2C"/>
    <s v="A. Gupta"/>
    <x v="1"/>
    <x v="0"/>
    <x v="3"/>
    <n v="5420"/>
    <n v="4660"/>
    <n v="68"/>
    <n v="1.4592274678111588E-2"/>
    <n v="0.85977859778597787"/>
    <x v="5"/>
    <n v="0"/>
    <n v="0"/>
    <s v="None"/>
    <n v="58"/>
    <n v="3944"/>
    <n v="19927"/>
    <n v="5040"/>
    <n v="5040"/>
    <x v="656"/>
    <n v="9000"/>
  </r>
  <r>
    <s v="PR-0945"/>
    <d v="2026-06-26T00:00:00"/>
    <x v="3"/>
    <x v="3"/>
    <s v="Friday"/>
    <x v="0"/>
    <x v="0"/>
    <x v="0"/>
    <s v="Mouthwash"/>
    <x v="2"/>
    <s v="Mint Mouthwash 500ml"/>
    <s v="B260626-L2A"/>
    <s v="R. Sharma"/>
    <x v="1"/>
    <x v="0"/>
    <x v="0"/>
    <n v="4790"/>
    <n v="4770"/>
    <n v="142"/>
    <n v="2.9769392033542976E-2"/>
    <n v="0.99582463465553239"/>
    <x v="5"/>
    <n v="0"/>
    <n v="0"/>
    <s v="None"/>
    <n v="79"/>
    <n v="11218"/>
    <n v="18853"/>
    <n v="3970"/>
    <n v="3970"/>
    <x v="657"/>
    <n v="6750"/>
  </r>
  <r>
    <s v="PR-0179"/>
    <d v="2026-04-17T00:00:00"/>
    <x v="5"/>
    <x v="5"/>
    <s v="Friday"/>
    <x v="0"/>
    <x v="0"/>
    <x v="0"/>
    <s v="Mouthwash"/>
    <x v="1"/>
    <s v="Alcohol-Free Mouthwash 250ml"/>
    <s v="B260417-L2A"/>
    <s v="R. Sharma"/>
    <x v="1"/>
    <x v="0"/>
    <x v="3"/>
    <n v="5950"/>
    <n v="5490"/>
    <n v="112"/>
    <n v="2.0400728597449909E-2"/>
    <n v="0.92268907563025215"/>
    <x v="3"/>
    <n v="69"/>
    <n v="1.1499999999999999"/>
    <s v="Manpower Shortage"/>
    <n v="58"/>
    <n v="6496"/>
    <n v="19783"/>
    <n v="5590"/>
    <n v="5590"/>
    <x v="658"/>
    <n v="9000"/>
  </r>
  <r>
    <s v="PR-0196"/>
    <d v="2026-04-18T00:00:00"/>
    <x v="5"/>
    <x v="5"/>
    <s v="Saturday"/>
    <x v="1"/>
    <x v="2"/>
    <x v="2"/>
    <s v="Dental Floss"/>
    <x v="6"/>
    <s v="Floss Picks (100 pcs)"/>
    <s v="B260418-L3B"/>
    <s v="S. Yadav"/>
    <x v="1"/>
    <x v="2"/>
    <x v="9"/>
    <n v="6270"/>
    <n v="5510"/>
    <n v="186"/>
    <n v="3.3756805807622504E-2"/>
    <n v="0.87878787878787878"/>
    <x v="2"/>
    <n v="0"/>
    <n v="0"/>
    <s v="None"/>
    <n v="33"/>
    <n v="6138"/>
    <n v="19932"/>
    <n v="5680"/>
    <n v="5680"/>
    <x v="659"/>
    <n v="9750"/>
  </r>
  <r>
    <s v="PR-1013"/>
    <d v="2026-07-02T00:00:00"/>
    <x v="2"/>
    <x v="2"/>
    <s v="Thursday"/>
    <x v="1"/>
    <x v="3"/>
    <x v="3"/>
    <s v="Toothpaste"/>
    <x v="5"/>
    <s v="Charcoal Toothpaste 150g"/>
    <s v="B260702-L1B"/>
    <s v="P. Singh"/>
    <x v="2"/>
    <x v="3"/>
    <x v="4"/>
    <n v="6020"/>
    <n v="5580"/>
    <n v="172"/>
    <n v="3.0824372759856632E-2"/>
    <n v="0.92691029900332222"/>
    <x v="4"/>
    <n v="0"/>
    <n v="0"/>
    <s v="None"/>
    <n v="51"/>
    <n v="8772"/>
    <n v="19616"/>
    <n v="5440"/>
    <n v="5440"/>
    <x v="660"/>
    <n v="9000"/>
  </r>
  <r>
    <s v="PR-1005"/>
    <d v="2026-07-01T00:00:00"/>
    <x v="2"/>
    <x v="2"/>
    <s v="Wednesday"/>
    <x v="2"/>
    <x v="3"/>
    <x v="3"/>
    <s v="Toothpaste"/>
    <x v="5"/>
    <s v="Charcoal Toothpaste 150g"/>
    <s v="B260701-L1C"/>
    <s v="A. Gupta"/>
    <x v="2"/>
    <x v="3"/>
    <x v="3"/>
    <n v="5380"/>
    <n v="4930"/>
    <n v="84"/>
    <n v="1.7038539553752535E-2"/>
    <n v="0.91635687732342008"/>
    <x v="2"/>
    <n v="0"/>
    <n v="0"/>
    <s v="None"/>
    <n v="51"/>
    <n v="4284"/>
    <n v="19420"/>
    <n v="4650"/>
    <n v="4650"/>
    <x v="661"/>
    <n v="9000"/>
  </r>
  <r>
    <s v="PR-1037"/>
    <d v="2026-07-04T00:00:00"/>
    <x v="2"/>
    <x v="2"/>
    <s v="Saturday"/>
    <x v="1"/>
    <x v="3"/>
    <x v="3"/>
    <s v="Toothpaste"/>
    <x v="5"/>
    <s v="Charcoal Toothpaste 150g"/>
    <s v="B260704-L1B"/>
    <s v="P. Singh"/>
    <x v="1"/>
    <x v="3"/>
    <x v="2"/>
    <n v="6230"/>
    <n v="5990"/>
    <n v="150"/>
    <n v="2.5041736227045076E-2"/>
    <n v="0.9614767255216693"/>
    <x v="2"/>
    <n v="0"/>
    <n v="0"/>
    <s v="None"/>
    <n v="51"/>
    <n v="7650"/>
    <n v="19264"/>
    <n v="5480"/>
    <n v="5480"/>
    <x v="662"/>
    <n v="9000"/>
  </r>
  <r>
    <s v="PR-0019"/>
    <d v="2026-04-02T00:00:00"/>
    <x v="5"/>
    <x v="5"/>
    <s v="Thursday"/>
    <x v="1"/>
    <x v="2"/>
    <x v="2"/>
    <s v="Dental Floss"/>
    <x v="6"/>
    <s v="Floss Picks (100 pcs)"/>
    <s v="B260402-L3B"/>
    <s v="P. Singh"/>
    <x v="2"/>
    <x v="2"/>
    <x v="10"/>
    <n v="6320"/>
    <n v="5970"/>
    <n v="62"/>
    <n v="1.0385259631490788E-2"/>
    <n v="0.944620253164557"/>
    <x v="3"/>
    <n v="0"/>
    <n v="0"/>
    <s v="None"/>
    <n v="33"/>
    <n v="2046"/>
    <n v="19500"/>
    <n v="5780"/>
    <n v="5780"/>
    <x v="663"/>
    <n v="9750"/>
  </r>
  <r>
    <s v="PR-1021"/>
    <d v="2026-07-03T00:00:00"/>
    <x v="2"/>
    <x v="2"/>
    <s v="Friday"/>
    <x v="0"/>
    <x v="3"/>
    <x v="3"/>
    <s v="Toothpaste"/>
    <x v="5"/>
    <s v="Charcoal Toothpaste 150g"/>
    <s v="B260703-L1A"/>
    <s v="R. Sharma"/>
    <x v="2"/>
    <x v="3"/>
    <x v="3"/>
    <n v="5900"/>
    <n v="5500"/>
    <n v="123"/>
    <n v="2.2363636363636363E-2"/>
    <n v="0.93220338983050843"/>
    <x v="0"/>
    <n v="0"/>
    <n v="0"/>
    <s v="None"/>
    <n v="51"/>
    <n v="6273"/>
    <n v="19584"/>
    <n v="5300"/>
    <n v="5300"/>
    <x v="664"/>
    <n v="9000"/>
  </r>
  <r>
    <s v="PR-0059"/>
    <d v="2026-04-06T00:00:00"/>
    <x v="5"/>
    <x v="5"/>
    <s v="Monday"/>
    <x v="1"/>
    <x v="0"/>
    <x v="0"/>
    <s v="Mouthwash"/>
    <x v="1"/>
    <s v="Alcohol-Free Mouthwash 250ml"/>
    <s v="B260406-L2B"/>
    <s v="S. Yadav"/>
    <x v="2"/>
    <x v="0"/>
    <x v="0"/>
    <n v="6220"/>
    <n v="6140"/>
    <n v="82"/>
    <n v="1.3355048859934854E-2"/>
    <n v="0.98713826366559487"/>
    <x v="3"/>
    <n v="0"/>
    <n v="0"/>
    <s v="None"/>
    <n v="58"/>
    <n v="4756"/>
    <n v="19138"/>
    <n v="5530"/>
    <n v="5530"/>
    <x v="665"/>
    <n v="9000"/>
  </r>
  <r>
    <s v="PR-0203"/>
    <d v="2026-04-19T00:00:00"/>
    <x v="5"/>
    <x v="5"/>
    <s v="Sunday"/>
    <x v="0"/>
    <x v="0"/>
    <x v="0"/>
    <s v="Mouthwash"/>
    <x v="1"/>
    <s v="Alcohol-Free Mouthwash 250ml"/>
    <s v="B260419-L2A"/>
    <s v="K. Verma"/>
    <x v="1"/>
    <x v="0"/>
    <x v="0"/>
    <n v="4370"/>
    <n v="4210"/>
    <n v="130"/>
    <n v="3.0878859857482184E-2"/>
    <n v="0.96338672768878719"/>
    <x v="2"/>
    <n v="0"/>
    <n v="0"/>
    <s v="None"/>
    <n v="58"/>
    <n v="7540"/>
    <n v="19571"/>
    <n v="3970"/>
    <n v="3970"/>
    <x v="666"/>
    <n v="9000"/>
  </r>
  <r>
    <s v="PR-0948"/>
    <d v="2026-06-26T00:00:00"/>
    <x v="3"/>
    <x v="3"/>
    <s v="Friday"/>
    <x v="1"/>
    <x v="3"/>
    <x v="3"/>
    <s v="Toothpaste"/>
    <x v="5"/>
    <s v="Charcoal Toothpaste 150g"/>
    <s v="B260626-L1B"/>
    <s v="P. Singh"/>
    <x v="2"/>
    <x v="3"/>
    <x v="2"/>
    <n v="5530"/>
    <n v="5510"/>
    <n v="116"/>
    <n v="2.1052631578947368E-2"/>
    <n v="0.9963833634719711"/>
    <x v="4"/>
    <n v="0"/>
    <n v="0"/>
    <s v="None"/>
    <n v="51"/>
    <n v="5916"/>
    <n v="18944"/>
    <n v="4640"/>
    <n v="4640"/>
    <x v="667"/>
    <n v="9000"/>
  </r>
  <r>
    <s v="PR-0615"/>
    <d v="2026-05-27T00:00:00"/>
    <x v="4"/>
    <x v="4"/>
    <s v="Wednesday"/>
    <x v="1"/>
    <x v="3"/>
    <x v="3"/>
    <s v="Toothpaste"/>
    <x v="5"/>
    <s v="Charcoal Toothpaste 150g"/>
    <s v="B260527-L1B"/>
    <s v="S. Yadav"/>
    <x v="2"/>
    <x v="3"/>
    <x v="2"/>
    <n v="6140"/>
    <n v="5860"/>
    <n v="203"/>
    <n v="3.4641638225255976E-2"/>
    <n v="0.9543973941368078"/>
    <x v="5"/>
    <n v="0"/>
    <n v="0"/>
    <s v="None"/>
    <n v="51"/>
    <n v="10353"/>
    <n v="19219"/>
    <n v="5130"/>
    <n v="5130"/>
    <x v="668"/>
    <n v="9000"/>
  </r>
  <r>
    <s v="PR-0797"/>
    <d v="2026-06-12T00:00:00"/>
    <x v="3"/>
    <x v="3"/>
    <s v="Friday"/>
    <x v="2"/>
    <x v="0"/>
    <x v="0"/>
    <s v="Mouthwash"/>
    <x v="1"/>
    <s v="Alcohol-Free Mouthwash 250ml"/>
    <s v="B260612-L2C"/>
    <s v="A. Gupta"/>
    <x v="1"/>
    <x v="0"/>
    <x v="1"/>
    <n v="6050"/>
    <n v="5650"/>
    <n v="174"/>
    <n v="3.0796460176991152E-2"/>
    <n v="0.93388429752066116"/>
    <x v="0"/>
    <n v="29"/>
    <n v="0.48333333333333334"/>
    <s v="Changeover"/>
    <n v="58"/>
    <n v="10092"/>
    <n v="19759"/>
    <n v="5480"/>
    <n v="5480"/>
    <x v="669"/>
    <n v="9000"/>
  </r>
  <r>
    <s v="PR-0793"/>
    <d v="2026-06-12T00:00:00"/>
    <x v="3"/>
    <x v="3"/>
    <s v="Friday"/>
    <x v="1"/>
    <x v="0"/>
    <x v="0"/>
    <s v="Mouthwash"/>
    <x v="1"/>
    <s v="Alcohol-Free Mouthwash 250ml"/>
    <s v="B260612-L2B"/>
    <s v="S. Yadav"/>
    <x v="1"/>
    <x v="0"/>
    <x v="2"/>
    <n v="6280"/>
    <n v="5740"/>
    <n v="153"/>
    <n v="2.6655052264808361E-2"/>
    <n v="0.9140127388535032"/>
    <x v="0"/>
    <n v="74"/>
    <n v="1.2333333333333334"/>
    <s v="Changeover"/>
    <n v="58"/>
    <n v="8874"/>
    <n v="19962"/>
    <n v="5790"/>
    <n v="5790"/>
    <x v="670"/>
    <n v="9000"/>
  </r>
  <r>
    <s v="PR-0647"/>
    <d v="2026-05-30T00:00:00"/>
    <x v="4"/>
    <x v="4"/>
    <s v="Saturday"/>
    <x v="0"/>
    <x v="3"/>
    <x v="3"/>
    <s v="Toothpaste"/>
    <x v="5"/>
    <s v="Charcoal Toothpaste 150g"/>
    <s v="B260530-L1A"/>
    <s v="K. Verma"/>
    <x v="2"/>
    <x v="3"/>
    <x v="2"/>
    <n v="6450"/>
    <n v="6180"/>
    <n v="151"/>
    <n v="2.4433656957928804E-2"/>
    <n v="0.95813953488372094"/>
    <x v="5"/>
    <n v="55"/>
    <n v="0.91666666666666663"/>
    <s v="Changeover"/>
    <n v="51"/>
    <n v="7701"/>
    <n v="19415"/>
    <n v="5670"/>
    <n v="5670"/>
    <x v="671"/>
    <n v="9000"/>
  </r>
  <r>
    <s v="PR-0167"/>
    <d v="2026-04-16T00:00:00"/>
    <x v="5"/>
    <x v="5"/>
    <s v="Thursday"/>
    <x v="0"/>
    <x v="0"/>
    <x v="0"/>
    <s v="Mouthwash"/>
    <x v="1"/>
    <s v="Alcohol-Free Mouthwash 250ml"/>
    <s v="B260416-L2A"/>
    <s v="R. Sharma"/>
    <x v="2"/>
    <x v="0"/>
    <x v="0"/>
    <n v="5740"/>
    <n v="5660"/>
    <n v="129"/>
    <n v="2.2791519434628975E-2"/>
    <n v="0.98606271777003485"/>
    <x v="3"/>
    <n v="0"/>
    <n v="0"/>
    <s v="None"/>
    <n v="58"/>
    <n v="7482"/>
    <n v="19132"/>
    <n v="4880"/>
    <n v="4880"/>
    <x v="672"/>
    <n v="9000"/>
  </r>
  <r>
    <s v="PR-0172"/>
    <d v="2026-04-16T00:00:00"/>
    <x v="5"/>
    <x v="5"/>
    <s v="Thursday"/>
    <x v="1"/>
    <x v="2"/>
    <x v="2"/>
    <s v="Dental Floss"/>
    <x v="6"/>
    <s v="Floss Picks (100 pcs)"/>
    <s v="B260416-L3B"/>
    <s v="S. Yadav"/>
    <x v="1"/>
    <x v="2"/>
    <x v="8"/>
    <n v="6330"/>
    <n v="6030"/>
    <n v="208"/>
    <n v="3.4494195688225537E-2"/>
    <n v="0.95260663507109"/>
    <x v="0"/>
    <n v="0"/>
    <n v="0"/>
    <s v="None"/>
    <n v="33"/>
    <n v="6864"/>
    <n v="20246"/>
    <n v="6270"/>
    <n v="6270"/>
    <x v="673"/>
    <n v="9750"/>
  </r>
  <r>
    <s v="PR-0971"/>
    <d v="2026-06-28T00:00:00"/>
    <x v="3"/>
    <x v="3"/>
    <s v="Sunday"/>
    <x v="1"/>
    <x v="3"/>
    <x v="3"/>
    <s v="Toothpaste"/>
    <x v="5"/>
    <s v="Charcoal Toothpaste 150g"/>
    <s v="B260628-L1B"/>
    <s v="S. Yadav"/>
    <x v="1"/>
    <x v="3"/>
    <x v="2"/>
    <n v="4300"/>
    <n v="4020"/>
    <n v="80"/>
    <n v="1.9900497512437811E-2"/>
    <n v="0.93488372093023253"/>
    <x v="2"/>
    <n v="60"/>
    <n v="1"/>
    <s v="Machine Breakdown"/>
    <n v="51"/>
    <n v="4080"/>
    <n v="19698"/>
    <n v="3750"/>
    <n v="3750"/>
    <x v="674"/>
    <n v="9000"/>
  </r>
  <r>
    <s v="PR-0213"/>
    <d v="2026-04-20T00:00:00"/>
    <x v="5"/>
    <x v="5"/>
    <s v="Monday"/>
    <x v="1"/>
    <x v="2"/>
    <x v="2"/>
    <s v="Dental Floss"/>
    <x v="6"/>
    <s v="Floss Picks (100 pcs)"/>
    <s v="B260420-L3B"/>
    <s v="S. Yadav"/>
    <x v="2"/>
    <x v="2"/>
    <x v="10"/>
    <n v="6320"/>
    <n v="6120"/>
    <n v="198"/>
    <n v="3.2352941176470591E-2"/>
    <n v="0.96835443037974689"/>
    <x v="0"/>
    <n v="0"/>
    <n v="0"/>
    <s v="None"/>
    <n v="33"/>
    <n v="6534"/>
    <n v="20149"/>
    <n v="6180"/>
    <n v="6180"/>
    <x v="675"/>
    <n v="9750"/>
  </r>
  <r>
    <s v="PR-0668"/>
    <d v="2026-06-01T00:00:00"/>
    <x v="3"/>
    <x v="3"/>
    <s v="Monday"/>
    <x v="1"/>
    <x v="0"/>
    <x v="0"/>
    <s v="Mouthwash"/>
    <x v="1"/>
    <s v="Alcohol-Free Mouthwash 250ml"/>
    <s v="B260601-L2B"/>
    <s v="P. Singh"/>
    <x v="2"/>
    <x v="0"/>
    <x v="3"/>
    <n v="5690"/>
    <n v="4980"/>
    <n v="109"/>
    <n v="2.1887550200803213E-2"/>
    <n v="0.87521968365553604"/>
    <x v="5"/>
    <n v="0"/>
    <n v="0"/>
    <s v="None"/>
    <n v="58"/>
    <n v="6322"/>
    <n v="20676"/>
    <n v="5620"/>
    <n v="5620"/>
    <x v="676"/>
    <n v="9000"/>
  </r>
  <r>
    <s v="PR-0188"/>
    <d v="2026-04-17T00:00:00"/>
    <x v="5"/>
    <x v="5"/>
    <s v="Friday"/>
    <x v="2"/>
    <x v="2"/>
    <x v="2"/>
    <s v="Dental Floss"/>
    <x v="6"/>
    <s v="Floss Picks (100 pcs)"/>
    <s v="B260417-L3C"/>
    <s v="M. Khan"/>
    <x v="1"/>
    <x v="2"/>
    <x v="10"/>
    <n v="6180"/>
    <n v="6020"/>
    <n v="156"/>
    <n v="2.5913621262458473E-2"/>
    <n v="0.97411003236245952"/>
    <x v="4"/>
    <n v="0"/>
    <n v="0"/>
    <s v="None"/>
    <n v="33"/>
    <n v="5148"/>
    <n v="19798"/>
    <n v="5730"/>
    <n v="5730"/>
    <x v="677"/>
    <n v="9750"/>
  </r>
  <r>
    <s v="PR-0769"/>
    <d v="2026-06-10T00:00:00"/>
    <x v="3"/>
    <x v="3"/>
    <s v="Wednesday"/>
    <x v="1"/>
    <x v="0"/>
    <x v="0"/>
    <s v="Mouthwash"/>
    <x v="1"/>
    <s v="Alcohol-Free Mouthwash 250ml"/>
    <s v="B260610-L2B"/>
    <s v="S. Yadav"/>
    <x v="2"/>
    <x v="0"/>
    <x v="4"/>
    <n v="6390"/>
    <n v="5580"/>
    <n v="162"/>
    <n v="2.903225806451613E-2"/>
    <n v="0.87323943661971826"/>
    <x v="4"/>
    <n v="0"/>
    <n v="0"/>
    <s v="None"/>
    <n v="58"/>
    <n v="9396"/>
    <n v="20834"/>
    <n v="6290"/>
    <n v="6290"/>
    <x v="678"/>
    <n v="9000"/>
  </r>
  <r>
    <s v="PR-1097"/>
    <d v="2026-07-10T00:00:00"/>
    <x v="2"/>
    <x v="2"/>
    <s v="Friday"/>
    <x v="0"/>
    <x v="3"/>
    <x v="3"/>
    <s v="Toothpaste"/>
    <x v="5"/>
    <s v="Charcoal Toothpaste 150g"/>
    <s v="B260710-L1A"/>
    <s v="K. Verma"/>
    <x v="1"/>
    <x v="3"/>
    <x v="2"/>
    <n v="5870"/>
    <n v="5470"/>
    <n v="128"/>
    <n v="2.3400365630712981E-2"/>
    <n v="0.93185689948892669"/>
    <x v="5"/>
    <n v="0"/>
    <n v="0"/>
    <s v="None"/>
    <n v="51"/>
    <n v="6528"/>
    <n v="20208"/>
    <n v="5560"/>
    <n v="5560"/>
    <x v="679"/>
    <n v="9000"/>
  </r>
  <r>
    <s v="PR-1105"/>
    <d v="2026-07-10T00:00:00"/>
    <x v="2"/>
    <x v="2"/>
    <s v="Friday"/>
    <x v="2"/>
    <x v="3"/>
    <x v="3"/>
    <s v="Toothpaste"/>
    <x v="5"/>
    <s v="Charcoal Toothpaste 150g"/>
    <s v="B260710-L1C"/>
    <s v="M. Khan"/>
    <x v="2"/>
    <x v="3"/>
    <x v="3"/>
    <n v="5330"/>
    <n v="5200"/>
    <n v="175"/>
    <n v="3.3653846153846152E-2"/>
    <n v="0.97560975609756095"/>
    <x v="3"/>
    <n v="21"/>
    <n v="0.35"/>
    <s v="Material Shortage"/>
    <n v="51"/>
    <n v="8925"/>
    <n v="20460"/>
    <n v="5490"/>
    <n v="5490"/>
    <x v="680"/>
    <n v="9000"/>
  </r>
  <r>
    <s v="PR-0143"/>
    <d v="2026-04-14T00:00:00"/>
    <x v="5"/>
    <x v="5"/>
    <s v="Tuesday"/>
    <x v="0"/>
    <x v="0"/>
    <x v="0"/>
    <s v="Mouthwash"/>
    <x v="0"/>
    <s v="Mint Mouthwash 250ml"/>
    <s v="B260414-L2A"/>
    <s v="K. Verma"/>
    <x v="1"/>
    <x v="0"/>
    <x v="2"/>
    <n v="7370"/>
    <n v="6130"/>
    <n v="132"/>
    <n v="2.1533442088091354E-2"/>
    <n v="0.83175033921302577"/>
    <x v="3"/>
    <n v="0"/>
    <n v="0"/>
    <s v="None"/>
    <n v="46"/>
    <n v="6072"/>
    <n v="20659"/>
    <n v="6600"/>
    <n v="6600"/>
    <x v="681"/>
    <n v="10500"/>
  </r>
  <r>
    <s v="PR-0233"/>
    <d v="2026-04-22T00:00:00"/>
    <x v="5"/>
    <x v="5"/>
    <s v="Wednesday"/>
    <x v="0"/>
    <x v="2"/>
    <x v="2"/>
    <s v="Dental Floss"/>
    <x v="6"/>
    <s v="Floss Picks (100 pcs)"/>
    <s v="B260422-L3A"/>
    <s v="K. Verma"/>
    <x v="1"/>
    <x v="2"/>
    <x v="10"/>
    <n v="6790"/>
    <n v="6670"/>
    <n v="223"/>
    <n v="3.3433283358320839E-2"/>
    <n v="0.9823269513991163"/>
    <x v="5"/>
    <n v="0"/>
    <n v="0"/>
    <s v="None"/>
    <n v="33"/>
    <n v="7359"/>
    <n v="19451"/>
    <n v="5830"/>
    <n v="5830"/>
    <x v="682"/>
    <n v="9750"/>
  </r>
  <r>
    <s v="PR-1065"/>
    <d v="2026-07-07T00:00:00"/>
    <x v="2"/>
    <x v="2"/>
    <s v="Tuesday"/>
    <x v="1"/>
    <x v="3"/>
    <x v="3"/>
    <s v="Toothpaste"/>
    <x v="5"/>
    <s v="Charcoal Toothpaste 150g"/>
    <s v="B260707-L1B"/>
    <s v="S. Yadav"/>
    <x v="2"/>
    <x v="3"/>
    <x v="3"/>
    <n v="6070"/>
    <n v="5830"/>
    <n v="144"/>
    <n v="2.4699828473413378E-2"/>
    <n v="0.96046128500823724"/>
    <x v="5"/>
    <n v="26"/>
    <n v="0.43333333333333335"/>
    <s v="Machine Breakdown"/>
    <n v="51"/>
    <n v="7344"/>
    <n v="19624"/>
    <n v="5180"/>
    <n v="5180"/>
    <x v="683"/>
    <n v="9000"/>
  </r>
  <r>
    <s v="PR-0209"/>
    <d v="2026-04-20T00:00:00"/>
    <x v="5"/>
    <x v="5"/>
    <s v="Monday"/>
    <x v="0"/>
    <x v="2"/>
    <x v="2"/>
    <s v="Dental Floss"/>
    <x v="6"/>
    <s v="Floss Picks (100 pcs)"/>
    <s v="B260420-L3A"/>
    <s v="K. Verma"/>
    <x v="1"/>
    <x v="2"/>
    <x v="10"/>
    <n v="6970"/>
    <n v="6700"/>
    <n v="238"/>
    <n v="3.5522388059701496E-2"/>
    <n v="0.96126255380200865"/>
    <x v="5"/>
    <n v="0"/>
    <n v="0"/>
    <s v="None"/>
    <n v="33"/>
    <n v="7854"/>
    <n v="20187"/>
    <n v="6500"/>
    <n v="6500"/>
    <x v="684"/>
    <n v="9750"/>
  </r>
  <r>
    <s v="PR-0200"/>
    <d v="2026-04-18T00:00:00"/>
    <x v="5"/>
    <x v="5"/>
    <s v="Saturday"/>
    <x v="2"/>
    <x v="2"/>
    <x v="2"/>
    <s v="Dental Floss"/>
    <x v="6"/>
    <s v="Floss Picks (100 pcs)"/>
    <s v="B260418-L3C"/>
    <s v="A. Gupta"/>
    <x v="1"/>
    <x v="2"/>
    <x v="8"/>
    <n v="5700"/>
    <n v="5170"/>
    <n v="109"/>
    <n v="2.1083172147001936E-2"/>
    <n v="0.90701754385964917"/>
    <x v="3"/>
    <n v="48"/>
    <n v="0.8"/>
    <s v="Changeover"/>
    <n v="33"/>
    <n v="3597"/>
    <n v="19576"/>
    <n v="4450"/>
    <n v="4450"/>
    <x v="685"/>
    <n v="9750"/>
  </r>
  <r>
    <s v="PR-1093"/>
    <d v="2026-07-09T00:00:00"/>
    <x v="2"/>
    <x v="2"/>
    <s v="Thursday"/>
    <x v="2"/>
    <x v="3"/>
    <x v="3"/>
    <s v="Toothpaste"/>
    <x v="5"/>
    <s v="Charcoal Toothpaste 150g"/>
    <s v="B260709-L1C"/>
    <s v="M. Khan"/>
    <x v="1"/>
    <x v="3"/>
    <x v="4"/>
    <n v="6090"/>
    <n v="5570"/>
    <n v="141"/>
    <n v="2.5314183123877919E-2"/>
    <n v="0.91461412151067323"/>
    <x v="0"/>
    <n v="0"/>
    <n v="0"/>
    <s v="None"/>
    <n v="51"/>
    <n v="7191"/>
    <n v="20339"/>
    <n v="5560"/>
    <n v="5560"/>
    <x v="686"/>
    <n v="9000"/>
  </r>
  <r>
    <s v="PR-0208"/>
    <d v="2026-04-20T00:00:00"/>
    <x v="5"/>
    <x v="5"/>
    <s v="Monday"/>
    <x v="0"/>
    <x v="0"/>
    <x v="0"/>
    <s v="Mouthwash"/>
    <x v="1"/>
    <s v="Alcohol-Free Mouthwash 250ml"/>
    <s v="B260420-L2A"/>
    <s v="K. Verma"/>
    <x v="1"/>
    <x v="0"/>
    <x v="0"/>
    <n v="6270"/>
    <n v="6120"/>
    <n v="191"/>
    <n v="3.1209150326797386E-2"/>
    <n v="0.97607655502392343"/>
    <x v="2"/>
    <n v="0"/>
    <n v="0"/>
    <s v="None"/>
    <n v="58"/>
    <n v="11078"/>
    <n v="19681"/>
    <n v="5400"/>
    <n v="5400"/>
    <x v="687"/>
    <n v="9000"/>
  </r>
  <r>
    <s v="PR-0046"/>
    <d v="2026-04-04T00:00:00"/>
    <x v="5"/>
    <x v="5"/>
    <s v="Saturday"/>
    <x v="2"/>
    <x v="0"/>
    <x v="0"/>
    <s v="Mouthwash"/>
    <x v="0"/>
    <s v="Mint Mouthwash 250ml"/>
    <s v="B260404-L2C"/>
    <s v="A. Gupta"/>
    <x v="2"/>
    <x v="0"/>
    <x v="2"/>
    <n v="6570"/>
    <n v="5770"/>
    <n v="181"/>
    <n v="3.1369150779896014E-2"/>
    <n v="0.87823439878234399"/>
    <x v="3"/>
    <n v="0"/>
    <n v="0"/>
    <s v="None"/>
    <n v="46"/>
    <n v="8326"/>
    <n v="20744"/>
    <n v="6120"/>
    <n v="6120"/>
    <x v="688"/>
    <n v="10500"/>
  </r>
  <r>
    <s v="PR-0269"/>
    <d v="2026-04-25T00:00:00"/>
    <x v="5"/>
    <x v="5"/>
    <s v="Saturday"/>
    <x v="0"/>
    <x v="2"/>
    <x v="2"/>
    <s v="Dental Floss"/>
    <x v="6"/>
    <s v="Floss Picks (100 pcs)"/>
    <s v="B260425-L3A"/>
    <s v="K. Verma"/>
    <x v="1"/>
    <x v="2"/>
    <x v="10"/>
    <n v="6300"/>
    <n v="6210"/>
    <n v="163"/>
    <n v="2.6247987117552336E-2"/>
    <n v="0.98571428571428577"/>
    <x v="3"/>
    <n v="0"/>
    <n v="0"/>
    <s v="None"/>
    <n v="33"/>
    <n v="5379"/>
    <n v="20308"/>
    <n v="6120"/>
    <n v="6120"/>
    <x v="689"/>
    <n v="9750"/>
  </r>
  <r>
    <s v="PR-0160"/>
    <d v="2026-04-15T00:00:00"/>
    <x v="5"/>
    <x v="5"/>
    <s v="Wednesday"/>
    <x v="1"/>
    <x v="2"/>
    <x v="2"/>
    <s v="Dental Floss"/>
    <x v="6"/>
    <s v="Floss Picks (100 pcs)"/>
    <s v="B260415-L3B"/>
    <s v="P. Singh"/>
    <x v="2"/>
    <x v="2"/>
    <x v="10"/>
    <n v="6860"/>
    <n v="6500"/>
    <n v="128"/>
    <n v="1.9692307692307693E-2"/>
    <n v="0.94752186588921283"/>
    <x v="3"/>
    <n v="0"/>
    <n v="0"/>
    <s v="None"/>
    <n v="33"/>
    <n v="4224"/>
    <n v="20504"/>
    <n v="6630"/>
    <n v="6630"/>
    <x v="690"/>
    <n v="9750"/>
  </r>
  <r>
    <s v="PR-1113"/>
    <d v="2026-07-11T00:00:00"/>
    <x v="2"/>
    <x v="2"/>
    <s v="Saturday"/>
    <x v="1"/>
    <x v="3"/>
    <x v="3"/>
    <s v="Toothpaste"/>
    <x v="5"/>
    <s v="Charcoal Toothpaste 150g"/>
    <s v="B260711-L1B"/>
    <s v="S. Yadav"/>
    <x v="2"/>
    <x v="3"/>
    <x v="3"/>
    <n v="5530"/>
    <n v="5330"/>
    <n v="177"/>
    <n v="3.3208255159474669E-2"/>
    <n v="0.96383363471971062"/>
    <x v="4"/>
    <n v="0"/>
    <n v="0"/>
    <s v="None"/>
    <n v="51"/>
    <n v="9027"/>
    <n v="19995"/>
    <n v="4860"/>
    <n v="4860"/>
    <x v="691"/>
    <n v="9000"/>
  </r>
  <r>
    <s v="PR-0257"/>
    <d v="2026-04-24T00:00:00"/>
    <x v="5"/>
    <x v="5"/>
    <s v="Friday"/>
    <x v="0"/>
    <x v="2"/>
    <x v="2"/>
    <s v="Dental Floss"/>
    <x v="6"/>
    <s v="Floss Picks (100 pcs)"/>
    <s v="B260424-L3A"/>
    <s v="K. Verma"/>
    <x v="1"/>
    <x v="2"/>
    <x v="8"/>
    <n v="6540"/>
    <n v="5910"/>
    <n v="143"/>
    <n v="2.4196277495769882E-2"/>
    <n v="0.90366972477064222"/>
    <x v="5"/>
    <n v="0"/>
    <n v="0"/>
    <s v="None"/>
    <n v="33"/>
    <n v="4719"/>
    <n v="20531"/>
    <n v="5990"/>
    <n v="5990"/>
    <x v="692"/>
    <n v="9750"/>
  </r>
  <r>
    <s v="PR-1135"/>
    <d v="2026-07-13T00:00:00"/>
    <x v="2"/>
    <x v="2"/>
    <s v="Monday"/>
    <x v="2"/>
    <x v="0"/>
    <x v="0"/>
    <s v="Mouthwash"/>
    <x v="1"/>
    <s v="Alcohol-Free Mouthwash 250ml"/>
    <s v="B260713-L2C"/>
    <s v="M. Khan"/>
    <x v="0"/>
    <x v="0"/>
    <x v="2"/>
    <n v="5420"/>
    <n v="4970"/>
    <n v="466"/>
    <n v="9.3762575452716296E-2"/>
    <n v="0.91697416974169743"/>
    <x v="1"/>
    <n v="69"/>
    <n v="1.1499999999999999"/>
    <s v="Material Shortage"/>
    <n v="58"/>
    <n v="27028"/>
    <n v="21169"/>
    <n v="5340"/>
    <n v="5340"/>
    <x v="693"/>
    <n v="9000"/>
  </r>
  <r>
    <s v="PR-1089"/>
    <d v="2026-07-09T00:00:00"/>
    <x v="2"/>
    <x v="2"/>
    <s v="Thursday"/>
    <x v="1"/>
    <x v="3"/>
    <x v="3"/>
    <s v="Toothpaste"/>
    <x v="5"/>
    <s v="Charcoal Toothpaste 150g"/>
    <s v="B260709-L1B"/>
    <s v="P. Singh"/>
    <x v="2"/>
    <x v="3"/>
    <x v="3"/>
    <n v="6150"/>
    <n v="5880"/>
    <n v="141"/>
    <n v="2.3979591836734693E-2"/>
    <n v="0.95609756097560972"/>
    <x v="0"/>
    <n v="33"/>
    <n v="0.55000000000000004"/>
    <s v="Power Interruption"/>
    <n v="51"/>
    <n v="7191"/>
    <n v="20130"/>
    <n v="5530"/>
    <n v="5530"/>
    <x v="694"/>
    <n v="9000"/>
  </r>
  <r>
    <s v="PR-0050"/>
    <d v="2026-04-05T00:00:00"/>
    <x v="5"/>
    <x v="5"/>
    <s v="Sunday"/>
    <x v="0"/>
    <x v="0"/>
    <x v="0"/>
    <s v="Mouthwash"/>
    <x v="0"/>
    <s v="Mint Mouthwash 250ml"/>
    <s v="B260405-L2A"/>
    <s v="R. Sharma"/>
    <x v="2"/>
    <x v="0"/>
    <x v="0"/>
    <n v="5100"/>
    <n v="5190"/>
    <n v="131"/>
    <n v="2.5240847784200385E-2"/>
    <n v="1.0176470588235293"/>
    <x v="5"/>
    <n v="45"/>
    <n v="0.75"/>
    <s v="Changeover"/>
    <n v="46"/>
    <n v="6026"/>
    <n v="20213"/>
    <n v="4890"/>
    <n v="4890"/>
    <x v="695"/>
    <n v="10500"/>
  </r>
  <r>
    <s v="PR-1139"/>
    <d v="2026-07-14T00:00:00"/>
    <x v="2"/>
    <x v="2"/>
    <s v="Tuesday"/>
    <x v="0"/>
    <x v="0"/>
    <x v="0"/>
    <s v="Mouthwash"/>
    <x v="1"/>
    <s v="Alcohol-Free Mouthwash 250ml"/>
    <s v="B260714-L2A"/>
    <s v="R. Sharma"/>
    <x v="1"/>
    <x v="0"/>
    <x v="1"/>
    <n v="6360"/>
    <n v="5990"/>
    <n v="152"/>
    <n v="2.5375626043405677E-2"/>
    <n v="0.94182389937106914"/>
    <x v="4"/>
    <n v="16"/>
    <n v="0.26666666666666666"/>
    <s v="Changeover"/>
    <n v="58"/>
    <n v="8816"/>
    <n v="20333"/>
    <n v="5780"/>
    <n v="5780"/>
    <x v="696"/>
    <n v="9000"/>
  </r>
  <r>
    <s v="PR-0212"/>
    <d v="2026-04-20T00:00:00"/>
    <x v="5"/>
    <x v="5"/>
    <s v="Monday"/>
    <x v="1"/>
    <x v="0"/>
    <x v="0"/>
    <s v="Mouthwash"/>
    <x v="1"/>
    <s v="Alcohol-Free Mouthwash 250ml"/>
    <s v="B260420-L2B"/>
    <s v="P. Singh"/>
    <x v="1"/>
    <x v="0"/>
    <x v="1"/>
    <n v="6100"/>
    <n v="6100"/>
    <n v="123"/>
    <n v="2.0163934426229508E-2"/>
    <n v="1"/>
    <x v="2"/>
    <n v="19"/>
    <n v="0.31666666666666665"/>
    <s v="Machine Breakdown"/>
    <n v="58"/>
    <n v="7134"/>
    <n v="20210"/>
    <n v="5780"/>
    <n v="5780"/>
    <x v="697"/>
    <n v="9000"/>
  </r>
  <r>
    <s v="PR-0603"/>
    <d v="2026-05-26T00:00:00"/>
    <x v="4"/>
    <x v="4"/>
    <s v="Tuesday"/>
    <x v="1"/>
    <x v="3"/>
    <x v="3"/>
    <s v="Toothpaste"/>
    <x v="7"/>
    <s v="Sensitive Toothpaste 100g"/>
    <s v="B260526-L1B"/>
    <s v="S. Yadav"/>
    <x v="1"/>
    <x v="3"/>
    <x v="4"/>
    <n v="7710"/>
    <n v="6630"/>
    <n v="277"/>
    <n v="4.1779788838612365E-2"/>
    <n v="0.8599221789883269"/>
    <x v="3"/>
    <n v="0"/>
    <n v="0"/>
    <s v="None"/>
    <n v="42"/>
    <n v="11634"/>
    <n v="21218"/>
    <n v="7160"/>
    <n v="7160"/>
    <x v="698"/>
    <n v="12000"/>
  </r>
  <r>
    <s v="PR-0027"/>
    <d v="2026-04-03T00:00:00"/>
    <x v="5"/>
    <x v="5"/>
    <s v="Friday"/>
    <x v="0"/>
    <x v="2"/>
    <x v="2"/>
    <s v="Dental Floss"/>
    <x v="6"/>
    <s v="Floss Picks (100 pcs)"/>
    <s v="B260403-L3A"/>
    <s v="K. Verma"/>
    <x v="1"/>
    <x v="2"/>
    <x v="10"/>
    <n v="6750"/>
    <n v="6590"/>
    <n v="182"/>
    <n v="2.7617602427921092E-2"/>
    <n v="0.97629629629629633"/>
    <x v="3"/>
    <n v="44"/>
    <n v="0.73333333333333328"/>
    <s v="Machine Breakdown"/>
    <n v="33"/>
    <n v="6006"/>
    <n v="19628"/>
    <n v="5600"/>
    <n v="5600"/>
    <x v="699"/>
    <n v="9750"/>
  </r>
  <r>
    <s v="PR-1134"/>
    <d v="2026-07-13T00:00:00"/>
    <x v="2"/>
    <x v="2"/>
    <s v="Monday"/>
    <x v="2"/>
    <x v="3"/>
    <x v="3"/>
    <s v="Toothpaste"/>
    <x v="5"/>
    <s v="Charcoal Toothpaste 150g"/>
    <s v="B260713-L1C"/>
    <s v="A. Gupta"/>
    <x v="1"/>
    <x v="3"/>
    <x v="4"/>
    <n v="5750"/>
    <n v="5320"/>
    <n v="94"/>
    <n v="1.7669172932330827E-2"/>
    <n v="0.92521739130434788"/>
    <x v="3"/>
    <n v="72"/>
    <n v="1.2"/>
    <s v="Machine Breakdown"/>
    <n v="51"/>
    <n v="4794"/>
    <n v="20545"/>
    <n v="5330"/>
    <n v="5330"/>
    <x v="700"/>
    <n v="9000"/>
  </r>
  <r>
    <s v="PR-1101"/>
    <d v="2026-07-10T00:00:00"/>
    <x v="2"/>
    <x v="2"/>
    <s v="Friday"/>
    <x v="1"/>
    <x v="3"/>
    <x v="3"/>
    <s v="Toothpaste"/>
    <x v="5"/>
    <s v="Charcoal Toothpaste 150g"/>
    <s v="B260710-L1B"/>
    <s v="P. Singh"/>
    <x v="1"/>
    <x v="3"/>
    <x v="3"/>
    <n v="5650"/>
    <n v="5390"/>
    <n v="140"/>
    <n v="2.5974025974025976E-2"/>
    <n v="0.95398230088495573"/>
    <x v="4"/>
    <n v="0"/>
    <n v="0"/>
    <s v="None"/>
    <n v="51"/>
    <n v="7140"/>
    <n v="19990"/>
    <n v="4780"/>
    <n v="4780"/>
    <x v="701"/>
    <n v="9000"/>
  </r>
  <r>
    <s v="PR-0732"/>
    <d v="2026-06-06T00:00:00"/>
    <x v="3"/>
    <x v="3"/>
    <s v="Saturday"/>
    <x v="2"/>
    <x v="0"/>
    <x v="0"/>
    <s v="Mouthwash"/>
    <x v="1"/>
    <s v="Alcohol-Free Mouthwash 250ml"/>
    <s v="B260606-L2C"/>
    <s v="A. Gupta"/>
    <x v="1"/>
    <x v="0"/>
    <x v="2"/>
    <n v="5430"/>
    <n v="5010"/>
    <n v="182"/>
    <n v="3.632734530938124E-2"/>
    <n v="0.92265193370165743"/>
    <x v="0"/>
    <n v="23"/>
    <n v="0.38333333333333336"/>
    <s v="Changeover"/>
    <n v="58"/>
    <n v="10556"/>
    <n v="21044"/>
    <n v="5380"/>
    <n v="5380"/>
    <x v="702"/>
    <n v="9000"/>
  </r>
  <r>
    <s v="PR-0156"/>
    <d v="2026-04-15T00:00:00"/>
    <x v="5"/>
    <x v="5"/>
    <s v="Wednesday"/>
    <x v="0"/>
    <x v="2"/>
    <x v="2"/>
    <s v="Dental Floss"/>
    <x v="6"/>
    <s v="Floss Picks (100 pcs)"/>
    <s v="B260415-L3A"/>
    <s v="R. Sharma"/>
    <x v="2"/>
    <x v="2"/>
    <x v="10"/>
    <n v="6950"/>
    <n v="6580"/>
    <n v="111"/>
    <n v="1.6869300911854103E-2"/>
    <n v="0.94676258992805751"/>
    <x v="3"/>
    <n v="0"/>
    <n v="0"/>
    <s v="None"/>
    <n v="33"/>
    <n v="3663"/>
    <n v="20605"/>
    <n v="6570"/>
    <n v="6570"/>
    <x v="703"/>
    <n v="9750"/>
  </r>
  <r>
    <s v="PR-0805"/>
    <d v="2026-06-13T00:00:00"/>
    <x v="3"/>
    <x v="3"/>
    <s v="Saturday"/>
    <x v="1"/>
    <x v="0"/>
    <x v="0"/>
    <s v="Mouthwash"/>
    <x v="1"/>
    <s v="Alcohol-Free Mouthwash 250ml"/>
    <s v="B260613-L2B"/>
    <s v="S. Yadav"/>
    <x v="1"/>
    <x v="0"/>
    <x v="0"/>
    <n v="6400"/>
    <n v="6520"/>
    <n v="156"/>
    <n v="2.392638036809816E-2"/>
    <n v="1.01875"/>
    <x v="0"/>
    <n v="60"/>
    <n v="1"/>
    <s v="Machine Breakdown"/>
    <n v="58"/>
    <n v="9048"/>
    <n v="19755"/>
    <n v="5590"/>
    <n v="5590"/>
    <x v="704"/>
    <n v="9000"/>
  </r>
  <r>
    <s v="PR-0249"/>
    <d v="2026-04-23T00:00:00"/>
    <x v="5"/>
    <x v="5"/>
    <s v="Thursday"/>
    <x v="1"/>
    <x v="2"/>
    <x v="2"/>
    <s v="Dental Floss"/>
    <x v="6"/>
    <s v="Floss Picks (100 pcs)"/>
    <s v="B260423-L3B"/>
    <s v="P. Singh"/>
    <x v="2"/>
    <x v="2"/>
    <x v="8"/>
    <n v="6780"/>
    <n v="6230"/>
    <n v="177"/>
    <n v="2.8410914927768861E-2"/>
    <n v="0.91887905604719766"/>
    <x v="4"/>
    <n v="49"/>
    <n v="0.81666666666666665"/>
    <s v="Cleaning / Sanitation"/>
    <n v="33"/>
    <n v="5841"/>
    <n v="20068"/>
    <n v="5590"/>
    <n v="5590"/>
    <x v="705"/>
    <n v="9750"/>
  </r>
  <r>
    <s v="PR-0700"/>
    <d v="2026-06-04T00:00:00"/>
    <x v="3"/>
    <x v="3"/>
    <s v="Thursday"/>
    <x v="0"/>
    <x v="0"/>
    <x v="0"/>
    <s v="Mouthwash"/>
    <x v="1"/>
    <s v="Alcohol-Free Mouthwash 250ml"/>
    <s v="B260604-L2A"/>
    <s v="K. Verma"/>
    <x v="1"/>
    <x v="0"/>
    <x v="0"/>
    <n v="6300"/>
    <n v="6240"/>
    <n v="178"/>
    <n v="2.8525641025641025E-2"/>
    <n v="0.99047619047619051"/>
    <x v="0"/>
    <n v="0"/>
    <n v="0"/>
    <s v="None"/>
    <n v="58"/>
    <n v="10324"/>
    <n v="19479"/>
    <n v="5010"/>
    <n v="5010"/>
    <x v="705"/>
    <n v="9000"/>
  </r>
  <r>
    <s v="PR-1118"/>
    <d v="2026-07-11T00:00:00"/>
    <x v="2"/>
    <x v="2"/>
    <s v="Saturday"/>
    <x v="2"/>
    <x v="0"/>
    <x v="0"/>
    <s v="Mouthwash"/>
    <x v="1"/>
    <s v="Alcohol-Free Mouthwash 250ml"/>
    <s v="B260711-L2C"/>
    <s v="M. Khan"/>
    <x v="0"/>
    <x v="0"/>
    <x v="1"/>
    <n v="5900"/>
    <n v="5440"/>
    <n v="692"/>
    <n v="0.12720588235294117"/>
    <n v="0.92203389830508475"/>
    <x v="1"/>
    <n v="70"/>
    <n v="1.1666666666666667"/>
    <s v="Material Shortage"/>
    <n v="58"/>
    <n v="40136"/>
    <n v="21638"/>
    <n v="5850"/>
    <n v="5850"/>
    <x v="706"/>
    <n v="9000"/>
  </r>
  <r>
    <s v="PR-1130"/>
    <d v="2026-07-13T00:00:00"/>
    <x v="2"/>
    <x v="2"/>
    <s v="Monday"/>
    <x v="1"/>
    <x v="3"/>
    <x v="3"/>
    <s v="Toothpaste"/>
    <x v="5"/>
    <s v="Charcoal Toothpaste 150g"/>
    <s v="B260713-L1B"/>
    <s v="P. Singh"/>
    <x v="1"/>
    <x v="3"/>
    <x v="3"/>
    <n v="6170"/>
    <n v="5970"/>
    <n v="107"/>
    <n v="1.7922948073701841E-2"/>
    <n v="0.96758508914100483"/>
    <x v="2"/>
    <n v="0"/>
    <n v="0"/>
    <s v="None"/>
    <n v="51"/>
    <n v="5457"/>
    <n v="20662"/>
    <n v="5980"/>
    <n v="5980"/>
    <x v="707"/>
    <n v="9000"/>
  </r>
  <r>
    <s v="PR-1278"/>
    <d v="2026-07-26T00:00:00"/>
    <x v="2"/>
    <x v="2"/>
    <s v="Sunday"/>
    <x v="1"/>
    <x v="0"/>
    <x v="0"/>
    <s v="Mouthwash"/>
    <x v="0"/>
    <s v="Mint Mouthwash 250ml"/>
    <s v="B260726-L2B"/>
    <s v="S. Yadav"/>
    <x v="1"/>
    <x v="0"/>
    <x v="3"/>
    <n v="4680"/>
    <n v="3820"/>
    <n v="70"/>
    <n v="1.832460732984293E-2"/>
    <n v="0.81623931623931623"/>
    <x v="5"/>
    <n v="0"/>
    <n v="0"/>
    <s v="None"/>
    <n v="46"/>
    <n v="3220"/>
    <n v="21025"/>
    <n v="4220"/>
    <n v="4220"/>
    <x v="708"/>
    <n v="10500"/>
  </r>
  <r>
    <s v="PR-0147"/>
    <d v="2026-04-14T00:00:00"/>
    <x v="5"/>
    <x v="5"/>
    <s v="Tuesday"/>
    <x v="1"/>
    <x v="0"/>
    <x v="0"/>
    <s v="Mouthwash"/>
    <x v="0"/>
    <s v="Mint Mouthwash 250ml"/>
    <s v="B260414-L2B"/>
    <s v="P. Singh"/>
    <x v="1"/>
    <x v="0"/>
    <x v="0"/>
    <n v="6640"/>
    <n v="6260"/>
    <n v="215"/>
    <n v="3.4345047923322686E-2"/>
    <n v="0.94277108433734935"/>
    <x v="5"/>
    <n v="0"/>
    <n v="0"/>
    <s v="None"/>
    <n v="46"/>
    <n v="9890"/>
    <n v="20057"/>
    <n v="5540"/>
    <n v="5540"/>
    <x v="709"/>
    <n v="10500"/>
  </r>
  <r>
    <s v="PR-0002"/>
    <d v="2026-04-01T00:00:00"/>
    <x v="5"/>
    <x v="5"/>
    <s v="Wednesday"/>
    <x v="0"/>
    <x v="0"/>
    <x v="0"/>
    <s v="Mouthwash"/>
    <x v="0"/>
    <s v="Mint Mouthwash 250ml"/>
    <s v="B260401-L2A"/>
    <s v="K. Verma"/>
    <x v="2"/>
    <x v="0"/>
    <x v="1"/>
    <n v="6790"/>
    <n v="6290"/>
    <n v="127"/>
    <n v="2.0190779014308425E-2"/>
    <n v="0.92636229749631815"/>
    <x v="5"/>
    <n v="0"/>
    <n v="0"/>
    <s v="None"/>
    <n v="46"/>
    <n v="5842"/>
    <n v="21000"/>
    <n v="6570"/>
    <n v="6570"/>
    <x v="710"/>
    <n v="10500"/>
  </r>
  <r>
    <s v="PR-0148"/>
    <d v="2026-04-14T00:00:00"/>
    <x v="5"/>
    <x v="5"/>
    <s v="Tuesday"/>
    <x v="1"/>
    <x v="2"/>
    <x v="2"/>
    <s v="Dental Floss"/>
    <x v="6"/>
    <s v="Floss Picks (100 pcs)"/>
    <s v="B260414-L3B"/>
    <s v="S. Yadav"/>
    <x v="1"/>
    <x v="2"/>
    <x v="8"/>
    <n v="6330"/>
    <n v="5390"/>
    <n v="161"/>
    <n v="2.987012987012987E-2"/>
    <n v="0.85150078988941547"/>
    <x v="4"/>
    <n v="0"/>
    <n v="0"/>
    <s v="None"/>
    <n v="33"/>
    <n v="5313"/>
    <n v="21416"/>
    <n v="6040"/>
    <n v="6040"/>
    <x v="711"/>
    <n v="9750"/>
  </r>
  <r>
    <s v="PR-1124"/>
    <d v="2026-07-12T00:00:00"/>
    <x v="2"/>
    <x v="2"/>
    <s v="Sunday"/>
    <x v="1"/>
    <x v="0"/>
    <x v="0"/>
    <s v="Mouthwash"/>
    <x v="1"/>
    <s v="Alcohol-Free Mouthwash 250ml"/>
    <s v="B260712-L2B"/>
    <s v="S. Yadav"/>
    <x v="1"/>
    <x v="0"/>
    <x v="1"/>
    <n v="4010"/>
    <n v="4010"/>
    <n v="86"/>
    <n v="2.1446384039900249E-2"/>
    <n v="1"/>
    <x v="2"/>
    <n v="47"/>
    <n v="0.78333333333333333"/>
    <s v="Material Shortage"/>
    <n v="58"/>
    <n v="4988"/>
    <n v="20536"/>
    <n v="3820"/>
    <n v="3820"/>
    <x v="712"/>
    <n v="9000"/>
  </r>
  <r>
    <s v="PR-0139"/>
    <d v="2026-04-13T00:00:00"/>
    <x v="5"/>
    <x v="5"/>
    <s v="Monday"/>
    <x v="2"/>
    <x v="0"/>
    <x v="0"/>
    <s v="Mouthwash"/>
    <x v="0"/>
    <s v="Mint Mouthwash 250ml"/>
    <s v="B260413-L2C"/>
    <s v="A. Gupta"/>
    <x v="1"/>
    <x v="0"/>
    <x v="4"/>
    <n v="6940"/>
    <n v="6100"/>
    <n v="179"/>
    <n v="2.9344262295081969E-2"/>
    <n v="0.87896253602305474"/>
    <x v="3"/>
    <n v="0"/>
    <n v="0"/>
    <s v="None"/>
    <n v="46"/>
    <n v="8234"/>
    <n v="21208"/>
    <n v="6470"/>
    <n v="6470"/>
    <x v="713"/>
    <n v="10500"/>
  </r>
  <r>
    <s v="PR-1117"/>
    <d v="2026-07-11T00:00:00"/>
    <x v="2"/>
    <x v="2"/>
    <s v="Saturday"/>
    <x v="2"/>
    <x v="3"/>
    <x v="3"/>
    <s v="Toothpaste"/>
    <x v="5"/>
    <s v="Charcoal Toothpaste 150g"/>
    <s v="B260711-L1C"/>
    <s v="A. Gupta"/>
    <x v="2"/>
    <x v="3"/>
    <x v="2"/>
    <n v="5580"/>
    <n v="5450"/>
    <n v="106"/>
    <n v="1.9449541284403668E-2"/>
    <n v="0.97670250896057342"/>
    <x v="0"/>
    <n v="0"/>
    <n v="0"/>
    <s v="None"/>
    <n v="51"/>
    <n v="5406"/>
    <n v="20288"/>
    <n v="4970"/>
    <n v="4970"/>
    <x v="714"/>
    <n v="9000"/>
  </r>
  <r>
    <s v="PR-0648"/>
    <d v="2026-05-30T00:00:00"/>
    <x v="4"/>
    <x v="4"/>
    <s v="Saturday"/>
    <x v="0"/>
    <x v="0"/>
    <x v="0"/>
    <s v="Mouthwash"/>
    <x v="1"/>
    <s v="Alcohol-Free Mouthwash 250ml"/>
    <s v="B260530-L2A"/>
    <s v="R. Sharma"/>
    <x v="2"/>
    <x v="0"/>
    <x v="1"/>
    <n v="5930"/>
    <n v="5300"/>
    <n v="199"/>
    <n v="3.7547169811320752E-2"/>
    <n v="0.89376053962900504"/>
    <x v="3"/>
    <n v="0"/>
    <n v="0"/>
    <s v="None"/>
    <n v="58"/>
    <n v="11542"/>
    <n v="21095"/>
    <n v="5520"/>
    <n v="5520"/>
    <x v="715"/>
    <n v="9000"/>
  </r>
  <r>
    <s v="PR-0273"/>
    <d v="2026-04-25T00:00:00"/>
    <x v="5"/>
    <x v="5"/>
    <s v="Saturday"/>
    <x v="1"/>
    <x v="2"/>
    <x v="2"/>
    <s v="Dental Floss"/>
    <x v="6"/>
    <s v="Floss Picks (100 pcs)"/>
    <s v="B260425-L3B"/>
    <s v="P. Singh"/>
    <x v="1"/>
    <x v="2"/>
    <x v="10"/>
    <n v="6000"/>
    <n v="5680"/>
    <n v="212"/>
    <n v="3.732394366197183E-2"/>
    <n v="0.94666666666666666"/>
    <x v="3"/>
    <n v="53"/>
    <n v="0.8833333333333333"/>
    <s v="Machine Breakdown"/>
    <n v="33"/>
    <n v="6996"/>
    <n v="20235"/>
    <n v="4970"/>
    <n v="4970"/>
    <x v="716"/>
    <n v="9750"/>
  </r>
  <r>
    <s v="PR-0022"/>
    <d v="2026-04-02T00:00:00"/>
    <x v="5"/>
    <x v="5"/>
    <s v="Thursday"/>
    <x v="2"/>
    <x v="0"/>
    <x v="0"/>
    <s v="Mouthwash"/>
    <x v="0"/>
    <s v="Mint Mouthwash 250ml"/>
    <s v="B260402-L2C"/>
    <s v="M. Khan"/>
    <x v="2"/>
    <x v="0"/>
    <x v="1"/>
    <n v="6690"/>
    <n v="6350"/>
    <n v="118"/>
    <n v="1.858267716535433E-2"/>
    <n v="0.94917787742899851"/>
    <x v="5"/>
    <n v="0"/>
    <n v="0"/>
    <s v="None"/>
    <n v="46"/>
    <n v="5428"/>
    <n v="20762"/>
    <n v="6250"/>
    <n v="6250"/>
    <x v="717"/>
    <n v="10500"/>
  </r>
  <r>
    <s v="PR-0741"/>
    <d v="2026-06-08T00:00:00"/>
    <x v="3"/>
    <x v="3"/>
    <s v="Monday"/>
    <x v="0"/>
    <x v="0"/>
    <x v="0"/>
    <s v="Mouthwash"/>
    <x v="1"/>
    <s v="Alcohol-Free Mouthwash 250ml"/>
    <s v="B260608-L2A"/>
    <s v="K. Verma"/>
    <x v="1"/>
    <x v="0"/>
    <x v="2"/>
    <n v="6450"/>
    <n v="6000"/>
    <n v="197"/>
    <n v="3.2833333333333332E-2"/>
    <n v="0.93023255813953487"/>
    <x v="0"/>
    <n v="31"/>
    <n v="0.51666666666666672"/>
    <s v="Machine Breakdown"/>
    <n v="58"/>
    <n v="11426"/>
    <n v="20492"/>
    <n v="5540"/>
    <n v="5540"/>
    <x v="718"/>
    <n v="9000"/>
  </r>
  <r>
    <s v="PR-0010"/>
    <d v="2026-04-01T00:00:00"/>
    <x v="5"/>
    <x v="5"/>
    <s v="Wednesday"/>
    <x v="2"/>
    <x v="0"/>
    <x v="0"/>
    <s v="Mouthwash"/>
    <x v="0"/>
    <s v="Mint Mouthwash 250ml"/>
    <s v="B260401-L2C"/>
    <s v="M. Khan"/>
    <x v="2"/>
    <x v="0"/>
    <x v="2"/>
    <n v="6710"/>
    <n v="5420"/>
    <n v="157"/>
    <n v="2.8966789667896679E-2"/>
    <n v="0.8077496274217586"/>
    <x v="4"/>
    <n v="0"/>
    <n v="0"/>
    <s v="None"/>
    <n v="46"/>
    <n v="7222"/>
    <n v="21619"/>
    <n v="6120"/>
    <n v="6120"/>
    <x v="719"/>
    <n v="10500"/>
  </r>
  <r>
    <s v="PR-0279"/>
    <d v="2026-04-26T00:00:00"/>
    <x v="5"/>
    <x v="5"/>
    <s v="Sunday"/>
    <x v="0"/>
    <x v="2"/>
    <x v="2"/>
    <s v="Dental Floss"/>
    <x v="6"/>
    <s v="Floss Picks (100 pcs)"/>
    <s v="B260426-L3A"/>
    <s v="R. Sharma"/>
    <x v="2"/>
    <x v="2"/>
    <x v="8"/>
    <n v="4270"/>
    <n v="4090"/>
    <n v="55"/>
    <n v="1.3447432762836185E-2"/>
    <n v="0.95784543325526927"/>
    <x v="2"/>
    <n v="0"/>
    <n v="0"/>
    <s v="None"/>
    <n v="33"/>
    <n v="1815"/>
    <n v="20733"/>
    <n v="4000"/>
    <n v="4000"/>
    <x v="720"/>
    <n v="9750"/>
  </r>
  <r>
    <s v="PR-0815"/>
    <d v="2026-06-14T00:00:00"/>
    <x v="3"/>
    <x v="3"/>
    <s v="Sunday"/>
    <x v="1"/>
    <x v="0"/>
    <x v="0"/>
    <s v="Mouthwash"/>
    <x v="1"/>
    <s v="Alcohol-Free Mouthwash 250ml"/>
    <s v="B260614-L2B"/>
    <s v="S. Yadav"/>
    <x v="2"/>
    <x v="0"/>
    <x v="1"/>
    <n v="4140"/>
    <n v="3990"/>
    <n v="80"/>
    <n v="2.0050125313283207E-2"/>
    <n v="0.96376811594202894"/>
    <x v="2"/>
    <n v="0"/>
    <n v="0"/>
    <s v="None"/>
    <n v="58"/>
    <n v="4640"/>
    <n v="20529"/>
    <n v="3650"/>
    <n v="3650"/>
    <x v="721"/>
    <n v="9000"/>
  </r>
  <r>
    <s v="PR-0236"/>
    <d v="2026-04-22T00:00:00"/>
    <x v="5"/>
    <x v="5"/>
    <s v="Wednesday"/>
    <x v="1"/>
    <x v="0"/>
    <x v="0"/>
    <s v="Mouthwash"/>
    <x v="1"/>
    <s v="Alcohol-Free Mouthwash 250ml"/>
    <s v="B260422-L2B"/>
    <s v="S. Yadav"/>
    <x v="2"/>
    <x v="0"/>
    <x v="0"/>
    <n v="6050"/>
    <n v="5820"/>
    <n v="81"/>
    <n v="1.3917525773195877E-2"/>
    <n v="0.9619834710743802"/>
    <x v="4"/>
    <n v="0"/>
    <n v="0"/>
    <s v="None"/>
    <n v="58"/>
    <n v="4698"/>
    <n v="20935"/>
    <n v="5880"/>
    <n v="5880"/>
    <x v="722"/>
    <n v="9000"/>
  </r>
  <r>
    <s v="PR-0765"/>
    <d v="2026-06-10T00:00:00"/>
    <x v="3"/>
    <x v="3"/>
    <s v="Wednesday"/>
    <x v="0"/>
    <x v="0"/>
    <x v="0"/>
    <s v="Mouthwash"/>
    <x v="1"/>
    <s v="Alcohol-Free Mouthwash 250ml"/>
    <s v="B260610-L2A"/>
    <s v="K. Verma"/>
    <x v="1"/>
    <x v="0"/>
    <x v="1"/>
    <n v="5650"/>
    <n v="5120"/>
    <n v="96"/>
    <n v="1.8749999999999999E-2"/>
    <n v="0.90619469026548671"/>
    <x v="5"/>
    <n v="52"/>
    <n v="0.8666666666666667"/>
    <s v="Changeover"/>
    <n v="58"/>
    <n v="5568"/>
    <n v="20960"/>
    <n v="5150"/>
    <n v="5150"/>
    <x v="723"/>
    <n v="9000"/>
  </r>
  <r>
    <s v="PR-0055"/>
    <d v="2026-04-06T00:00:00"/>
    <x v="5"/>
    <x v="5"/>
    <s v="Monday"/>
    <x v="0"/>
    <x v="0"/>
    <x v="0"/>
    <s v="Mouthwash"/>
    <x v="0"/>
    <s v="Mint Mouthwash 250ml"/>
    <s v="B260406-L2A"/>
    <s v="R. Sharma"/>
    <x v="2"/>
    <x v="0"/>
    <x v="0"/>
    <n v="6860"/>
    <n v="6860"/>
    <n v="222"/>
    <n v="3.2361516034985424E-2"/>
    <n v="1"/>
    <x v="2"/>
    <n v="0"/>
    <n v="0"/>
    <s v="None"/>
    <n v="46"/>
    <n v="10212"/>
    <n v="20382"/>
    <n v="6130"/>
    <n v="6130"/>
    <x v="724"/>
    <n v="10500"/>
  </r>
  <r>
    <s v="PR-0248"/>
    <d v="2026-04-23T00:00:00"/>
    <x v="5"/>
    <x v="5"/>
    <s v="Thursday"/>
    <x v="1"/>
    <x v="0"/>
    <x v="0"/>
    <s v="Mouthwash"/>
    <x v="1"/>
    <s v="Alcohol-Free Mouthwash 250ml"/>
    <s v="B260423-L2B"/>
    <s v="P. Singh"/>
    <x v="1"/>
    <x v="0"/>
    <x v="0"/>
    <n v="6460"/>
    <n v="6110"/>
    <n v="128"/>
    <n v="2.0949263502454993E-2"/>
    <n v="0.94582043343653255"/>
    <x v="2"/>
    <n v="0"/>
    <n v="0"/>
    <s v="None"/>
    <n v="58"/>
    <n v="7424"/>
    <n v="20794"/>
    <n v="5880"/>
    <n v="5880"/>
    <x v="725"/>
    <n v="9000"/>
  </r>
  <r>
    <s v="PR-0228"/>
    <d v="2026-04-21T00:00:00"/>
    <x v="5"/>
    <x v="5"/>
    <s v="Tuesday"/>
    <x v="2"/>
    <x v="0"/>
    <x v="0"/>
    <s v="Mouthwash"/>
    <x v="1"/>
    <s v="Alcohol-Free Mouthwash 250ml"/>
    <s v="B260421-L2C"/>
    <s v="M. Khan"/>
    <x v="2"/>
    <x v="0"/>
    <x v="2"/>
    <n v="6100"/>
    <n v="5530"/>
    <n v="173"/>
    <n v="3.1283905967450273E-2"/>
    <n v="0.90655737704918038"/>
    <x v="5"/>
    <n v="70"/>
    <n v="1.1666666666666667"/>
    <s v="Changeover"/>
    <n v="58"/>
    <n v="10034"/>
    <n v="21058"/>
    <n v="5480"/>
    <n v="5480"/>
    <x v="726"/>
    <n v="9000"/>
  </r>
  <r>
    <s v="PR-0071"/>
    <d v="2026-04-07T00:00:00"/>
    <x v="5"/>
    <x v="5"/>
    <s v="Tuesday"/>
    <x v="1"/>
    <x v="0"/>
    <x v="0"/>
    <s v="Mouthwash"/>
    <x v="0"/>
    <s v="Mint Mouthwash 250ml"/>
    <s v="B260407-L2B"/>
    <s v="P. Singh"/>
    <x v="1"/>
    <x v="0"/>
    <x v="1"/>
    <n v="7250"/>
    <n v="6800"/>
    <n v="191"/>
    <n v="2.8088235294117646E-2"/>
    <n v="0.93793103448275861"/>
    <x v="0"/>
    <n v="0"/>
    <n v="0"/>
    <s v="None"/>
    <n v="46"/>
    <n v="8786"/>
    <n v="20890"/>
    <n v="6560"/>
    <n v="6560"/>
    <x v="727"/>
    <n v="10500"/>
  </r>
  <r>
    <s v="PR-0753"/>
    <d v="2026-06-09T00:00:00"/>
    <x v="3"/>
    <x v="3"/>
    <s v="Tuesday"/>
    <x v="0"/>
    <x v="0"/>
    <x v="0"/>
    <s v="Mouthwash"/>
    <x v="1"/>
    <s v="Alcohol-Free Mouthwash 250ml"/>
    <s v="B260609-L2A"/>
    <s v="K. Verma"/>
    <x v="2"/>
    <x v="0"/>
    <x v="2"/>
    <n v="6320"/>
    <n v="5840"/>
    <n v="105"/>
    <n v="1.797945205479452E-2"/>
    <n v="0.92405063291139244"/>
    <x v="5"/>
    <n v="0"/>
    <n v="0"/>
    <s v="None"/>
    <n v="58"/>
    <n v="6090"/>
    <n v="20755"/>
    <n v="5530"/>
    <n v="5530"/>
    <x v="728"/>
    <n v="9000"/>
  </r>
  <r>
    <s v="PR-0835"/>
    <d v="2026-06-16T00:00:00"/>
    <x v="3"/>
    <x v="3"/>
    <s v="Tuesday"/>
    <x v="1"/>
    <x v="0"/>
    <x v="0"/>
    <s v="Mouthwash"/>
    <x v="1"/>
    <s v="Alcohol-Free Mouthwash 250ml"/>
    <s v="B260616-L2B"/>
    <s v="P. Singh"/>
    <x v="2"/>
    <x v="0"/>
    <x v="1"/>
    <n v="6100"/>
    <n v="5690"/>
    <n v="222"/>
    <n v="3.9015817223198593E-2"/>
    <n v="0.93278688524590159"/>
    <x v="0"/>
    <n v="0"/>
    <n v="0"/>
    <s v="None"/>
    <n v="58"/>
    <n v="12876"/>
    <n v="20789"/>
    <n v="5290"/>
    <n v="5290"/>
    <x v="729"/>
    <n v="9000"/>
  </r>
  <r>
    <s v="PR-1276"/>
    <d v="2026-07-26T00:00:00"/>
    <x v="2"/>
    <x v="2"/>
    <s v="Sunday"/>
    <x v="0"/>
    <x v="0"/>
    <x v="0"/>
    <s v="Mouthwash"/>
    <x v="0"/>
    <s v="Mint Mouthwash 250ml"/>
    <s v="B260726-L2A"/>
    <s v="R. Sharma"/>
    <x v="0"/>
    <x v="0"/>
    <x v="0"/>
    <n v="4630"/>
    <n v="4480"/>
    <n v="619"/>
    <n v="0.13816964285714287"/>
    <n v="0.96760259179265662"/>
    <x v="1"/>
    <n v="0"/>
    <n v="0"/>
    <s v="None"/>
    <n v="46"/>
    <n v="28474"/>
    <n v="21274"/>
    <n v="4110"/>
    <n v="4110"/>
    <x v="730"/>
    <n v="10500"/>
  </r>
  <r>
    <s v="PR-0720"/>
    <d v="2026-06-05T00:00:00"/>
    <x v="3"/>
    <x v="3"/>
    <s v="Friday"/>
    <x v="2"/>
    <x v="0"/>
    <x v="0"/>
    <s v="Mouthwash"/>
    <x v="1"/>
    <s v="Alcohol-Free Mouthwash 250ml"/>
    <s v="B260605-L2C"/>
    <s v="M. Khan"/>
    <x v="2"/>
    <x v="0"/>
    <x v="3"/>
    <n v="5590"/>
    <n v="5040"/>
    <n v="113"/>
    <n v="2.2420634920634921E-2"/>
    <n v="0.90161001788908768"/>
    <x v="5"/>
    <n v="0"/>
    <n v="0"/>
    <s v="None"/>
    <n v="58"/>
    <n v="6554"/>
    <n v="21267"/>
    <n v="5150"/>
    <n v="5150"/>
    <x v="731"/>
    <n v="9000"/>
  </r>
  <r>
    <s v="PR-0220"/>
    <d v="2026-04-21T00:00:00"/>
    <x v="5"/>
    <x v="5"/>
    <s v="Tuesday"/>
    <x v="0"/>
    <x v="0"/>
    <x v="0"/>
    <s v="Mouthwash"/>
    <x v="1"/>
    <s v="Alcohol-Free Mouthwash 250ml"/>
    <s v="B260421-L2A"/>
    <s v="K. Verma"/>
    <x v="1"/>
    <x v="0"/>
    <x v="1"/>
    <n v="5860"/>
    <n v="5690"/>
    <n v="169"/>
    <n v="2.9701230228471001E-2"/>
    <n v="0.97098976109215018"/>
    <x v="0"/>
    <n v="0"/>
    <n v="0"/>
    <s v="None"/>
    <n v="58"/>
    <n v="9802"/>
    <n v="20407"/>
    <n v="4870"/>
    <n v="4870"/>
    <x v="732"/>
    <n v="9000"/>
  </r>
  <r>
    <s v="PR-0644"/>
    <d v="2026-05-29T00:00:00"/>
    <x v="4"/>
    <x v="4"/>
    <s v="Friday"/>
    <x v="2"/>
    <x v="0"/>
    <x v="0"/>
    <s v="Mouthwash"/>
    <x v="1"/>
    <s v="Alcohol-Free Mouthwash 250ml"/>
    <s v="B260529-L2C"/>
    <s v="A. Gupta"/>
    <x v="1"/>
    <x v="0"/>
    <x v="0"/>
    <n v="6080"/>
    <n v="5580"/>
    <n v="106"/>
    <n v="1.8996415770609319E-2"/>
    <n v="0.91776315789473684"/>
    <x v="4"/>
    <n v="0"/>
    <n v="0"/>
    <s v="None"/>
    <n v="58"/>
    <n v="6148"/>
    <n v="21681"/>
    <n v="6060"/>
    <n v="6060"/>
    <x v="733"/>
    <n v="9000"/>
  </r>
  <r>
    <s v="PR-0187"/>
    <d v="2026-04-17T00:00:00"/>
    <x v="5"/>
    <x v="5"/>
    <s v="Friday"/>
    <x v="2"/>
    <x v="0"/>
    <x v="0"/>
    <s v="Mouthwash"/>
    <x v="0"/>
    <s v="Mint Mouthwash 250ml"/>
    <s v="B260417-L2C"/>
    <s v="M. Khan"/>
    <x v="1"/>
    <x v="0"/>
    <x v="0"/>
    <n v="6340"/>
    <n v="6380"/>
    <n v="152"/>
    <n v="2.3824451410658306E-2"/>
    <n v="1.0063091482649842"/>
    <x v="4"/>
    <n v="0"/>
    <n v="0"/>
    <s v="None"/>
    <n v="46"/>
    <n v="6992"/>
    <n v="20562"/>
    <n v="5680"/>
    <n v="5680"/>
    <x v="734"/>
    <n v="10500"/>
  </r>
  <r>
    <s v="PR-1131"/>
    <d v="2026-07-13T00:00:00"/>
    <x v="2"/>
    <x v="2"/>
    <s v="Monday"/>
    <x v="1"/>
    <x v="0"/>
    <x v="0"/>
    <s v="Mouthwash"/>
    <x v="1"/>
    <s v="Alcohol-Free Mouthwash 250ml"/>
    <s v="B260713-L2B"/>
    <s v="S. Yadav"/>
    <x v="1"/>
    <x v="0"/>
    <x v="0"/>
    <n v="6430"/>
    <n v="6380"/>
    <n v="171"/>
    <n v="2.6802507836990595E-2"/>
    <n v="0.99222395023328147"/>
    <x v="4"/>
    <n v="0"/>
    <n v="0"/>
    <s v="None"/>
    <n v="58"/>
    <n v="9918"/>
    <n v="20640"/>
    <n v="5680"/>
    <n v="5680"/>
    <x v="735"/>
    <n v="9000"/>
  </r>
  <r>
    <s v="PR-0135"/>
    <d v="2026-04-13T00:00:00"/>
    <x v="5"/>
    <x v="5"/>
    <s v="Monday"/>
    <x v="1"/>
    <x v="0"/>
    <x v="0"/>
    <s v="Mouthwash"/>
    <x v="0"/>
    <s v="Mint Mouthwash 250ml"/>
    <s v="B260413-L2B"/>
    <s v="S. Yadav"/>
    <x v="2"/>
    <x v="0"/>
    <x v="0"/>
    <n v="6570"/>
    <n v="6430"/>
    <n v="216"/>
    <n v="3.3592534992223949E-2"/>
    <n v="0.9786910197869102"/>
    <x v="0"/>
    <n v="0"/>
    <n v="0"/>
    <s v="None"/>
    <n v="46"/>
    <n v="9936"/>
    <n v="21444"/>
    <n v="6450"/>
    <n v="6450"/>
    <x v="736"/>
    <n v="10500"/>
  </r>
  <r>
    <s v="PR-0559"/>
    <d v="2026-05-22T00:00:00"/>
    <x v="4"/>
    <x v="4"/>
    <s v="Friday"/>
    <x v="0"/>
    <x v="0"/>
    <x v="0"/>
    <s v="Mouthwash"/>
    <x v="1"/>
    <s v="Alcohol-Free Mouthwash 250ml"/>
    <s v="B260522-L2A"/>
    <s v="K. Verma"/>
    <x v="1"/>
    <x v="0"/>
    <x v="0"/>
    <n v="5660"/>
    <n v="5050"/>
    <n v="85"/>
    <n v="1.6831683168316833E-2"/>
    <n v="0.892226148409894"/>
    <x v="0"/>
    <n v="51"/>
    <n v="0.85"/>
    <s v="Cleaning / Sanitation"/>
    <n v="58"/>
    <n v="4930"/>
    <n v="21619"/>
    <n v="5370"/>
    <n v="5370"/>
    <x v="737"/>
    <n v="9000"/>
  </r>
  <r>
    <s v="PR-0599"/>
    <d v="2026-05-26T00:00:00"/>
    <x v="4"/>
    <x v="4"/>
    <s v="Tuesday"/>
    <x v="0"/>
    <x v="3"/>
    <x v="3"/>
    <s v="Toothpaste"/>
    <x v="7"/>
    <s v="Sensitive Toothpaste 100g"/>
    <s v="B260526-L1A"/>
    <s v="R. Sharma"/>
    <x v="1"/>
    <x v="3"/>
    <x v="5"/>
    <n v="8510"/>
    <n v="7300"/>
    <n v="172"/>
    <n v="2.3561643835616437E-2"/>
    <n v="0.85781433607520563"/>
    <x v="4"/>
    <n v="0"/>
    <n v="0"/>
    <s v="None"/>
    <n v="42"/>
    <n v="7224"/>
    <n v="22990"/>
    <n v="8900"/>
    <n v="8900"/>
    <x v="738"/>
    <n v="12000"/>
  </r>
  <r>
    <s v="PR-0563"/>
    <d v="2026-05-22T00:00:00"/>
    <x v="4"/>
    <x v="4"/>
    <s v="Friday"/>
    <x v="1"/>
    <x v="0"/>
    <x v="0"/>
    <s v="Mouthwash"/>
    <x v="1"/>
    <s v="Alcohol-Free Mouthwash 250ml"/>
    <s v="B260522-L2B"/>
    <s v="S. Yadav"/>
    <x v="1"/>
    <x v="0"/>
    <x v="1"/>
    <n v="6170"/>
    <n v="5630"/>
    <n v="145"/>
    <n v="2.5754884547069271E-2"/>
    <n v="0.91247974068071314"/>
    <x v="0"/>
    <n v="46"/>
    <n v="0.76666666666666672"/>
    <s v="Machine Breakdown"/>
    <n v="58"/>
    <n v="8410"/>
    <n v="21214"/>
    <n v="5450"/>
    <n v="5450"/>
    <x v="739"/>
    <n v="9000"/>
  </r>
  <r>
    <s v="PR-0655"/>
    <d v="2026-05-30T00:00:00"/>
    <x v="4"/>
    <x v="4"/>
    <s v="Saturday"/>
    <x v="2"/>
    <x v="3"/>
    <x v="3"/>
    <s v="Toothpaste"/>
    <x v="7"/>
    <s v="Sensitive Toothpaste 100g"/>
    <s v="B260530-L1C"/>
    <s v="A. Gupta"/>
    <x v="2"/>
    <x v="3"/>
    <x v="5"/>
    <n v="8180"/>
    <n v="7110"/>
    <n v="197"/>
    <n v="2.7707454289732772E-2"/>
    <n v="0.86919315403422981"/>
    <x v="5"/>
    <n v="0"/>
    <n v="0"/>
    <s v="None"/>
    <n v="42"/>
    <n v="8274"/>
    <n v="21500"/>
    <n v="7160"/>
    <n v="7160"/>
    <x v="740"/>
    <n v="12000"/>
  </r>
  <r>
    <s v="PR-0627"/>
    <d v="2026-05-28T00:00:00"/>
    <x v="4"/>
    <x v="4"/>
    <s v="Thursday"/>
    <x v="1"/>
    <x v="3"/>
    <x v="3"/>
    <s v="Toothpaste"/>
    <x v="7"/>
    <s v="Sensitive Toothpaste 100g"/>
    <s v="B260528-L1B"/>
    <s v="P. Singh"/>
    <x v="1"/>
    <x v="3"/>
    <x v="3"/>
    <n v="8310"/>
    <n v="7960"/>
    <n v="127"/>
    <n v="1.5954773869346732E-2"/>
    <n v="0.95788206979542723"/>
    <x v="5"/>
    <n v="32"/>
    <n v="0.53333333333333333"/>
    <s v="Changeover"/>
    <n v="42"/>
    <n v="5334"/>
    <n v="20411"/>
    <n v="6990"/>
    <n v="6990"/>
    <x v="741"/>
    <n v="12000"/>
  </r>
  <r>
    <s v="PR-0060"/>
    <d v="2026-04-06T00:00:00"/>
    <x v="5"/>
    <x v="5"/>
    <s v="Monday"/>
    <x v="1"/>
    <x v="2"/>
    <x v="2"/>
    <s v="Dental Floss"/>
    <x v="6"/>
    <s v="Floss Picks (100 pcs)"/>
    <s v="B260406-L3B"/>
    <s v="S. Yadav"/>
    <x v="2"/>
    <x v="2"/>
    <x v="9"/>
    <n v="6890"/>
    <n v="5830"/>
    <n v="138"/>
    <n v="2.3670668953687822E-2"/>
    <n v="0.84615384615384615"/>
    <x v="3"/>
    <n v="0"/>
    <n v="0"/>
    <s v="None"/>
    <n v="33"/>
    <n v="4554"/>
    <n v="21478"/>
    <n v="5910"/>
    <n v="5910"/>
    <x v="742"/>
    <n v="9750"/>
  </r>
  <r>
    <s v="PR-0596"/>
    <d v="2026-05-25T00:00:00"/>
    <x v="4"/>
    <x v="4"/>
    <s v="Monday"/>
    <x v="2"/>
    <x v="0"/>
    <x v="0"/>
    <s v="Mouthwash"/>
    <x v="1"/>
    <s v="Alcohol-Free Mouthwash 250ml"/>
    <s v="B260525-L2C"/>
    <s v="M. Khan"/>
    <x v="1"/>
    <x v="0"/>
    <x v="3"/>
    <n v="5630"/>
    <n v="4870"/>
    <n v="43"/>
    <n v="8.8295687885010261E-3"/>
    <n v="0.86500888099467144"/>
    <x v="4"/>
    <n v="0"/>
    <n v="0"/>
    <s v="None"/>
    <n v="58"/>
    <n v="2494"/>
    <n v="21746"/>
    <n v="5310"/>
    <n v="5310"/>
    <x v="743"/>
    <n v="9000"/>
  </r>
  <r>
    <s v="PR-0716"/>
    <d v="2026-06-05T00:00:00"/>
    <x v="3"/>
    <x v="3"/>
    <s v="Friday"/>
    <x v="1"/>
    <x v="0"/>
    <x v="0"/>
    <s v="Mouthwash"/>
    <x v="1"/>
    <s v="Alcohol-Free Mouthwash 250ml"/>
    <s v="B260605-L2B"/>
    <s v="S. Yadav"/>
    <x v="2"/>
    <x v="0"/>
    <x v="2"/>
    <n v="5570"/>
    <n v="5390"/>
    <n v="134"/>
    <n v="2.4860853432282004E-2"/>
    <n v="0.96768402154398558"/>
    <x v="2"/>
    <n v="52"/>
    <n v="0.8666666666666667"/>
    <s v="Machine Breakdown"/>
    <n v="58"/>
    <n v="7772"/>
    <n v="20531"/>
    <n v="4520"/>
    <n v="4520"/>
    <x v="744"/>
    <n v="9000"/>
  </r>
  <r>
    <s v="PR-1265"/>
    <d v="2026-07-25T00:00:00"/>
    <x v="2"/>
    <x v="2"/>
    <s v="Saturday"/>
    <x v="0"/>
    <x v="0"/>
    <x v="0"/>
    <s v="Mouthwash"/>
    <x v="0"/>
    <s v="Mint Mouthwash 250ml"/>
    <s v="B260725-L2A"/>
    <s v="K. Verma"/>
    <x v="2"/>
    <x v="0"/>
    <x v="1"/>
    <n v="6510"/>
    <n v="6460"/>
    <n v="148"/>
    <n v="2.2910216718266253E-2"/>
    <n v="0.99231950844854067"/>
    <x v="0"/>
    <n v="0"/>
    <n v="0"/>
    <s v="None"/>
    <n v="46"/>
    <n v="6808"/>
    <n v="21602"/>
    <n v="6640"/>
    <n v="6640"/>
    <x v="745"/>
    <n v="10500"/>
  </r>
  <r>
    <s v="PR-0322"/>
    <d v="2026-04-30T00:00:00"/>
    <x v="5"/>
    <x v="5"/>
    <s v="Thursday"/>
    <x v="1"/>
    <x v="0"/>
    <x v="0"/>
    <s v="Mouthwash"/>
    <x v="0"/>
    <s v="Mint Mouthwash 250ml"/>
    <s v="B260430-L2B"/>
    <s v="S. Yadav"/>
    <x v="2"/>
    <x v="0"/>
    <x v="0"/>
    <n v="6820"/>
    <n v="6340"/>
    <n v="210"/>
    <n v="3.3123028391167195E-2"/>
    <n v="0.9296187683284457"/>
    <x v="4"/>
    <n v="0"/>
    <n v="0"/>
    <s v="None"/>
    <n v="46"/>
    <n v="9660"/>
    <n v="21466"/>
    <n v="6280"/>
    <n v="6280"/>
    <x v="746"/>
    <n v="10500"/>
  </r>
  <r>
    <s v="PR-0359"/>
    <d v="2026-05-04T00:00:00"/>
    <x v="4"/>
    <x v="4"/>
    <s v="Monday"/>
    <x v="0"/>
    <x v="0"/>
    <x v="0"/>
    <s v="Mouthwash"/>
    <x v="0"/>
    <s v="Mint Mouthwash 250ml"/>
    <s v="B260504-L2A"/>
    <s v="K. Verma"/>
    <x v="1"/>
    <x v="0"/>
    <x v="1"/>
    <n v="6640"/>
    <n v="6140"/>
    <n v="156"/>
    <n v="2.5407166123778503E-2"/>
    <n v="0.92469879518072284"/>
    <x v="3"/>
    <n v="40"/>
    <n v="0.66666666666666663"/>
    <s v="Cleaning / Sanitation"/>
    <n v="46"/>
    <n v="7176"/>
    <n v="21562"/>
    <n v="6230"/>
    <n v="6230"/>
    <x v="746"/>
    <n v="10500"/>
  </r>
  <r>
    <s v="PR-1208"/>
    <d v="2026-07-20T00:00:00"/>
    <x v="2"/>
    <x v="2"/>
    <s v="Monday"/>
    <x v="1"/>
    <x v="3"/>
    <x v="3"/>
    <s v="Toothpaste"/>
    <x v="5"/>
    <s v="Charcoal Toothpaste 150g"/>
    <s v="B260720-L1B"/>
    <s v="S. Yadav"/>
    <x v="2"/>
    <x v="3"/>
    <x v="2"/>
    <n v="6250"/>
    <n v="5920"/>
    <n v="134"/>
    <n v="2.2635135135135136E-2"/>
    <n v="0.94720000000000004"/>
    <x v="3"/>
    <n v="53"/>
    <n v="0.8833333333333333"/>
    <s v="Cleaning / Sanitation"/>
    <n v="51"/>
    <n v="6834"/>
    <n v="21552"/>
    <n v="5980"/>
    <n v="5980"/>
    <x v="747"/>
    <n v="9000"/>
  </r>
  <r>
    <s v="PR-0120"/>
    <d v="2026-04-11T00:00:00"/>
    <x v="5"/>
    <x v="5"/>
    <s v="Saturday"/>
    <x v="1"/>
    <x v="2"/>
    <x v="2"/>
    <s v="Dental Floss"/>
    <x v="6"/>
    <s v="Floss Picks (100 pcs)"/>
    <s v="B260411-L3B"/>
    <s v="P. Singh"/>
    <x v="2"/>
    <x v="2"/>
    <x v="8"/>
    <n v="6590"/>
    <n v="5980"/>
    <n v="139"/>
    <n v="2.3244147157190635E-2"/>
    <n v="0.90743550834597875"/>
    <x v="4"/>
    <n v="0"/>
    <n v="0"/>
    <s v="None"/>
    <n v="33"/>
    <n v="4587"/>
    <n v="21505"/>
    <n v="5930"/>
    <n v="5930"/>
    <x v="748"/>
    <n v="9750"/>
  </r>
  <r>
    <s v="PR-0115"/>
    <d v="2026-04-11T00:00:00"/>
    <x v="5"/>
    <x v="5"/>
    <s v="Saturday"/>
    <x v="0"/>
    <x v="0"/>
    <x v="0"/>
    <s v="Mouthwash"/>
    <x v="0"/>
    <s v="Mint Mouthwash 250ml"/>
    <s v="B260411-L2A"/>
    <s v="K. Verma"/>
    <x v="2"/>
    <x v="0"/>
    <x v="1"/>
    <n v="6640"/>
    <n v="6340"/>
    <n v="133"/>
    <n v="2.0977917981072555E-2"/>
    <n v="0.95481927710843373"/>
    <x v="5"/>
    <n v="30"/>
    <n v="0.5"/>
    <s v="Cleaning / Sanitation"/>
    <n v="46"/>
    <n v="6118"/>
    <n v="21777"/>
    <n v="6540"/>
    <n v="6540"/>
    <x v="749"/>
    <n v="10500"/>
  </r>
  <r>
    <s v="PR-0661"/>
    <d v="2026-05-31T00:00:00"/>
    <x v="4"/>
    <x v="4"/>
    <s v="Sunday"/>
    <x v="1"/>
    <x v="3"/>
    <x v="3"/>
    <s v="Toothpaste"/>
    <x v="7"/>
    <s v="Sensitive Toothpaste 100g"/>
    <s v="B260531-L1B"/>
    <s v="S. Yadav"/>
    <x v="1"/>
    <x v="3"/>
    <x v="2"/>
    <n v="5300"/>
    <n v="5240"/>
    <n v="135"/>
    <n v="2.5763358778625955E-2"/>
    <n v="0.98867924528301887"/>
    <x v="0"/>
    <n v="49"/>
    <n v="0.81666666666666665"/>
    <s v="Machine Breakdown"/>
    <n v="42"/>
    <n v="5670"/>
    <n v="21253"/>
    <n v="4900"/>
    <n v="4900"/>
    <x v="750"/>
    <n v="12000"/>
  </r>
  <r>
    <s v="PR-0302"/>
    <d v="2026-04-28T00:00:00"/>
    <x v="5"/>
    <x v="5"/>
    <s v="Tuesday"/>
    <x v="2"/>
    <x v="0"/>
    <x v="0"/>
    <s v="Mouthwash"/>
    <x v="0"/>
    <s v="Mint Mouthwash 250ml"/>
    <s v="B260428-L2C"/>
    <s v="M. Khan"/>
    <x v="2"/>
    <x v="0"/>
    <x v="2"/>
    <n v="7000"/>
    <n v="6260"/>
    <n v="119"/>
    <n v="1.9009584664536741E-2"/>
    <n v="0.89428571428571424"/>
    <x v="5"/>
    <n v="30"/>
    <n v="0.5"/>
    <s v="Changeover"/>
    <n v="46"/>
    <n v="5474"/>
    <n v="22215"/>
    <n v="6890"/>
    <n v="6890"/>
    <x v="751"/>
    <n v="10500"/>
  </r>
  <r>
    <s v="PR-0039"/>
    <d v="2026-04-04T00:00:00"/>
    <x v="5"/>
    <x v="5"/>
    <s v="Saturday"/>
    <x v="0"/>
    <x v="2"/>
    <x v="2"/>
    <s v="Dental Floss"/>
    <x v="6"/>
    <s v="Floss Picks (100 pcs)"/>
    <s v="B260404-L3A"/>
    <s v="K. Verma"/>
    <x v="1"/>
    <x v="2"/>
    <x v="10"/>
    <n v="6070"/>
    <n v="6070"/>
    <n v="148"/>
    <n v="2.4382207578253708E-2"/>
    <n v="1"/>
    <x v="4"/>
    <n v="0"/>
    <n v="0"/>
    <s v="None"/>
    <n v="33"/>
    <n v="4884"/>
    <n v="20436"/>
    <n v="4880"/>
    <n v="4880"/>
    <x v="752"/>
    <n v="9750"/>
  </r>
  <r>
    <s v="PR-0639"/>
    <d v="2026-05-29T00:00:00"/>
    <x v="4"/>
    <x v="4"/>
    <s v="Friday"/>
    <x v="1"/>
    <x v="3"/>
    <x v="3"/>
    <s v="Toothpaste"/>
    <x v="7"/>
    <s v="Sensitive Toothpaste 100g"/>
    <s v="B260529-L1B"/>
    <s v="P. Singh"/>
    <x v="1"/>
    <x v="3"/>
    <x v="3"/>
    <n v="7670"/>
    <n v="7290"/>
    <n v="134"/>
    <n v="1.8381344307270234E-2"/>
    <n v="0.95045632333767927"/>
    <x v="4"/>
    <n v="15"/>
    <n v="0.25"/>
    <s v="Changeover"/>
    <n v="42"/>
    <n v="5628"/>
    <n v="21254"/>
    <n v="6910"/>
    <n v="6910"/>
    <x v="753"/>
    <n v="12000"/>
  </r>
  <r>
    <s v="PR-0068"/>
    <d v="2026-04-07T00:00:00"/>
    <x v="5"/>
    <x v="5"/>
    <s v="Tuesday"/>
    <x v="0"/>
    <x v="2"/>
    <x v="2"/>
    <s v="Dental Floss"/>
    <x v="6"/>
    <s v="Floss Picks (100 pcs)"/>
    <s v="B260407-L3A"/>
    <s v="K. Verma"/>
    <x v="1"/>
    <x v="2"/>
    <x v="10"/>
    <n v="6000"/>
    <n v="5710"/>
    <n v="45"/>
    <n v="7.8809106830122592E-3"/>
    <n v="0.95166666666666666"/>
    <x v="2"/>
    <n v="71"/>
    <n v="1.1833333333333333"/>
    <s v="Changeover"/>
    <n v="33"/>
    <n v="1485"/>
    <n v="21260"/>
    <n v="5420"/>
    <n v="5420"/>
    <x v="754"/>
    <n v="9750"/>
  </r>
  <r>
    <s v="PR-0099"/>
    <d v="2026-04-09T00:00:00"/>
    <x v="5"/>
    <x v="5"/>
    <s v="Thursday"/>
    <x v="2"/>
    <x v="0"/>
    <x v="0"/>
    <s v="Mouthwash"/>
    <x v="0"/>
    <s v="Mint Mouthwash 250ml"/>
    <s v="B260409-L2C"/>
    <s v="A. Gupta"/>
    <x v="2"/>
    <x v="0"/>
    <x v="2"/>
    <n v="6360"/>
    <n v="5650"/>
    <n v="57"/>
    <n v="1.0088495575221238E-2"/>
    <n v="0.88836477987421381"/>
    <x v="3"/>
    <n v="59"/>
    <n v="0.98333333333333328"/>
    <s v="Machine Breakdown"/>
    <n v="46"/>
    <n v="2622"/>
    <n v="21587"/>
    <n v="5640"/>
    <n v="5640"/>
    <x v="755"/>
    <n v="10500"/>
  </r>
  <r>
    <s v="PR-1182"/>
    <d v="2026-07-17T00:00:00"/>
    <x v="2"/>
    <x v="2"/>
    <s v="Friday"/>
    <x v="2"/>
    <x v="3"/>
    <x v="3"/>
    <s v="Toothpaste"/>
    <x v="5"/>
    <s v="Charcoal Toothpaste 150g"/>
    <s v="B260717-L1C"/>
    <s v="A. Gupta"/>
    <x v="2"/>
    <x v="3"/>
    <x v="2"/>
    <n v="5950"/>
    <n v="5460"/>
    <n v="156"/>
    <n v="2.8571428571428571E-2"/>
    <n v="0.91764705882352937"/>
    <x v="4"/>
    <n v="50"/>
    <n v="0.83333333333333337"/>
    <s v="Changeover"/>
    <n v="51"/>
    <n v="7956"/>
    <n v="21558"/>
    <n v="5310"/>
    <n v="5310"/>
    <x v="756"/>
    <n v="9000"/>
  </r>
  <r>
    <s v="PR-1178"/>
    <d v="2026-07-17T00:00:00"/>
    <x v="2"/>
    <x v="2"/>
    <s v="Friday"/>
    <x v="1"/>
    <x v="3"/>
    <x v="3"/>
    <s v="Toothpaste"/>
    <x v="5"/>
    <s v="Charcoal Toothpaste 150g"/>
    <s v="B260717-L1B"/>
    <s v="S. Yadav"/>
    <x v="2"/>
    <x v="3"/>
    <x v="2"/>
    <n v="6420"/>
    <n v="6340"/>
    <n v="243"/>
    <n v="3.8328075709779183E-2"/>
    <n v="0.98753894080996885"/>
    <x v="5"/>
    <n v="25"/>
    <n v="0.41666666666666669"/>
    <s v="Machine Breakdown"/>
    <n v="51"/>
    <n v="12393"/>
    <n v="20441"/>
    <n v="4980"/>
    <n v="4980"/>
    <x v="757"/>
    <n v="9000"/>
  </r>
  <r>
    <s v="PR-0356"/>
    <d v="2026-05-03T00:00:00"/>
    <x v="4"/>
    <x v="4"/>
    <s v="Sunday"/>
    <x v="1"/>
    <x v="0"/>
    <x v="0"/>
    <s v="Mouthwash"/>
    <x v="0"/>
    <s v="Mint Mouthwash 250ml"/>
    <s v="B260503-L2B"/>
    <s v="S. Yadav"/>
    <x v="1"/>
    <x v="0"/>
    <x v="3"/>
    <n v="5270"/>
    <n v="4570"/>
    <n v="93"/>
    <n v="2.0350109409190371E-2"/>
    <n v="0.86717267552182165"/>
    <x v="3"/>
    <n v="12"/>
    <n v="0.2"/>
    <s v="Machine Breakdown"/>
    <n v="46"/>
    <n v="4278"/>
    <n v="21925"/>
    <n v="4840"/>
    <n v="4840"/>
    <x v="758"/>
    <n v="10500"/>
  </r>
  <r>
    <s v="PR-0095"/>
    <d v="2026-04-09T00:00:00"/>
    <x v="5"/>
    <x v="5"/>
    <s v="Thursday"/>
    <x v="1"/>
    <x v="0"/>
    <x v="0"/>
    <s v="Mouthwash"/>
    <x v="0"/>
    <s v="Mint Mouthwash 250ml"/>
    <s v="B260409-L2B"/>
    <s v="P. Singh"/>
    <x v="1"/>
    <x v="0"/>
    <x v="0"/>
    <n v="6520"/>
    <n v="6500"/>
    <n v="222"/>
    <n v="3.4153846153846153E-2"/>
    <n v="0.99693251533742333"/>
    <x v="3"/>
    <n v="0"/>
    <n v="0"/>
    <s v="None"/>
    <n v="46"/>
    <n v="10212"/>
    <n v="20939"/>
    <n v="5630"/>
    <n v="5630"/>
    <x v="759"/>
    <n v="10500"/>
  </r>
  <r>
    <s v="PR-1245"/>
    <d v="2026-07-23T00:00:00"/>
    <x v="2"/>
    <x v="2"/>
    <s v="Thursday"/>
    <x v="1"/>
    <x v="0"/>
    <x v="0"/>
    <s v="Mouthwash"/>
    <x v="0"/>
    <s v="Mint Mouthwash 250ml"/>
    <s v="B260723-L2B"/>
    <s v="S. Yadav"/>
    <x v="0"/>
    <x v="0"/>
    <x v="2"/>
    <n v="7260"/>
    <n v="6800"/>
    <n v="673"/>
    <n v="9.8970588235294116E-2"/>
    <n v="0.9366391184573003"/>
    <x v="1"/>
    <n v="34"/>
    <n v="0.56666666666666665"/>
    <s v="Changeover"/>
    <n v="46"/>
    <n v="30958"/>
    <n v="22215"/>
    <n v="6740"/>
    <n v="6740"/>
    <x v="760"/>
    <n v="10500"/>
  </r>
  <r>
    <s v="PR-0006"/>
    <d v="2026-04-01T00:00:00"/>
    <x v="5"/>
    <x v="5"/>
    <s v="Wednesday"/>
    <x v="1"/>
    <x v="0"/>
    <x v="0"/>
    <s v="Mouthwash"/>
    <x v="0"/>
    <s v="Mint Mouthwash 250ml"/>
    <s v="B260401-L2B"/>
    <s v="P. Singh"/>
    <x v="2"/>
    <x v="0"/>
    <x v="2"/>
    <n v="6650"/>
    <n v="6240"/>
    <n v="94"/>
    <n v="1.5064102564102564E-2"/>
    <n v="0.93834586466165415"/>
    <x v="4"/>
    <n v="0"/>
    <n v="0"/>
    <s v="None"/>
    <n v="46"/>
    <n v="4324"/>
    <n v="20593"/>
    <n v="5120"/>
    <n v="5120"/>
    <x v="761"/>
    <n v="10500"/>
  </r>
  <r>
    <s v="PR-0543"/>
    <d v="2026-05-20T00:00:00"/>
    <x v="4"/>
    <x v="4"/>
    <s v="Wednesday"/>
    <x v="2"/>
    <x v="0"/>
    <x v="0"/>
    <s v="Mouthwash"/>
    <x v="1"/>
    <s v="Alcohol-Free Mouthwash 250ml"/>
    <s v="B260520-L2C"/>
    <s v="A. Gupta"/>
    <x v="1"/>
    <x v="0"/>
    <x v="1"/>
    <n v="5720"/>
    <n v="5200"/>
    <n v="175"/>
    <n v="3.3653846153846152E-2"/>
    <n v="0.90909090909090906"/>
    <x v="0"/>
    <n v="0"/>
    <n v="0"/>
    <s v="None"/>
    <n v="58"/>
    <n v="10150"/>
    <n v="22004"/>
    <n v="5410"/>
    <n v="5410"/>
    <x v="761"/>
    <n v="9000"/>
  </r>
  <r>
    <s v="PR-1098"/>
    <d v="2026-07-10T00:00:00"/>
    <x v="2"/>
    <x v="2"/>
    <s v="Friday"/>
    <x v="0"/>
    <x v="0"/>
    <x v="0"/>
    <s v="Mouthwash"/>
    <x v="1"/>
    <s v="Alcohol-Free Mouthwash 250ml"/>
    <s v="B260710-L2A"/>
    <s v="K. Verma"/>
    <x v="0"/>
    <x v="0"/>
    <x v="1"/>
    <n v="6400"/>
    <n v="6000"/>
    <n v="503"/>
    <n v="8.3833333333333329E-2"/>
    <n v="0.9375"/>
    <x v="1"/>
    <n v="32"/>
    <n v="0.53333333333333333"/>
    <s v="Material Shortage"/>
    <n v="58"/>
    <n v="29174"/>
    <n v="22111"/>
    <n v="5970"/>
    <n v="5970"/>
    <x v="762"/>
    <n v="9000"/>
  </r>
  <r>
    <s v="PR-0191"/>
    <d v="2026-04-18T00:00:00"/>
    <x v="5"/>
    <x v="5"/>
    <s v="Saturday"/>
    <x v="0"/>
    <x v="0"/>
    <x v="0"/>
    <s v="Mouthwash"/>
    <x v="0"/>
    <s v="Mint Mouthwash 250ml"/>
    <s v="B260418-L2A"/>
    <s v="R. Sharma"/>
    <x v="2"/>
    <x v="0"/>
    <x v="2"/>
    <n v="7470"/>
    <n v="6780"/>
    <n v="190"/>
    <n v="2.8023598820058997E-2"/>
    <n v="0.90763052208835338"/>
    <x v="4"/>
    <n v="0"/>
    <n v="0"/>
    <s v="None"/>
    <n v="46"/>
    <n v="8740"/>
    <n v="21110"/>
    <n v="6030"/>
    <n v="6030"/>
    <x v="763"/>
    <n v="10500"/>
  </r>
  <r>
    <s v="PR-0640"/>
    <d v="2026-05-29T00:00:00"/>
    <x v="4"/>
    <x v="4"/>
    <s v="Friday"/>
    <x v="1"/>
    <x v="0"/>
    <x v="0"/>
    <s v="Mouthwash"/>
    <x v="1"/>
    <s v="Alcohol-Free Mouthwash 250ml"/>
    <s v="B260529-L2B"/>
    <s v="S. Yadav"/>
    <x v="1"/>
    <x v="0"/>
    <x v="1"/>
    <n v="6410"/>
    <n v="6280"/>
    <n v="192"/>
    <n v="3.0573248407643312E-2"/>
    <n v="0.97971918876755071"/>
    <x v="3"/>
    <n v="0"/>
    <n v="0"/>
    <s v="None"/>
    <n v="58"/>
    <n v="11136"/>
    <n v="21263"/>
    <n v="5670"/>
    <n v="5670"/>
    <x v="764"/>
    <n v="9000"/>
  </r>
  <r>
    <s v="PR-0463"/>
    <d v="2026-05-13T00:00:00"/>
    <x v="4"/>
    <x v="4"/>
    <s v="Wednesday"/>
    <x v="1"/>
    <x v="0"/>
    <x v="0"/>
    <s v="Mouthwash"/>
    <x v="1"/>
    <s v="Alcohol-Free Mouthwash 250ml"/>
    <s v="B260513-L2B"/>
    <s v="P. Singh"/>
    <x v="1"/>
    <x v="0"/>
    <x v="2"/>
    <n v="6170"/>
    <n v="5610"/>
    <n v="171"/>
    <n v="3.0481283422459891E-2"/>
    <n v="0.90923824959481359"/>
    <x v="0"/>
    <n v="0"/>
    <n v="0"/>
    <s v="None"/>
    <n v="58"/>
    <n v="9918"/>
    <n v="22372"/>
    <n v="6090"/>
    <n v="6090"/>
    <x v="765"/>
    <n v="9000"/>
  </r>
  <r>
    <s v="PR-1328"/>
    <d v="2026-07-31T00:00:00"/>
    <x v="2"/>
    <x v="2"/>
    <s v="Friday"/>
    <x v="0"/>
    <x v="3"/>
    <x v="3"/>
    <s v="Toothpaste"/>
    <x v="5"/>
    <s v="Charcoal Toothpaste 150g"/>
    <s v="B260731-L1A"/>
    <s v="R. Sharma"/>
    <x v="1"/>
    <x v="3"/>
    <x v="3"/>
    <n v="6060"/>
    <n v="5690"/>
    <n v="213"/>
    <n v="3.7434094903339189E-2"/>
    <n v="0.93894389438943893"/>
    <x v="0"/>
    <n v="0"/>
    <n v="0"/>
    <s v="None"/>
    <n v="51"/>
    <n v="10863"/>
    <n v="22119"/>
    <n v="5860"/>
    <n v="5860"/>
    <x v="766"/>
    <n v="9000"/>
  </r>
  <r>
    <s v="PR-0588"/>
    <d v="2026-05-25T00:00:00"/>
    <x v="4"/>
    <x v="4"/>
    <s v="Monday"/>
    <x v="0"/>
    <x v="0"/>
    <x v="0"/>
    <s v="Mouthwash"/>
    <x v="1"/>
    <s v="Alcohol-Free Mouthwash 250ml"/>
    <s v="B260525-L2A"/>
    <s v="R. Sharma"/>
    <x v="1"/>
    <x v="0"/>
    <x v="2"/>
    <n v="6310"/>
    <n v="5740"/>
    <n v="120"/>
    <n v="2.0905923344947737E-2"/>
    <n v="0.90966719492868464"/>
    <x v="3"/>
    <n v="0"/>
    <n v="0"/>
    <s v="None"/>
    <n v="58"/>
    <n v="6960"/>
    <n v="22126"/>
    <n v="6000"/>
    <n v="6000"/>
    <x v="767"/>
    <n v="9000"/>
  </r>
  <r>
    <s v="PR-0527"/>
    <d v="2026-05-19T00:00:00"/>
    <x v="4"/>
    <x v="4"/>
    <s v="Tuesday"/>
    <x v="1"/>
    <x v="0"/>
    <x v="0"/>
    <s v="Mouthwash"/>
    <x v="1"/>
    <s v="Alcohol-Free Mouthwash 250ml"/>
    <s v="B260519-L2B"/>
    <s v="S. Yadav"/>
    <x v="2"/>
    <x v="0"/>
    <x v="2"/>
    <n v="6200"/>
    <n v="5670"/>
    <n v="198"/>
    <n v="3.4920634920634921E-2"/>
    <n v="0.9145161290322581"/>
    <x v="2"/>
    <n v="0"/>
    <n v="0"/>
    <s v="None"/>
    <n v="58"/>
    <n v="11484"/>
    <n v="22279"/>
    <n v="5980"/>
    <n v="5980"/>
    <x v="768"/>
    <n v="9000"/>
  </r>
  <r>
    <s v="PR-0107"/>
    <d v="2026-04-10T00:00:00"/>
    <x v="5"/>
    <x v="5"/>
    <s v="Friday"/>
    <x v="1"/>
    <x v="0"/>
    <x v="0"/>
    <s v="Mouthwash"/>
    <x v="0"/>
    <s v="Mint Mouthwash 250ml"/>
    <s v="B260410-L2B"/>
    <s v="P. Singh"/>
    <x v="2"/>
    <x v="0"/>
    <x v="0"/>
    <n v="7150"/>
    <n v="7110"/>
    <n v="193"/>
    <n v="2.7144866385372713E-2"/>
    <n v="0.9944055944055944"/>
    <x v="3"/>
    <n v="0"/>
    <n v="0"/>
    <s v="None"/>
    <n v="46"/>
    <n v="8878"/>
    <n v="21540"/>
    <n v="6680"/>
    <n v="6680"/>
    <x v="769"/>
    <n v="10500"/>
  </r>
  <r>
    <s v="PR-0260"/>
    <d v="2026-04-24T00:00:00"/>
    <x v="5"/>
    <x v="5"/>
    <s v="Friday"/>
    <x v="1"/>
    <x v="0"/>
    <x v="0"/>
    <s v="Mouthwash"/>
    <x v="1"/>
    <s v="Alcohol-Free Mouthwash 250ml"/>
    <s v="B260424-L2B"/>
    <s v="S. Yadav"/>
    <x v="1"/>
    <x v="0"/>
    <x v="1"/>
    <n v="6440"/>
    <n v="6280"/>
    <n v="155"/>
    <n v="2.4681528662420384E-2"/>
    <n v="0.97515527950310554"/>
    <x v="5"/>
    <n v="37"/>
    <n v="0.6166666666666667"/>
    <s v="Changeover"/>
    <n v="58"/>
    <n v="8990"/>
    <n v="20896"/>
    <n v="5220"/>
    <n v="5220"/>
    <x v="770"/>
    <n v="9000"/>
  </r>
  <r>
    <s v="PR-0851"/>
    <d v="2026-06-17T00:00:00"/>
    <x v="3"/>
    <x v="3"/>
    <s v="Wednesday"/>
    <x v="2"/>
    <x v="0"/>
    <x v="0"/>
    <s v="Mouthwash"/>
    <x v="1"/>
    <s v="Alcohol-Free Mouthwash 250ml"/>
    <s v="B260617-L2C"/>
    <s v="A. Gupta"/>
    <x v="1"/>
    <x v="0"/>
    <x v="1"/>
    <n v="5300"/>
    <n v="5320"/>
    <n v="139"/>
    <n v="2.612781954887218E-2"/>
    <n v="1.0037735849056604"/>
    <x v="2"/>
    <n v="14"/>
    <n v="0.23333333333333334"/>
    <s v="Machine Breakdown"/>
    <n v="58"/>
    <n v="8062"/>
    <n v="20967"/>
    <n v="4340"/>
    <n v="4340"/>
    <x v="771"/>
    <n v="9000"/>
  </r>
  <r>
    <s v="PR-0503"/>
    <d v="2026-05-16T00:00:00"/>
    <x v="4"/>
    <x v="4"/>
    <s v="Saturday"/>
    <x v="2"/>
    <x v="0"/>
    <x v="0"/>
    <s v="Mouthwash"/>
    <x v="1"/>
    <s v="Alcohol-Free Mouthwash 250ml"/>
    <s v="B260516-L2C"/>
    <s v="A. Gupta"/>
    <x v="2"/>
    <x v="0"/>
    <x v="2"/>
    <n v="5420"/>
    <n v="4930"/>
    <n v="94"/>
    <n v="1.9066937119675456E-2"/>
    <n v="0.90959409594095941"/>
    <x v="4"/>
    <n v="0"/>
    <n v="0"/>
    <s v="None"/>
    <n v="58"/>
    <n v="5452"/>
    <n v="21985"/>
    <n v="5010"/>
    <n v="5010"/>
    <x v="772"/>
    <n v="9000"/>
  </r>
  <r>
    <s v="PR-0295"/>
    <d v="2026-04-28T00:00:00"/>
    <x v="5"/>
    <x v="5"/>
    <s v="Tuesday"/>
    <x v="0"/>
    <x v="2"/>
    <x v="2"/>
    <s v="Dental Floss"/>
    <x v="6"/>
    <s v="Floss Picks (100 pcs)"/>
    <s v="B260428-L3A"/>
    <s v="R. Sharma"/>
    <x v="2"/>
    <x v="2"/>
    <x v="10"/>
    <n v="6350"/>
    <n v="6370"/>
    <n v="119"/>
    <n v="1.8681318681318681E-2"/>
    <n v="1.0031496062992127"/>
    <x v="5"/>
    <n v="0"/>
    <n v="0"/>
    <s v="None"/>
    <n v="33"/>
    <n v="3927"/>
    <n v="20768"/>
    <n v="5200"/>
    <n v="5200"/>
    <x v="773"/>
    <n v="9750"/>
  </r>
  <r>
    <s v="PR-0330"/>
    <d v="2026-05-01T00:00:00"/>
    <x v="4"/>
    <x v="4"/>
    <s v="Friday"/>
    <x v="0"/>
    <x v="0"/>
    <x v="0"/>
    <s v="Mouthwash"/>
    <x v="0"/>
    <s v="Mint Mouthwash 250ml"/>
    <s v="B260501-L2A"/>
    <s v="R. Sharma"/>
    <x v="2"/>
    <x v="0"/>
    <x v="1"/>
    <n v="7000"/>
    <n v="6150"/>
    <n v="50"/>
    <n v="8.130081300813009E-3"/>
    <n v="0.87857142857142856"/>
    <x v="2"/>
    <n v="0"/>
    <n v="0"/>
    <s v="None"/>
    <n v="46"/>
    <n v="2300"/>
    <n v="21316"/>
    <n v="5590"/>
    <n v="5590"/>
    <x v="774"/>
    <n v="10500"/>
  </r>
  <r>
    <s v="PR-0272"/>
    <d v="2026-04-25T00:00:00"/>
    <x v="5"/>
    <x v="5"/>
    <s v="Saturday"/>
    <x v="1"/>
    <x v="0"/>
    <x v="0"/>
    <s v="Mouthwash"/>
    <x v="1"/>
    <s v="Alcohol-Free Mouthwash 250ml"/>
    <s v="B260425-L2B"/>
    <s v="P. Singh"/>
    <x v="2"/>
    <x v="0"/>
    <x v="1"/>
    <n v="6160"/>
    <n v="5700"/>
    <n v="109"/>
    <n v="1.9122807017543861E-2"/>
    <n v="0.92532467532467533"/>
    <x v="5"/>
    <n v="21"/>
    <n v="0.35"/>
    <s v="Cleaning / Sanitation"/>
    <n v="58"/>
    <n v="6322"/>
    <n v="22156"/>
    <n v="5890"/>
    <n v="5890"/>
    <x v="775"/>
    <n v="9000"/>
  </r>
  <r>
    <s v="PR-1232"/>
    <d v="2026-07-22T00:00:00"/>
    <x v="2"/>
    <x v="2"/>
    <s v="Wednesday"/>
    <x v="1"/>
    <x v="3"/>
    <x v="3"/>
    <s v="Toothpaste"/>
    <x v="5"/>
    <s v="Charcoal Toothpaste 150g"/>
    <s v="B260722-L1B"/>
    <s v="S. Yadav"/>
    <x v="2"/>
    <x v="3"/>
    <x v="3"/>
    <n v="5840"/>
    <n v="5530"/>
    <n v="93"/>
    <n v="1.681735985533454E-2"/>
    <n v="0.94691780821917804"/>
    <x v="3"/>
    <n v="0"/>
    <n v="0"/>
    <s v="None"/>
    <n v="51"/>
    <n v="4743"/>
    <n v="22157"/>
    <n v="5710"/>
    <n v="5710"/>
    <x v="776"/>
    <n v="9000"/>
  </r>
  <r>
    <s v="PR-1332"/>
    <d v="2026-07-31T00:00:00"/>
    <x v="2"/>
    <x v="2"/>
    <s v="Friday"/>
    <x v="1"/>
    <x v="3"/>
    <x v="3"/>
    <s v="Toothpaste"/>
    <x v="5"/>
    <s v="Charcoal Toothpaste 150g"/>
    <s v="B260731-L1B"/>
    <s v="S. Yadav"/>
    <x v="2"/>
    <x v="3"/>
    <x v="2"/>
    <n v="5790"/>
    <n v="5690"/>
    <n v="131"/>
    <n v="2.3022847100175745E-2"/>
    <n v="0.98272884283246975"/>
    <x v="2"/>
    <n v="0"/>
    <n v="0"/>
    <s v="None"/>
    <n v="51"/>
    <n v="6681"/>
    <n v="21736"/>
    <n v="5410"/>
    <n v="5410"/>
    <x v="777"/>
    <n v="9000"/>
  </r>
  <r>
    <s v="PR-1400"/>
    <d v="2026-08-06T00:00:00"/>
    <x v="1"/>
    <x v="1"/>
    <s v="Thursday"/>
    <x v="2"/>
    <x v="3"/>
    <x v="3"/>
    <s v="Toothpaste"/>
    <x v="5"/>
    <s v="Charcoal Toothpaste 150g"/>
    <s v="B260806-L1C"/>
    <s v="M. Khan"/>
    <x v="2"/>
    <x v="3"/>
    <x v="4"/>
    <n v="5270"/>
    <n v="4680"/>
    <n v="71"/>
    <n v="1.5170940170940171E-2"/>
    <n v="0.88804554079696396"/>
    <x v="5"/>
    <n v="50"/>
    <n v="0.83333333333333337"/>
    <s v="Power Interruption"/>
    <n v="51"/>
    <n v="3621"/>
    <n v="22183"/>
    <n v="4870"/>
    <n v="4870"/>
    <x v="778"/>
    <n v="9000"/>
  </r>
  <r>
    <s v="PR-0338"/>
    <d v="2026-05-01T00:00:00"/>
    <x v="4"/>
    <x v="4"/>
    <s v="Friday"/>
    <x v="2"/>
    <x v="0"/>
    <x v="0"/>
    <s v="Mouthwash"/>
    <x v="0"/>
    <s v="Mint Mouthwash 250ml"/>
    <s v="B260501-L2C"/>
    <s v="M. Khan"/>
    <x v="2"/>
    <x v="0"/>
    <x v="4"/>
    <n v="7040"/>
    <n v="6210"/>
    <n v="271"/>
    <n v="4.363929146537842E-2"/>
    <n v="0.88210227272727271"/>
    <x v="2"/>
    <n v="0"/>
    <n v="0"/>
    <s v="None"/>
    <n v="46"/>
    <n v="12466"/>
    <n v="21826"/>
    <n v="5840"/>
    <n v="5840"/>
    <x v="779"/>
    <n v="10500"/>
  </r>
  <r>
    <s v="PR-0314"/>
    <d v="2026-04-29T00:00:00"/>
    <x v="5"/>
    <x v="5"/>
    <s v="Wednesday"/>
    <x v="2"/>
    <x v="0"/>
    <x v="0"/>
    <s v="Mouthwash"/>
    <x v="1"/>
    <s v="Alcohol-Free Mouthwash 250ml"/>
    <s v="B260429-L2C"/>
    <s v="A. Gupta"/>
    <x v="1"/>
    <x v="0"/>
    <x v="3"/>
    <n v="6110"/>
    <n v="5190"/>
    <n v="61"/>
    <n v="1.1753371868978806E-2"/>
    <n v="0.84942716857610479"/>
    <x v="0"/>
    <n v="0"/>
    <n v="0"/>
    <s v="None"/>
    <n v="58"/>
    <n v="3538"/>
    <n v="22598"/>
    <n v="5790"/>
    <n v="5790"/>
    <x v="780"/>
    <n v="9000"/>
  </r>
  <r>
    <s v="PR-0319"/>
    <d v="2026-04-30T00:00:00"/>
    <x v="5"/>
    <x v="5"/>
    <s v="Thursday"/>
    <x v="0"/>
    <x v="2"/>
    <x v="2"/>
    <s v="Dental Floss"/>
    <x v="6"/>
    <s v="Floss Picks (100 pcs)"/>
    <s v="B260430-L3A"/>
    <s v="R. Sharma"/>
    <x v="1"/>
    <x v="2"/>
    <x v="10"/>
    <n v="6930"/>
    <n v="6630"/>
    <n v="153"/>
    <n v="2.3076923076923078E-2"/>
    <n v="0.95670995670995673"/>
    <x v="0"/>
    <n v="0"/>
    <n v="0"/>
    <s v="None"/>
    <n v="33"/>
    <n v="5049"/>
    <n v="21819"/>
    <n v="6320"/>
    <n v="6320"/>
    <x v="781"/>
    <n v="9750"/>
  </r>
  <r>
    <s v="PR-0499"/>
    <d v="2026-05-16T00:00:00"/>
    <x v="4"/>
    <x v="4"/>
    <s v="Saturday"/>
    <x v="1"/>
    <x v="0"/>
    <x v="0"/>
    <s v="Mouthwash"/>
    <x v="1"/>
    <s v="Alcohol-Free Mouthwash 250ml"/>
    <s v="B260516-L2B"/>
    <s v="P. Singh"/>
    <x v="2"/>
    <x v="0"/>
    <x v="0"/>
    <n v="5580"/>
    <n v="5180"/>
    <n v="76"/>
    <n v="1.4671814671814672E-2"/>
    <n v="0.92831541218637992"/>
    <x v="3"/>
    <n v="29"/>
    <n v="0.48333333333333334"/>
    <s v="Changeover"/>
    <n v="58"/>
    <n v="4408"/>
    <n v="21721"/>
    <n v="4840"/>
    <n v="4840"/>
    <x v="782"/>
    <n v="9000"/>
  </r>
  <r>
    <s v="PR-0571"/>
    <d v="2026-05-23T00:00:00"/>
    <x v="4"/>
    <x v="4"/>
    <s v="Saturday"/>
    <x v="0"/>
    <x v="0"/>
    <x v="0"/>
    <s v="Mouthwash"/>
    <x v="1"/>
    <s v="Alcohol-Free Mouthwash 250ml"/>
    <s v="B260523-L2A"/>
    <s v="K. Verma"/>
    <x v="2"/>
    <x v="0"/>
    <x v="0"/>
    <n v="5860"/>
    <n v="5920"/>
    <n v="220"/>
    <n v="3.7162162162162164E-2"/>
    <n v="1.0102389078498293"/>
    <x v="5"/>
    <n v="0"/>
    <n v="0"/>
    <s v="None"/>
    <n v="58"/>
    <n v="12760"/>
    <n v="21249"/>
    <n v="4950"/>
    <n v="4950"/>
    <x v="783"/>
    <n v="9000"/>
  </r>
  <r>
    <s v="PR-0539"/>
    <d v="2026-05-20T00:00:00"/>
    <x v="4"/>
    <x v="4"/>
    <s v="Wednesday"/>
    <x v="1"/>
    <x v="0"/>
    <x v="0"/>
    <s v="Mouthwash"/>
    <x v="1"/>
    <s v="Alcohol-Free Mouthwash 250ml"/>
    <s v="B260520-L2B"/>
    <s v="S. Yadav"/>
    <x v="1"/>
    <x v="0"/>
    <x v="1"/>
    <n v="6260"/>
    <n v="5690"/>
    <n v="127"/>
    <n v="2.2319859402460458E-2"/>
    <n v="0.90894568690095845"/>
    <x v="0"/>
    <n v="44"/>
    <n v="0.73333333333333328"/>
    <s v="Material Shortage"/>
    <n v="58"/>
    <n v="7366"/>
    <n v="21771"/>
    <n v="5330"/>
    <n v="5330"/>
    <x v="784"/>
    <n v="9000"/>
  </r>
  <r>
    <s v="PR-1336"/>
    <d v="2026-07-31T00:00:00"/>
    <x v="2"/>
    <x v="2"/>
    <s v="Friday"/>
    <x v="2"/>
    <x v="3"/>
    <x v="3"/>
    <s v="Toothpaste"/>
    <x v="5"/>
    <s v="Charcoal Toothpaste 150g"/>
    <s v="B260731-L1C"/>
    <s v="A. Gupta"/>
    <x v="1"/>
    <x v="3"/>
    <x v="3"/>
    <n v="5360"/>
    <n v="5110"/>
    <n v="91"/>
    <n v="1.7808219178082191E-2"/>
    <n v="0.95335820895522383"/>
    <x v="2"/>
    <n v="0"/>
    <n v="0"/>
    <s v="None"/>
    <n v="51"/>
    <n v="4641"/>
    <n v="21885"/>
    <n v="4900"/>
    <n v="4900"/>
    <x v="784"/>
    <n v="9000"/>
  </r>
  <r>
    <s v="PR-1340"/>
    <d v="2026-08-01T00:00:00"/>
    <x v="1"/>
    <x v="1"/>
    <s v="Saturday"/>
    <x v="0"/>
    <x v="3"/>
    <x v="3"/>
    <s v="Toothpaste"/>
    <x v="5"/>
    <s v="Charcoal Toothpaste 150g"/>
    <s v="B260801-L1A"/>
    <s v="R. Sharma"/>
    <x v="1"/>
    <x v="3"/>
    <x v="2"/>
    <n v="6360"/>
    <n v="6090"/>
    <n v="155"/>
    <n v="2.5451559934318555E-2"/>
    <n v="0.95754716981132071"/>
    <x v="5"/>
    <n v="0"/>
    <n v="0"/>
    <s v="None"/>
    <n v="51"/>
    <n v="7905"/>
    <n v="22004"/>
    <n v="5930"/>
    <n v="5930"/>
    <x v="785"/>
    <n v="9000"/>
  </r>
  <r>
    <s v="PR-1252"/>
    <d v="2026-07-24T00:00:00"/>
    <x v="2"/>
    <x v="2"/>
    <s v="Friday"/>
    <x v="0"/>
    <x v="3"/>
    <x v="3"/>
    <s v="Toothpaste"/>
    <x v="5"/>
    <s v="Charcoal Toothpaste 150g"/>
    <s v="B260724-L1A"/>
    <s v="R. Sharma"/>
    <x v="2"/>
    <x v="3"/>
    <x v="2"/>
    <n v="5530"/>
    <n v="5420"/>
    <n v="180"/>
    <n v="3.3210332103321034E-2"/>
    <n v="0.98010849909584086"/>
    <x v="5"/>
    <n v="0"/>
    <n v="0"/>
    <s v="None"/>
    <n v="51"/>
    <n v="9180"/>
    <n v="22185"/>
    <n v="5340"/>
    <n v="5340"/>
    <x v="786"/>
    <n v="9000"/>
  </r>
  <r>
    <s v="PR-0211"/>
    <d v="2026-04-20T00:00:00"/>
    <x v="5"/>
    <x v="5"/>
    <s v="Monday"/>
    <x v="1"/>
    <x v="3"/>
    <x v="3"/>
    <s v="Toothpaste"/>
    <x v="8"/>
    <s v="Whitening Toothpaste 100g"/>
    <s v="B260420-L1B"/>
    <s v="P. Singh"/>
    <x v="2"/>
    <x v="3"/>
    <x v="4"/>
    <n v="8740"/>
    <n v="7580"/>
    <n v="251"/>
    <n v="3.3113456464379951E-2"/>
    <n v="0.86727688787185353"/>
    <x v="4"/>
    <n v="0"/>
    <n v="0"/>
    <s v="None"/>
    <n v="38"/>
    <n v="9538"/>
    <n v="23383"/>
    <n v="8620"/>
    <n v="8620"/>
    <x v="787"/>
    <n v="13500"/>
  </r>
  <r>
    <s v="PR-0252"/>
    <d v="2026-04-23T00:00:00"/>
    <x v="5"/>
    <x v="5"/>
    <s v="Thursday"/>
    <x v="2"/>
    <x v="0"/>
    <x v="0"/>
    <s v="Mouthwash"/>
    <x v="0"/>
    <s v="Mint Mouthwash 250ml"/>
    <s v="B260423-L2C"/>
    <s v="M. Khan"/>
    <x v="1"/>
    <x v="0"/>
    <x v="4"/>
    <n v="6520"/>
    <n v="5620"/>
    <n v="122"/>
    <n v="2.1708185053380784E-2"/>
    <n v="0.8619631901840491"/>
    <x v="0"/>
    <n v="0"/>
    <n v="0"/>
    <s v="None"/>
    <n v="46"/>
    <n v="5612"/>
    <n v="22797"/>
    <n v="6200"/>
    <n v="6200"/>
    <x v="788"/>
    <n v="10500"/>
  </r>
  <r>
    <s v="PR-1090"/>
    <d v="2026-07-09T00:00:00"/>
    <x v="2"/>
    <x v="2"/>
    <s v="Thursday"/>
    <x v="1"/>
    <x v="0"/>
    <x v="0"/>
    <s v="Mouthwash"/>
    <x v="1"/>
    <s v="Alcohol-Free Mouthwash 250ml"/>
    <s v="B260709-L2B"/>
    <s v="S. Yadav"/>
    <x v="1"/>
    <x v="0"/>
    <x v="3"/>
    <n v="5820"/>
    <n v="5160"/>
    <n v="106"/>
    <n v="2.0542635658914728E-2"/>
    <n v="0.88659793814432986"/>
    <x v="0"/>
    <n v="36"/>
    <n v="0.6"/>
    <s v="Cleaning / Sanitation"/>
    <n v="58"/>
    <n v="6148"/>
    <n v="22957"/>
    <n v="5900"/>
    <n v="5900"/>
    <x v="789"/>
    <n v="9000"/>
  </r>
  <r>
    <s v="PR-1300"/>
    <d v="2026-07-28T00:00:00"/>
    <x v="2"/>
    <x v="2"/>
    <s v="Tuesday"/>
    <x v="2"/>
    <x v="3"/>
    <x v="3"/>
    <s v="Toothpaste"/>
    <x v="5"/>
    <s v="Charcoal Toothpaste 150g"/>
    <s v="B260728-L1C"/>
    <s v="M. Khan"/>
    <x v="1"/>
    <x v="3"/>
    <x v="3"/>
    <n v="5520"/>
    <n v="5230"/>
    <n v="117"/>
    <n v="2.237093690248566E-2"/>
    <n v="0.94746376811594202"/>
    <x v="2"/>
    <n v="0"/>
    <n v="0"/>
    <s v="None"/>
    <n v="51"/>
    <n v="5967"/>
    <n v="22456"/>
    <n v="5450"/>
    <n v="5450"/>
    <x v="790"/>
    <n v="9000"/>
  </r>
  <r>
    <s v="PR-0579"/>
    <d v="2026-05-23T00:00:00"/>
    <x v="4"/>
    <x v="4"/>
    <s v="Saturday"/>
    <x v="2"/>
    <x v="0"/>
    <x v="0"/>
    <s v="Mouthwash"/>
    <x v="1"/>
    <s v="Alcohol-Free Mouthwash 250ml"/>
    <s v="B260523-L2C"/>
    <s v="A. Gupta"/>
    <x v="2"/>
    <x v="0"/>
    <x v="3"/>
    <n v="5240"/>
    <n v="4500"/>
    <n v="144"/>
    <n v="3.2000000000000001E-2"/>
    <n v="0.85877862595419852"/>
    <x v="3"/>
    <n v="50"/>
    <n v="0.83333333333333337"/>
    <s v="Machine Breakdown"/>
    <n v="58"/>
    <n v="8352"/>
    <n v="22480"/>
    <n v="4710"/>
    <n v="4710"/>
    <x v="791"/>
    <n v="9000"/>
  </r>
  <r>
    <s v="PR-0268"/>
    <d v="2026-04-25T00:00:00"/>
    <x v="5"/>
    <x v="5"/>
    <s v="Saturday"/>
    <x v="0"/>
    <x v="0"/>
    <x v="0"/>
    <s v="Mouthwash"/>
    <x v="1"/>
    <s v="Alcohol-Free Mouthwash 250ml"/>
    <s v="B260425-L2A"/>
    <s v="K. Verma"/>
    <x v="1"/>
    <x v="0"/>
    <x v="0"/>
    <n v="6230"/>
    <n v="6090"/>
    <n v="189"/>
    <n v="3.1034482758620689E-2"/>
    <n v="0.97752808988764039"/>
    <x v="4"/>
    <n v="0"/>
    <n v="0"/>
    <s v="None"/>
    <n v="58"/>
    <n v="10962"/>
    <n v="22185"/>
    <n v="5930"/>
    <n v="5930"/>
    <x v="792"/>
    <n v="9000"/>
  </r>
  <r>
    <s v="PR-1220"/>
    <d v="2026-07-21T00:00:00"/>
    <x v="2"/>
    <x v="2"/>
    <s v="Tuesday"/>
    <x v="1"/>
    <x v="3"/>
    <x v="3"/>
    <s v="Toothpaste"/>
    <x v="5"/>
    <s v="Charcoal Toothpaste 150g"/>
    <s v="B260721-L1B"/>
    <s v="P. Singh"/>
    <x v="2"/>
    <x v="3"/>
    <x v="2"/>
    <n v="5790"/>
    <n v="5480"/>
    <n v="101"/>
    <n v="1.843065693430657E-2"/>
    <n v="0.94645941278065626"/>
    <x v="2"/>
    <n v="0"/>
    <n v="0"/>
    <s v="None"/>
    <n v="51"/>
    <n v="5151"/>
    <n v="21358"/>
    <n v="4580"/>
    <n v="4580"/>
    <x v="793"/>
    <n v="9000"/>
  </r>
  <r>
    <s v="PR-1424"/>
    <d v="2026-08-08T00:00:00"/>
    <x v="1"/>
    <x v="1"/>
    <s v="Saturday"/>
    <x v="2"/>
    <x v="3"/>
    <x v="3"/>
    <s v="Toothpaste"/>
    <x v="5"/>
    <s v="Charcoal Toothpaste 150g"/>
    <s v="B260808-L1C"/>
    <s v="M. Khan"/>
    <x v="1"/>
    <x v="3"/>
    <x v="5"/>
    <n v="6050"/>
    <n v="5390"/>
    <n v="131"/>
    <n v="2.4304267161410018E-2"/>
    <n v="0.89090909090909087"/>
    <x v="0"/>
    <n v="12"/>
    <n v="0.2"/>
    <s v="Material Shortage"/>
    <n v="51"/>
    <n v="6681"/>
    <n v="22504"/>
    <n v="5600"/>
    <n v="5600"/>
    <x v="794"/>
    <n v="9000"/>
  </r>
  <r>
    <s v="PR-0863"/>
    <d v="2026-06-18T00:00:00"/>
    <x v="3"/>
    <x v="3"/>
    <s v="Thursday"/>
    <x v="2"/>
    <x v="0"/>
    <x v="0"/>
    <s v="Mouthwash"/>
    <x v="1"/>
    <s v="Alcohol-Free Mouthwash 250ml"/>
    <s v="B260618-L2C"/>
    <s v="A. Gupta"/>
    <x v="1"/>
    <x v="0"/>
    <x v="2"/>
    <n v="5580"/>
    <n v="5290"/>
    <n v="185"/>
    <n v="3.4971644612476371E-2"/>
    <n v="0.94802867383512546"/>
    <x v="2"/>
    <n v="0"/>
    <n v="0"/>
    <s v="None"/>
    <n v="58"/>
    <n v="10730"/>
    <n v="21808"/>
    <n v="4730"/>
    <n v="4730"/>
    <x v="795"/>
    <n v="9000"/>
  </r>
  <r>
    <s v="PR-1352"/>
    <d v="2026-08-02T00:00:00"/>
    <x v="1"/>
    <x v="1"/>
    <s v="Sunday"/>
    <x v="0"/>
    <x v="3"/>
    <x v="3"/>
    <s v="Toothpaste"/>
    <x v="5"/>
    <s v="Charcoal Toothpaste 150g"/>
    <s v="B260802-L1A"/>
    <s v="R. Sharma"/>
    <x v="1"/>
    <x v="3"/>
    <x v="3"/>
    <n v="4350"/>
    <n v="4070"/>
    <n v="86"/>
    <n v="2.113022113022113E-2"/>
    <n v="0.93563218390804592"/>
    <x v="2"/>
    <n v="74"/>
    <n v="1.2333333333333334"/>
    <s v="Machine Breakdown"/>
    <n v="51"/>
    <n v="4386"/>
    <n v="22009"/>
    <n v="3810"/>
    <n v="3810"/>
    <x v="795"/>
    <n v="9000"/>
  </r>
  <r>
    <s v="PR-0264"/>
    <d v="2026-04-24T00:00:00"/>
    <x v="5"/>
    <x v="5"/>
    <s v="Friday"/>
    <x v="2"/>
    <x v="0"/>
    <x v="0"/>
    <s v="Mouthwash"/>
    <x v="1"/>
    <s v="Alcohol-Free Mouthwash 250ml"/>
    <s v="B260424-L2C"/>
    <s v="A. Gupta"/>
    <x v="1"/>
    <x v="0"/>
    <x v="3"/>
    <n v="5880"/>
    <n v="5320"/>
    <n v="106"/>
    <n v="1.9924812030075189E-2"/>
    <n v="0.90476190476190477"/>
    <x v="2"/>
    <n v="0"/>
    <n v="0"/>
    <s v="None"/>
    <n v="58"/>
    <n v="6148"/>
    <n v="21801"/>
    <n v="4830"/>
    <n v="4830"/>
    <x v="796"/>
    <n v="9000"/>
  </r>
  <r>
    <s v="PR-1240"/>
    <d v="2026-07-23T00:00:00"/>
    <x v="2"/>
    <x v="2"/>
    <s v="Thursday"/>
    <x v="0"/>
    <x v="3"/>
    <x v="3"/>
    <s v="Toothpaste"/>
    <x v="5"/>
    <s v="Charcoal Toothpaste 150g"/>
    <s v="B260723-L1A"/>
    <s v="K. Verma"/>
    <x v="2"/>
    <x v="3"/>
    <x v="2"/>
    <n v="5760"/>
    <n v="5580"/>
    <n v="189"/>
    <n v="3.3870967741935487E-2"/>
    <n v="0.96875"/>
    <x v="2"/>
    <n v="64"/>
    <n v="1.0666666666666667"/>
    <s v="Changeover"/>
    <n v="51"/>
    <n v="9639"/>
    <n v="21884"/>
    <n v="5090"/>
    <n v="5090"/>
    <x v="796"/>
    <n v="9000"/>
  </r>
  <r>
    <s v="PR-0276"/>
    <d v="2026-04-25T00:00:00"/>
    <x v="5"/>
    <x v="5"/>
    <s v="Saturday"/>
    <x v="2"/>
    <x v="0"/>
    <x v="0"/>
    <s v="Mouthwash"/>
    <x v="1"/>
    <s v="Alcohol-Free Mouthwash 250ml"/>
    <s v="B260425-L2C"/>
    <s v="M. Khan"/>
    <x v="2"/>
    <x v="0"/>
    <x v="0"/>
    <n v="5450"/>
    <n v="5380"/>
    <n v="122"/>
    <n v="2.2676579925650558E-2"/>
    <n v="0.98715596330275235"/>
    <x v="5"/>
    <n v="23"/>
    <n v="0.38333333333333336"/>
    <s v="Machine Breakdown"/>
    <n v="58"/>
    <n v="7076"/>
    <n v="21857"/>
    <n v="4900"/>
    <n v="4900"/>
    <x v="797"/>
    <n v="9000"/>
  </r>
  <r>
    <s v="PR-0286"/>
    <d v="2026-04-27T00:00:00"/>
    <x v="5"/>
    <x v="5"/>
    <s v="Monday"/>
    <x v="1"/>
    <x v="0"/>
    <x v="0"/>
    <s v="Mouthwash"/>
    <x v="0"/>
    <s v="Mint Mouthwash 250ml"/>
    <s v="B260427-L2B"/>
    <s v="P. Singh"/>
    <x v="1"/>
    <x v="0"/>
    <x v="0"/>
    <n v="6680"/>
    <n v="6720"/>
    <n v="188"/>
    <n v="2.7976190476190477E-2"/>
    <n v="1.0059880239520957"/>
    <x v="5"/>
    <n v="0"/>
    <n v="0"/>
    <s v="None"/>
    <n v="46"/>
    <n v="8648"/>
    <n v="22433"/>
    <n v="6750"/>
    <n v="6750"/>
    <x v="797"/>
    <n v="10500"/>
  </r>
  <r>
    <s v="PR-1241"/>
    <d v="2026-07-23T00:00:00"/>
    <x v="2"/>
    <x v="2"/>
    <s v="Thursday"/>
    <x v="0"/>
    <x v="0"/>
    <x v="0"/>
    <s v="Mouthwash"/>
    <x v="0"/>
    <s v="Mint Mouthwash 250ml"/>
    <s v="B260723-L2A"/>
    <s v="K. Verma"/>
    <x v="1"/>
    <x v="0"/>
    <x v="1"/>
    <n v="6860"/>
    <n v="6430"/>
    <n v="196"/>
    <n v="3.0482115085536547E-2"/>
    <n v="0.93731778425655976"/>
    <x v="2"/>
    <n v="0"/>
    <n v="0"/>
    <s v="None"/>
    <n v="46"/>
    <n v="9016"/>
    <n v="22451"/>
    <n v="6470"/>
    <n v="6470"/>
    <x v="797"/>
    <n v="10500"/>
  </r>
  <r>
    <s v="PR-0679"/>
    <d v="2026-06-02T00:00:00"/>
    <x v="3"/>
    <x v="3"/>
    <s v="Tuesday"/>
    <x v="1"/>
    <x v="3"/>
    <x v="3"/>
    <s v="Toothpaste"/>
    <x v="7"/>
    <s v="Sensitive Toothpaste 100g"/>
    <s v="B260602-L1B"/>
    <s v="S. Yadav"/>
    <x v="1"/>
    <x v="3"/>
    <x v="2"/>
    <n v="7800"/>
    <n v="7810"/>
    <n v="204"/>
    <n v="2.6120358514724711E-2"/>
    <n v="1.0012820512820513"/>
    <x v="4"/>
    <n v="26"/>
    <n v="0.43333333333333335"/>
    <s v="Changeover"/>
    <n v="42"/>
    <n v="8568"/>
    <n v="21458"/>
    <n v="6840"/>
    <n v="6840"/>
    <x v="798"/>
    <n v="12000"/>
  </r>
  <r>
    <s v="PR-0523"/>
    <d v="2026-05-19T00:00:00"/>
    <x v="4"/>
    <x v="4"/>
    <s v="Tuesday"/>
    <x v="0"/>
    <x v="0"/>
    <x v="0"/>
    <s v="Mouthwash"/>
    <x v="1"/>
    <s v="Alcohol-Free Mouthwash 250ml"/>
    <s v="B260519-L2A"/>
    <s v="R. Sharma"/>
    <x v="2"/>
    <x v="0"/>
    <x v="0"/>
    <n v="6330"/>
    <n v="6280"/>
    <n v="162"/>
    <n v="2.5796178343949046E-2"/>
    <n v="0.99210110584518163"/>
    <x v="2"/>
    <n v="0"/>
    <n v="0"/>
    <s v="None"/>
    <n v="58"/>
    <n v="9396"/>
    <n v="21811"/>
    <n v="5650"/>
    <n v="5650"/>
    <x v="799"/>
    <n v="9000"/>
  </r>
  <r>
    <s v="PR-0298"/>
    <d v="2026-04-28T00:00:00"/>
    <x v="5"/>
    <x v="5"/>
    <s v="Tuesday"/>
    <x v="1"/>
    <x v="0"/>
    <x v="0"/>
    <s v="Mouthwash"/>
    <x v="1"/>
    <s v="Alcohol-Free Mouthwash 250ml"/>
    <s v="B260428-L2B"/>
    <s v="P. Singh"/>
    <x v="1"/>
    <x v="0"/>
    <x v="1"/>
    <n v="5770"/>
    <n v="5200"/>
    <n v="167"/>
    <n v="3.2115384615384615E-2"/>
    <n v="0.901213171577123"/>
    <x v="0"/>
    <n v="0"/>
    <n v="0"/>
    <s v="None"/>
    <n v="58"/>
    <n v="9686"/>
    <n v="22567"/>
    <n v="5320"/>
    <n v="5320"/>
    <x v="800"/>
    <n v="9000"/>
  </r>
  <r>
    <s v="PR-0335"/>
    <d v="2026-05-01T00:00:00"/>
    <x v="4"/>
    <x v="4"/>
    <s v="Friday"/>
    <x v="1"/>
    <x v="2"/>
    <x v="2"/>
    <s v="Dental Floss"/>
    <x v="6"/>
    <s v="Floss Picks (100 pcs)"/>
    <s v="B260501-L3B"/>
    <s v="P. Singh"/>
    <x v="1"/>
    <x v="2"/>
    <x v="10"/>
    <n v="6080"/>
    <n v="5540"/>
    <n v="111"/>
    <n v="2.0036101083032491E-2"/>
    <n v="0.91118421052631582"/>
    <x v="4"/>
    <n v="55"/>
    <n v="0.91666666666666663"/>
    <s v="Changeover"/>
    <n v="33"/>
    <n v="3663"/>
    <n v="21976"/>
    <n v="5080"/>
    <n v="5080"/>
    <x v="801"/>
    <n v="9750"/>
  </r>
  <r>
    <s v="PR-0891"/>
    <d v="2026-06-21T00:00:00"/>
    <x v="3"/>
    <x v="3"/>
    <s v="Sunday"/>
    <x v="0"/>
    <x v="0"/>
    <x v="0"/>
    <s v="Mouthwash"/>
    <x v="1"/>
    <s v="Alcohol-Free Mouthwash 250ml"/>
    <s v="B260621-L2A"/>
    <s v="R. Sharma"/>
    <x v="2"/>
    <x v="0"/>
    <x v="1"/>
    <n v="4480"/>
    <n v="4170"/>
    <n v="153"/>
    <n v="3.6690647482014387E-2"/>
    <n v="0.9308035714285714"/>
    <x v="4"/>
    <n v="59"/>
    <n v="0.98333333333333328"/>
    <s v="Machine Breakdown"/>
    <n v="58"/>
    <n v="8874"/>
    <n v="22575"/>
    <n v="4260"/>
    <n v="4260"/>
    <x v="802"/>
    <n v="9000"/>
  </r>
  <r>
    <s v="PR-0455"/>
    <d v="2026-05-12T00:00:00"/>
    <x v="4"/>
    <x v="4"/>
    <s v="Tuesday"/>
    <x v="2"/>
    <x v="0"/>
    <x v="0"/>
    <s v="Mouthwash"/>
    <x v="1"/>
    <s v="Alcohol-Free Mouthwash 250ml"/>
    <s v="B260512-L2C"/>
    <s v="A. Gupta"/>
    <x v="1"/>
    <x v="0"/>
    <x v="1"/>
    <n v="6140"/>
    <n v="5760"/>
    <n v="150"/>
    <n v="2.6041666666666668E-2"/>
    <n v="0.93811074918566772"/>
    <x v="0"/>
    <n v="57"/>
    <n v="0.95"/>
    <s v="Machine Breakdown"/>
    <n v="58"/>
    <n v="8700"/>
    <n v="22742"/>
    <n v="5980"/>
    <n v="5980"/>
    <x v="803"/>
    <n v="9000"/>
  </r>
  <r>
    <s v="PR-0363"/>
    <d v="2026-05-04T00:00:00"/>
    <x v="4"/>
    <x v="4"/>
    <s v="Monday"/>
    <x v="1"/>
    <x v="0"/>
    <x v="0"/>
    <s v="Mouthwash"/>
    <x v="0"/>
    <s v="Mint Mouthwash 250ml"/>
    <s v="B260504-L2B"/>
    <s v="P. Singh"/>
    <x v="1"/>
    <x v="0"/>
    <x v="1"/>
    <n v="6840"/>
    <n v="6600"/>
    <n v="193"/>
    <n v="2.9242424242424243E-2"/>
    <n v="0.96491228070175439"/>
    <x v="5"/>
    <n v="0"/>
    <n v="0"/>
    <s v="None"/>
    <n v="46"/>
    <n v="8878"/>
    <n v="21316"/>
    <n v="5350"/>
    <n v="5350"/>
    <x v="804"/>
    <n v="10500"/>
  </r>
  <r>
    <s v="PR-0195"/>
    <d v="2026-04-18T00:00:00"/>
    <x v="5"/>
    <x v="5"/>
    <s v="Saturday"/>
    <x v="1"/>
    <x v="0"/>
    <x v="0"/>
    <s v="Mouthwash"/>
    <x v="0"/>
    <s v="Mint Mouthwash 250ml"/>
    <s v="B260418-L2B"/>
    <s v="P. Singh"/>
    <x v="2"/>
    <x v="0"/>
    <x v="1"/>
    <n v="6450"/>
    <n v="6120"/>
    <n v="233"/>
    <n v="3.8071895424836598E-2"/>
    <n v="0.94883720930232562"/>
    <x v="3"/>
    <n v="0"/>
    <n v="0"/>
    <s v="None"/>
    <n v="46"/>
    <n v="10718"/>
    <n v="21670"/>
    <n v="5160"/>
    <n v="5160"/>
    <x v="805"/>
    <n v="10500"/>
  </r>
  <r>
    <s v="PR-1280"/>
    <d v="2026-07-27T00:00:00"/>
    <x v="2"/>
    <x v="2"/>
    <s v="Monday"/>
    <x v="0"/>
    <x v="3"/>
    <x v="3"/>
    <s v="Toothpaste"/>
    <x v="5"/>
    <s v="Charcoal Toothpaste 150g"/>
    <s v="B260727-L1A"/>
    <s v="R. Sharma"/>
    <x v="2"/>
    <x v="3"/>
    <x v="3"/>
    <n v="5530"/>
    <n v="5010"/>
    <n v="114"/>
    <n v="2.2754491017964073E-2"/>
    <n v="0.9059674502712477"/>
    <x v="2"/>
    <n v="0"/>
    <n v="0"/>
    <s v="None"/>
    <n v="51"/>
    <n v="5814"/>
    <n v="22677"/>
    <n v="5170"/>
    <n v="5170"/>
    <x v="806"/>
    <n v="9000"/>
  </r>
  <r>
    <s v="PR-0110"/>
    <d v="2026-04-10T00:00:00"/>
    <x v="5"/>
    <x v="5"/>
    <s v="Friday"/>
    <x v="2"/>
    <x v="3"/>
    <x v="3"/>
    <s v="Toothpaste"/>
    <x v="8"/>
    <s v="Whitening Toothpaste 100g"/>
    <s v="B260410-L1C"/>
    <s v="M. Khan"/>
    <x v="2"/>
    <x v="3"/>
    <x v="4"/>
    <n v="8350"/>
    <n v="7420"/>
    <n v="123"/>
    <n v="1.6576819407008087E-2"/>
    <n v="0.88862275449101802"/>
    <x v="2"/>
    <n v="68"/>
    <n v="1.1333333333333333"/>
    <s v="Changeover"/>
    <n v="38"/>
    <n v="4674"/>
    <n v="23175"/>
    <n v="8050"/>
    <n v="8050"/>
    <x v="807"/>
    <n v="13500"/>
  </r>
  <r>
    <s v="PR-0256"/>
    <d v="2026-04-24T00:00:00"/>
    <x v="5"/>
    <x v="5"/>
    <s v="Friday"/>
    <x v="0"/>
    <x v="0"/>
    <x v="0"/>
    <s v="Mouthwash"/>
    <x v="0"/>
    <s v="Mint Mouthwash 250ml"/>
    <s v="B260424-L2A"/>
    <s v="K. Verma"/>
    <x v="2"/>
    <x v="0"/>
    <x v="1"/>
    <n v="6900"/>
    <n v="6000"/>
    <n v="212"/>
    <n v="3.5333333333333335E-2"/>
    <n v="0.86956521739130432"/>
    <x v="3"/>
    <n v="0"/>
    <n v="0"/>
    <s v="None"/>
    <n v="46"/>
    <n v="9752"/>
    <n v="22095"/>
    <n v="5450"/>
    <n v="5450"/>
    <x v="808"/>
    <n v="10500"/>
  </r>
  <r>
    <s v="PR-0427"/>
    <d v="2026-05-09T00:00:00"/>
    <x v="4"/>
    <x v="4"/>
    <s v="Saturday"/>
    <x v="2"/>
    <x v="0"/>
    <x v="0"/>
    <s v="Mouthwash"/>
    <x v="1"/>
    <s v="Alcohol-Free Mouthwash 250ml"/>
    <s v="B260509-L2C"/>
    <s v="M. Khan"/>
    <x v="1"/>
    <x v="0"/>
    <x v="2"/>
    <n v="5910"/>
    <n v="5310"/>
    <n v="153"/>
    <n v="2.8813559322033899E-2"/>
    <n v="0.89847715736040612"/>
    <x v="5"/>
    <n v="0"/>
    <n v="0"/>
    <s v="None"/>
    <n v="58"/>
    <n v="8874"/>
    <n v="22769"/>
    <n v="5490"/>
    <n v="5490"/>
    <x v="809"/>
    <n v="9000"/>
  </r>
  <r>
    <s v="PR-1237"/>
    <d v="2026-07-22T00:00:00"/>
    <x v="2"/>
    <x v="2"/>
    <s v="Wednesday"/>
    <x v="2"/>
    <x v="0"/>
    <x v="0"/>
    <s v="Mouthwash"/>
    <x v="0"/>
    <s v="Mint Mouthwash 250ml"/>
    <s v="B260722-L2C"/>
    <s v="A. Gupta"/>
    <x v="0"/>
    <x v="0"/>
    <x v="2"/>
    <n v="6610"/>
    <n v="5980"/>
    <n v="740"/>
    <n v="0.12374581939799331"/>
    <n v="0.90468986384266259"/>
    <x v="1"/>
    <n v="57"/>
    <n v="0.95"/>
    <s v="Machine Breakdown"/>
    <n v="46"/>
    <n v="34040"/>
    <n v="22941"/>
    <n v="5730"/>
    <n v="5730"/>
    <x v="810"/>
    <n v="10500"/>
  </r>
  <r>
    <s v="PR-1292"/>
    <d v="2026-07-28T00:00:00"/>
    <x v="2"/>
    <x v="2"/>
    <s v="Tuesday"/>
    <x v="0"/>
    <x v="3"/>
    <x v="3"/>
    <s v="Toothpaste"/>
    <x v="5"/>
    <s v="Charcoal Toothpaste 150g"/>
    <s v="B260728-L1A"/>
    <s v="K. Verma"/>
    <x v="1"/>
    <x v="3"/>
    <x v="3"/>
    <n v="5770"/>
    <n v="5260"/>
    <n v="167"/>
    <n v="3.1749049429657797E-2"/>
    <n v="0.91161178509532059"/>
    <x v="0"/>
    <n v="0"/>
    <n v="0"/>
    <s v="None"/>
    <n v="51"/>
    <n v="8517"/>
    <n v="22403"/>
    <n v="5040"/>
    <n v="5040"/>
    <x v="811"/>
    <n v="9000"/>
  </r>
  <r>
    <s v="PR-0216"/>
    <d v="2026-04-20T00:00:00"/>
    <x v="5"/>
    <x v="5"/>
    <s v="Monday"/>
    <x v="2"/>
    <x v="0"/>
    <x v="0"/>
    <s v="Mouthwash"/>
    <x v="0"/>
    <s v="Mint Mouthwash 250ml"/>
    <s v="B260420-L2C"/>
    <s v="M. Khan"/>
    <x v="2"/>
    <x v="0"/>
    <x v="0"/>
    <n v="6380"/>
    <n v="6160"/>
    <n v="187"/>
    <n v="3.0357142857142857E-2"/>
    <n v="0.96551724137931039"/>
    <x v="5"/>
    <n v="0"/>
    <n v="0"/>
    <s v="None"/>
    <n v="46"/>
    <n v="8602"/>
    <n v="22397"/>
    <n v="5900"/>
    <n v="5900"/>
    <x v="812"/>
    <n v="10500"/>
  </r>
  <r>
    <s v="PR-0240"/>
    <d v="2026-04-22T00:00:00"/>
    <x v="5"/>
    <x v="5"/>
    <s v="Wednesday"/>
    <x v="2"/>
    <x v="0"/>
    <x v="0"/>
    <s v="Mouthwash"/>
    <x v="0"/>
    <s v="Mint Mouthwash 250ml"/>
    <s v="B260422-L2C"/>
    <s v="A. Gupta"/>
    <x v="1"/>
    <x v="0"/>
    <x v="3"/>
    <n v="6290"/>
    <n v="5500"/>
    <n v="114"/>
    <n v="2.0727272727272726E-2"/>
    <n v="0.87440381558028613"/>
    <x v="3"/>
    <n v="15"/>
    <n v="0.25"/>
    <s v="Cleaning / Sanitation"/>
    <n v="46"/>
    <n v="5244"/>
    <n v="22924"/>
    <n v="5840"/>
    <n v="5840"/>
    <x v="812"/>
    <n v="10500"/>
  </r>
  <r>
    <s v="PR-0575"/>
    <d v="2026-05-23T00:00:00"/>
    <x v="4"/>
    <x v="4"/>
    <s v="Saturday"/>
    <x v="1"/>
    <x v="0"/>
    <x v="0"/>
    <s v="Mouthwash"/>
    <x v="1"/>
    <s v="Alcohol-Free Mouthwash 250ml"/>
    <s v="B260523-L2B"/>
    <s v="S. Yadav"/>
    <x v="1"/>
    <x v="0"/>
    <x v="1"/>
    <n v="6370"/>
    <n v="6050"/>
    <n v="219"/>
    <n v="3.6198347107438016E-2"/>
    <n v="0.94976452119309263"/>
    <x v="2"/>
    <n v="0"/>
    <n v="0"/>
    <s v="None"/>
    <n v="58"/>
    <n v="12702"/>
    <n v="21999"/>
    <n v="5350"/>
    <n v="5350"/>
    <x v="813"/>
    <n v="9000"/>
  </r>
  <r>
    <s v="PR-0707"/>
    <d v="2026-06-04T00:00:00"/>
    <x v="3"/>
    <x v="3"/>
    <s v="Thursday"/>
    <x v="2"/>
    <x v="3"/>
    <x v="3"/>
    <s v="Toothpaste"/>
    <x v="7"/>
    <s v="Sensitive Toothpaste 100g"/>
    <s v="B260604-L1C"/>
    <s v="A. Gupta"/>
    <x v="2"/>
    <x v="3"/>
    <x v="2"/>
    <n v="7060"/>
    <n v="6620"/>
    <n v="145"/>
    <n v="2.1903323262839881E-2"/>
    <n v="0.93767705382436262"/>
    <x v="2"/>
    <n v="0"/>
    <n v="0"/>
    <s v="None"/>
    <n v="42"/>
    <n v="6090"/>
    <n v="22762"/>
    <n v="6750"/>
    <n v="6750"/>
    <x v="814"/>
    <n v="12000"/>
  </r>
  <r>
    <s v="PR-1408"/>
    <d v="2026-08-07T00:00:00"/>
    <x v="1"/>
    <x v="1"/>
    <s v="Friday"/>
    <x v="1"/>
    <x v="3"/>
    <x v="3"/>
    <s v="Toothpaste"/>
    <x v="5"/>
    <s v="Charcoal Toothpaste 150g"/>
    <s v="B260807-L1B"/>
    <s v="P. Singh"/>
    <x v="1"/>
    <x v="3"/>
    <x v="2"/>
    <n v="6130"/>
    <n v="5790"/>
    <n v="118"/>
    <n v="2.0379965457685664E-2"/>
    <n v="0.94453507340946163"/>
    <x v="0"/>
    <n v="20"/>
    <n v="0.33333333333333331"/>
    <s v="Changeover"/>
    <n v="51"/>
    <n v="6018"/>
    <n v="21922"/>
    <n v="5090"/>
    <n v="5090"/>
    <x v="815"/>
    <n v="9000"/>
  </r>
  <r>
    <s v="PR-1260"/>
    <d v="2026-07-24T00:00:00"/>
    <x v="2"/>
    <x v="2"/>
    <s v="Friday"/>
    <x v="2"/>
    <x v="3"/>
    <x v="3"/>
    <s v="Toothpaste"/>
    <x v="5"/>
    <s v="Charcoal Toothpaste 150g"/>
    <s v="B260724-L1C"/>
    <s v="A. Gupta"/>
    <x v="2"/>
    <x v="3"/>
    <x v="3"/>
    <n v="6140"/>
    <n v="5740"/>
    <n v="138"/>
    <n v="2.4041811846689895E-2"/>
    <n v="0.93485342019543971"/>
    <x v="4"/>
    <n v="28"/>
    <n v="0.46666666666666667"/>
    <s v="Changeover"/>
    <n v="51"/>
    <n v="7038"/>
    <n v="22085"/>
    <n v="5160"/>
    <n v="5160"/>
    <x v="816"/>
    <n v="9000"/>
  </r>
  <r>
    <s v="PR-0351"/>
    <d v="2026-05-02T00:00:00"/>
    <x v="4"/>
    <x v="4"/>
    <s v="Saturday"/>
    <x v="2"/>
    <x v="2"/>
    <x v="2"/>
    <s v="Dental Floss"/>
    <x v="6"/>
    <s v="Floss Picks (100 pcs)"/>
    <s v="B260502-L3C"/>
    <s v="A. Gupta"/>
    <x v="2"/>
    <x v="2"/>
    <x v="8"/>
    <n v="6170"/>
    <n v="5690"/>
    <n v="128"/>
    <n v="2.2495606326889281E-2"/>
    <n v="0.92220421393841168"/>
    <x v="3"/>
    <n v="0"/>
    <n v="0"/>
    <s v="None"/>
    <n v="33"/>
    <n v="4224"/>
    <n v="22325"/>
    <n v="5350"/>
    <n v="5350"/>
    <x v="817"/>
    <n v="9750"/>
  </r>
  <r>
    <s v="PR-0443"/>
    <d v="2026-05-11T00:00:00"/>
    <x v="4"/>
    <x v="4"/>
    <s v="Monday"/>
    <x v="2"/>
    <x v="0"/>
    <x v="0"/>
    <s v="Mouthwash"/>
    <x v="1"/>
    <s v="Alcohol-Free Mouthwash 250ml"/>
    <s v="B260511-L2C"/>
    <s v="M. Khan"/>
    <x v="2"/>
    <x v="0"/>
    <x v="5"/>
    <n v="5610"/>
    <n v="4710"/>
    <n v="141"/>
    <n v="2.9936305732484077E-2"/>
    <n v="0.83957219251336901"/>
    <x v="0"/>
    <n v="0"/>
    <n v="0"/>
    <s v="None"/>
    <n v="58"/>
    <n v="8178"/>
    <n v="22436"/>
    <n v="4440"/>
    <n v="4440"/>
    <x v="818"/>
    <n v="9000"/>
  </r>
  <r>
    <s v="PR-0134"/>
    <d v="2026-04-13T00:00:00"/>
    <x v="5"/>
    <x v="5"/>
    <s v="Monday"/>
    <x v="1"/>
    <x v="3"/>
    <x v="3"/>
    <s v="Toothpaste"/>
    <x v="8"/>
    <s v="Whitening Toothpaste 100g"/>
    <s v="B260413-L1B"/>
    <s v="P. Singh"/>
    <x v="1"/>
    <x v="3"/>
    <x v="2"/>
    <n v="9020"/>
    <n v="8770"/>
    <n v="286"/>
    <n v="3.2611174458380847E-2"/>
    <n v="0.97228381374722839"/>
    <x v="4"/>
    <n v="0"/>
    <n v="0"/>
    <s v="None"/>
    <n v="38"/>
    <n v="10868"/>
    <n v="22422"/>
    <n v="8340"/>
    <n v="8340"/>
    <x v="819"/>
    <n v="13500"/>
  </r>
  <r>
    <s v="PR-0282"/>
    <d v="2026-04-27T00:00:00"/>
    <x v="5"/>
    <x v="5"/>
    <s v="Monday"/>
    <x v="0"/>
    <x v="0"/>
    <x v="0"/>
    <s v="Mouthwash"/>
    <x v="1"/>
    <s v="Alcohol-Free Mouthwash 250ml"/>
    <s v="B260427-L2A"/>
    <s v="R. Sharma"/>
    <x v="2"/>
    <x v="0"/>
    <x v="2"/>
    <n v="6340"/>
    <n v="6070"/>
    <n v="148"/>
    <n v="2.4382207578253708E-2"/>
    <n v="0.95741324921135651"/>
    <x v="4"/>
    <n v="0"/>
    <n v="0"/>
    <s v="None"/>
    <n v="58"/>
    <n v="8584"/>
    <n v="22215"/>
    <n v="5570"/>
    <n v="5570"/>
    <x v="820"/>
    <n v="9000"/>
  </r>
  <r>
    <s v="PR-0871"/>
    <d v="2026-06-19T00:00:00"/>
    <x v="3"/>
    <x v="3"/>
    <s v="Friday"/>
    <x v="1"/>
    <x v="0"/>
    <x v="0"/>
    <s v="Mouthwash"/>
    <x v="1"/>
    <s v="Alcohol-Free Mouthwash 250ml"/>
    <s v="B260619-L2B"/>
    <s v="S. Yadav"/>
    <x v="2"/>
    <x v="0"/>
    <x v="0"/>
    <n v="6050"/>
    <n v="6030"/>
    <n v="198"/>
    <n v="3.2835820895522387E-2"/>
    <n v="0.99669421487603305"/>
    <x v="5"/>
    <n v="55"/>
    <n v="0.91666666666666663"/>
    <s v="Changeover"/>
    <n v="58"/>
    <n v="11484"/>
    <n v="22183"/>
    <n v="5440"/>
    <n v="5440"/>
    <x v="821"/>
    <n v="9000"/>
  </r>
  <r>
    <s v="PR-1487"/>
    <d v="2026-08-14T00:00:00"/>
    <x v="1"/>
    <x v="1"/>
    <s v="Friday"/>
    <x v="1"/>
    <x v="3"/>
    <x v="3"/>
    <s v="Toothpaste"/>
    <x v="5"/>
    <s v="Charcoal Toothpaste 150g"/>
    <s v="B260814-L1B"/>
    <s v="P. Singh"/>
    <x v="1"/>
    <x v="3"/>
    <x v="3"/>
    <n v="6320"/>
    <n v="5540"/>
    <n v="62"/>
    <n v="1.1191335740072202E-2"/>
    <n v="0.87658227848101267"/>
    <x v="3"/>
    <n v="0"/>
    <n v="0"/>
    <s v="None"/>
    <n v="51"/>
    <n v="3162"/>
    <n v="23093"/>
    <n v="5980"/>
    <n v="5980"/>
    <x v="822"/>
    <n v="9000"/>
  </r>
  <r>
    <s v="PR-0306"/>
    <d v="2026-04-29T00:00:00"/>
    <x v="5"/>
    <x v="5"/>
    <s v="Wednesday"/>
    <x v="0"/>
    <x v="0"/>
    <x v="0"/>
    <s v="Mouthwash"/>
    <x v="1"/>
    <s v="Alcohol-Free Mouthwash 250ml"/>
    <s v="B260429-L2A"/>
    <s v="K. Verma"/>
    <x v="2"/>
    <x v="0"/>
    <x v="1"/>
    <n v="5950"/>
    <n v="5580"/>
    <n v="152"/>
    <n v="2.7240143369175629E-2"/>
    <n v="0.93781512605042017"/>
    <x v="0"/>
    <n v="0"/>
    <n v="0"/>
    <s v="None"/>
    <n v="58"/>
    <n v="8816"/>
    <n v="22280"/>
    <n v="5110"/>
    <n v="5110"/>
    <x v="823"/>
    <n v="9000"/>
  </r>
  <r>
    <s v="PR-1428"/>
    <d v="2026-08-09T00:00:00"/>
    <x v="1"/>
    <x v="1"/>
    <s v="Sunday"/>
    <x v="0"/>
    <x v="3"/>
    <x v="3"/>
    <s v="Toothpaste"/>
    <x v="5"/>
    <s v="Charcoal Toothpaste 150g"/>
    <s v="B260809-L1A"/>
    <s v="R. Sharma"/>
    <x v="2"/>
    <x v="3"/>
    <x v="3"/>
    <n v="4340"/>
    <n v="4140"/>
    <n v="97"/>
    <n v="2.3429951690821255E-2"/>
    <n v="0.95391705069124422"/>
    <x v="0"/>
    <n v="42"/>
    <n v="0.7"/>
    <s v="Changeover"/>
    <n v="51"/>
    <n v="4947"/>
    <n v="22163"/>
    <n v="3580"/>
    <n v="3580"/>
    <x v="824"/>
    <n v="9000"/>
  </r>
  <r>
    <s v="PR-1533"/>
    <d v="2026-08-19T00:00:00"/>
    <x v="1"/>
    <x v="1"/>
    <s v="Wednesday"/>
    <x v="0"/>
    <x v="3"/>
    <x v="3"/>
    <s v="Toothpaste"/>
    <x v="5"/>
    <s v="Charcoal Toothpaste 150g"/>
    <s v="B260819-L1A"/>
    <s v="R. Sharma"/>
    <x v="2"/>
    <x v="3"/>
    <x v="2"/>
    <n v="5920"/>
    <n v="5300"/>
    <n v="147"/>
    <n v="2.7735849056603774E-2"/>
    <n v="0.89527027027027029"/>
    <x v="0"/>
    <n v="0"/>
    <n v="0"/>
    <s v="None"/>
    <n v="51"/>
    <n v="7497"/>
    <n v="22720"/>
    <n v="5230"/>
    <n v="5230"/>
    <x v="825"/>
    <n v="9000"/>
  </r>
  <r>
    <s v="PR-1277"/>
    <d v="2026-07-26T00:00:00"/>
    <x v="2"/>
    <x v="2"/>
    <s v="Sunday"/>
    <x v="1"/>
    <x v="3"/>
    <x v="3"/>
    <s v="Toothpaste"/>
    <x v="5"/>
    <s v="Charcoal Toothpaste 150g"/>
    <s v="B260726-L1B"/>
    <s v="S. Yadav"/>
    <x v="1"/>
    <x v="3"/>
    <x v="4"/>
    <n v="3950"/>
    <n v="3580"/>
    <n v="90"/>
    <n v="2.5139664804469275E-2"/>
    <n v="0.90632911392405058"/>
    <x v="5"/>
    <n v="41"/>
    <n v="0.68333333333333335"/>
    <s v="Changeover"/>
    <n v="51"/>
    <n v="4590"/>
    <n v="22527"/>
    <n v="3340"/>
    <n v="3340"/>
    <x v="826"/>
    <n v="9000"/>
  </r>
  <r>
    <s v="PR-0433"/>
    <d v="2026-05-10T00:00:00"/>
    <x v="4"/>
    <x v="4"/>
    <s v="Sunday"/>
    <x v="1"/>
    <x v="2"/>
    <x v="2"/>
    <s v="Dental Floss"/>
    <x v="6"/>
    <s v="Floss Picks (100 pcs)"/>
    <s v="B260510-L3B"/>
    <s v="P. Singh"/>
    <x v="2"/>
    <x v="2"/>
    <x v="10"/>
    <n v="4610"/>
    <n v="4410"/>
    <n v="176"/>
    <n v="3.9909297052154194E-2"/>
    <n v="0.95661605206073752"/>
    <x v="0"/>
    <n v="0"/>
    <n v="0"/>
    <s v="None"/>
    <n v="33"/>
    <n v="5808"/>
    <n v="22955"/>
    <n v="4510"/>
    <n v="4510"/>
    <x v="827"/>
    <n v="9750"/>
  </r>
  <r>
    <s v="PR-0106"/>
    <d v="2026-04-10T00:00:00"/>
    <x v="5"/>
    <x v="5"/>
    <s v="Friday"/>
    <x v="1"/>
    <x v="3"/>
    <x v="3"/>
    <s v="Toothpaste"/>
    <x v="7"/>
    <s v="Sensitive Toothpaste 100g"/>
    <s v="B260410-L1B"/>
    <s v="P. Singh"/>
    <x v="2"/>
    <x v="3"/>
    <x v="4"/>
    <n v="8250"/>
    <n v="7060"/>
    <n v="114"/>
    <n v="1.614730878186969E-2"/>
    <n v="0.85575757575757572"/>
    <x v="4"/>
    <n v="0"/>
    <n v="0"/>
    <s v="None"/>
    <n v="42"/>
    <n v="4788"/>
    <n v="24290"/>
    <n v="8540"/>
    <n v="8540"/>
    <x v="828"/>
    <n v="12000"/>
  </r>
  <r>
    <s v="PR-1521"/>
    <d v="2026-08-18T00:00:00"/>
    <x v="1"/>
    <x v="1"/>
    <s v="Tuesday"/>
    <x v="0"/>
    <x v="3"/>
    <x v="3"/>
    <s v="Toothpaste"/>
    <x v="5"/>
    <s v="Charcoal Toothpaste 150g"/>
    <s v="B260818-L1A"/>
    <s v="K. Verma"/>
    <x v="2"/>
    <x v="3"/>
    <x v="2"/>
    <n v="6450"/>
    <n v="6140"/>
    <n v="237"/>
    <n v="3.8599348534201952E-2"/>
    <n v="0.95193798449612399"/>
    <x v="5"/>
    <n v="0"/>
    <n v="0"/>
    <s v="None"/>
    <n v="51"/>
    <n v="12087"/>
    <n v="22807"/>
    <n v="5990"/>
    <n v="5990"/>
    <x v="829"/>
    <n v="9000"/>
  </r>
  <r>
    <s v="PR-0451"/>
    <d v="2026-05-12T00:00:00"/>
    <x v="4"/>
    <x v="4"/>
    <s v="Tuesday"/>
    <x v="1"/>
    <x v="0"/>
    <x v="0"/>
    <s v="Mouthwash"/>
    <x v="1"/>
    <s v="Alcohol-Free Mouthwash 250ml"/>
    <s v="B260512-L2B"/>
    <s v="P. Singh"/>
    <x v="2"/>
    <x v="0"/>
    <x v="0"/>
    <n v="6170"/>
    <n v="6380"/>
    <n v="173"/>
    <n v="2.7115987460815047E-2"/>
    <n v="1.0340356564019448"/>
    <x v="0"/>
    <n v="0"/>
    <n v="0"/>
    <s v="None"/>
    <n v="58"/>
    <n v="10034"/>
    <n v="22565"/>
    <n v="6030"/>
    <n v="6030"/>
    <x v="830"/>
    <n v="9000"/>
  </r>
  <r>
    <s v="PR-0404"/>
    <d v="2026-05-07T00:00:00"/>
    <x v="4"/>
    <x v="4"/>
    <s v="Thursday"/>
    <x v="2"/>
    <x v="2"/>
    <x v="2"/>
    <s v="Dental Floss"/>
    <x v="6"/>
    <s v="Floss Picks (100 pcs)"/>
    <s v="B260507-L3C"/>
    <s v="A. Gupta"/>
    <x v="1"/>
    <x v="2"/>
    <x v="9"/>
    <n v="6080"/>
    <n v="5530"/>
    <n v="113"/>
    <n v="2.0433996383363472E-2"/>
    <n v="0.90953947368421051"/>
    <x v="3"/>
    <n v="72"/>
    <n v="1.2"/>
    <s v="Material Shortage"/>
    <n v="33"/>
    <n v="3729"/>
    <n v="23074"/>
    <n v="5740"/>
    <n v="5740"/>
    <x v="831"/>
    <n v="9750"/>
  </r>
  <r>
    <s v="PR-0687"/>
    <d v="2026-06-03T00:00:00"/>
    <x v="3"/>
    <x v="3"/>
    <s v="Wednesday"/>
    <x v="0"/>
    <x v="3"/>
    <x v="3"/>
    <s v="Toothpaste"/>
    <x v="7"/>
    <s v="Sensitive Toothpaste 100g"/>
    <s v="B260603-L1A"/>
    <s v="K. Verma"/>
    <x v="2"/>
    <x v="3"/>
    <x v="3"/>
    <n v="8350"/>
    <n v="7850"/>
    <n v="172"/>
    <n v="2.1910828025477707E-2"/>
    <n v="0.94011976047904189"/>
    <x v="3"/>
    <n v="0"/>
    <n v="0"/>
    <s v="None"/>
    <n v="42"/>
    <n v="7224"/>
    <n v="22224"/>
    <n v="7140"/>
    <n v="7140"/>
    <x v="832"/>
    <n v="12000"/>
  </r>
  <r>
    <s v="PR-0411"/>
    <d v="2026-05-08T00:00:00"/>
    <x v="4"/>
    <x v="4"/>
    <s v="Friday"/>
    <x v="1"/>
    <x v="0"/>
    <x v="0"/>
    <s v="Mouthwash"/>
    <x v="1"/>
    <s v="Alcohol-Free Mouthwash 250ml"/>
    <s v="B260508-L2B"/>
    <s v="P. Singh"/>
    <x v="1"/>
    <x v="0"/>
    <x v="1"/>
    <n v="6130"/>
    <n v="5880"/>
    <n v="195"/>
    <n v="3.3163265306122451E-2"/>
    <n v="0.95921696574225124"/>
    <x v="2"/>
    <n v="0"/>
    <n v="0"/>
    <s v="None"/>
    <n v="58"/>
    <n v="11310"/>
    <n v="23074"/>
    <n v="5990"/>
    <n v="5990"/>
    <x v="833"/>
    <n v="9000"/>
  </r>
  <r>
    <s v="PR-0244"/>
    <d v="2026-04-23T00:00:00"/>
    <x v="5"/>
    <x v="5"/>
    <s v="Thursday"/>
    <x v="0"/>
    <x v="0"/>
    <x v="0"/>
    <s v="Mouthwash"/>
    <x v="0"/>
    <s v="Mint Mouthwash 250ml"/>
    <s v="B260423-L2A"/>
    <s v="R. Sharma"/>
    <x v="1"/>
    <x v="0"/>
    <x v="1"/>
    <n v="7330"/>
    <n v="6790"/>
    <n v="213"/>
    <n v="3.1369661266568483E-2"/>
    <n v="0.92633015006821284"/>
    <x v="4"/>
    <n v="0"/>
    <n v="0"/>
    <s v="None"/>
    <n v="46"/>
    <n v="9798"/>
    <n v="22470"/>
    <n v="6250"/>
    <n v="6250"/>
    <x v="834"/>
    <n v="10500"/>
  </r>
  <r>
    <s v="PR-1503"/>
    <d v="2026-08-15T00:00:00"/>
    <x v="1"/>
    <x v="1"/>
    <s v="Saturday"/>
    <x v="2"/>
    <x v="3"/>
    <x v="3"/>
    <s v="Toothpaste"/>
    <x v="5"/>
    <s v="Charcoal Toothpaste 150g"/>
    <s v="B260815-L1C"/>
    <s v="A. Gupta"/>
    <x v="2"/>
    <x v="3"/>
    <x v="2"/>
    <n v="5960"/>
    <n v="5510"/>
    <n v="124"/>
    <n v="2.2504537205081668E-2"/>
    <n v="0.92449664429530198"/>
    <x v="0"/>
    <n v="52"/>
    <n v="0.8666666666666667"/>
    <s v="Machine Breakdown"/>
    <n v="51"/>
    <n v="6324"/>
    <n v="22591"/>
    <n v="5170"/>
    <n v="5170"/>
    <x v="835"/>
    <n v="9000"/>
  </r>
  <r>
    <s v="PR-0488"/>
    <d v="2026-05-15T00:00:00"/>
    <x v="4"/>
    <x v="4"/>
    <s v="Friday"/>
    <x v="1"/>
    <x v="2"/>
    <x v="2"/>
    <s v="Dental Floss"/>
    <x v="6"/>
    <s v="Floss Picks (100 pcs)"/>
    <s v="B260515-L3B"/>
    <s v="P. Singh"/>
    <x v="2"/>
    <x v="2"/>
    <x v="10"/>
    <n v="6530"/>
    <n v="5980"/>
    <n v="106"/>
    <n v="1.7725752508361205E-2"/>
    <n v="0.91577335375191427"/>
    <x v="3"/>
    <n v="0"/>
    <n v="0"/>
    <s v="None"/>
    <n v="33"/>
    <n v="3498"/>
    <n v="23262"/>
    <n v="6320"/>
    <n v="6320"/>
    <x v="836"/>
    <n v="9750"/>
  </r>
  <r>
    <s v="PR-0366"/>
    <d v="2026-05-04T00:00:00"/>
    <x v="4"/>
    <x v="4"/>
    <s v="Monday"/>
    <x v="2"/>
    <x v="3"/>
    <x v="3"/>
    <s v="Toothpaste"/>
    <x v="7"/>
    <s v="Sensitive Toothpaste 100g"/>
    <s v="B260504-L1C"/>
    <s v="A. Gupta"/>
    <x v="1"/>
    <x v="3"/>
    <x v="4"/>
    <n v="7210"/>
    <n v="6470"/>
    <n v="121"/>
    <n v="1.8701700154559506E-2"/>
    <n v="0.89736477115117896"/>
    <x v="5"/>
    <n v="0"/>
    <n v="0"/>
    <s v="None"/>
    <n v="42"/>
    <n v="5082"/>
    <n v="23636"/>
    <n v="7140"/>
    <n v="7140"/>
    <x v="837"/>
    <n v="12000"/>
  </r>
  <r>
    <s v="PR-0550"/>
    <d v="2026-05-21T00:00:00"/>
    <x v="4"/>
    <x v="4"/>
    <s v="Thursday"/>
    <x v="1"/>
    <x v="3"/>
    <x v="3"/>
    <s v="Toothpaste"/>
    <x v="7"/>
    <s v="Sensitive Toothpaste 100g"/>
    <s v="B260521-L1B"/>
    <s v="S. Yadav"/>
    <x v="2"/>
    <x v="3"/>
    <x v="4"/>
    <n v="8010"/>
    <n v="7170"/>
    <n v="154"/>
    <n v="2.1478382147838215E-2"/>
    <n v="0.89513108614232206"/>
    <x v="3"/>
    <n v="0"/>
    <n v="0"/>
    <s v="None"/>
    <n v="42"/>
    <n v="6468"/>
    <n v="23701"/>
    <n v="7860"/>
    <n v="7860"/>
    <x v="838"/>
    <n v="12000"/>
  </r>
  <r>
    <s v="PR-1545"/>
    <d v="2026-08-20T00:00:00"/>
    <x v="1"/>
    <x v="1"/>
    <s v="Thursday"/>
    <x v="0"/>
    <x v="3"/>
    <x v="3"/>
    <s v="Toothpaste"/>
    <x v="5"/>
    <s v="Charcoal Toothpaste 150g"/>
    <s v="B260820-L1A"/>
    <s v="R. Sharma"/>
    <x v="2"/>
    <x v="3"/>
    <x v="2"/>
    <n v="5610"/>
    <n v="5520"/>
    <n v="131"/>
    <n v="2.3731884057971015E-2"/>
    <n v="0.98395721925133695"/>
    <x v="2"/>
    <n v="0"/>
    <n v="0"/>
    <s v="None"/>
    <n v="51"/>
    <n v="6681"/>
    <n v="23101"/>
    <n v="5610"/>
    <n v="5610"/>
    <x v="839"/>
    <n v="9000"/>
  </r>
  <r>
    <s v="PR-0436"/>
    <d v="2026-05-11T00:00:00"/>
    <x v="4"/>
    <x v="4"/>
    <s v="Monday"/>
    <x v="0"/>
    <x v="2"/>
    <x v="2"/>
    <s v="Dental Floss"/>
    <x v="6"/>
    <s v="Floss Picks (100 pcs)"/>
    <s v="B260511-L3A"/>
    <s v="R. Sharma"/>
    <x v="2"/>
    <x v="2"/>
    <x v="10"/>
    <n v="6000"/>
    <n v="6120"/>
    <n v="146"/>
    <n v="2.3856209150326796E-2"/>
    <n v="1.02"/>
    <x v="4"/>
    <n v="0"/>
    <n v="0"/>
    <s v="None"/>
    <n v="33"/>
    <n v="4818"/>
    <n v="22679"/>
    <n v="5770"/>
    <n v="5770"/>
    <x v="840"/>
    <n v="9750"/>
  </r>
  <r>
    <s v="PR-0224"/>
    <d v="2026-04-21T00:00:00"/>
    <x v="5"/>
    <x v="5"/>
    <s v="Tuesday"/>
    <x v="1"/>
    <x v="0"/>
    <x v="0"/>
    <s v="Mouthwash"/>
    <x v="0"/>
    <s v="Mint Mouthwash 250ml"/>
    <s v="B260421-L2B"/>
    <s v="P. Singh"/>
    <x v="2"/>
    <x v="0"/>
    <x v="0"/>
    <n v="7070"/>
    <n v="6470"/>
    <n v="146"/>
    <n v="2.2565687789799074E-2"/>
    <n v="0.91513437057991509"/>
    <x v="3"/>
    <n v="0"/>
    <n v="0"/>
    <s v="None"/>
    <n v="46"/>
    <n v="6716"/>
    <n v="22470"/>
    <n v="5870"/>
    <n v="5870"/>
    <x v="841"/>
    <n v="10500"/>
  </r>
  <r>
    <s v="PR-1225"/>
    <d v="2026-07-21T00:00:00"/>
    <x v="2"/>
    <x v="2"/>
    <s v="Tuesday"/>
    <x v="2"/>
    <x v="0"/>
    <x v="0"/>
    <s v="Mouthwash"/>
    <x v="0"/>
    <s v="Mint Mouthwash 250ml"/>
    <s v="B260721-L2C"/>
    <s v="A. Gupta"/>
    <x v="0"/>
    <x v="0"/>
    <x v="2"/>
    <n v="6800"/>
    <n v="6030"/>
    <n v="506"/>
    <n v="8.3913764510779434E-2"/>
    <n v="0.8867647058823529"/>
    <x v="1"/>
    <n v="58"/>
    <n v="0.96666666666666667"/>
    <s v="Manpower Shortage"/>
    <n v="46"/>
    <n v="23276"/>
    <n v="23637"/>
    <n v="6220"/>
    <n v="6220"/>
    <x v="842"/>
    <n v="10500"/>
  </r>
  <r>
    <s v="PR-0414"/>
    <d v="2026-05-08T00:00:00"/>
    <x v="4"/>
    <x v="4"/>
    <s v="Friday"/>
    <x v="2"/>
    <x v="3"/>
    <x v="3"/>
    <s v="Toothpaste"/>
    <x v="7"/>
    <s v="Sensitive Toothpaste 100g"/>
    <s v="B260508-L1C"/>
    <s v="M. Khan"/>
    <x v="1"/>
    <x v="3"/>
    <x v="4"/>
    <n v="8090"/>
    <n v="6880"/>
    <n v="188"/>
    <n v="2.7325581395348839E-2"/>
    <n v="0.85043263288009885"/>
    <x v="5"/>
    <n v="0"/>
    <n v="0"/>
    <s v="None"/>
    <n v="42"/>
    <n v="7896"/>
    <n v="23875"/>
    <n v="7620"/>
    <n v="7620"/>
    <x v="843"/>
    <n v="12000"/>
  </r>
  <r>
    <s v="PR-0420"/>
    <d v="2026-05-09T00:00:00"/>
    <x v="4"/>
    <x v="4"/>
    <s v="Saturday"/>
    <x v="0"/>
    <x v="2"/>
    <x v="2"/>
    <s v="Dental Floss"/>
    <x v="6"/>
    <s v="Floss Picks (100 pcs)"/>
    <s v="B260509-L3A"/>
    <s v="R. Sharma"/>
    <x v="1"/>
    <x v="2"/>
    <x v="10"/>
    <n v="6760"/>
    <n v="6010"/>
    <n v="126"/>
    <n v="2.0965058236272878E-2"/>
    <n v="0.88905325443786987"/>
    <x v="4"/>
    <n v="33"/>
    <n v="0.55000000000000004"/>
    <s v="Changeover"/>
    <n v="33"/>
    <n v="4158"/>
    <n v="23021"/>
    <n v="5950"/>
    <n v="5950"/>
    <x v="844"/>
    <n v="9750"/>
  </r>
  <r>
    <s v="PR-1070"/>
    <d v="2026-07-07T00:00:00"/>
    <x v="2"/>
    <x v="2"/>
    <s v="Tuesday"/>
    <x v="2"/>
    <x v="0"/>
    <x v="0"/>
    <s v="Mouthwash"/>
    <x v="1"/>
    <s v="Alcohol-Free Mouthwash 250ml"/>
    <s v="B260707-L2C"/>
    <s v="M. Khan"/>
    <x v="2"/>
    <x v="0"/>
    <x v="1"/>
    <n v="5850"/>
    <n v="5640"/>
    <n v="146"/>
    <n v="2.5886524822695035E-2"/>
    <n v="0.96410256410256412"/>
    <x v="0"/>
    <n v="48"/>
    <n v="0.8"/>
    <s v="Changeover"/>
    <n v="58"/>
    <n v="8468"/>
    <n v="23043"/>
    <n v="5580"/>
    <n v="5580"/>
    <x v="845"/>
    <n v="9000"/>
  </r>
  <r>
    <s v="PR-0440"/>
    <d v="2026-05-11T00:00:00"/>
    <x v="4"/>
    <x v="4"/>
    <s v="Monday"/>
    <x v="1"/>
    <x v="2"/>
    <x v="2"/>
    <s v="Dental Floss"/>
    <x v="6"/>
    <s v="Floss Picks (100 pcs)"/>
    <s v="B260511-L3B"/>
    <s v="P. Singh"/>
    <x v="2"/>
    <x v="2"/>
    <x v="9"/>
    <n v="6150"/>
    <n v="5610"/>
    <n v="181"/>
    <n v="3.2263814616755794E-2"/>
    <n v="0.91219512195121955"/>
    <x v="5"/>
    <n v="0"/>
    <n v="0"/>
    <s v="None"/>
    <n v="33"/>
    <n v="5973"/>
    <n v="22883"/>
    <n v="5350"/>
    <n v="5350"/>
    <x v="846"/>
    <n v="9750"/>
  </r>
  <r>
    <s v="PR-0826"/>
    <d v="2026-06-15T00:00:00"/>
    <x v="3"/>
    <x v="3"/>
    <s v="Monday"/>
    <x v="2"/>
    <x v="3"/>
    <x v="3"/>
    <s v="Toothpaste"/>
    <x v="7"/>
    <s v="Sensitive Toothpaste 100g"/>
    <s v="B260615-L1C"/>
    <s v="M. Khan"/>
    <x v="1"/>
    <x v="3"/>
    <x v="4"/>
    <n v="6990"/>
    <n v="6530"/>
    <n v="153"/>
    <n v="2.3430321592649312E-2"/>
    <n v="0.93419170243204575"/>
    <x v="3"/>
    <n v="0"/>
    <n v="0"/>
    <s v="None"/>
    <n v="42"/>
    <n v="6426"/>
    <n v="23254"/>
    <n v="6660"/>
    <n v="6660"/>
    <x v="847"/>
    <n v="12000"/>
  </r>
  <r>
    <s v="PR-0383"/>
    <d v="2026-05-06T00:00:00"/>
    <x v="4"/>
    <x v="4"/>
    <s v="Wednesday"/>
    <x v="0"/>
    <x v="0"/>
    <x v="0"/>
    <s v="Mouthwash"/>
    <x v="1"/>
    <s v="Alcohol-Free Mouthwash 250ml"/>
    <s v="B260506-L2A"/>
    <s v="R. Sharma"/>
    <x v="2"/>
    <x v="0"/>
    <x v="2"/>
    <n v="6240"/>
    <n v="5800"/>
    <n v="113"/>
    <n v="1.9482758620689655E-2"/>
    <n v="0.92948717948717952"/>
    <x v="0"/>
    <n v="0"/>
    <n v="0"/>
    <s v="None"/>
    <n v="58"/>
    <n v="6554"/>
    <n v="23150"/>
    <n v="5850"/>
    <n v="5850"/>
    <x v="848"/>
    <n v="9000"/>
  </r>
  <r>
    <s v="PR-0334"/>
    <d v="2026-05-01T00:00:00"/>
    <x v="4"/>
    <x v="4"/>
    <s v="Friday"/>
    <x v="1"/>
    <x v="0"/>
    <x v="0"/>
    <s v="Mouthwash"/>
    <x v="1"/>
    <s v="Alcohol-Free Mouthwash 250ml"/>
    <s v="B260501-L2B"/>
    <s v="P. Singh"/>
    <x v="2"/>
    <x v="0"/>
    <x v="2"/>
    <n v="6130"/>
    <n v="5700"/>
    <n v="213"/>
    <n v="3.7368421052631579E-2"/>
    <n v="0.92985318107667214"/>
    <x v="0"/>
    <n v="0"/>
    <n v="0"/>
    <s v="None"/>
    <n v="58"/>
    <n v="12354"/>
    <n v="23062"/>
    <n v="5560"/>
    <n v="5560"/>
    <x v="849"/>
    <n v="9000"/>
  </r>
  <r>
    <s v="PR-0558"/>
    <d v="2026-05-22T00:00:00"/>
    <x v="4"/>
    <x v="4"/>
    <s v="Friday"/>
    <x v="0"/>
    <x v="3"/>
    <x v="3"/>
    <s v="Toothpaste"/>
    <x v="7"/>
    <s v="Sensitive Toothpaste 100g"/>
    <s v="B260522-L1A"/>
    <s v="K. Verma"/>
    <x v="2"/>
    <x v="3"/>
    <x v="2"/>
    <n v="7790"/>
    <n v="7410"/>
    <n v="207"/>
    <n v="2.7935222672064778E-2"/>
    <n v="0.95121951219512191"/>
    <x v="0"/>
    <n v="71"/>
    <n v="1.1833333333333333"/>
    <s v="Changeover"/>
    <n v="42"/>
    <n v="8694"/>
    <n v="22857"/>
    <n v="7070"/>
    <n v="7070"/>
    <x v="850"/>
    <n v="12000"/>
  </r>
  <r>
    <s v="PR-0391"/>
    <d v="2026-05-06T00:00:00"/>
    <x v="4"/>
    <x v="4"/>
    <s v="Wednesday"/>
    <x v="2"/>
    <x v="0"/>
    <x v="0"/>
    <s v="Mouthwash"/>
    <x v="1"/>
    <s v="Alcohol-Free Mouthwash 250ml"/>
    <s v="B260506-L2C"/>
    <s v="M. Khan"/>
    <x v="2"/>
    <x v="0"/>
    <x v="3"/>
    <n v="5920"/>
    <n v="5180"/>
    <n v="116"/>
    <n v="2.2393822393822392E-2"/>
    <n v="0.875"/>
    <x v="2"/>
    <n v="53"/>
    <n v="0.8833333333333333"/>
    <s v="Cleaning / Sanitation"/>
    <n v="58"/>
    <n v="6728"/>
    <n v="23502"/>
    <n v="5560"/>
    <n v="5560"/>
    <x v="851"/>
    <n v="9000"/>
  </r>
  <r>
    <s v="PR-0412"/>
    <d v="2026-05-08T00:00:00"/>
    <x v="4"/>
    <x v="4"/>
    <s v="Friday"/>
    <x v="1"/>
    <x v="2"/>
    <x v="2"/>
    <s v="Dental Floss"/>
    <x v="6"/>
    <s v="Floss Picks (100 pcs)"/>
    <s v="B260508-L3B"/>
    <s v="S. Yadav"/>
    <x v="1"/>
    <x v="2"/>
    <x v="10"/>
    <n v="6560"/>
    <n v="6350"/>
    <n v="90"/>
    <n v="1.4173228346456693E-2"/>
    <n v="0.96798780487804881"/>
    <x v="2"/>
    <n v="0"/>
    <n v="0"/>
    <s v="None"/>
    <n v="33"/>
    <n v="2970"/>
    <n v="22751"/>
    <n v="5990"/>
    <n v="5990"/>
    <x v="852"/>
    <n v="9750"/>
  </r>
  <r>
    <s v="PR-1062"/>
    <d v="2026-07-07T00:00:00"/>
    <x v="2"/>
    <x v="2"/>
    <s v="Tuesday"/>
    <x v="0"/>
    <x v="0"/>
    <x v="0"/>
    <s v="Mouthwash"/>
    <x v="1"/>
    <s v="Alcohol-Free Mouthwash 250ml"/>
    <s v="B260707-L2A"/>
    <s v="K. Verma"/>
    <x v="1"/>
    <x v="0"/>
    <x v="1"/>
    <n v="6050"/>
    <n v="5760"/>
    <n v="104"/>
    <n v="1.8055555555555554E-2"/>
    <n v="0.95206611570247934"/>
    <x v="2"/>
    <n v="0"/>
    <n v="0"/>
    <s v="None"/>
    <n v="58"/>
    <n v="6032"/>
    <n v="23127"/>
    <n v="5740"/>
    <n v="5740"/>
    <x v="853"/>
    <n v="9000"/>
  </r>
  <r>
    <s v="PR-0318"/>
    <d v="2026-04-30T00:00:00"/>
    <x v="5"/>
    <x v="5"/>
    <s v="Thursday"/>
    <x v="0"/>
    <x v="0"/>
    <x v="0"/>
    <s v="Mouthwash"/>
    <x v="1"/>
    <s v="Alcohol-Free Mouthwash 250ml"/>
    <s v="B260430-L2A"/>
    <s v="R. Sharma"/>
    <x v="1"/>
    <x v="0"/>
    <x v="0"/>
    <n v="5830"/>
    <n v="5680"/>
    <n v="25"/>
    <n v="4.4014084507042256E-3"/>
    <n v="0.97427101200686106"/>
    <x v="5"/>
    <n v="0"/>
    <n v="0"/>
    <s v="None"/>
    <n v="58"/>
    <n v="1450"/>
    <n v="21937"/>
    <n v="4530"/>
    <n v="4530"/>
    <x v="854"/>
    <n v="9000"/>
  </r>
  <r>
    <s v="PR-0380"/>
    <d v="2026-05-05T00:00:00"/>
    <x v="4"/>
    <x v="4"/>
    <s v="Tuesday"/>
    <x v="2"/>
    <x v="2"/>
    <x v="2"/>
    <s v="Dental Floss"/>
    <x v="6"/>
    <s v="Floss Picks (100 pcs)"/>
    <s v="B260505-L3C"/>
    <s v="A. Gupta"/>
    <x v="2"/>
    <x v="2"/>
    <x v="9"/>
    <n v="6500"/>
    <n v="5800"/>
    <n v="129"/>
    <n v="2.2241379310344828E-2"/>
    <n v="0.89230769230769236"/>
    <x v="2"/>
    <n v="0"/>
    <n v="0"/>
    <s v="None"/>
    <n v="33"/>
    <n v="4257"/>
    <n v="23353"/>
    <n v="5950"/>
    <n v="5950"/>
    <x v="855"/>
    <n v="9750"/>
  </r>
  <r>
    <s v="PR-0407"/>
    <d v="2026-05-08T00:00:00"/>
    <x v="4"/>
    <x v="4"/>
    <s v="Friday"/>
    <x v="0"/>
    <x v="0"/>
    <x v="0"/>
    <s v="Mouthwash"/>
    <x v="1"/>
    <s v="Alcohol-Free Mouthwash 250ml"/>
    <s v="B260508-L2A"/>
    <s v="R. Sharma"/>
    <x v="1"/>
    <x v="0"/>
    <x v="0"/>
    <n v="6470"/>
    <n v="5920"/>
    <n v="202"/>
    <n v="3.412162162162162E-2"/>
    <n v="0.91499227202472955"/>
    <x v="2"/>
    <n v="0"/>
    <n v="0"/>
    <s v="None"/>
    <n v="58"/>
    <n v="11716"/>
    <n v="23006"/>
    <n v="5650"/>
    <n v="5650"/>
    <x v="855"/>
    <n v="9000"/>
  </r>
  <r>
    <s v="PR-1475"/>
    <d v="2026-08-13T00:00:00"/>
    <x v="1"/>
    <x v="1"/>
    <s v="Thursday"/>
    <x v="1"/>
    <x v="3"/>
    <x v="3"/>
    <s v="Toothpaste"/>
    <x v="5"/>
    <s v="Charcoal Toothpaste 150g"/>
    <s v="B260813-L1B"/>
    <s v="S. Yadav"/>
    <x v="2"/>
    <x v="3"/>
    <x v="3"/>
    <n v="5580"/>
    <n v="5190"/>
    <n v="151"/>
    <n v="2.9094412331406552E-2"/>
    <n v="0.93010752688172038"/>
    <x v="0"/>
    <n v="0"/>
    <n v="0"/>
    <s v="None"/>
    <n v="51"/>
    <n v="7701"/>
    <n v="23442"/>
    <n v="5390"/>
    <n v="5390"/>
    <x v="856"/>
    <n v="9000"/>
  </r>
  <r>
    <s v="PR-1483"/>
    <d v="2026-08-14T00:00:00"/>
    <x v="1"/>
    <x v="1"/>
    <s v="Friday"/>
    <x v="0"/>
    <x v="3"/>
    <x v="3"/>
    <s v="Toothpaste"/>
    <x v="5"/>
    <s v="Charcoal Toothpaste 150g"/>
    <s v="B260814-L1A"/>
    <s v="R. Sharma"/>
    <x v="1"/>
    <x v="3"/>
    <x v="2"/>
    <n v="6010"/>
    <n v="5750"/>
    <n v="158"/>
    <n v="2.7478260869565216E-2"/>
    <n v="0.95673876871880204"/>
    <x v="4"/>
    <n v="0"/>
    <n v="0"/>
    <s v="None"/>
    <n v="51"/>
    <n v="8058"/>
    <n v="23091"/>
    <n v="5590"/>
    <n v="5590"/>
    <x v="857"/>
    <n v="9000"/>
  </r>
  <r>
    <s v="PR-0094"/>
    <d v="2026-04-09T00:00:00"/>
    <x v="5"/>
    <x v="5"/>
    <s v="Thursday"/>
    <x v="1"/>
    <x v="3"/>
    <x v="3"/>
    <s v="Toothpaste"/>
    <x v="8"/>
    <s v="Whitening Toothpaste 100g"/>
    <s v="B260409-L1B"/>
    <s v="P. Singh"/>
    <x v="1"/>
    <x v="3"/>
    <x v="3"/>
    <n v="9130"/>
    <n v="8040"/>
    <n v="217"/>
    <n v="2.6990049751243781E-2"/>
    <n v="0.88061336254107336"/>
    <x v="2"/>
    <n v="0"/>
    <n v="0"/>
    <s v="None"/>
    <n v="38"/>
    <n v="8246"/>
    <n v="24311"/>
    <n v="9040"/>
    <n v="9040"/>
    <x v="858"/>
    <n v="13500"/>
  </r>
  <r>
    <s v="PR-0719"/>
    <d v="2026-06-05T00:00:00"/>
    <x v="3"/>
    <x v="3"/>
    <s v="Friday"/>
    <x v="2"/>
    <x v="3"/>
    <x v="3"/>
    <s v="Toothpaste"/>
    <x v="7"/>
    <s v="Sensitive Toothpaste 100g"/>
    <s v="B260605-L1C"/>
    <s v="M. Khan"/>
    <x v="2"/>
    <x v="3"/>
    <x v="2"/>
    <n v="7560"/>
    <n v="6800"/>
    <n v="115"/>
    <n v="1.6911764705882352E-2"/>
    <n v="0.89947089947089942"/>
    <x v="0"/>
    <n v="0"/>
    <n v="0"/>
    <s v="None"/>
    <n v="42"/>
    <n v="4830"/>
    <n v="23419"/>
    <n v="7010"/>
    <n v="7010"/>
    <x v="858"/>
    <n v="12000"/>
  </r>
  <r>
    <s v="PR-1537"/>
    <d v="2026-08-19T00:00:00"/>
    <x v="1"/>
    <x v="1"/>
    <s v="Wednesday"/>
    <x v="1"/>
    <x v="3"/>
    <x v="3"/>
    <s v="Toothpaste"/>
    <x v="5"/>
    <s v="Charcoal Toothpaste 150g"/>
    <s v="B260819-L1B"/>
    <s v="S. Yadav"/>
    <x v="1"/>
    <x v="3"/>
    <x v="4"/>
    <n v="6080"/>
    <n v="5580"/>
    <n v="202"/>
    <n v="3.6200716845878139E-2"/>
    <n v="0.91776315789473684"/>
    <x v="5"/>
    <n v="0"/>
    <n v="0"/>
    <s v="None"/>
    <n v="51"/>
    <n v="10302"/>
    <n v="22643"/>
    <n v="4920"/>
    <n v="4920"/>
    <x v="859"/>
    <n v="9000"/>
  </r>
  <r>
    <s v="PR-0897"/>
    <d v="2026-06-22T00:00:00"/>
    <x v="3"/>
    <x v="3"/>
    <s v="Monday"/>
    <x v="0"/>
    <x v="0"/>
    <x v="0"/>
    <s v="Mouthwash"/>
    <x v="1"/>
    <s v="Alcohol-Free Mouthwash 250ml"/>
    <s v="B260622-L2A"/>
    <s v="K. Verma"/>
    <x v="2"/>
    <x v="0"/>
    <x v="0"/>
    <n v="5840"/>
    <n v="5560"/>
    <n v="139"/>
    <n v="2.5000000000000001E-2"/>
    <n v="0.95205479452054798"/>
    <x v="3"/>
    <n v="0"/>
    <n v="0"/>
    <s v="None"/>
    <n v="58"/>
    <n v="8062"/>
    <n v="22332"/>
    <n v="4630"/>
    <n v="4630"/>
    <x v="860"/>
    <n v="9000"/>
  </r>
  <r>
    <s v="PR-1038"/>
    <d v="2026-07-04T00:00:00"/>
    <x v="2"/>
    <x v="2"/>
    <s v="Saturday"/>
    <x v="1"/>
    <x v="0"/>
    <x v="0"/>
    <s v="Mouthwash"/>
    <x v="1"/>
    <s v="Alcohol-Free Mouthwash 250ml"/>
    <s v="B260704-L2B"/>
    <s v="S. Yadav"/>
    <x v="2"/>
    <x v="0"/>
    <x v="0"/>
    <n v="5670"/>
    <n v="5390"/>
    <n v="164"/>
    <n v="3.0426716141001856E-2"/>
    <n v="0.95061728395061729"/>
    <x v="5"/>
    <n v="38"/>
    <n v="0.6333333333333333"/>
    <s v="Machine Breakdown"/>
    <n v="58"/>
    <n v="9512"/>
    <n v="23501"/>
    <n v="5600"/>
    <n v="5600"/>
    <x v="861"/>
    <n v="9000"/>
  </r>
  <r>
    <s v="PR-0325"/>
    <d v="2026-04-30T00:00:00"/>
    <x v="5"/>
    <x v="5"/>
    <s v="Thursday"/>
    <x v="2"/>
    <x v="3"/>
    <x v="3"/>
    <s v="Toothpaste"/>
    <x v="7"/>
    <s v="Sensitive Toothpaste 100g"/>
    <s v="B260430-L1C"/>
    <s v="A. Gupta"/>
    <x v="1"/>
    <x v="3"/>
    <x v="5"/>
    <n v="7560"/>
    <n v="6570"/>
    <n v="150"/>
    <n v="2.2831050228310501E-2"/>
    <n v="0.86904761904761907"/>
    <x v="2"/>
    <n v="0"/>
    <n v="0"/>
    <s v="None"/>
    <n v="42"/>
    <n v="6300"/>
    <n v="24226"/>
    <n v="7510"/>
    <n v="7510"/>
    <x v="862"/>
    <n v="12000"/>
  </r>
  <r>
    <s v="PR-0346"/>
    <d v="2026-05-02T00:00:00"/>
    <x v="4"/>
    <x v="4"/>
    <s v="Saturday"/>
    <x v="1"/>
    <x v="0"/>
    <x v="0"/>
    <s v="Mouthwash"/>
    <x v="1"/>
    <s v="Alcohol-Free Mouthwash 250ml"/>
    <s v="B260502-L2B"/>
    <s v="S. Yadav"/>
    <x v="2"/>
    <x v="0"/>
    <x v="2"/>
    <n v="6060"/>
    <n v="5340"/>
    <n v="159"/>
    <n v="2.9775280898876405E-2"/>
    <n v="0.88118811881188119"/>
    <x v="4"/>
    <n v="72"/>
    <n v="1.2"/>
    <s v="Cleaning / Sanitation"/>
    <n v="58"/>
    <n v="9222"/>
    <n v="22989"/>
    <n v="5020"/>
    <n v="5020"/>
    <x v="863"/>
    <n v="9000"/>
  </r>
  <r>
    <s v="PR-0102"/>
    <d v="2026-04-10T00:00:00"/>
    <x v="5"/>
    <x v="5"/>
    <s v="Friday"/>
    <x v="0"/>
    <x v="3"/>
    <x v="3"/>
    <s v="Toothpaste"/>
    <x v="8"/>
    <s v="Whitening Toothpaste 100g"/>
    <s v="B260410-L1A"/>
    <s v="R. Sharma"/>
    <x v="2"/>
    <x v="3"/>
    <x v="2"/>
    <n v="9430"/>
    <n v="9290"/>
    <n v="229"/>
    <n v="2.465016146393972E-2"/>
    <n v="0.98515376458112403"/>
    <x v="4"/>
    <n v="0"/>
    <n v="0"/>
    <s v="None"/>
    <n v="38"/>
    <n v="8702"/>
    <n v="23094"/>
    <n v="8980"/>
    <n v="8980"/>
    <x v="864"/>
    <n v="13500"/>
  </r>
  <r>
    <s v="PR-1002"/>
    <d v="2026-07-01T00:00:00"/>
    <x v="2"/>
    <x v="2"/>
    <s v="Wednesday"/>
    <x v="1"/>
    <x v="0"/>
    <x v="0"/>
    <s v="Mouthwash"/>
    <x v="1"/>
    <s v="Alcohol-Free Mouthwash 250ml"/>
    <s v="B260701-L2B"/>
    <s v="P. Singh"/>
    <x v="1"/>
    <x v="0"/>
    <x v="0"/>
    <n v="6340"/>
    <n v="5970"/>
    <n v="149"/>
    <n v="2.4958123953098828E-2"/>
    <n v="0.94164037854889593"/>
    <x v="2"/>
    <n v="0"/>
    <n v="0"/>
    <s v="None"/>
    <n v="58"/>
    <n v="8642"/>
    <n v="23875"/>
    <n v="6510"/>
    <n v="6510"/>
    <x v="865"/>
    <n v="9000"/>
  </r>
  <r>
    <s v="PR-1549"/>
    <d v="2026-08-20T00:00:00"/>
    <x v="1"/>
    <x v="1"/>
    <s v="Thursday"/>
    <x v="1"/>
    <x v="3"/>
    <x v="3"/>
    <s v="Toothpaste"/>
    <x v="5"/>
    <s v="Charcoal Toothpaste 150g"/>
    <s v="B260820-L1B"/>
    <s v="S. Yadav"/>
    <x v="1"/>
    <x v="3"/>
    <x v="2"/>
    <n v="5670"/>
    <n v="5780"/>
    <n v="150"/>
    <n v="2.5951557093425604E-2"/>
    <n v="1.0194003527336861"/>
    <x v="3"/>
    <n v="0"/>
    <n v="0"/>
    <s v="None"/>
    <n v="51"/>
    <n v="7650"/>
    <n v="22880"/>
    <n v="5290"/>
    <n v="5290"/>
    <x v="866"/>
    <n v="9000"/>
  </r>
  <r>
    <s v="PR-0146"/>
    <d v="2026-04-14T00:00:00"/>
    <x v="5"/>
    <x v="5"/>
    <s v="Tuesday"/>
    <x v="1"/>
    <x v="3"/>
    <x v="3"/>
    <s v="Toothpaste"/>
    <x v="8"/>
    <s v="Whitening Toothpaste 100g"/>
    <s v="B260414-L1B"/>
    <s v="P. Singh"/>
    <x v="2"/>
    <x v="3"/>
    <x v="3"/>
    <n v="9410"/>
    <n v="9430"/>
    <n v="269"/>
    <n v="2.8525980911983034E-2"/>
    <n v="1.0021253985122209"/>
    <x v="3"/>
    <n v="0"/>
    <n v="0"/>
    <s v="None"/>
    <n v="38"/>
    <n v="10222"/>
    <n v="22566"/>
    <n v="8500"/>
    <n v="8500"/>
    <x v="867"/>
    <n v="13500"/>
  </r>
  <r>
    <s v="PR-0442"/>
    <d v="2026-05-11T00:00:00"/>
    <x v="4"/>
    <x v="4"/>
    <s v="Monday"/>
    <x v="2"/>
    <x v="3"/>
    <x v="3"/>
    <s v="Toothpaste"/>
    <x v="7"/>
    <s v="Sensitive Toothpaste 100g"/>
    <s v="B260511-L1C"/>
    <s v="M. Khan"/>
    <x v="1"/>
    <x v="3"/>
    <x v="4"/>
    <n v="7690"/>
    <n v="6680"/>
    <n v="180"/>
    <n v="2.6946107784431138E-2"/>
    <n v="0.86866059817945385"/>
    <x v="5"/>
    <n v="21"/>
    <n v="0.35"/>
    <s v="Material Shortage"/>
    <n v="42"/>
    <n v="7560"/>
    <n v="23506"/>
    <n v="6760"/>
    <n v="6760"/>
    <x v="868"/>
    <n v="12000"/>
  </r>
  <r>
    <s v="PR-0780"/>
    <d v="2026-06-11T00:00:00"/>
    <x v="3"/>
    <x v="3"/>
    <s v="Thursday"/>
    <x v="1"/>
    <x v="3"/>
    <x v="3"/>
    <s v="Toothpaste"/>
    <x v="7"/>
    <s v="Sensitive Toothpaste 100g"/>
    <s v="B260611-L1B"/>
    <s v="P. Singh"/>
    <x v="2"/>
    <x v="3"/>
    <x v="4"/>
    <n v="8010"/>
    <n v="7390"/>
    <n v="285"/>
    <n v="3.8565629228687413E-2"/>
    <n v="0.92259675405742825"/>
    <x v="3"/>
    <n v="0"/>
    <n v="0"/>
    <s v="None"/>
    <n v="42"/>
    <n v="11970"/>
    <n v="23479"/>
    <n v="7330"/>
    <n v="7330"/>
    <x v="869"/>
    <n v="12000"/>
  </r>
  <r>
    <s v="PR-0476"/>
    <d v="2026-05-14T00:00:00"/>
    <x v="4"/>
    <x v="4"/>
    <s v="Thursday"/>
    <x v="1"/>
    <x v="2"/>
    <x v="2"/>
    <s v="Dental Floss"/>
    <x v="6"/>
    <s v="Floss Picks (100 pcs)"/>
    <s v="B260514-L3B"/>
    <s v="S. Yadav"/>
    <x v="1"/>
    <x v="2"/>
    <x v="8"/>
    <n v="6400"/>
    <n v="5890"/>
    <n v="108"/>
    <n v="1.833616298811545E-2"/>
    <n v="0.92031249999999998"/>
    <x v="3"/>
    <n v="0"/>
    <n v="0"/>
    <s v="None"/>
    <n v="33"/>
    <n v="3564"/>
    <n v="23330"/>
    <n v="5850"/>
    <n v="5850"/>
    <x v="870"/>
    <n v="9750"/>
  </r>
  <r>
    <s v="PR-0114"/>
    <d v="2026-04-11T00:00:00"/>
    <x v="5"/>
    <x v="5"/>
    <s v="Saturday"/>
    <x v="0"/>
    <x v="3"/>
    <x v="3"/>
    <s v="Toothpaste"/>
    <x v="7"/>
    <s v="Sensitive Toothpaste 100g"/>
    <s v="B260411-L1A"/>
    <s v="R. Sharma"/>
    <x v="1"/>
    <x v="3"/>
    <x v="2"/>
    <n v="7790"/>
    <n v="7730"/>
    <n v="101"/>
    <n v="1.3065976714100905E-2"/>
    <n v="0.99229781771501924"/>
    <x v="0"/>
    <n v="0"/>
    <n v="0"/>
    <s v="None"/>
    <n v="42"/>
    <n v="4242"/>
    <n v="22696"/>
    <n v="7060"/>
    <n v="7060"/>
    <x v="871"/>
    <n v="12000"/>
  </r>
  <r>
    <s v="PR-0263"/>
    <d v="2026-04-24T00:00:00"/>
    <x v="5"/>
    <x v="5"/>
    <s v="Friday"/>
    <x v="2"/>
    <x v="3"/>
    <x v="3"/>
    <s v="Toothpaste"/>
    <x v="7"/>
    <s v="Sensitive Toothpaste 100g"/>
    <s v="B260424-L1C"/>
    <s v="A. Gupta"/>
    <x v="2"/>
    <x v="3"/>
    <x v="5"/>
    <n v="7450"/>
    <n v="6400"/>
    <n v="105"/>
    <n v="1.6406250000000001E-2"/>
    <n v="0.85906040268456374"/>
    <x v="5"/>
    <n v="0"/>
    <n v="0"/>
    <s v="None"/>
    <n v="42"/>
    <n v="4410"/>
    <n v="23754"/>
    <n v="6760"/>
    <n v="6760"/>
    <x v="872"/>
    <n v="12000"/>
  </r>
  <r>
    <s v="PR-0901"/>
    <d v="2026-06-22T00:00:00"/>
    <x v="3"/>
    <x v="3"/>
    <s v="Monday"/>
    <x v="1"/>
    <x v="0"/>
    <x v="0"/>
    <s v="Mouthwash"/>
    <x v="1"/>
    <s v="Alcohol-Free Mouthwash 250ml"/>
    <s v="B260622-L2B"/>
    <s v="P. Singh"/>
    <x v="1"/>
    <x v="0"/>
    <x v="1"/>
    <n v="6220"/>
    <n v="5920"/>
    <n v="74"/>
    <n v="1.2500000000000001E-2"/>
    <n v="0.95176848874598075"/>
    <x v="3"/>
    <n v="0"/>
    <n v="0"/>
    <s v="None"/>
    <n v="58"/>
    <n v="4292"/>
    <n v="23123"/>
    <n v="5680"/>
    <n v="5680"/>
    <x v="872"/>
    <n v="9000"/>
  </r>
  <r>
    <s v="PR-0834"/>
    <d v="2026-06-16T00:00:00"/>
    <x v="3"/>
    <x v="3"/>
    <s v="Tuesday"/>
    <x v="1"/>
    <x v="3"/>
    <x v="3"/>
    <s v="Toothpaste"/>
    <x v="7"/>
    <s v="Sensitive Toothpaste 100g"/>
    <s v="B260616-L1B"/>
    <s v="P. Singh"/>
    <x v="1"/>
    <x v="3"/>
    <x v="2"/>
    <n v="7610"/>
    <n v="7180"/>
    <n v="172"/>
    <n v="2.3955431754874652E-2"/>
    <n v="0.9434954007884363"/>
    <x v="0"/>
    <n v="0"/>
    <n v="0"/>
    <s v="None"/>
    <n v="42"/>
    <n v="7224"/>
    <n v="22971"/>
    <n v="6680"/>
    <n v="6680"/>
    <x v="873"/>
    <n v="12000"/>
  </r>
  <r>
    <s v="PR-0917"/>
    <d v="2026-06-23T00:00:00"/>
    <x v="3"/>
    <x v="3"/>
    <s v="Tuesday"/>
    <x v="2"/>
    <x v="0"/>
    <x v="0"/>
    <s v="Mouthwash"/>
    <x v="1"/>
    <s v="Alcohol-Free Mouthwash 250ml"/>
    <s v="B260623-L2C"/>
    <s v="A. Gupta"/>
    <x v="2"/>
    <x v="0"/>
    <x v="1"/>
    <n v="6160"/>
    <n v="5860"/>
    <n v="153"/>
    <n v="2.6109215017064848E-2"/>
    <n v="0.95129870129870131"/>
    <x v="5"/>
    <n v="0"/>
    <n v="0"/>
    <s v="None"/>
    <n v="58"/>
    <n v="8874"/>
    <n v="23289"/>
    <n v="5690"/>
    <n v="5690"/>
    <x v="874"/>
    <n v="9000"/>
  </r>
  <r>
    <s v="PR-0431"/>
    <d v="2026-05-10T00:00:00"/>
    <x v="4"/>
    <x v="4"/>
    <s v="Sunday"/>
    <x v="1"/>
    <x v="3"/>
    <x v="3"/>
    <s v="Toothpaste"/>
    <x v="7"/>
    <s v="Sensitive Toothpaste 100g"/>
    <s v="B260510-L1B"/>
    <s v="S. Yadav"/>
    <x v="2"/>
    <x v="3"/>
    <x v="4"/>
    <n v="5790"/>
    <n v="5280"/>
    <n v="143"/>
    <n v="2.7083333333333334E-2"/>
    <n v="0.91191709844559588"/>
    <x v="5"/>
    <n v="51"/>
    <n v="0.85"/>
    <s v="Material Shortage"/>
    <n v="42"/>
    <n v="6006"/>
    <n v="23411"/>
    <n v="5240"/>
    <n v="5240"/>
    <x v="875"/>
    <n v="12000"/>
  </r>
  <r>
    <s v="PR-1014"/>
    <d v="2026-07-02T00:00:00"/>
    <x v="2"/>
    <x v="2"/>
    <s v="Thursday"/>
    <x v="1"/>
    <x v="0"/>
    <x v="0"/>
    <s v="Mouthwash"/>
    <x v="1"/>
    <s v="Alcohol-Free Mouthwash 250ml"/>
    <s v="B260702-L2B"/>
    <s v="P. Singh"/>
    <x v="1"/>
    <x v="0"/>
    <x v="0"/>
    <n v="5880"/>
    <n v="5780"/>
    <n v="123"/>
    <n v="2.1280276816608996E-2"/>
    <n v="0.98299319727891155"/>
    <x v="3"/>
    <n v="0"/>
    <n v="0"/>
    <s v="None"/>
    <n v="58"/>
    <n v="7134"/>
    <n v="23186"/>
    <n v="5520"/>
    <n v="5520"/>
    <x v="876"/>
    <n v="9000"/>
  </r>
  <r>
    <s v="PR-0444"/>
    <d v="2026-05-11T00:00:00"/>
    <x v="4"/>
    <x v="4"/>
    <s v="Monday"/>
    <x v="2"/>
    <x v="2"/>
    <x v="2"/>
    <s v="Dental Floss"/>
    <x v="6"/>
    <s v="Floss Picks (100 pcs)"/>
    <s v="B260511-L3C"/>
    <s v="A. Gupta"/>
    <x v="1"/>
    <x v="2"/>
    <x v="10"/>
    <n v="5710"/>
    <n v="5510"/>
    <n v="142"/>
    <n v="2.5771324863883848E-2"/>
    <n v="0.96497373029772326"/>
    <x v="5"/>
    <n v="28"/>
    <n v="0.46666666666666667"/>
    <s v="Changeover"/>
    <n v="33"/>
    <n v="4686"/>
    <n v="22962"/>
    <n v="5000"/>
    <n v="5000"/>
    <x v="877"/>
    <n v="9750"/>
  </r>
  <r>
    <s v="PR-0072"/>
    <d v="2026-04-07T00:00:00"/>
    <x v="5"/>
    <x v="5"/>
    <s v="Tuesday"/>
    <x v="1"/>
    <x v="2"/>
    <x v="2"/>
    <s v="Dental Floss"/>
    <x v="9"/>
    <s v="Waxed Floss 50m"/>
    <s v="B260407-L3B"/>
    <s v="P. Singh"/>
    <x v="2"/>
    <x v="2"/>
    <x v="10"/>
    <n v="7890"/>
    <n v="7790"/>
    <n v="184"/>
    <n v="2.3620025673940951E-2"/>
    <n v="0.98732572877059566"/>
    <x v="5"/>
    <n v="0"/>
    <n v="0"/>
    <s v="None"/>
    <n v="24"/>
    <n v="4416"/>
    <n v="23916"/>
    <n v="8190"/>
    <n v="8190"/>
    <x v="878"/>
    <n v="12000"/>
  </r>
  <r>
    <s v="PR-0507"/>
    <d v="2026-05-17T00:00:00"/>
    <x v="4"/>
    <x v="4"/>
    <s v="Sunday"/>
    <x v="0"/>
    <x v="2"/>
    <x v="2"/>
    <s v="Dental Floss"/>
    <x v="6"/>
    <s v="Floss Picks (100 pcs)"/>
    <s v="B260517-L3A"/>
    <s v="K. Verma"/>
    <x v="2"/>
    <x v="2"/>
    <x v="8"/>
    <n v="4860"/>
    <n v="4240"/>
    <n v="91"/>
    <n v="2.1462264150943395E-2"/>
    <n v="0.87242798353909468"/>
    <x v="2"/>
    <n v="0"/>
    <n v="0"/>
    <s v="None"/>
    <n v="33"/>
    <n v="3003"/>
    <n v="23582"/>
    <n v="4390"/>
    <n v="4390"/>
    <x v="879"/>
    <n v="9750"/>
  </r>
  <r>
    <s v="PR-0854"/>
    <d v="2026-06-18T00:00:00"/>
    <x v="3"/>
    <x v="3"/>
    <s v="Thursday"/>
    <x v="0"/>
    <x v="3"/>
    <x v="3"/>
    <s v="Toothpaste"/>
    <x v="7"/>
    <s v="Sensitive Toothpaste 100g"/>
    <s v="B260618-L1A"/>
    <s v="R. Sharma"/>
    <x v="1"/>
    <x v="3"/>
    <x v="3"/>
    <n v="8610"/>
    <n v="8280"/>
    <n v="288"/>
    <n v="3.4782608695652174E-2"/>
    <n v="0.9616724738675958"/>
    <x v="2"/>
    <n v="37"/>
    <n v="0.6166666666666667"/>
    <s v="Changeover"/>
    <n v="42"/>
    <n v="12096"/>
    <n v="23299"/>
    <n v="7950"/>
    <n v="7950"/>
    <x v="879"/>
    <n v="12000"/>
  </r>
  <r>
    <s v="PR-0548"/>
    <d v="2026-05-21T00:00:00"/>
    <x v="4"/>
    <x v="4"/>
    <s v="Thursday"/>
    <x v="0"/>
    <x v="2"/>
    <x v="2"/>
    <s v="Dental Floss"/>
    <x v="6"/>
    <s v="Floss Picks (100 pcs)"/>
    <s v="B260521-L3A"/>
    <s v="K. Verma"/>
    <x v="1"/>
    <x v="2"/>
    <x v="10"/>
    <n v="6760"/>
    <n v="6760"/>
    <n v="156"/>
    <n v="2.3076923076923078E-2"/>
    <n v="1"/>
    <x v="4"/>
    <n v="20"/>
    <n v="0.33333333333333331"/>
    <s v="Cleaning / Sanitation"/>
    <n v="33"/>
    <n v="5148"/>
    <n v="23352"/>
    <n v="6610"/>
    <n v="6610"/>
    <x v="880"/>
    <n v="9750"/>
  </r>
  <r>
    <s v="PR-0540"/>
    <d v="2026-05-20T00:00:00"/>
    <x v="4"/>
    <x v="4"/>
    <s v="Wednesday"/>
    <x v="1"/>
    <x v="2"/>
    <x v="2"/>
    <s v="Dental Floss"/>
    <x v="6"/>
    <s v="Floss Picks (100 pcs)"/>
    <s v="B260520-L3B"/>
    <s v="P. Singh"/>
    <x v="1"/>
    <x v="2"/>
    <x v="9"/>
    <n v="6970"/>
    <n v="6330"/>
    <n v="25"/>
    <n v="3.9494470774091624E-3"/>
    <n v="0.90817790530846487"/>
    <x v="3"/>
    <n v="0"/>
    <n v="0"/>
    <s v="None"/>
    <n v="33"/>
    <n v="825"/>
    <n v="23567"/>
    <n v="6520"/>
    <n v="6520"/>
    <x v="881"/>
    <n v="9750"/>
  </r>
  <r>
    <s v="PR-0372"/>
    <d v="2026-05-05T00:00:00"/>
    <x v="4"/>
    <x v="4"/>
    <s v="Tuesday"/>
    <x v="0"/>
    <x v="2"/>
    <x v="2"/>
    <s v="Dental Floss"/>
    <x v="6"/>
    <s v="Floss Picks (100 pcs)"/>
    <s v="B260505-L3A"/>
    <s v="R. Sharma"/>
    <x v="1"/>
    <x v="2"/>
    <x v="10"/>
    <n v="6490"/>
    <n v="6300"/>
    <n v="204"/>
    <n v="3.2380952380952378E-2"/>
    <n v="0.97072419106317409"/>
    <x v="4"/>
    <n v="26"/>
    <n v="0.43333333333333335"/>
    <s v="Machine Breakdown"/>
    <n v="33"/>
    <n v="6732"/>
    <n v="22537"/>
    <n v="5280"/>
    <n v="5280"/>
    <x v="882"/>
    <n v="9750"/>
  </r>
  <r>
    <s v="PR-0921"/>
    <d v="2026-06-24T00:00:00"/>
    <x v="3"/>
    <x v="3"/>
    <s v="Wednesday"/>
    <x v="0"/>
    <x v="0"/>
    <x v="0"/>
    <s v="Mouthwash"/>
    <x v="1"/>
    <s v="Alcohol-Free Mouthwash 250ml"/>
    <s v="B260624-L2A"/>
    <s v="K. Verma"/>
    <x v="1"/>
    <x v="0"/>
    <x v="1"/>
    <n v="6010"/>
    <n v="5620"/>
    <n v="132"/>
    <n v="2.3487544483985764E-2"/>
    <n v="0.93510815307820294"/>
    <x v="0"/>
    <n v="28"/>
    <n v="0.46666666666666667"/>
    <s v="Material Shortage"/>
    <n v="58"/>
    <n v="7656"/>
    <n v="23306"/>
    <n v="5430"/>
    <n v="5430"/>
    <x v="883"/>
    <n v="9000"/>
  </r>
  <r>
    <s v="PR-0166"/>
    <d v="2026-04-16T00:00:00"/>
    <x v="5"/>
    <x v="5"/>
    <s v="Thursday"/>
    <x v="0"/>
    <x v="3"/>
    <x v="3"/>
    <s v="Toothpaste"/>
    <x v="8"/>
    <s v="Whitening Toothpaste 100g"/>
    <s v="B260416-L1A"/>
    <s v="K. Verma"/>
    <x v="1"/>
    <x v="3"/>
    <x v="2"/>
    <n v="9090"/>
    <n v="8780"/>
    <n v="190"/>
    <n v="2.164009111617312E-2"/>
    <n v="0.96589658965896585"/>
    <x v="0"/>
    <n v="0"/>
    <n v="0"/>
    <s v="None"/>
    <n v="38"/>
    <n v="7220"/>
    <n v="23493"/>
    <n v="8700"/>
    <n v="8700"/>
    <x v="884"/>
    <n v="13500"/>
  </r>
  <r>
    <s v="PR-0418"/>
    <d v="2026-05-09T00:00:00"/>
    <x v="4"/>
    <x v="4"/>
    <s v="Saturday"/>
    <x v="0"/>
    <x v="3"/>
    <x v="3"/>
    <s v="Toothpaste"/>
    <x v="7"/>
    <s v="Sensitive Toothpaste 100g"/>
    <s v="B260509-L1A"/>
    <s v="K. Verma"/>
    <x v="2"/>
    <x v="3"/>
    <x v="2"/>
    <n v="7770"/>
    <n v="7460"/>
    <n v="196"/>
    <n v="2.6273458445040216E-2"/>
    <n v="0.96010296010296015"/>
    <x v="2"/>
    <n v="0"/>
    <n v="0"/>
    <s v="None"/>
    <n v="42"/>
    <n v="8232"/>
    <n v="22947"/>
    <n v="6800"/>
    <n v="6800"/>
    <x v="885"/>
    <n v="12000"/>
  </r>
  <r>
    <s v="PR-0736"/>
    <d v="2026-06-07T00:00:00"/>
    <x v="3"/>
    <x v="3"/>
    <s v="Sunday"/>
    <x v="1"/>
    <x v="3"/>
    <x v="3"/>
    <s v="Toothpaste"/>
    <x v="7"/>
    <s v="Sensitive Toothpaste 100g"/>
    <s v="B260607-L1B"/>
    <s v="P. Singh"/>
    <x v="1"/>
    <x v="3"/>
    <x v="3"/>
    <n v="5540"/>
    <n v="5040"/>
    <n v="158"/>
    <n v="3.1349206349206349E-2"/>
    <n v="0.90974729241877261"/>
    <x v="5"/>
    <n v="64"/>
    <n v="1.0666666666666667"/>
    <s v="Material Shortage"/>
    <n v="42"/>
    <n v="6636"/>
    <n v="23094"/>
    <n v="4560"/>
    <n v="4560"/>
    <x v="886"/>
    <n v="12000"/>
  </r>
  <r>
    <s v="PR-0715"/>
    <d v="2026-06-05T00:00:00"/>
    <x v="3"/>
    <x v="3"/>
    <s v="Friday"/>
    <x v="1"/>
    <x v="3"/>
    <x v="3"/>
    <s v="Toothpaste"/>
    <x v="7"/>
    <s v="Sensitive Toothpaste 100g"/>
    <s v="B260605-L1B"/>
    <s v="S. Yadav"/>
    <x v="2"/>
    <x v="3"/>
    <x v="2"/>
    <n v="7660"/>
    <n v="7570"/>
    <n v="148"/>
    <n v="1.9550858652575959E-2"/>
    <n v="0.98825065274151436"/>
    <x v="4"/>
    <n v="17"/>
    <n v="0.28333333333333333"/>
    <s v="Power Interruption"/>
    <n v="42"/>
    <n v="6216"/>
    <n v="22487"/>
    <n v="6490"/>
    <n v="6490"/>
    <x v="887"/>
    <n v="12000"/>
  </r>
  <r>
    <s v="PR-1463"/>
    <d v="2026-08-12T00:00:00"/>
    <x v="1"/>
    <x v="1"/>
    <s v="Wednesday"/>
    <x v="1"/>
    <x v="3"/>
    <x v="3"/>
    <s v="Toothpaste"/>
    <x v="5"/>
    <s v="Charcoal Toothpaste 150g"/>
    <s v="B260812-L1B"/>
    <s v="P. Singh"/>
    <x v="2"/>
    <x v="3"/>
    <x v="5"/>
    <n v="5660"/>
    <n v="5220"/>
    <n v="120"/>
    <n v="2.2988505747126436E-2"/>
    <n v="0.92226148409893993"/>
    <x v="5"/>
    <n v="47"/>
    <n v="0.78333333333333333"/>
    <s v="Cleaning / Sanitation"/>
    <n v="51"/>
    <n v="6120"/>
    <n v="23622"/>
    <n v="5280"/>
    <n v="5280"/>
    <x v="888"/>
    <n v="9000"/>
  </r>
  <r>
    <s v="PR-0756"/>
    <d v="2026-06-09T00:00:00"/>
    <x v="3"/>
    <x v="3"/>
    <s v="Tuesday"/>
    <x v="1"/>
    <x v="3"/>
    <x v="3"/>
    <s v="Toothpaste"/>
    <x v="7"/>
    <s v="Sensitive Toothpaste 100g"/>
    <s v="B260609-L1B"/>
    <s v="P. Singh"/>
    <x v="2"/>
    <x v="3"/>
    <x v="2"/>
    <n v="7600"/>
    <n v="7160"/>
    <n v="189"/>
    <n v="2.6396648044692737E-2"/>
    <n v="0.94210526315789478"/>
    <x v="2"/>
    <n v="0"/>
    <n v="0"/>
    <s v="None"/>
    <n v="42"/>
    <n v="7938"/>
    <n v="23688"/>
    <n v="7180"/>
    <n v="7180"/>
    <x v="889"/>
    <n v="12000"/>
  </r>
  <r>
    <s v="PR-0062"/>
    <d v="2026-04-06T00:00:00"/>
    <x v="5"/>
    <x v="5"/>
    <s v="Monday"/>
    <x v="2"/>
    <x v="3"/>
    <x v="3"/>
    <s v="Toothpaste"/>
    <x v="7"/>
    <s v="Sensitive Toothpaste 100g"/>
    <s v="B260406-L1C"/>
    <s v="M. Khan"/>
    <x v="2"/>
    <x v="3"/>
    <x v="10"/>
    <n v="7990"/>
    <n v="6620"/>
    <n v="190"/>
    <n v="2.8700906344410877E-2"/>
    <n v="0.82853566958698377"/>
    <x v="0"/>
    <n v="0"/>
    <n v="0"/>
    <s v="None"/>
    <n v="42"/>
    <n v="7980"/>
    <n v="24422"/>
    <n v="7360"/>
    <n v="7360"/>
    <x v="890"/>
    <n v="12000"/>
  </r>
  <r>
    <s v="PR-0150"/>
    <d v="2026-04-14T00:00:00"/>
    <x v="5"/>
    <x v="5"/>
    <s v="Tuesday"/>
    <x v="2"/>
    <x v="3"/>
    <x v="3"/>
    <s v="Toothpaste"/>
    <x v="8"/>
    <s v="Whitening Toothpaste 100g"/>
    <s v="B260414-L1C"/>
    <s v="A. Gupta"/>
    <x v="1"/>
    <x v="3"/>
    <x v="4"/>
    <n v="8030"/>
    <n v="7350"/>
    <n v="94"/>
    <n v="1.2789115646258504E-2"/>
    <n v="0.91531755915317559"/>
    <x v="2"/>
    <n v="54"/>
    <n v="0.9"/>
    <s v="Changeover"/>
    <n v="38"/>
    <n v="3572"/>
    <n v="23227"/>
    <n v="6990"/>
    <n v="6990"/>
    <x v="891"/>
    <n v="13500"/>
  </r>
  <r>
    <s v="PR-1034"/>
    <d v="2026-07-04T00:00:00"/>
    <x v="2"/>
    <x v="2"/>
    <s v="Saturday"/>
    <x v="0"/>
    <x v="0"/>
    <x v="0"/>
    <s v="Mouthwash"/>
    <x v="1"/>
    <s v="Alcohol-Free Mouthwash 250ml"/>
    <s v="B260704-L2A"/>
    <s v="K. Verma"/>
    <x v="0"/>
    <x v="0"/>
    <x v="0"/>
    <n v="6140"/>
    <n v="6170"/>
    <n v="482"/>
    <n v="7.8119935170178276E-2"/>
    <n v="1.004885993485342"/>
    <x v="1"/>
    <n v="19"/>
    <n v="0.31666666666666665"/>
    <s v="Machine Breakdown"/>
    <n v="58"/>
    <n v="27956"/>
    <n v="23323"/>
    <n v="5510"/>
    <n v="5510"/>
    <x v="892"/>
    <n v="9000"/>
  </r>
  <r>
    <s v="PR-0387"/>
    <d v="2026-05-06T00:00:00"/>
    <x v="4"/>
    <x v="4"/>
    <s v="Wednesday"/>
    <x v="1"/>
    <x v="0"/>
    <x v="0"/>
    <s v="Mouthwash"/>
    <x v="1"/>
    <s v="Alcohol-Free Mouthwash 250ml"/>
    <s v="B260506-L2B"/>
    <s v="P. Singh"/>
    <x v="2"/>
    <x v="0"/>
    <x v="3"/>
    <n v="6180"/>
    <n v="5790"/>
    <n v="175"/>
    <n v="3.0224525043177894E-2"/>
    <n v="0.93689320388349517"/>
    <x v="2"/>
    <n v="0"/>
    <n v="0"/>
    <s v="None"/>
    <n v="58"/>
    <n v="10150"/>
    <n v="22987"/>
    <n v="5100"/>
    <n v="5100"/>
    <x v="893"/>
    <n v="9000"/>
  </r>
  <r>
    <s v="PR-0438"/>
    <d v="2026-05-11T00:00:00"/>
    <x v="4"/>
    <x v="4"/>
    <s v="Monday"/>
    <x v="1"/>
    <x v="3"/>
    <x v="3"/>
    <s v="Toothpaste"/>
    <x v="7"/>
    <s v="Sensitive Toothpaste 100g"/>
    <s v="B260511-L1B"/>
    <s v="P. Singh"/>
    <x v="1"/>
    <x v="3"/>
    <x v="3"/>
    <n v="8580"/>
    <n v="8020"/>
    <n v="190"/>
    <n v="2.369077306733167E-2"/>
    <n v="0.93473193473193472"/>
    <x v="0"/>
    <n v="0"/>
    <n v="0"/>
    <s v="None"/>
    <n v="42"/>
    <n v="7980"/>
    <n v="23566"/>
    <n v="7890"/>
    <n v="7890"/>
    <x v="894"/>
    <n v="12000"/>
  </r>
  <r>
    <s v="PR-0858"/>
    <d v="2026-06-18T00:00:00"/>
    <x v="3"/>
    <x v="3"/>
    <s v="Thursday"/>
    <x v="1"/>
    <x v="3"/>
    <x v="3"/>
    <s v="Toothpaste"/>
    <x v="7"/>
    <s v="Sensitive Toothpaste 100g"/>
    <s v="B260618-L1B"/>
    <s v="S. Yadav"/>
    <x v="2"/>
    <x v="3"/>
    <x v="2"/>
    <n v="8550"/>
    <n v="7910"/>
    <n v="196"/>
    <n v="2.4778761061946902E-2"/>
    <n v="0.92514619883040938"/>
    <x v="0"/>
    <n v="0"/>
    <n v="0"/>
    <s v="None"/>
    <n v="42"/>
    <n v="8232"/>
    <n v="23341"/>
    <n v="7540"/>
    <n v="7540"/>
    <x v="895"/>
    <n v="12000"/>
  </r>
  <r>
    <s v="PR-0289"/>
    <d v="2026-04-27T00:00:00"/>
    <x v="5"/>
    <x v="5"/>
    <s v="Monday"/>
    <x v="2"/>
    <x v="3"/>
    <x v="3"/>
    <s v="Toothpaste"/>
    <x v="7"/>
    <s v="Sensitive Toothpaste 100g"/>
    <s v="B260427-L1C"/>
    <s v="A. Gupta"/>
    <x v="1"/>
    <x v="3"/>
    <x v="3"/>
    <n v="7640"/>
    <n v="7370"/>
    <n v="98"/>
    <n v="1.3297150610583446E-2"/>
    <n v="0.96465968586387429"/>
    <x v="5"/>
    <n v="0"/>
    <n v="0"/>
    <s v="None"/>
    <n v="42"/>
    <n v="4116"/>
    <n v="23759"/>
    <n v="7490"/>
    <n v="7490"/>
    <x v="896"/>
    <n v="12000"/>
  </r>
  <r>
    <s v="PR-0434"/>
    <d v="2026-05-11T00:00:00"/>
    <x v="4"/>
    <x v="4"/>
    <s v="Monday"/>
    <x v="0"/>
    <x v="3"/>
    <x v="3"/>
    <s v="Toothpaste"/>
    <x v="7"/>
    <s v="Sensitive Toothpaste 100g"/>
    <s v="B260511-L1A"/>
    <s v="R. Sharma"/>
    <x v="2"/>
    <x v="3"/>
    <x v="2"/>
    <n v="8210"/>
    <n v="7900"/>
    <n v="92"/>
    <n v="1.1645569620253165E-2"/>
    <n v="0.96224116930572468"/>
    <x v="2"/>
    <n v="0"/>
    <n v="0"/>
    <s v="None"/>
    <n v="42"/>
    <n v="3864"/>
    <n v="23308"/>
    <n v="7550"/>
    <n v="7550"/>
    <x v="897"/>
    <n v="12000"/>
  </r>
  <r>
    <s v="PR-0516"/>
    <d v="2026-05-18T00:00:00"/>
    <x v="4"/>
    <x v="4"/>
    <s v="Monday"/>
    <x v="1"/>
    <x v="2"/>
    <x v="2"/>
    <s v="Dental Floss"/>
    <x v="6"/>
    <s v="Floss Picks (100 pcs)"/>
    <s v="B260518-L3B"/>
    <s v="S. Yadav"/>
    <x v="1"/>
    <x v="2"/>
    <x v="10"/>
    <n v="6830"/>
    <n v="6540"/>
    <n v="214"/>
    <n v="3.2721712538226297E-2"/>
    <n v="0.95754026354319177"/>
    <x v="2"/>
    <n v="0"/>
    <n v="0"/>
    <s v="None"/>
    <n v="33"/>
    <n v="7062"/>
    <n v="23341"/>
    <n v="6100"/>
    <n v="6100"/>
    <x v="898"/>
    <n v="9750"/>
  </r>
  <r>
    <s v="PR-0504"/>
    <d v="2026-05-16T00:00:00"/>
    <x v="4"/>
    <x v="4"/>
    <s v="Saturday"/>
    <x v="2"/>
    <x v="2"/>
    <x v="2"/>
    <s v="Dental Floss"/>
    <x v="6"/>
    <s v="Floss Picks (100 pcs)"/>
    <s v="B260516-L3C"/>
    <s v="A. Gupta"/>
    <x v="1"/>
    <x v="2"/>
    <x v="8"/>
    <n v="6460"/>
    <n v="6080"/>
    <n v="153"/>
    <n v="2.5164473684210525E-2"/>
    <n v="0.94117647058823528"/>
    <x v="0"/>
    <n v="48"/>
    <n v="0.8"/>
    <s v="Changeover"/>
    <n v="33"/>
    <n v="5049"/>
    <n v="23615"/>
    <n v="5960"/>
    <n v="5960"/>
    <x v="899"/>
    <n v="9750"/>
  </r>
  <r>
    <s v="PR-0949"/>
    <d v="2026-06-26T00:00:00"/>
    <x v="3"/>
    <x v="3"/>
    <s v="Friday"/>
    <x v="1"/>
    <x v="0"/>
    <x v="0"/>
    <s v="Mouthwash"/>
    <x v="1"/>
    <s v="Alcohol-Free Mouthwash 250ml"/>
    <s v="B260626-L2B"/>
    <s v="S. Yadav"/>
    <x v="2"/>
    <x v="0"/>
    <x v="0"/>
    <n v="5530"/>
    <n v="5280"/>
    <n v="193"/>
    <n v="3.6553030303030302E-2"/>
    <n v="0.9547920433996383"/>
    <x v="5"/>
    <n v="0"/>
    <n v="0"/>
    <s v="None"/>
    <n v="58"/>
    <n v="11194"/>
    <n v="23364"/>
    <n v="4840"/>
    <n v="4840"/>
    <x v="900"/>
    <n v="9000"/>
  </r>
  <r>
    <s v="PR-0496"/>
    <d v="2026-05-16T00:00:00"/>
    <x v="4"/>
    <x v="4"/>
    <s v="Saturday"/>
    <x v="0"/>
    <x v="2"/>
    <x v="2"/>
    <s v="Dental Floss"/>
    <x v="6"/>
    <s v="Floss Picks (100 pcs)"/>
    <s v="B260516-L3A"/>
    <s v="R. Sharma"/>
    <x v="2"/>
    <x v="2"/>
    <x v="8"/>
    <n v="6100"/>
    <n v="5640"/>
    <n v="161"/>
    <n v="2.8546099290780141E-2"/>
    <n v="0.92459016393442628"/>
    <x v="5"/>
    <n v="0"/>
    <n v="0"/>
    <s v="None"/>
    <n v="33"/>
    <n v="5313"/>
    <n v="22816"/>
    <n v="4680"/>
    <n v="4680"/>
    <x v="901"/>
    <n v="9750"/>
  </r>
  <r>
    <s v="PR-0202"/>
    <d v="2026-04-19T00:00:00"/>
    <x v="5"/>
    <x v="5"/>
    <s v="Sunday"/>
    <x v="0"/>
    <x v="3"/>
    <x v="3"/>
    <s v="Toothpaste"/>
    <x v="7"/>
    <s v="Sensitive Toothpaste 100g"/>
    <s v="B260419-L1A"/>
    <s v="R. Sharma"/>
    <x v="2"/>
    <x v="3"/>
    <x v="2"/>
    <n v="5710"/>
    <n v="5350"/>
    <n v="151"/>
    <n v="2.8224299065420559E-2"/>
    <n v="0.9369527145359019"/>
    <x v="5"/>
    <n v="0"/>
    <n v="0"/>
    <s v="None"/>
    <n v="42"/>
    <n v="6342"/>
    <n v="23752"/>
    <n v="5330"/>
    <n v="5330"/>
    <x v="902"/>
    <n v="12000"/>
  </r>
  <r>
    <s v="PR-1439"/>
    <d v="2026-08-10T00:00:00"/>
    <x v="1"/>
    <x v="1"/>
    <s v="Monday"/>
    <x v="1"/>
    <x v="3"/>
    <x v="3"/>
    <s v="Toothpaste"/>
    <x v="5"/>
    <s v="Charcoal Toothpaste 150g"/>
    <s v="B260810-L1B"/>
    <s v="S. Yadav"/>
    <x v="1"/>
    <x v="3"/>
    <x v="3"/>
    <n v="5760"/>
    <n v="5370"/>
    <n v="174"/>
    <n v="3.2402234636871509E-2"/>
    <n v="0.93229166666666663"/>
    <x v="0"/>
    <n v="0"/>
    <n v="0"/>
    <s v="None"/>
    <n v="51"/>
    <n v="8874"/>
    <n v="22626"/>
    <n v="4200"/>
    <n v="4200"/>
    <x v="903"/>
    <n v="9000"/>
  </r>
  <r>
    <s v="PR-0349"/>
    <d v="2026-05-02T00:00:00"/>
    <x v="4"/>
    <x v="4"/>
    <s v="Saturday"/>
    <x v="2"/>
    <x v="3"/>
    <x v="3"/>
    <s v="Toothpaste"/>
    <x v="7"/>
    <s v="Sensitive Toothpaste 100g"/>
    <s v="B260502-L1C"/>
    <s v="M. Khan"/>
    <x v="1"/>
    <x v="3"/>
    <x v="4"/>
    <n v="7260"/>
    <n v="6810"/>
    <n v="112"/>
    <n v="1.644640234948605E-2"/>
    <n v="0.93801652892561982"/>
    <x v="2"/>
    <n v="0"/>
    <n v="0"/>
    <s v="None"/>
    <n v="42"/>
    <n v="4704"/>
    <n v="23136"/>
    <n v="6200"/>
    <n v="6200"/>
    <x v="904"/>
    <n v="12000"/>
  </r>
  <r>
    <s v="PR-0353"/>
    <d v="2026-05-03T00:00:00"/>
    <x v="4"/>
    <x v="4"/>
    <s v="Sunday"/>
    <x v="0"/>
    <x v="3"/>
    <x v="3"/>
    <s v="Toothpaste"/>
    <x v="7"/>
    <s v="Sensitive Toothpaste 100g"/>
    <s v="B260503-L1A"/>
    <s v="K. Verma"/>
    <x v="1"/>
    <x v="3"/>
    <x v="3"/>
    <n v="6040"/>
    <n v="5310"/>
    <n v="118"/>
    <n v="2.2222222222222223E-2"/>
    <n v="0.87913907284768211"/>
    <x v="4"/>
    <n v="34"/>
    <n v="0.56666666666666665"/>
    <s v="Cleaning / Sanitation"/>
    <n v="42"/>
    <n v="4956"/>
    <n v="23634"/>
    <n v="5190"/>
    <n v="5190"/>
    <x v="905"/>
    <n v="12000"/>
  </r>
  <r>
    <s v="PR-1213"/>
    <d v="2026-07-20T00:00:00"/>
    <x v="2"/>
    <x v="2"/>
    <s v="Monday"/>
    <x v="2"/>
    <x v="0"/>
    <x v="0"/>
    <s v="Mouthwash"/>
    <x v="0"/>
    <s v="Mint Mouthwash 250ml"/>
    <s v="B260720-L2C"/>
    <s v="M. Khan"/>
    <x v="0"/>
    <x v="0"/>
    <x v="1"/>
    <n v="7000"/>
    <n v="6400"/>
    <n v="770"/>
    <n v="0.1203125"/>
    <n v="0.91428571428571426"/>
    <x v="1"/>
    <n v="0"/>
    <n v="0"/>
    <s v="None"/>
    <n v="46"/>
    <n v="35420"/>
    <n v="25407"/>
    <n v="7400"/>
    <n v="7400"/>
    <x v="906"/>
    <n v="10500"/>
  </r>
  <r>
    <s v="PR-0470"/>
    <d v="2026-05-14T00:00:00"/>
    <x v="4"/>
    <x v="4"/>
    <s v="Thursday"/>
    <x v="0"/>
    <x v="3"/>
    <x v="3"/>
    <s v="Toothpaste"/>
    <x v="7"/>
    <s v="Sensitive Toothpaste 100g"/>
    <s v="B260514-L1A"/>
    <s v="K. Verma"/>
    <x v="2"/>
    <x v="3"/>
    <x v="3"/>
    <n v="8160"/>
    <n v="7840"/>
    <n v="183"/>
    <n v="2.3341836734693876E-2"/>
    <n v="0.96078431372549022"/>
    <x v="0"/>
    <n v="0"/>
    <n v="0"/>
    <s v="None"/>
    <n v="42"/>
    <n v="7686"/>
    <n v="23246"/>
    <n v="7230"/>
    <n v="7230"/>
    <x v="907"/>
    <n v="12000"/>
  </r>
  <r>
    <s v="PR-0752"/>
    <d v="2026-06-09T00:00:00"/>
    <x v="3"/>
    <x v="3"/>
    <s v="Tuesday"/>
    <x v="0"/>
    <x v="3"/>
    <x v="3"/>
    <s v="Toothpaste"/>
    <x v="7"/>
    <s v="Sensitive Toothpaste 100g"/>
    <s v="B260609-L1A"/>
    <s v="K. Verma"/>
    <x v="2"/>
    <x v="3"/>
    <x v="2"/>
    <n v="7540"/>
    <n v="7270"/>
    <n v="130"/>
    <n v="1.7881705639614855E-2"/>
    <n v="0.96419098143236071"/>
    <x v="4"/>
    <n v="63"/>
    <n v="1.05"/>
    <s v="Cleaning / Sanitation"/>
    <n v="42"/>
    <n v="5460"/>
    <n v="24018"/>
    <n v="7470"/>
    <n v="7470"/>
    <x v="908"/>
    <n v="12000"/>
  </r>
  <r>
    <s v="PR-0297"/>
    <d v="2026-04-28T00:00:00"/>
    <x v="5"/>
    <x v="5"/>
    <s v="Tuesday"/>
    <x v="1"/>
    <x v="3"/>
    <x v="3"/>
    <s v="Toothpaste"/>
    <x v="7"/>
    <s v="Sensitive Toothpaste 100g"/>
    <s v="B260428-L1B"/>
    <s v="S. Yadav"/>
    <x v="2"/>
    <x v="3"/>
    <x v="2"/>
    <n v="7720"/>
    <n v="7540"/>
    <n v="118"/>
    <n v="1.5649867374005304E-2"/>
    <n v="0.97668393782383423"/>
    <x v="0"/>
    <n v="0"/>
    <n v="0"/>
    <s v="None"/>
    <n v="42"/>
    <n v="4956"/>
    <n v="23541"/>
    <n v="7270"/>
    <n v="7270"/>
    <x v="909"/>
    <n v="12000"/>
  </r>
  <r>
    <s v="PR-0530"/>
    <d v="2026-05-19T00:00:00"/>
    <x v="4"/>
    <x v="4"/>
    <s v="Tuesday"/>
    <x v="2"/>
    <x v="3"/>
    <x v="3"/>
    <s v="Toothpaste"/>
    <x v="7"/>
    <s v="Sensitive Toothpaste 100g"/>
    <s v="B260519-L1C"/>
    <s v="M. Khan"/>
    <x v="2"/>
    <x v="3"/>
    <x v="4"/>
    <n v="7490"/>
    <n v="6690"/>
    <n v="185"/>
    <n v="2.7653213751868459E-2"/>
    <n v="0.89319092122830446"/>
    <x v="4"/>
    <n v="43"/>
    <n v="0.71666666666666667"/>
    <s v="Changeover"/>
    <n v="42"/>
    <n v="7770"/>
    <n v="24106"/>
    <n v="6910"/>
    <n v="6910"/>
    <x v="910"/>
    <n v="12000"/>
  </r>
  <r>
    <s v="PR-0158"/>
    <d v="2026-04-15T00:00:00"/>
    <x v="5"/>
    <x v="5"/>
    <s v="Wednesday"/>
    <x v="1"/>
    <x v="3"/>
    <x v="3"/>
    <s v="Toothpaste"/>
    <x v="7"/>
    <s v="Sensitive Toothpaste 100g"/>
    <s v="B260415-L1B"/>
    <s v="S. Yadav"/>
    <x v="2"/>
    <x v="3"/>
    <x v="2"/>
    <n v="7390"/>
    <n v="7260"/>
    <n v="168"/>
    <n v="2.3140495867768594E-2"/>
    <n v="0.98240866035182683"/>
    <x v="0"/>
    <n v="0"/>
    <n v="0"/>
    <s v="None"/>
    <n v="42"/>
    <n v="7056"/>
    <n v="24205"/>
    <n v="7590"/>
    <n v="7590"/>
    <x v="911"/>
    <n v="12000"/>
  </r>
  <r>
    <s v="PR-0731"/>
    <d v="2026-06-06T00:00:00"/>
    <x v="3"/>
    <x v="3"/>
    <s v="Saturday"/>
    <x v="2"/>
    <x v="3"/>
    <x v="3"/>
    <s v="Toothpaste"/>
    <x v="8"/>
    <s v="Whitening Toothpaste 100g"/>
    <s v="B260606-L1C"/>
    <s v="M. Khan"/>
    <x v="2"/>
    <x v="3"/>
    <x v="2"/>
    <n v="9170"/>
    <n v="8450"/>
    <n v="196"/>
    <n v="2.319526627218935E-2"/>
    <n v="0.92148309705561615"/>
    <x v="0"/>
    <n v="16"/>
    <n v="0.26666666666666666"/>
    <s v="Machine Breakdown"/>
    <n v="38"/>
    <n v="7448"/>
    <n v="24934"/>
    <n v="9480"/>
    <n v="9480"/>
    <x v="912"/>
    <n v="13500"/>
  </r>
  <r>
    <s v="PR-0568"/>
    <d v="2026-05-22T00:00:00"/>
    <x v="4"/>
    <x v="4"/>
    <s v="Friday"/>
    <x v="2"/>
    <x v="2"/>
    <x v="2"/>
    <s v="Dental Floss"/>
    <x v="6"/>
    <s v="Floss Picks (100 pcs)"/>
    <s v="B260522-L3C"/>
    <s v="M. Khan"/>
    <x v="2"/>
    <x v="2"/>
    <x v="8"/>
    <n v="5810"/>
    <n v="5350"/>
    <n v="129"/>
    <n v="2.4112149532710282E-2"/>
    <n v="0.92082616179001719"/>
    <x v="3"/>
    <n v="0"/>
    <n v="0"/>
    <s v="None"/>
    <n v="33"/>
    <n v="4257"/>
    <n v="23960"/>
    <n v="5450"/>
    <n v="5450"/>
    <x v="913"/>
    <n v="9750"/>
  </r>
  <r>
    <s v="PR-0162"/>
    <d v="2026-04-15T00:00:00"/>
    <x v="5"/>
    <x v="5"/>
    <s v="Wednesday"/>
    <x v="2"/>
    <x v="3"/>
    <x v="3"/>
    <s v="Toothpaste"/>
    <x v="7"/>
    <s v="Sensitive Toothpaste 100g"/>
    <s v="B260415-L1C"/>
    <s v="A. Gupta"/>
    <x v="2"/>
    <x v="3"/>
    <x v="5"/>
    <n v="7440"/>
    <n v="6690"/>
    <n v="113"/>
    <n v="1.6890881913303436E-2"/>
    <n v="0.89919354838709675"/>
    <x v="4"/>
    <n v="46"/>
    <n v="0.76666666666666672"/>
    <s v="Material Shortage"/>
    <n v="42"/>
    <n v="4746"/>
    <n v="23707"/>
    <n v="6540"/>
    <n v="6540"/>
    <x v="914"/>
    <n v="12000"/>
  </r>
  <r>
    <s v="PR-0198"/>
    <d v="2026-04-18T00:00:00"/>
    <x v="5"/>
    <x v="5"/>
    <s v="Saturday"/>
    <x v="2"/>
    <x v="3"/>
    <x v="3"/>
    <s v="Toothpaste"/>
    <x v="7"/>
    <s v="Sensitive Toothpaste 100g"/>
    <s v="B260418-L1C"/>
    <s v="A. Gupta"/>
    <x v="1"/>
    <x v="3"/>
    <x v="10"/>
    <n v="7320"/>
    <n v="5760"/>
    <n v="191"/>
    <n v="3.3159722222222222E-2"/>
    <n v="0.78688524590163933"/>
    <x v="5"/>
    <n v="0"/>
    <n v="0"/>
    <s v="None"/>
    <n v="42"/>
    <n v="8022"/>
    <n v="25563"/>
    <n v="7380"/>
    <n v="7380"/>
    <x v="915"/>
    <n v="12000"/>
  </r>
  <r>
    <s v="PR-0247"/>
    <d v="2026-04-23T00:00:00"/>
    <x v="5"/>
    <x v="5"/>
    <s v="Thursday"/>
    <x v="1"/>
    <x v="3"/>
    <x v="3"/>
    <s v="Toothpaste"/>
    <x v="7"/>
    <s v="Sensitive Toothpaste 100g"/>
    <s v="B260423-L1B"/>
    <s v="S. Yadav"/>
    <x v="2"/>
    <x v="3"/>
    <x v="4"/>
    <n v="7660"/>
    <n v="7240"/>
    <n v="195"/>
    <n v="2.6933701657458564E-2"/>
    <n v="0.94516971279373363"/>
    <x v="2"/>
    <n v="25"/>
    <n v="0.41666666666666669"/>
    <s v="Machine Breakdown"/>
    <n v="42"/>
    <n v="8190"/>
    <n v="23829"/>
    <n v="7120"/>
    <n v="7120"/>
    <x v="916"/>
    <n v="12000"/>
  </r>
  <r>
    <s v="PR-0271"/>
    <d v="2026-04-25T00:00:00"/>
    <x v="5"/>
    <x v="5"/>
    <s v="Saturday"/>
    <x v="1"/>
    <x v="3"/>
    <x v="3"/>
    <s v="Toothpaste"/>
    <x v="7"/>
    <s v="Sensitive Toothpaste 100g"/>
    <s v="B260425-L1B"/>
    <s v="S. Yadav"/>
    <x v="1"/>
    <x v="3"/>
    <x v="2"/>
    <n v="7850"/>
    <n v="7620"/>
    <n v="120"/>
    <n v="1.5748031496062992E-2"/>
    <n v="0.97070063694267517"/>
    <x v="3"/>
    <n v="40"/>
    <n v="0.66666666666666663"/>
    <s v="Machine Breakdown"/>
    <n v="42"/>
    <n v="5040"/>
    <n v="23289"/>
    <n v="7030"/>
    <n v="7030"/>
    <x v="917"/>
    <n v="12000"/>
  </r>
  <r>
    <s v="PR-0735"/>
    <d v="2026-06-07T00:00:00"/>
    <x v="3"/>
    <x v="3"/>
    <s v="Sunday"/>
    <x v="0"/>
    <x v="3"/>
    <x v="3"/>
    <s v="Toothpaste"/>
    <x v="8"/>
    <s v="Whitening Toothpaste 100g"/>
    <s v="B260607-L1A"/>
    <s v="R. Sharma"/>
    <x v="1"/>
    <x v="3"/>
    <x v="3"/>
    <n v="5910"/>
    <n v="5580"/>
    <n v="160"/>
    <n v="2.8673835125448029E-2"/>
    <n v="0.9441624365482234"/>
    <x v="0"/>
    <n v="60"/>
    <n v="1"/>
    <s v="Cleaning / Sanitation"/>
    <n v="38"/>
    <n v="6080"/>
    <n v="23708"/>
    <n v="5320"/>
    <n v="5320"/>
    <x v="918"/>
    <n v="13500"/>
  </r>
  <r>
    <s v="PR-0379"/>
    <d v="2026-05-05T00:00:00"/>
    <x v="4"/>
    <x v="4"/>
    <s v="Tuesday"/>
    <x v="2"/>
    <x v="0"/>
    <x v="0"/>
    <s v="Mouthwash"/>
    <x v="0"/>
    <s v="Mint Mouthwash 250ml"/>
    <s v="B260505-L2C"/>
    <s v="M. Khan"/>
    <x v="1"/>
    <x v="0"/>
    <x v="1"/>
    <n v="7070"/>
    <n v="6490"/>
    <n v="175"/>
    <n v="2.6964560862865947E-2"/>
    <n v="0.91796322489391802"/>
    <x v="4"/>
    <n v="0"/>
    <n v="0"/>
    <s v="None"/>
    <n v="46"/>
    <n v="8050"/>
    <n v="23824"/>
    <n v="6320"/>
    <n v="6320"/>
    <x v="919"/>
    <n v="10500"/>
  </r>
  <r>
    <s v="PR-0972"/>
    <d v="2026-06-28T00:00:00"/>
    <x v="3"/>
    <x v="3"/>
    <s v="Sunday"/>
    <x v="1"/>
    <x v="0"/>
    <x v="0"/>
    <s v="Mouthwash"/>
    <x v="1"/>
    <s v="Alcohol-Free Mouthwash 250ml"/>
    <s v="B260628-L2B"/>
    <s v="P. Singh"/>
    <x v="1"/>
    <x v="0"/>
    <x v="4"/>
    <n v="3980"/>
    <n v="3390"/>
    <n v="67"/>
    <n v="1.9764011799410029E-2"/>
    <n v="0.85175879396984921"/>
    <x v="4"/>
    <n v="0"/>
    <n v="0"/>
    <s v="None"/>
    <n v="58"/>
    <n v="3886"/>
    <n v="24066"/>
    <n v="3570"/>
    <n v="3570"/>
    <x v="919"/>
    <n v="9000"/>
  </r>
  <r>
    <s v="PR-0375"/>
    <d v="2026-05-05T00:00:00"/>
    <x v="4"/>
    <x v="4"/>
    <s v="Tuesday"/>
    <x v="1"/>
    <x v="0"/>
    <x v="0"/>
    <s v="Mouthwash"/>
    <x v="0"/>
    <s v="Mint Mouthwash 250ml"/>
    <s v="B260505-L2B"/>
    <s v="P. Singh"/>
    <x v="1"/>
    <x v="0"/>
    <x v="0"/>
    <n v="6950"/>
    <n v="6930"/>
    <n v="109"/>
    <n v="1.5728715728715727E-2"/>
    <n v="0.99712230215827335"/>
    <x v="0"/>
    <n v="0"/>
    <n v="0"/>
    <s v="None"/>
    <n v="46"/>
    <n v="5014"/>
    <n v="22373"/>
    <n v="5370"/>
    <n v="5370"/>
    <x v="920"/>
    <n v="10500"/>
  </r>
  <r>
    <s v="PR-0239"/>
    <d v="2026-04-22T00:00:00"/>
    <x v="5"/>
    <x v="5"/>
    <s v="Wednesday"/>
    <x v="2"/>
    <x v="3"/>
    <x v="3"/>
    <s v="Toothpaste"/>
    <x v="7"/>
    <s v="Sensitive Toothpaste 100g"/>
    <s v="B260422-L1C"/>
    <s v="M. Khan"/>
    <x v="2"/>
    <x v="3"/>
    <x v="2"/>
    <n v="7290"/>
    <n v="7400"/>
    <n v="162"/>
    <n v="2.189189189189189E-2"/>
    <n v="1.0150891632373114"/>
    <x v="4"/>
    <n v="0"/>
    <n v="0"/>
    <s v="None"/>
    <n v="42"/>
    <n v="6804"/>
    <n v="23621"/>
    <n v="7030"/>
    <n v="7030"/>
    <x v="921"/>
    <n v="12000"/>
  </r>
  <r>
    <s v="PR-0382"/>
    <d v="2026-05-06T00:00:00"/>
    <x v="4"/>
    <x v="4"/>
    <s v="Wednesday"/>
    <x v="0"/>
    <x v="3"/>
    <x v="3"/>
    <s v="Toothpaste"/>
    <x v="7"/>
    <s v="Sensitive Toothpaste 100g"/>
    <s v="B260506-L1A"/>
    <s v="R. Sharma"/>
    <x v="1"/>
    <x v="3"/>
    <x v="3"/>
    <n v="7800"/>
    <n v="7700"/>
    <n v="210"/>
    <n v="2.7272727272727271E-2"/>
    <n v="0.98717948717948723"/>
    <x v="5"/>
    <n v="0"/>
    <n v="0"/>
    <s v="None"/>
    <n v="42"/>
    <n v="8820"/>
    <n v="22845"/>
    <n v="6460"/>
    <n v="6460"/>
    <x v="922"/>
    <n v="12000"/>
  </r>
  <r>
    <s v="PR-0998"/>
    <d v="2026-07-01T00:00:00"/>
    <x v="2"/>
    <x v="2"/>
    <s v="Wednesday"/>
    <x v="0"/>
    <x v="0"/>
    <x v="0"/>
    <s v="Mouthwash"/>
    <x v="1"/>
    <s v="Alcohol-Free Mouthwash 250ml"/>
    <s v="B260701-L2A"/>
    <s v="K. Verma"/>
    <x v="1"/>
    <x v="0"/>
    <x v="2"/>
    <n v="5930"/>
    <n v="5470"/>
    <n v="150"/>
    <n v="2.7422303473491772E-2"/>
    <n v="0.92242833052276563"/>
    <x v="0"/>
    <n v="51"/>
    <n v="0.85"/>
    <s v="Changeover"/>
    <n v="58"/>
    <n v="8700"/>
    <n v="24005"/>
    <n v="5450"/>
    <n v="5450"/>
    <x v="922"/>
    <n v="9000"/>
  </r>
  <r>
    <s v="PR-0035"/>
    <d v="2026-04-03T00:00:00"/>
    <x v="5"/>
    <x v="5"/>
    <s v="Friday"/>
    <x v="2"/>
    <x v="2"/>
    <x v="2"/>
    <s v="Dental Floss"/>
    <x v="9"/>
    <s v="Waxed Floss 50m"/>
    <s v="B260403-L3C"/>
    <s v="M. Khan"/>
    <x v="1"/>
    <x v="2"/>
    <x v="8"/>
    <n v="7830"/>
    <n v="6870"/>
    <n v="118"/>
    <n v="1.717612809315866E-2"/>
    <n v="0.87739463601532564"/>
    <x v="4"/>
    <n v="70"/>
    <n v="1.1666666666666667"/>
    <s v="Cleaning / Sanitation"/>
    <n v="24"/>
    <n v="2832"/>
    <n v="24268"/>
    <n v="7140"/>
    <n v="7140"/>
    <x v="923"/>
    <n v="12000"/>
  </r>
  <r>
    <s v="PR-0219"/>
    <d v="2026-04-21T00:00:00"/>
    <x v="5"/>
    <x v="5"/>
    <s v="Tuesday"/>
    <x v="0"/>
    <x v="3"/>
    <x v="3"/>
    <s v="Toothpaste"/>
    <x v="8"/>
    <s v="Whitening Toothpaste 100g"/>
    <s v="B260421-L1A"/>
    <s v="K. Verma"/>
    <x v="2"/>
    <x v="3"/>
    <x v="2"/>
    <n v="8370"/>
    <n v="8270"/>
    <n v="129"/>
    <n v="1.5598548972188634E-2"/>
    <n v="0.98805256869772995"/>
    <x v="3"/>
    <n v="0"/>
    <n v="0"/>
    <s v="None"/>
    <n v="38"/>
    <n v="4902"/>
    <n v="22092"/>
    <n v="6320"/>
    <n v="6320"/>
    <x v="924"/>
    <n v="13500"/>
  </r>
  <r>
    <s v="PR-0056"/>
    <d v="2026-04-06T00:00:00"/>
    <x v="5"/>
    <x v="5"/>
    <s v="Monday"/>
    <x v="0"/>
    <x v="2"/>
    <x v="2"/>
    <s v="Dental Floss"/>
    <x v="9"/>
    <s v="Waxed Floss 50m"/>
    <s v="B260406-L3A"/>
    <s v="R. Sharma"/>
    <x v="1"/>
    <x v="2"/>
    <x v="8"/>
    <n v="7850"/>
    <n v="7280"/>
    <n v="166"/>
    <n v="2.2802197802197801E-2"/>
    <n v="0.92738853503184715"/>
    <x v="3"/>
    <n v="20"/>
    <n v="0.33333333333333331"/>
    <s v="Material Shortage"/>
    <n v="24"/>
    <n v="3984"/>
    <n v="24282"/>
    <n v="7480"/>
    <n v="7480"/>
    <x v="925"/>
    <n v="12000"/>
  </r>
  <r>
    <s v="PR-0403"/>
    <d v="2026-05-07T00:00:00"/>
    <x v="4"/>
    <x v="4"/>
    <s v="Thursday"/>
    <x v="2"/>
    <x v="0"/>
    <x v="0"/>
    <s v="Mouthwash"/>
    <x v="0"/>
    <s v="Mint Mouthwash 250ml"/>
    <s v="B260507-L2C"/>
    <s v="M. Khan"/>
    <x v="1"/>
    <x v="0"/>
    <x v="2"/>
    <n v="6660"/>
    <n v="5880"/>
    <n v="151"/>
    <n v="2.5680272108843539E-2"/>
    <n v="0.88288288288288286"/>
    <x v="3"/>
    <n v="54"/>
    <n v="0.9"/>
    <s v="Changeover"/>
    <n v="46"/>
    <n v="6946"/>
    <n v="23819"/>
    <n v="5630"/>
    <n v="5630"/>
    <x v="926"/>
    <n v="10500"/>
  </r>
  <r>
    <s v="PR-0478"/>
    <d v="2026-05-14T00:00:00"/>
    <x v="4"/>
    <x v="4"/>
    <s v="Thursday"/>
    <x v="2"/>
    <x v="3"/>
    <x v="3"/>
    <s v="Toothpaste"/>
    <x v="7"/>
    <s v="Sensitive Toothpaste 100g"/>
    <s v="B260514-L1C"/>
    <s v="A. Gupta"/>
    <x v="1"/>
    <x v="3"/>
    <x v="3"/>
    <n v="7470"/>
    <n v="7270"/>
    <n v="140"/>
    <n v="1.9257221458046769E-2"/>
    <n v="0.97322623828647925"/>
    <x v="5"/>
    <n v="23"/>
    <n v="0.38333333333333336"/>
    <s v="Machine Breakdown"/>
    <n v="42"/>
    <n v="5880"/>
    <n v="23673"/>
    <n v="6870"/>
    <n v="6870"/>
    <x v="927"/>
    <n v="12000"/>
  </r>
  <r>
    <s v="PR-1553"/>
    <d v="2026-08-20T00:00:00"/>
    <x v="1"/>
    <x v="1"/>
    <s v="Thursday"/>
    <x v="2"/>
    <x v="3"/>
    <x v="3"/>
    <s v="Toothpaste"/>
    <x v="5"/>
    <s v="Charcoal Toothpaste 150g"/>
    <s v="B260820-L1C"/>
    <s v="M. Khan"/>
    <x v="2"/>
    <x v="3"/>
    <x v="2"/>
    <n v="5400"/>
    <n v="5030"/>
    <n v="167"/>
    <n v="3.3200795228628233E-2"/>
    <n v="0.93148148148148147"/>
    <x v="4"/>
    <n v="0"/>
    <n v="0"/>
    <s v="None"/>
    <n v="51"/>
    <n v="8517"/>
    <n v="23220"/>
    <n v="4140"/>
    <n v="4140"/>
    <x v="928"/>
    <n v="9000"/>
  </r>
  <r>
    <s v="PR-0564"/>
    <d v="2026-05-22T00:00:00"/>
    <x v="4"/>
    <x v="4"/>
    <s v="Friday"/>
    <x v="1"/>
    <x v="2"/>
    <x v="2"/>
    <s v="Dental Floss"/>
    <x v="6"/>
    <s v="Floss Picks (100 pcs)"/>
    <s v="B260522-L3B"/>
    <s v="P. Singh"/>
    <x v="1"/>
    <x v="2"/>
    <x v="8"/>
    <n v="6410"/>
    <n v="5870"/>
    <n v="96"/>
    <n v="1.6354344122657582E-2"/>
    <n v="0.91575663026521059"/>
    <x v="5"/>
    <n v="0"/>
    <n v="0"/>
    <s v="None"/>
    <n v="33"/>
    <n v="3168"/>
    <n v="23346"/>
    <n v="5160"/>
    <n v="5160"/>
    <x v="929"/>
    <n v="9750"/>
  </r>
  <r>
    <s v="PR-0772"/>
    <d v="2026-06-10T00:00:00"/>
    <x v="3"/>
    <x v="3"/>
    <s v="Wednesday"/>
    <x v="2"/>
    <x v="3"/>
    <x v="3"/>
    <s v="Toothpaste"/>
    <x v="8"/>
    <s v="Whitening Toothpaste 100g"/>
    <s v="B260610-L1C"/>
    <s v="A. Gupta"/>
    <x v="2"/>
    <x v="3"/>
    <x v="3"/>
    <n v="8240"/>
    <n v="7890"/>
    <n v="264"/>
    <n v="3.3460076045627375E-2"/>
    <n v="0.95752427184466016"/>
    <x v="2"/>
    <n v="0"/>
    <n v="0"/>
    <s v="None"/>
    <n v="38"/>
    <n v="10032"/>
    <n v="24355"/>
    <n v="8020"/>
    <n v="8020"/>
    <x v="930"/>
    <n v="13500"/>
  </r>
  <r>
    <s v="PR-1577"/>
    <d v="2026-08-22T00:00:00"/>
    <x v="1"/>
    <x v="1"/>
    <s v="Saturday"/>
    <x v="2"/>
    <x v="3"/>
    <x v="3"/>
    <s v="Toothpaste"/>
    <x v="5"/>
    <s v="Charcoal Toothpaste 150g"/>
    <s v="B260822-L1C"/>
    <s v="M. Khan"/>
    <x v="1"/>
    <x v="3"/>
    <x v="4"/>
    <n v="5960"/>
    <n v="5200"/>
    <n v="138"/>
    <n v="2.6538461538461539E-2"/>
    <n v="0.87248322147651003"/>
    <x v="0"/>
    <n v="23"/>
    <n v="0.38333333333333336"/>
    <s v="Power Interruption"/>
    <n v="51"/>
    <n v="7038"/>
    <n v="23943"/>
    <n v="5040"/>
    <n v="5040"/>
    <x v="931"/>
    <n v="9000"/>
  </r>
  <r>
    <s v="PR-0459"/>
    <d v="2026-05-13T00:00:00"/>
    <x v="4"/>
    <x v="4"/>
    <s v="Wednesday"/>
    <x v="0"/>
    <x v="0"/>
    <x v="0"/>
    <s v="Mouthwash"/>
    <x v="0"/>
    <s v="Mint Mouthwash 250ml"/>
    <s v="B260513-L2A"/>
    <s v="K. Verma"/>
    <x v="1"/>
    <x v="0"/>
    <x v="1"/>
    <n v="7080"/>
    <n v="6430"/>
    <n v="191"/>
    <n v="2.9704510108864698E-2"/>
    <n v="0.90819209039548021"/>
    <x v="4"/>
    <n v="0"/>
    <n v="0"/>
    <s v="None"/>
    <n v="46"/>
    <n v="8786"/>
    <n v="24282"/>
    <n v="6540"/>
    <n v="6540"/>
    <x v="932"/>
    <n v="10500"/>
  </r>
  <r>
    <s v="PR-0974"/>
    <d v="2026-06-29T00:00:00"/>
    <x v="3"/>
    <x v="3"/>
    <s v="Monday"/>
    <x v="0"/>
    <x v="0"/>
    <x v="0"/>
    <s v="Mouthwash"/>
    <x v="1"/>
    <s v="Alcohol-Free Mouthwash 250ml"/>
    <s v="B260629-L2A"/>
    <s v="R. Sharma"/>
    <x v="2"/>
    <x v="0"/>
    <x v="1"/>
    <n v="5910"/>
    <n v="5500"/>
    <n v="154"/>
    <n v="2.8000000000000001E-2"/>
    <n v="0.93062605752961081"/>
    <x v="5"/>
    <n v="52"/>
    <n v="0.8666666666666667"/>
    <s v="Material Shortage"/>
    <n v="58"/>
    <n v="8932"/>
    <n v="23819"/>
    <n v="5160"/>
    <n v="5160"/>
    <x v="933"/>
    <n v="9000"/>
  </r>
  <r>
    <s v="PR-0748"/>
    <d v="2026-06-08T00:00:00"/>
    <x v="3"/>
    <x v="3"/>
    <s v="Monday"/>
    <x v="2"/>
    <x v="3"/>
    <x v="3"/>
    <s v="Toothpaste"/>
    <x v="7"/>
    <s v="Sensitive Toothpaste 100g"/>
    <s v="B260608-L1C"/>
    <s v="M. Khan"/>
    <x v="2"/>
    <x v="3"/>
    <x v="5"/>
    <n v="7840"/>
    <n v="6560"/>
    <n v="152"/>
    <n v="2.3170731707317073E-2"/>
    <n v="0.83673469387755106"/>
    <x v="0"/>
    <n v="0"/>
    <n v="0"/>
    <s v="None"/>
    <n v="42"/>
    <n v="6384"/>
    <n v="24300"/>
    <n v="6690"/>
    <n v="6690"/>
    <x v="934"/>
    <n v="12000"/>
  </r>
  <r>
    <s v="PR-0572"/>
    <d v="2026-05-23T00:00:00"/>
    <x v="4"/>
    <x v="4"/>
    <s v="Saturday"/>
    <x v="0"/>
    <x v="2"/>
    <x v="2"/>
    <s v="Dental Floss"/>
    <x v="6"/>
    <s v="Floss Picks (100 pcs)"/>
    <s v="B260523-L3A"/>
    <s v="R. Sharma"/>
    <x v="1"/>
    <x v="2"/>
    <x v="10"/>
    <n v="6990"/>
    <n v="6790"/>
    <n v="129"/>
    <n v="1.8998527245949925E-2"/>
    <n v="0.97138769670958514"/>
    <x v="2"/>
    <n v="0"/>
    <n v="0"/>
    <s v="None"/>
    <n v="33"/>
    <n v="4257"/>
    <n v="23731"/>
    <n v="6350"/>
    <n v="6350"/>
    <x v="935"/>
    <n v="9750"/>
  </r>
  <r>
    <s v="PR-0005"/>
    <d v="2026-04-01T00:00:00"/>
    <x v="5"/>
    <x v="5"/>
    <s v="Wednesday"/>
    <x v="1"/>
    <x v="3"/>
    <x v="3"/>
    <s v="Toothpaste"/>
    <x v="7"/>
    <s v="Sensitive Toothpaste 100g"/>
    <s v="B260401-L1B"/>
    <s v="S. Yadav"/>
    <x v="1"/>
    <x v="3"/>
    <x v="4"/>
    <n v="7490"/>
    <n v="7110"/>
    <n v="205"/>
    <n v="2.8832630098452883E-2"/>
    <n v="0.94926568758344454"/>
    <x v="5"/>
    <n v="27"/>
    <n v="0.45"/>
    <s v="Material Shortage"/>
    <n v="42"/>
    <n v="8610"/>
    <n v="24000"/>
    <n v="6860"/>
    <n v="6860"/>
    <x v="936"/>
    <n v="12000"/>
  </r>
  <r>
    <s v="PR-0961"/>
    <d v="2026-06-27T00:00:00"/>
    <x v="3"/>
    <x v="3"/>
    <s v="Saturday"/>
    <x v="1"/>
    <x v="0"/>
    <x v="0"/>
    <s v="Mouthwash"/>
    <x v="1"/>
    <s v="Alcohol-Free Mouthwash 250ml"/>
    <s v="B260627-L2B"/>
    <s v="S. Yadav"/>
    <x v="1"/>
    <x v="0"/>
    <x v="1"/>
    <n v="6440"/>
    <n v="5920"/>
    <n v="185"/>
    <n v="3.125E-2"/>
    <n v="0.91925465838509313"/>
    <x v="5"/>
    <n v="0"/>
    <n v="0"/>
    <s v="None"/>
    <n v="58"/>
    <n v="10730"/>
    <n v="23611"/>
    <n v="5280"/>
    <n v="5280"/>
    <x v="937"/>
    <n v="9000"/>
  </r>
  <r>
    <s v="PR-0518"/>
    <d v="2026-05-18T00:00:00"/>
    <x v="4"/>
    <x v="4"/>
    <s v="Monday"/>
    <x v="2"/>
    <x v="3"/>
    <x v="3"/>
    <s v="Toothpaste"/>
    <x v="7"/>
    <s v="Sensitive Toothpaste 100g"/>
    <s v="B260518-L1C"/>
    <s v="A. Gupta"/>
    <x v="2"/>
    <x v="3"/>
    <x v="5"/>
    <n v="7930"/>
    <n v="6750"/>
    <n v="248"/>
    <n v="3.674074074074074E-2"/>
    <n v="0.85119798234552335"/>
    <x v="0"/>
    <n v="11"/>
    <n v="0.18333333333333332"/>
    <s v="Changeover"/>
    <n v="42"/>
    <n v="10416"/>
    <n v="24214"/>
    <n v="6610"/>
    <n v="6610"/>
    <x v="938"/>
    <n v="12000"/>
  </r>
  <r>
    <s v="PR-0259"/>
    <d v="2026-04-24T00:00:00"/>
    <x v="5"/>
    <x v="5"/>
    <s v="Friday"/>
    <x v="1"/>
    <x v="3"/>
    <x v="3"/>
    <s v="Toothpaste"/>
    <x v="8"/>
    <s v="Whitening Toothpaste 100g"/>
    <s v="B260424-L1B"/>
    <s v="S. Yadav"/>
    <x v="1"/>
    <x v="3"/>
    <x v="3"/>
    <n v="9160"/>
    <n v="8320"/>
    <n v="269"/>
    <n v="3.2331730769230772E-2"/>
    <n v="0.90829694323144106"/>
    <x v="0"/>
    <n v="68"/>
    <n v="1.1333333333333333"/>
    <s v="Changeover"/>
    <n v="38"/>
    <n v="10222"/>
    <n v="24570"/>
    <n v="8510"/>
    <n v="8510"/>
    <x v="939"/>
    <n v="13500"/>
  </r>
  <r>
    <s v="PR-0475"/>
    <d v="2026-05-14T00:00:00"/>
    <x v="4"/>
    <x v="4"/>
    <s v="Thursday"/>
    <x v="1"/>
    <x v="0"/>
    <x v="0"/>
    <s v="Mouthwash"/>
    <x v="0"/>
    <s v="Mint Mouthwash 250ml"/>
    <s v="B260514-L2B"/>
    <s v="S. Yadav"/>
    <x v="2"/>
    <x v="0"/>
    <x v="0"/>
    <n v="7350"/>
    <n v="6980"/>
    <n v="176"/>
    <n v="2.5214899713467048E-2"/>
    <n v="0.94965986394557822"/>
    <x v="3"/>
    <n v="0"/>
    <n v="0"/>
    <s v="None"/>
    <n v="46"/>
    <n v="8096"/>
    <n v="24404"/>
    <n v="7010"/>
    <n v="7010"/>
    <x v="940"/>
    <n v="10500"/>
  </r>
  <r>
    <s v="PR-0130"/>
    <d v="2026-04-13T00:00:00"/>
    <x v="5"/>
    <x v="5"/>
    <s v="Monday"/>
    <x v="0"/>
    <x v="3"/>
    <x v="3"/>
    <s v="Toothpaste"/>
    <x v="7"/>
    <s v="Sensitive Toothpaste 100g"/>
    <s v="B260413-L1A"/>
    <s v="R. Sharma"/>
    <x v="2"/>
    <x v="3"/>
    <x v="2"/>
    <n v="8000"/>
    <n v="7710"/>
    <n v="190"/>
    <n v="2.464332036316472E-2"/>
    <n v="0.96375"/>
    <x v="2"/>
    <n v="0"/>
    <n v="0"/>
    <s v="None"/>
    <n v="42"/>
    <n v="7980"/>
    <n v="23265"/>
    <n v="6580"/>
    <n v="6580"/>
    <x v="941"/>
    <n v="12000"/>
  </r>
  <r>
    <s v="PR-0490"/>
    <d v="2026-05-15T00:00:00"/>
    <x v="4"/>
    <x v="4"/>
    <s v="Friday"/>
    <x v="2"/>
    <x v="3"/>
    <x v="3"/>
    <s v="Toothpaste"/>
    <x v="7"/>
    <s v="Sensitive Toothpaste 100g"/>
    <s v="B260515-L1C"/>
    <s v="A. Gupta"/>
    <x v="2"/>
    <x v="3"/>
    <x v="3"/>
    <n v="7860"/>
    <n v="7360"/>
    <n v="99"/>
    <n v="1.345108695652174E-2"/>
    <n v="0.93638676844783719"/>
    <x v="4"/>
    <n v="0"/>
    <n v="0"/>
    <s v="None"/>
    <n v="42"/>
    <n v="4158"/>
    <n v="23933"/>
    <n v="6980"/>
    <n v="6980"/>
    <x v="942"/>
    <n v="12000"/>
  </r>
  <r>
    <s v="PR-0305"/>
    <d v="2026-04-29T00:00:00"/>
    <x v="5"/>
    <x v="5"/>
    <s v="Wednesday"/>
    <x v="0"/>
    <x v="3"/>
    <x v="3"/>
    <s v="Toothpaste"/>
    <x v="7"/>
    <s v="Sensitive Toothpaste 100g"/>
    <s v="B260429-L1A"/>
    <s v="K. Verma"/>
    <x v="1"/>
    <x v="3"/>
    <x v="2"/>
    <n v="7540"/>
    <n v="7580"/>
    <n v="187"/>
    <n v="2.4670184696569921E-2"/>
    <n v="1.0053050397877985"/>
    <x v="4"/>
    <n v="21"/>
    <n v="0.35"/>
    <s v="Changeover"/>
    <n v="42"/>
    <n v="7854"/>
    <n v="23693"/>
    <n v="6860"/>
    <n v="6860"/>
    <x v="943"/>
    <n v="12000"/>
  </r>
  <r>
    <s v="PR-0031"/>
    <d v="2026-04-03T00:00:00"/>
    <x v="5"/>
    <x v="5"/>
    <s v="Friday"/>
    <x v="1"/>
    <x v="2"/>
    <x v="2"/>
    <s v="Dental Floss"/>
    <x v="9"/>
    <s v="Waxed Floss 50m"/>
    <s v="B260403-L3B"/>
    <s v="P. Singh"/>
    <x v="2"/>
    <x v="2"/>
    <x v="10"/>
    <n v="8200"/>
    <n v="7770"/>
    <n v="162"/>
    <n v="2.084942084942085E-2"/>
    <n v="0.94756097560975605"/>
    <x v="5"/>
    <n v="0"/>
    <n v="0"/>
    <s v="None"/>
    <n v="24"/>
    <n v="3888"/>
    <n v="24330"/>
    <n v="7670"/>
    <n v="7670"/>
    <x v="944"/>
    <n v="12000"/>
  </r>
  <r>
    <s v="PR-0043"/>
    <d v="2026-04-04T00:00:00"/>
    <x v="5"/>
    <x v="5"/>
    <s v="Saturday"/>
    <x v="1"/>
    <x v="2"/>
    <x v="2"/>
    <s v="Dental Floss"/>
    <x v="9"/>
    <s v="Waxed Floss 50m"/>
    <s v="B260404-L3B"/>
    <s v="P. Singh"/>
    <x v="2"/>
    <x v="2"/>
    <x v="10"/>
    <n v="7980"/>
    <n v="7750"/>
    <n v="68"/>
    <n v="8.7741935483870975E-3"/>
    <n v="0.97117794486215536"/>
    <x v="3"/>
    <n v="0"/>
    <n v="0"/>
    <s v="None"/>
    <n v="24"/>
    <n v="1632"/>
    <n v="23880"/>
    <n v="7280"/>
    <n v="7280"/>
    <x v="945"/>
    <n v="12000"/>
  </r>
  <r>
    <s v="PR-0447"/>
    <d v="2026-05-12T00:00:00"/>
    <x v="4"/>
    <x v="4"/>
    <s v="Tuesday"/>
    <x v="0"/>
    <x v="0"/>
    <x v="0"/>
    <s v="Mouthwash"/>
    <x v="0"/>
    <s v="Mint Mouthwash 250ml"/>
    <s v="B260512-L2A"/>
    <s v="K. Verma"/>
    <x v="2"/>
    <x v="0"/>
    <x v="1"/>
    <n v="6730"/>
    <n v="6830"/>
    <n v="296"/>
    <n v="4.3338213762811127E-2"/>
    <n v="1.0148588410104011"/>
    <x v="4"/>
    <n v="0"/>
    <n v="0"/>
    <s v="None"/>
    <n v="46"/>
    <n v="13616"/>
    <n v="23918"/>
    <n v="6170"/>
    <n v="6170"/>
    <x v="945"/>
    <n v="10500"/>
  </r>
  <r>
    <s v="PR-0098"/>
    <d v="2026-04-09T00:00:00"/>
    <x v="5"/>
    <x v="5"/>
    <s v="Thursday"/>
    <x v="2"/>
    <x v="3"/>
    <x v="3"/>
    <s v="Toothpaste"/>
    <x v="7"/>
    <s v="Sensitive Toothpaste 100g"/>
    <s v="B260409-L1C"/>
    <s v="A. Gupta"/>
    <x v="1"/>
    <x v="3"/>
    <x v="4"/>
    <n v="7160"/>
    <n v="6630"/>
    <n v="69"/>
    <n v="1.0407239819004524E-2"/>
    <n v="0.92597765363128492"/>
    <x v="0"/>
    <n v="0"/>
    <n v="0"/>
    <s v="None"/>
    <n v="42"/>
    <n v="2898"/>
    <n v="24739"/>
    <n v="7010"/>
    <n v="7010"/>
    <x v="946"/>
    <n v="12000"/>
  </r>
  <r>
    <s v="PR-0744"/>
    <d v="2026-06-08T00:00:00"/>
    <x v="3"/>
    <x v="3"/>
    <s v="Monday"/>
    <x v="1"/>
    <x v="3"/>
    <x v="3"/>
    <s v="Toothpaste"/>
    <x v="7"/>
    <s v="Sensitive Toothpaste 100g"/>
    <s v="B260608-L1B"/>
    <s v="P. Singh"/>
    <x v="1"/>
    <x v="3"/>
    <x v="2"/>
    <n v="8460"/>
    <n v="8150"/>
    <n v="236"/>
    <n v="2.8957055214723925E-2"/>
    <n v="0.96335697399527187"/>
    <x v="3"/>
    <n v="0"/>
    <n v="0"/>
    <s v="None"/>
    <n v="42"/>
    <n v="9912"/>
    <n v="23416"/>
    <n v="7030"/>
    <n v="7030"/>
    <x v="947"/>
    <n v="12000"/>
  </r>
  <r>
    <s v="PR-0054"/>
    <d v="2026-04-06T00:00:00"/>
    <x v="5"/>
    <x v="5"/>
    <s v="Monday"/>
    <x v="0"/>
    <x v="3"/>
    <x v="3"/>
    <s v="Toothpaste"/>
    <x v="8"/>
    <s v="Whitening Toothpaste 100g"/>
    <s v="B260406-L1A"/>
    <s v="R. Sharma"/>
    <x v="1"/>
    <x v="3"/>
    <x v="2"/>
    <n v="8320"/>
    <n v="8150"/>
    <n v="93"/>
    <n v="1.1411042944785276E-2"/>
    <n v="0.97956730769230771"/>
    <x v="2"/>
    <n v="0"/>
    <n v="0"/>
    <s v="None"/>
    <n v="38"/>
    <n v="3534"/>
    <n v="25064"/>
    <n v="8810"/>
    <n v="8810"/>
    <x v="948"/>
    <n v="13500"/>
  </r>
  <r>
    <s v="PR-0023"/>
    <d v="2026-04-02T00:00:00"/>
    <x v="5"/>
    <x v="5"/>
    <s v="Thursday"/>
    <x v="2"/>
    <x v="2"/>
    <x v="2"/>
    <s v="Dental Floss"/>
    <x v="9"/>
    <s v="Waxed Floss 50m"/>
    <s v="B260402-L3C"/>
    <s v="M. Khan"/>
    <x v="1"/>
    <x v="2"/>
    <x v="9"/>
    <n v="8020"/>
    <n v="7260"/>
    <n v="195"/>
    <n v="2.6859504132231406E-2"/>
    <n v="0.90523690773067333"/>
    <x v="4"/>
    <n v="0"/>
    <n v="0"/>
    <s v="None"/>
    <n v="24"/>
    <n v="4680"/>
    <n v="24545"/>
    <n v="7280"/>
    <n v="7280"/>
    <x v="949"/>
    <n v="12000"/>
  </r>
  <r>
    <s v="PR-0589"/>
    <d v="2026-05-25T00:00:00"/>
    <x v="4"/>
    <x v="4"/>
    <s v="Monday"/>
    <x v="0"/>
    <x v="2"/>
    <x v="2"/>
    <s v="Dental Floss"/>
    <x v="6"/>
    <s v="Floss Picks (100 pcs)"/>
    <s v="B260525-L3A"/>
    <s v="K. Verma"/>
    <x v="1"/>
    <x v="2"/>
    <x v="10"/>
    <n v="6560"/>
    <n v="6060"/>
    <n v="211"/>
    <n v="3.4818481848184819E-2"/>
    <n v="0.92378048780487809"/>
    <x v="2"/>
    <n v="36"/>
    <n v="0.6"/>
    <s v="Changeover"/>
    <n v="33"/>
    <n v="6963"/>
    <n v="24933"/>
    <n v="6450"/>
    <n v="6450"/>
    <x v="950"/>
    <n v="9750"/>
  </r>
  <r>
    <s v="PR-0080"/>
    <d v="2026-04-08T00:00:00"/>
    <x v="5"/>
    <x v="5"/>
    <s v="Wednesday"/>
    <x v="0"/>
    <x v="2"/>
    <x v="2"/>
    <s v="Dental Floss"/>
    <x v="9"/>
    <s v="Waxed Floss 50m"/>
    <s v="B260408-L3A"/>
    <s v="K. Verma"/>
    <x v="2"/>
    <x v="2"/>
    <x v="8"/>
    <n v="8350"/>
    <n v="8100"/>
    <n v="150"/>
    <n v="1.8518518518518517E-2"/>
    <n v="0.97005988023952094"/>
    <x v="3"/>
    <n v="0"/>
    <n v="0"/>
    <s v="None"/>
    <n v="24"/>
    <n v="3600"/>
    <n v="23332"/>
    <n v="6940"/>
    <n v="6940"/>
    <x v="951"/>
    <n v="12000"/>
  </r>
  <r>
    <s v="PR-0768"/>
    <d v="2026-06-10T00:00:00"/>
    <x v="3"/>
    <x v="3"/>
    <s v="Wednesday"/>
    <x v="1"/>
    <x v="3"/>
    <x v="3"/>
    <s v="Toothpaste"/>
    <x v="8"/>
    <s v="Whitening Toothpaste 100g"/>
    <s v="B260610-L1B"/>
    <s v="S. Yadav"/>
    <x v="1"/>
    <x v="3"/>
    <x v="3"/>
    <n v="8680"/>
    <n v="7980"/>
    <n v="178"/>
    <n v="2.2305764411027568E-2"/>
    <n v="0.91935483870967738"/>
    <x v="3"/>
    <n v="0"/>
    <n v="0"/>
    <s v="None"/>
    <n v="38"/>
    <n v="6764"/>
    <n v="24503"/>
    <n v="7950"/>
    <n v="7950"/>
    <x v="952"/>
    <n v="13500"/>
  </r>
  <r>
    <s v="PR-1585"/>
    <d v="2026-08-24T00:00:00"/>
    <x v="1"/>
    <x v="1"/>
    <s v="Monday"/>
    <x v="0"/>
    <x v="3"/>
    <x v="3"/>
    <s v="Toothpaste"/>
    <x v="5"/>
    <s v="Charcoal Toothpaste 150g"/>
    <s v="B260824-L1A"/>
    <s v="R. Sharma"/>
    <x v="2"/>
    <x v="3"/>
    <x v="3"/>
    <n v="6200"/>
    <n v="5870"/>
    <n v="137"/>
    <n v="2.3339011925042591E-2"/>
    <n v="0.9467741935483871"/>
    <x v="2"/>
    <n v="31"/>
    <n v="0.51666666666666672"/>
    <s v="Changeover"/>
    <n v="51"/>
    <n v="6987"/>
    <n v="23965"/>
    <n v="5340"/>
    <n v="5340"/>
    <x v="953"/>
    <n v="9000"/>
  </r>
  <r>
    <s v="PR-0104"/>
    <d v="2026-04-10T00:00:00"/>
    <x v="5"/>
    <x v="5"/>
    <s v="Friday"/>
    <x v="0"/>
    <x v="2"/>
    <x v="2"/>
    <s v="Dental Floss"/>
    <x v="9"/>
    <s v="Waxed Floss 50m"/>
    <s v="B260410-L3A"/>
    <s v="R. Sharma"/>
    <x v="2"/>
    <x v="2"/>
    <x v="10"/>
    <n v="8260"/>
    <n v="8120"/>
    <n v="120"/>
    <n v="1.4778325123152709E-2"/>
    <n v="0.98305084745762716"/>
    <x v="3"/>
    <n v="0"/>
    <n v="0"/>
    <s v="None"/>
    <n v="24"/>
    <n v="2880"/>
    <n v="24562"/>
    <n v="8160"/>
    <n v="8160"/>
    <x v="954"/>
    <n v="12000"/>
  </r>
  <r>
    <s v="PR-0471"/>
    <d v="2026-05-14T00:00:00"/>
    <x v="4"/>
    <x v="4"/>
    <s v="Thursday"/>
    <x v="0"/>
    <x v="0"/>
    <x v="0"/>
    <s v="Mouthwash"/>
    <x v="0"/>
    <s v="Mint Mouthwash 250ml"/>
    <s v="B260514-L2A"/>
    <s v="K. Verma"/>
    <x v="2"/>
    <x v="0"/>
    <x v="1"/>
    <n v="7320"/>
    <n v="7240"/>
    <n v="77"/>
    <n v="1.0635359116022099E-2"/>
    <n v="0.98907103825136611"/>
    <x v="0"/>
    <n v="0"/>
    <n v="0"/>
    <s v="None"/>
    <n v="46"/>
    <n v="3542"/>
    <n v="23981"/>
    <n v="6740"/>
    <n v="6740"/>
    <x v="955"/>
    <n v="10500"/>
  </r>
  <r>
    <s v="PR-1717"/>
    <d v="2026-09-04T00:00:00"/>
    <x v="0"/>
    <x v="0"/>
    <s v="Friday"/>
    <x v="2"/>
    <x v="3"/>
    <x v="3"/>
    <s v="Toothpaste"/>
    <x v="5"/>
    <s v="Charcoal Toothpaste 150g"/>
    <s v="B260904-L1C"/>
    <s v="A. Gupta"/>
    <x v="2"/>
    <x v="3"/>
    <x v="8"/>
    <n v="5900"/>
    <n v="4740"/>
    <n v="166"/>
    <n v="3.5021097046413499E-2"/>
    <n v="0.80338983050847457"/>
    <x v="4"/>
    <n v="0"/>
    <n v="0"/>
    <s v="None"/>
    <n v="51"/>
    <n v="8466"/>
    <n v="25500"/>
    <n v="5670"/>
    <n v="5670"/>
    <x v="955"/>
    <n v="9000"/>
  </r>
  <r>
    <s v="PR-0597"/>
    <d v="2026-05-25T00:00:00"/>
    <x v="4"/>
    <x v="4"/>
    <s v="Monday"/>
    <x v="2"/>
    <x v="2"/>
    <x v="2"/>
    <s v="Dental Floss"/>
    <x v="6"/>
    <s v="Floss Picks (100 pcs)"/>
    <s v="B260525-L3C"/>
    <s v="M. Khan"/>
    <x v="2"/>
    <x v="2"/>
    <x v="8"/>
    <n v="6020"/>
    <n v="5730"/>
    <n v="197"/>
    <n v="3.4380453752181503E-2"/>
    <n v="0.95182724252491691"/>
    <x v="2"/>
    <n v="0"/>
    <n v="0"/>
    <s v="None"/>
    <n v="33"/>
    <n v="6501"/>
    <n v="24332"/>
    <n v="5460"/>
    <n v="5460"/>
    <x v="956"/>
    <n v="9750"/>
  </r>
  <r>
    <s v="PR-0267"/>
    <d v="2026-04-25T00:00:00"/>
    <x v="5"/>
    <x v="5"/>
    <s v="Saturday"/>
    <x v="0"/>
    <x v="3"/>
    <x v="3"/>
    <s v="Toothpaste"/>
    <x v="8"/>
    <s v="Whitening Toothpaste 100g"/>
    <s v="B260425-L1A"/>
    <s v="K. Verma"/>
    <x v="1"/>
    <x v="3"/>
    <x v="3"/>
    <n v="9490"/>
    <n v="9170"/>
    <n v="308"/>
    <n v="3.3587786259541987E-2"/>
    <n v="0.9662802950474183"/>
    <x v="3"/>
    <n v="0"/>
    <n v="0"/>
    <s v="None"/>
    <n v="38"/>
    <n v="11704"/>
    <n v="24111"/>
    <n v="8560"/>
    <n v="8560"/>
    <x v="957"/>
    <n v="13500"/>
  </r>
  <r>
    <s v="PR-0052"/>
    <d v="2026-04-05T00:00:00"/>
    <x v="5"/>
    <x v="5"/>
    <s v="Sunday"/>
    <x v="1"/>
    <x v="3"/>
    <x v="3"/>
    <s v="Toothpaste"/>
    <x v="7"/>
    <s v="Sensitive Toothpaste 100g"/>
    <s v="B260405-L1B"/>
    <s v="S. Yadav"/>
    <x v="2"/>
    <x v="3"/>
    <x v="4"/>
    <n v="5360"/>
    <n v="5010"/>
    <n v="155"/>
    <n v="3.0938123752495009E-2"/>
    <n v="0.93470149253731338"/>
    <x v="2"/>
    <n v="15"/>
    <n v="0.25"/>
    <s v="Changeover"/>
    <n v="42"/>
    <n v="6510"/>
    <n v="24727"/>
    <n v="5160"/>
    <n v="5160"/>
    <x v="958"/>
    <n v="12000"/>
  </r>
  <r>
    <s v="PR-0659"/>
    <d v="2026-05-31T00:00:00"/>
    <x v="4"/>
    <x v="4"/>
    <s v="Sunday"/>
    <x v="0"/>
    <x v="3"/>
    <x v="3"/>
    <s v="Toothpaste"/>
    <x v="8"/>
    <s v="Whitening Toothpaste 100g"/>
    <s v="B260531-L1A"/>
    <s v="R. Sharma"/>
    <x v="1"/>
    <x v="3"/>
    <x v="4"/>
    <n v="6710"/>
    <n v="5850"/>
    <n v="162"/>
    <n v="2.7692307692307693E-2"/>
    <n v="0.87183308494783907"/>
    <x v="3"/>
    <n v="0"/>
    <n v="0"/>
    <s v="None"/>
    <n v="38"/>
    <n v="6156"/>
    <n v="25511"/>
    <n v="6760"/>
    <n v="6760"/>
    <x v="959"/>
    <n v="13500"/>
  </r>
  <r>
    <s v="PR-0066"/>
    <d v="2026-04-07T00:00:00"/>
    <x v="5"/>
    <x v="5"/>
    <s v="Tuesday"/>
    <x v="0"/>
    <x v="3"/>
    <x v="3"/>
    <s v="Toothpaste"/>
    <x v="7"/>
    <s v="Sensitive Toothpaste 100g"/>
    <s v="B260407-L1A"/>
    <s v="R. Sharma"/>
    <x v="2"/>
    <x v="3"/>
    <x v="2"/>
    <n v="8380"/>
    <n v="8220"/>
    <n v="167"/>
    <n v="2.0316301703163016E-2"/>
    <n v="0.98090692124105017"/>
    <x v="2"/>
    <n v="0"/>
    <n v="0"/>
    <s v="None"/>
    <n v="42"/>
    <n v="7014"/>
    <n v="23492"/>
    <n v="7070"/>
    <n v="7070"/>
    <x v="960"/>
    <n v="12000"/>
  </r>
  <r>
    <s v="PR-0170"/>
    <d v="2026-04-16T00:00:00"/>
    <x v="5"/>
    <x v="5"/>
    <s v="Thursday"/>
    <x v="1"/>
    <x v="3"/>
    <x v="3"/>
    <s v="Toothpaste"/>
    <x v="7"/>
    <s v="Sensitive Toothpaste 100g"/>
    <s v="B260416-L1B"/>
    <s v="S. Yadav"/>
    <x v="2"/>
    <x v="3"/>
    <x v="3"/>
    <n v="7810"/>
    <n v="7400"/>
    <n v="237"/>
    <n v="3.2027027027027026E-2"/>
    <n v="0.94750320102432783"/>
    <x v="4"/>
    <n v="15"/>
    <n v="0.25"/>
    <s v="Cleaning / Sanitation"/>
    <n v="42"/>
    <n v="9954"/>
    <n v="23744"/>
    <n v="6430"/>
    <n v="6430"/>
    <x v="961"/>
    <n v="12000"/>
  </r>
  <r>
    <s v="PR-0740"/>
    <d v="2026-06-08T00:00:00"/>
    <x v="3"/>
    <x v="3"/>
    <s v="Monday"/>
    <x v="0"/>
    <x v="3"/>
    <x v="3"/>
    <s v="Toothpaste"/>
    <x v="8"/>
    <s v="Whitening Toothpaste 100g"/>
    <s v="B260608-L1A"/>
    <s v="K. Verma"/>
    <x v="2"/>
    <x v="3"/>
    <x v="2"/>
    <n v="8460"/>
    <n v="8300"/>
    <n v="155"/>
    <n v="1.8674698795180723E-2"/>
    <n v="0.98108747044917255"/>
    <x v="5"/>
    <n v="0"/>
    <n v="0"/>
    <s v="None"/>
    <n v="38"/>
    <n v="5890"/>
    <n v="23808"/>
    <n v="7450"/>
    <n v="7450"/>
    <x v="962"/>
    <n v="13500"/>
  </r>
  <r>
    <s v="PR-0011"/>
    <d v="2026-04-01T00:00:00"/>
    <x v="5"/>
    <x v="5"/>
    <s v="Wednesday"/>
    <x v="2"/>
    <x v="2"/>
    <x v="2"/>
    <s v="Dental Floss"/>
    <x v="9"/>
    <s v="Waxed Floss 50m"/>
    <s v="B260401-L3C"/>
    <s v="M. Khan"/>
    <x v="2"/>
    <x v="2"/>
    <x v="9"/>
    <n v="7890"/>
    <n v="7020"/>
    <n v="179"/>
    <n v="2.5498575498575499E-2"/>
    <n v="0.88973384030418246"/>
    <x v="0"/>
    <n v="60"/>
    <n v="1"/>
    <s v="Machine Breakdown"/>
    <n v="24"/>
    <n v="4296"/>
    <n v="24584"/>
    <n v="6880"/>
    <n v="6880"/>
    <x v="963"/>
    <n v="12000"/>
  </r>
  <r>
    <s v="PR-0088"/>
    <d v="2026-04-08T00:00:00"/>
    <x v="5"/>
    <x v="5"/>
    <s v="Wednesday"/>
    <x v="2"/>
    <x v="2"/>
    <x v="2"/>
    <s v="Dental Floss"/>
    <x v="9"/>
    <s v="Waxed Floss 50m"/>
    <s v="B260408-L3C"/>
    <s v="A. Gupta"/>
    <x v="1"/>
    <x v="2"/>
    <x v="9"/>
    <n v="7100"/>
    <n v="6050"/>
    <n v="123"/>
    <n v="2.0330578512396693E-2"/>
    <n v="0.852112676056338"/>
    <x v="4"/>
    <n v="0"/>
    <n v="0"/>
    <s v="None"/>
    <n v="24"/>
    <n v="2952"/>
    <n v="24845"/>
    <n v="6210"/>
    <n v="6210"/>
    <x v="964"/>
    <n v="12000"/>
  </r>
  <r>
    <s v="PR-0255"/>
    <d v="2026-04-24T00:00:00"/>
    <x v="5"/>
    <x v="5"/>
    <s v="Friday"/>
    <x v="0"/>
    <x v="3"/>
    <x v="3"/>
    <s v="Toothpaste"/>
    <x v="8"/>
    <s v="Whitening Toothpaste 100g"/>
    <s v="B260424-L1A"/>
    <s v="R. Sharma"/>
    <x v="2"/>
    <x v="3"/>
    <x v="4"/>
    <n v="9600"/>
    <n v="8860"/>
    <n v="243"/>
    <n v="2.7426636568848757E-2"/>
    <n v="0.92291666666666672"/>
    <x v="4"/>
    <n v="0"/>
    <n v="0"/>
    <s v="None"/>
    <n v="38"/>
    <n v="9234"/>
    <n v="23913"/>
    <n v="7960"/>
    <n v="7960"/>
    <x v="965"/>
    <n v="13500"/>
  </r>
  <r>
    <s v="PR-0723"/>
    <d v="2026-06-06T00:00:00"/>
    <x v="3"/>
    <x v="3"/>
    <s v="Saturday"/>
    <x v="0"/>
    <x v="3"/>
    <x v="3"/>
    <s v="Toothpaste"/>
    <x v="8"/>
    <s v="Whitening Toothpaste 100g"/>
    <s v="B260606-L1A"/>
    <s v="R. Sharma"/>
    <x v="1"/>
    <x v="3"/>
    <x v="3"/>
    <n v="9080"/>
    <n v="8290"/>
    <n v="171"/>
    <n v="2.0627261761158023E-2"/>
    <n v="0.91299559471365643"/>
    <x v="3"/>
    <n v="0"/>
    <n v="0"/>
    <s v="None"/>
    <n v="38"/>
    <n v="6498"/>
    <n v="24653"/>
    <n v="8200"/>
    <n v="8200"/>
    <x v="966"/>
    <n v="13500"/>
  </r>
  <r>
    <s v="PR-0007"/>
    <d v="2026-04-01T00:00:00"/>
    <x v="5"/>
    <x v="5"/>
    <s v="Wednesday"/>
    <x v="1"/>
    <x v="2"/>
    <x v="2"/>
    <s v="Dental Floss"/>
    <x v="9"/>
    <s v="Waxed Floss 50m"/>
    <s v="B260401-L3B"/>
    <s v="S. Yadav"/>
    <x v="2"/>
    <x v="2"/>
    <x v="10"/>
    <n v="8600"/>
    <n v="8940"/>
    <n v="166"/>
    <n v="1.8568232662192395E-2"/>
    <n v="1.0395348837209302"/>
    <x v="0"/>
    <n v="33"/>
    <n v="0.55000000000000004"/>
    <s v="Changeover"/>
    <n v="24"/>
    <n v="3984"/>
    <n v="24000"/>
    <n v="8190"/>
    <n v="8190"/>
    <x v="967"/>
    <n v="12000"/>
  </r>
  <r>
    <s v="PR-0261"/>
    <d v="2026-04-24T00:00:00"/>
    <x v="5"/>
    <x v="5"/>
    <s v="Friday"/>
    <x v="1"/>
    <x v="2"/>
    <x v="2"/>
    <s v="Dental Floss"/>
    <x v="9"/>
    <s v="Waxed Floss 50m"/>
    <s v="B260424-L3B"/>
    <s v="P. Singh"/>
    <x v="1"/>
    <x v="2"/>
    <x v="11"/>
    <n v="8300"/>
    <n v="6810"/>
    <n v="160"/>
    <n v="2.3494860499265784E-2"/>
    <n v="0.82048192771084338"/>
    <x v="4"/>
    <n v="0"/>
    <n v="0"/>
    <s v="None"/>
    <n v="24"/>
    <n v="3840"/>
    <n v="25527"/>
    <n v="7570"/>
    <n v="7570"/>
    <x v="968"/>
    <n v="12000"/>
  </r>
  <r>
    <s v="PR-0609"/>
    <d v="2026-05-26T00:00:00"/>
    <x v="4"/>
    <x v="4"/>
    <s v="Tuesday"/>
    <x v="2"/>
    <x v="2"/>
    <x v="2"/>
    <s v="Dental Floss"/>
    <x v="6"/>
    <s v="Floss Picks (100 pcs)"/>
    <s v="B260526-L3C"/>
    <s v="M. Khan"/>
    <x v="1"/>
    <x v="2"/>
    <x v="10"/>
    <n v="6370"/>
    <n v="5710"/>
    <n v="142"/>
    <n v="2.4868651488616462E-2"/>
    <n v="0.89638932496075352"/>
    <x v="2"/>
    <n v="72"/>
    <n v="1.2"/>
    <s v="Cleaning / Sanitation"/>
    <n v="33"/>
    <n v="4686"/>
    <n v="25029"/>
    <n v="5980"/>
    <n v="5980"/>
    <x v="969"/>
    <n v="9750"/>
  </r>
  <r>
    <s v="PR-0013"/>
    <d v="2026-04-02T00:00:00"/>
    <x v="5"/>
    <x v="5"/>
    <s v="Thursday"/>
    <x v="0"/>
    <x v="3"/>
    <x v="3"/>
    <s v="Toothpaste"/>
    <x v="7"/>
    <s v="Sensitive Toothpaste 100g"/>
    <s v="B260402-L1A"/>
    <s v="R. Sharma"/>
    <x v="1"/>
    <x v="3"/>
    <x v="2"/>
    <n v="8180"/>
    <n v="7890"/>
    <n v="201"/>
    <n v="2.547528517110266E-2"/>
    <n v="0.96454767726161372"/>
    <x v="5"/>
    <n v="44"/>
    <n v="0.73333333333333328"/>
    <s v="Material Shortage"/>
    <n v="42"/>
    <n v="8442"/>
    <n v="24045"/>
    <n v="7100"/>
    <n v="7100"/>
    <x v="970"/>
    <n v="12000"/>
  </r>
  <r>
    <s v="PR-0711"/>
    <d v="2026-06-05T00:00:00"/>
    <x v="3"/>
    <x v="3"/>
    <s v="Friday"/>
    <x v="0"/>
    <x v="3"/>
    <x v="3"/>
    <s v="Toothpaste"/>
    <x v="8"/>
    <s v="Whitening Toothpaste 100g"/>
    <s v="B260605-L1A"/>
    <s v="R. Sharma"/>
    <x v="1"/>
    <x v="3"/>
    <x v="4"/>
    <n v="9180"/>
    <n v="8110"/>
    <n v="225"/>
    <n v="2.7743526510480888E-2"/>
    <n v="0.88344226579520702"/>
    <x v="4"/>
    <n v="0"/>
    <n v="0"/>
    <s v="None"/>
    <n v="38"/>
    <n v="8550"/>
    <n v="25028"/>
    <n v="8260"/>
    <n v="8260"/>
    <x v="971"/>
    <n v="13500"/>
  </r>
  <r>
    <s v="PR-0186"/>
    <d v="2026-04-17T00:00:00"/>
    <x v="5"/>
    <x v="5"/>
    <s v="Friday"/>
    <x v="2"/>
    <x v="3"/>
    <x v="3"/>
    <s v="Toothpaste"/>
    <x v="7"/>
    <s v="Sensitive Toothpaste 100g"/>
    <s v="B260417-L1C"/>
    <s v="A. Gupta"/>
    <x v="1"/>
    <x v="3"/>
    <x v="3"/>
    <n v="7210"/>
    <n v="6860"/>
    <n v="109"/>
    <n v="1.5889212827988337E-2"/>
    <n v="0.95145631067961167"/>
    <x v="2"/>
    <n v="0"/>
    <n v="0"/>
    <s v="None"/>
    <n v="42"/>
    <n v="4578"/>
    <n v="24928"/>
    <n v="6980"/>
    <n v="6980"/>
    <x v="972"/>
    <n v="12000"/>
  </r>
  <r>
    <s v="PR-0045"/>
    <d v="2026-04-04T00:00:00"/>
    <x v="5"/>
    <x v="5"/>
    <s v="Saturday"/>
    <x v="2"/>
    <x v="3"/>
    <x v="3"/>
    <s v="Toothpaste"/>
    <x v="7"/>
    <s v="Sensitive Toothpaste 100g"/>
    <s v="B260404-L1C"/>
    <s v="M. Khan"/>
    <x v="2"/>
    <x v="3"/>
    <x v="5"/>
    <n v="7190"/>
    <n v="6050"/>
    <n v="167"/>
    <n v="2.7603305785123967E-2"/>
    <n v="0.84144645340751045"/>
    <x v="0"/>
    <n v="71"/>
    <n v="1.1833333333333333"/>
    <s v="Cleaning / Sanitation"/>
    <n v="42"/>
    <n v="7014"/>
    <n v="25294"/>
    <n v="6450"/>
    <n v="6450"/>
    <x v="973"/>
    <n v="12000"/>
  </r>
  <r>
    <s v="PR-0078"/>
    <d v="2026-04-08T00:00:00"/>
    <x v="5"/>
    <x v="5"/>
    <s v="Wednesday"/>
    <x v="0"/>
    <x v="3"/>
    <x v="3"/>
    <s v="Toothpaste"/>
    <x v="7"/>
    <s v="Sensitive Toothpaste 100g"/>
    <s v="B260408-L1A"/>
    <s v="K. Verma"/>
    <x v="2"/>
    <x v="3"/>
    <x v="3"/>
    <n v="7730"/>
    <n v="7190"/>
    <n v="176"/>
    <n v="2.4478442280945759E-2"/>
    <n v="0.93014230271668819"/>
    <x v="3"/>
    <n v="0"/>
    <n v="0"/>
    <s v="None"/>
    <n v="42"/>
    <n v="7392"/>
    <n v="24475"/>
    <n v="6750"/>
    <n v="6750"/>
    <x v="974"/>
    <n v="12000"/>
  </r>
  <r>
    <s v="PR-0952"/>
    <d v="2026-06-26T00:00:00"/>
    <x v="3"/>
    <x v="3"/>
    <s v="Friday"/>
    <x v="2"/>
    <x v="3"/>
    <x v="3"/>
    <s v="Toothpaste"/>
    <x v="7"/>
    <s v="Sensitive Toothpaste 100g"/>
    <s v="B260626-L1C"/>
    <s v="A. Gupta"/>
    <x v="1"/>
    <x v="3"/>
    <x v="3"/>
    <n v="7860"/>
    <n v="7410"/>
    <n v="276"/>
    <n v="3.724696356275304E-2"/>
    <n v="0.9427480916030534"/>
    <x v="2"/>
    <n v="0"/>
    <n v="0"/>
    <s v="None"/>
    <n v="42"/>
    <n v="11592"/>
    <n v="25093"/>
    <n v="7460"/>
    <n v="7460"/>
    <x v="975"/>
    <n v="12000"/>
  </r>
  <r>
    <s v="PR-0555"/>
    <d v="2026-05-21T00:00:00"/>
    <x v="4"/>
    <x v="4"/>
    <s v="Thursday"/>
    <x v="2"/>
    <x v="0"/>
    <x v="0"/>
    <s v="Mouthwash"/>
    <x v="0"/>
    <s v="Mint Mouthwash 250ml"/>
    <s v="B260521-L2C"/>
    <s v="A. Gupta"/>
    <x v="2"/>
    <x v="0"/>
    <x v="1"/>
    <n v="6670"/>
    <n v="6060"/>
    <n v="152"/>
    <n v="2.5082508250825083E-2"/>
    <n v="0.90854572713643178"/>
    <x v="0"/>
    <n v="0"/>
    <n v="0"/>
    <s v="None"/>
    <n v="46"/>
    <n v="6992"/>
    <n v="25292"/>
    <n v="6430"/>
    <n v="6430"/>
    <x v="976"/>
    <n v="10500"/>
  </r>
  <r>
    <s v="PR-0604"/>
    <d v="2026-05-26T00:00:00"/>
    <x v="4"/>
    <x v="4"/>
    <s v="Tuesday"/>
    <x v="1"/>
    <x v="0"/>
    <x v="0"/>
    <s v="Mouthwash"/>
    <x v="0"/>
    <s v="Mint Mouthwash 250ml"/>
    <s v="B260526-L2B"/>
    <s v="P. Singh"/>
    <x v="1"/>
    <x v="0"/>
    <x v="0"/>
    <n v="7020"/>
    <n v="6470"/>
    <n v="71"/>
    <n v="1.097372488408037E-2"/>
    <n v="0.92165242165242167"/>
    <x v="4"/>
    <n v="0"/>
    <n v="0"/>
    <s v="None"/>
    <n v="46"/>
    <n v="3266"/>
    <n v="25321"/>
    <n v="6940"/>
    <n v="6940"/>
    <x v="977"/>
    <n v="10500"/>
  </r>
  <r>
    <s v="PR-0862"/>
    <d v="2026-06-18T00:00:00"/>
    <x v="3"/>
    <x v="3"/>
    <s v="Thursday"/>
    <x v="2"/>
    <x v="3"/>
    <x v="3"/>
    <s v="Toothpaste"/>
    <x v="7"/>
    <s v="Sensitive Toothpaste 100g"/>
    <s v="B260618-L1C"/>
    <s v="A. Gupta"/>
    <x v="1"/>
    <x v="3"/>
    <x v="4"/>
    <n v="7930"/>
    <n v="7540"/>
    <n v="134"/>
    <n v="1.7771883289124667E-2"/>
    <n v="0.95081967213114749"/>
    <x v="5"/>
    <n v="0"/>
    <n v="0"/>
    <s v="None"/>
    <n v="42"/>
    <n v="5628"/>
    <n v="23515"/>
    <n v="6140"/>
    <n v="6140"/>
    <x v="978"/>
    <n v="12000"/>
  </r>
  <r>
    <s v="PR-0479"/>
    <d v="2026-05-14T00:00:00"/>
    <x v="4"/>
    <x v="4"/>
    <s v="Thursday"/>
    <x v="2"/>
    <x v="0"/>
    <x v="0"/>
    <s v="Mouthwash"/>
    <x v="0"/>
    <s v="Mint Mouthwash 250ml"/>
    <s v="B260514-L2C"/>
    <s v="A. Gupta"/>
    <x v="2"/>
    <x v="0"/>
    <x v="1"/>
    <n v="6680"/>
    <n v="6390"/>
    <n v="156"/>
    <n v="2.4413145539906103E-2"/>
    <n v="0.95658682634730541"/>
    <x v="4"/>
    <n v="52"/>
    <n v="0.8666666666666667"/>
    <s v="Power Interruption"/>
    <n v="46"/>
    <n v="7176"/>
    <n v="24198"/>
    <n v="5630"/>
    <n v="5630"/>
    <x v="979"/>
    <n v="10500"/>
  </r>
  <r>
    <s v="PR-0084"/>
    <d v="2026-04-08T00:00:00"/>
    <x v="5"/>
    <x v="5"/>
    <s v="Wednesday"/>
    <x v="1"/>
    <x v="2"/>
    <x v="2"/>
    <s v="Dental Floss"/>
    <x v="9"/>
    <s v="Waxed Floss 50m"/>
    <s v="B260408-L3B"/>
    <s v="P. Singh"/>
    <x v="2"/>
    <x v="2"/>
    <x v="8"/>
    <n v="8450"/>
    <n v="7980"/>
    <n v="157"/>
    <n v="1.967418546365915E-2"/>
    <n v="0.9443786982248521"/>
    <x v="5"/>
    <n v="0"/>
    <n v="0"/>
    <s v="None"/>
    <n v="24"/>
    <n v="3768"/>
    <n v="24342"/>
    <n v="7320"/>
    <n v="7320"/>
    <x v="980"/>
    <n v="12000"/>
  </r>
  <r>
    <s v="PR-0619"/>
    <d v="2026-05-27T00:00:00"/>
    <x v="4"/>
    <x v="4"/>
    <s v="Wednesday"/>
    <x v="2"/>
    <x v="3"/>
    <x v="3"/>
    <s v="Toothpaste"/>
    <x v="8"/>
    <s v="Whitening Toothpaste 100g"/>
    <s v="B260527-L1C"/>
    <s v="M. Khan"/>
    <x v="2"/>
    <x v="3"/>
    <x v="3"/>
    <n v="8250"/>
    <n v="7570"/>
    <n v="110"/>
    <n v="1.4531043593130779E-2"/>
    <n v="0.9175757575757576"/>
    <x v="5"/>
    <n v="0"/>
    <n v="0"/>
    <s v="None"/>
    <n v="38"/>
    <n v="4180"/>
    <n v="25215"/>
    <n v="7810"/>
    <n v="7810"/>
    <x v="981"/>
    <n v="13500"/>
  </r>
  <r>
    <s v="PR-0174"/>
    <d v="2026-04-16T00:00:00"/>
    <x v="5"/>
    <x v="5"/>
    <s v="Thursday"/>
    <x v="2"/>
    <x v="3"/>
    <x v="3"/>
    <s v="Toothpaste"/>
    <x v="7"/>
    <s v="Sensitive Toothpaste 100g"/>
    <s v="B260416-L1C"/>
    <s v="A. Gupta"/>
    <x v="2"/>
    <x v="3"/>
    <x v="3"/>
    <n v="7880"/>
    <n v="7260"/>
    <n v="109"/>
    <n v="1.5013774104683195E-2"/>
    <n v="0.92131979695431476"/>
    <x v="4"/>
    <n v="0"/>
    <n v="0"/>
    <s v="None"/>
    <n v="42"/>
    <n v="4578"/>
    <n v="24477"/>
    <n v="6700"/>
    <n v="6700"/>
    <x v="982"/>
    <n v="12000"/>
  </r>
  <r>
    <s v="PR-0580"/>
    <d v="2026-05-23T00:00:00"/>
    <x v="4"/>
    <x v="4"/>
    <s v="Saturday"/>
    <x v="2"/>
    <x v="2"/>
    <x v="2"/>
    <s v="Dental Floss"/>
    <x v="6"/>
    <s v="Floss Picks (100 pcs)"/>
    <s v="B260523-L3C"/>
    <s v="A. Gupta"/>
    <x v="2"/>
    <x v="2"/>
    <x v="10"/>
    <n v="6170"/>
    <n v="6420"/>
    <n v="189"/>
    <n v="2.9439252336448597E-2"/>
    <n v="1.0405186385737439"/>
    <x v="3"/>
    <n v="28"/>
    <n v="0.46666666666666667"/>
    <s v="Machine Breakdown"/>
    <n v="33"/>
    <n v="6237"/>
    <n v="24042"/>
    <n v="5340"/>
    <n v="5340"/>
    <x v="983"/>
    <n v="9750"/>
  </r>
  <r>
    <s v="PR-0635"/>
    <d v="2026-05-29T00:00:00"/>
    <x v="4"/>
    <x v="4"/>
    <s v="Friday"/>
    <x v="0"/>
    <x v="3"/>
    <x v="3"/>
    <s v="Toothpaste"/>
    <x v="8"/>
    <s v="Whitening Toothpaste 100g"/>
    <s v="B260529-L1A"/>
    <s v="K. Verma"/>
    <x v="1"/>
    <x v="3"/>
    <x v="3"/>
    <n v="8850"/>
    <n v="8250"/>
    <n v="199"/>
    <n v="2.412121212121212E-2"/>
    <n v="0.93220338983050843"/>
    <x v="3"/>
    <n v="0"/>
    <n v="0"/>
    <s v="None"/>
    <n v="38"/>
    <n v="7562"/>
    <n v="25683"/>
    <n v="8800"/>
    <n v="8800"/>
    <x v="984"/>
    <n v="13500"/>
  </r>
  <r>
    <s v="PR-0727"/>
    <d v="2026-06-06T00:00:00"/>
    <x v="3"/>
    <x v="3"/>
    <s v="Saturday"/>
    <x v="1"/>
    <x v="3"/>
    <x v="3"/>
    <s v="Toothpaste"/>
    <x v="8"/>
    <s v="Whitening Toothpaste 100g"/>
    <s v="B260606-L1B"/>
    <s v="P. Singh"/>
    <x v="1"/>
    <x v="3"/>
    <x v="2"/>
    <n v="9230"/>
    <n v="8930"/>
    <n v="208"/>
    <n v="2.3292273236282194E-2"/>
    <n v="0.96749729144095342"/>
    <x v="4"/>
    <n v="10"/>
    <n v="0.16666666666666666"/>
    <s v="Cleaning / Sanitation"/>
    <n v="38"/>
    <n v="7904"/>
    <n v="24572"/>
    <n v="8360"/>
    <n v="8360"/>
    <x v="984"/>
    <n v="13500"/>
  </r>
  <r>
    <s v="PR-0695"/>
    <d v="2026-06-03T00:00:00"/>
    <x v="3"/>
    <x v="3"/>
    <s v="Wednesday"/>
    <x v="2"/>
    <x v="3"/>
    <x v="3"/>
    <s v="Toothpaste"/>
    <x v="8"/>
    <s v="Whitening Toothpaste 100g"/>
    <s v="B260603-L1C"/>
    <s v="A. Gupta"/>
    <x v="2"/>
    <x v="3"/>
    <x v="3"/>
    <n v="7990"/>
    <n v="7540"/>
    <n v="173"/>
    <n v="2.2944297082228116E-2"/>
    <n v="0.94367959949937419"/>
    <x v="2"/>
    <n v="0"/>
    <n v="0"/>
    <s v="None"/>
    <n v="38"/>
    <n v="6574"/>
    <n v="25189"/>
    <n v="7610"/>
    <n v="7610"/>
    <x v="985"/>
    <n v="13500"/>
  </r>
  <r>
    <s v="PR-0882"/>
    <d v="2026-06-20T00:00:00"/>
    <x v="3"/>
    <x v="3"/>
    <s v="Saturday"/>
    <x v="1"/>
    <x v="3"/>
    <x v="3"/>
    <s v="Toothpaste"/>
    <x v="7"/>
    <s v="Sensitive Toothpaste 100g"/>
    <s v="B260620-L1B"/>
    <s v="S. Yadav"/>
    <x v="1"/>
    <x v="3"/>
    <x v="4"/>
    <n v="7420"/>
    <n v="6820"/>
    <n v="192"/>
    <n v="2.8152492668621701E-2"/>
    <n v="0.91913746630727766"/>
    <x v="4"/>
    <n v="0"/>
    <n v="0"/>
    <s v="None"/>
    <n v="42"/>
    <n v="8064"/>
    <n v="24781"/>
    <n v="6440"/>
    <n v="6440"/>
    <x v="986"/>
    <n v="12000"/>
  </r>
  <r>
    <s v="PR-0033"/>
    <d v="2026-04-03T00:00:00"/>
    <x v="5"/>
    <x v="5"/>
    <s v="Friday"/>
    <x v="2"/>
    <x v="3"/>
    <x v="3"/>
    <s v="Toothpaste"/>
    <x v="7"/>
    <s v="Sensitive Toothpaste 100g"/>
    <s v="B260403-L1C"/>
    <s v="A. Gupta"/>
    <x v="2"/>
    <x v="3"/>
    <x v="5"/>
    <n v="7820"/>
    <n v="6640"/>
    <n v="61"/>
    <n v="9.186746987951808E-3"/>
    <n v="0.84910485933503832"/>
    <x v="0"/>
    <n v="0"/>
    <n v="0"/>
    <s v="None"/>
    <n v="42"/>
    <n v="2562"/>
    <n v="25490"/>
    <n v="7070"/>
    <n v="7070"/>
    <x v="987"/>
    <n v="12000"/>
  </r>
  <r>
    <s v="PR-0487"/>
    <d v="2026-05-15T00:00:00"/>
    <x v="4"/>
    <x v="4"/>
    <s v="Friday"/>
    <x v="1"/>
    <x v="0"/>
    <x v="0"/>
    <s v="Mouthwash"/>
    <x v="0"/>
    <s v="Mint Mouthwash 250ml"/>
    <s v="B260515-L2B"/>
    <s v="S. Yadav"/>
    <x v="1"/>
    <x v="0"/>
    <x v="1"/>
    <n v="6980"/>
    <n v="6630"/>
    <n v="101"/>
    <n v="1.5233785822021116E-2"/>
    <n v="0.94985673352435529"/>
    <x v="2"/>
    <n v="19"/>
    <n v="0.31666666666666665"/>
    <s v="Changeover"/>
    <n v="46"/>
    <n v="4646"/>
    <n v="24802"/>
    <n v="6330"/>
    <n v="6330"/>
    <x v="988"/>
    <n v="10500"/>
  </r>
  <r>
    <s v="PR-0108"/>
    <d v="2026-04-10T00:00:00"/>
    <x v="5"/>
    <x v="5"/>
    <s v="Friday"/>
    <x v="1"/>
    <x v="2"/>
    <x v="2"/>
    <s v="Dental Floss"/>
    <x v="9"/>
    <s v="Waxed Floss 50m"/>
    <s v="B260410-L3B"/>
    <s v="S. Yadav"/>
    <x v="1"/>
    <x v="2"/>
    <x v="8"/>
    <n v="8440"/>
    <n v="7890"/>
    <n v="235"/>
    <n v="2.9784537389100127E-2"/>
    <n v="0.93483412322274884"/>
    <x v="3"/>
    <n v="39"/>
    <n v="0.65"/>
    <s v="Machine Breakdown"/>
    <n v="24"/>
    <n v="5640"/>
    <n v="24402"/>
    <n v="7040"/>
    <n v="7040"/>
    <x v="989"/>
    <n v="12000"/>
  </r>
  <r>
    <s v="PR-0703"/>
    <d v="2026-06-04T00:00:00"/>
    <x v="3"/>
    <x v="3"/>
    <s v="Thursday"/>
    <x v="1"/>
    <x v="3"/>
    <x v="3"/>
    <s v="Toothpaste"/>
    <x v="8"/>
    <s v="Whitening Toothpaste 100g"/>
    <s v="B260604-L1B"/>
    <s v="P. Singh"/>
    <x v="1"/>
    <x v="3"/>
    <x v="3"/>
    <n v="9540"/>
    <n v="9080"/>
    <n v="138"/>
    <n v="1.5198237885462556E-2"/>
    <n v="0.95178197064989523"/>
    <x v="2"/>
    <n v="0"/>
    <n v="0"/>
    <s v="None"/>
    <n v="38"/>
    <n v="5244"/>
    <n v="24946"/>
    <n v="8860"/>
    <n v="8860"/>
    <x v="990"/>
    <n v="13500"/>
  </r>
  <r>
    <s v="PR-0605"/>
    <d v="2026-05-26T00:00:00"/>
    <x v="4"/>
    <x v="4"/>
    <s v="Tuesday"/>
    <x v="1"/>
    <x v="2"/>
    <x v="2"/>
    <s v="Dental Floss"/>
    <x v="6"/>
    <s v="Floss Picks (100 pcs)"/>
    <s v="B260526-L3B"/>
    <s v="S. Yadav"/>
    <x v="1"/>
    <x v="2"/>
    <x v="8"/>
    <n v="7020"/>
    <n v="6430"/>
    <n v="186"/>
    <n v="2.8926905132192846E-2"/>
    <n v="0.91595441595441596"/>
    <x v="4"/>
    <n v="0"/>
    <n v="0"/>
    <s v="None"/>
    <n v="33"/>
    <n v="6138"/>
    <n v="24405"/>
    <n v="5620"/>
    <n v="5620"/>
    <x v="991"/>
    <n v="9750"/>
  </r>
  <r>
    <s v="PR-0049"/>
    <d v="2026-04-05T00:00:00"/>
    <x v="5"/>
    <x v="5"/>
    <s v="Sunday"/>
    <x v="0"/>
    <x v="3"/>
    <x v="3"/>
    <s v="Toothpaste"/>
    <x v="8"/>
    <s v="Whitening Toothpaste 100g"/>
    <s v="B260405-L1A"/>
    <s v="R. Sharma"/>
    <x v="1"/>
    <x v="3"/>
    <x v="4"/>
    <n v="6340"/>
    <n v="5710"/>
    <n v="180"/>
    <n v="3.1523642732049037E-2"/>
    <n v="0.90063091482649837"/>
    <x v="5"/>
    <n v="0"/>
    <n v="0"/>
    <s v="None"/>
    <n v="38"/>
    <n v="6840"/>
    <n v="25124"/>
    <n v="5590"/>
    <n v="5590"/>
    <x v="992"/>
    <n v="13500"/>
  </r>
  <r>
    <s v="PR-0127"/>
    <d v="2026-04-12T00:00:00"/>
    <x v="5"/>
    <x v="5"/>
    <s v="Sunday"/>
    <x v="0"/>
    <x v="2"/>
    <x v="2"/>
    <s v="Dental Floss"/>
    <x v="9"/>
    <s v="Waxed Floss 50m"/>
    <s v="B260412-L3A"/>
    <s v="K. Verma"/>
    <x v="1"/>
    <x v="2"/>
    <x v="8"/>
    <n v="5240"/>
    <n v="4780"/>
    <n v="132"/>
    <n v="2.7615062761506277E-2"/>
    <n v="0.91221374045801529"/>
    <x v="5"/>
    <n v="15"/>
    <n v="0.25"/>
    <s v="Changeover"/>
    <n v="24"/>
    <n v="3168"/>
    <n v="25216"/>
    <n v="4800"/>
    <n v="4800"/>
    <x v="992"/>
    <n v="12000"/>
  </r>
  <r>
    <s v="PR-0265"/>
    <d v="2026-04-24T00:00:00"/>
    <x v="5"/>
    <x v="5"/>
    <s v="Friday"/>
    <x v="2"/>
    <x v="2"/>
    <x v="2"/>
    <s v="Dental Floss"/>
    <x v="9"/>
    <s v="Waxed Floss 50m"/>
    <s v="B260424-L3C"/>
    <s v="A. Gupta"/>
    <x v="1"/>
    <x v="2"/>
    <x v="8"/>
    <n v="7500"/>
    <n v="7100"/>
    <n v="118"/>
    <n v="1.6619718309859154E-2"/>
    <n v="0.94666666666666666"/>
    <x v="3"/>
    <n v="0"/>
    <n v="0"/>
    <s v="None"/>
    <n v="24"/>
    <n v="2832"/>
    <n v="24607"/>
    <n v="6500"/>
    <n v="6500"/>
    <x v="993"/>
    <n v="12000"/>
  </r>
  <r>
    <s v="PR-0916"/>
    <d v="2026-06-23T00:00:00"/>
    <x v="3"/>
    <x v="3"/>
    <s v="Tuesday"/>
    <x v="2"/>
    <x v="3"/>
    <x v="3"/>
    <s v="Toothpaste"/>
    <x v="7"/>
    <s v="Sensitive Toothpaste 100g"/>
    <s v="B260623-L1C"/>
    <s v="A. Gupta"/>
    <x v="2"/>
    <x v="3"/>
    <x v="10"/>
    <n v="7640"/>
    <n v="6100"/>
    <n v="168"/>
    <n v="2.7540983606557379E-2"/>
    <n v="0.79842931937172779"/>
    <x v="3"/>
    <n v="0"/>
    <n v="0"/>
    <s v="None"/>
    <n v="42"/>
    <n v="7056"/>
    <n v="26151"/>
    <n v="6990"/>
    <n v="6990"/>
    <x v="994"/>
    <n v="12000"/>
  </r>
  <r>
    <s v="PR-0275"/>
    <d v="2026-04-25T00:00:00"/>
    <x v="5"/>
    <x v="5"/>
    <s v="Saturday"/>
    <x v="2"/>
    <x v="3"/>
    <x v="3"/>
    <s v="Toothpaste"/>
    <x v="8"/>
    <s v="Whitening Toothpaste 100g"/>
    <s v="B260425-L1C"/>
    <s v="A. Gupta"/>
    <x v="1"/>
    <x v="3"/>
    <x v="3"/>
    <n v="8870"/>
    <n v="8430"/>
    <n v="123"/>
    <n v="1.4590747330960854E-2"/>
    <n v="0.95039458850056369"/>
    <x v="2"/>
    <n v="0"/>
    <n v="0"/>
    <s v="None"/>
    <n v="38"/>
    <n v="4674"/>
    <n v="24413"/>
    <n v="7620"/>
    <n v="7620"/>
    <x v="995"/>
    <n v="13500"/>
  </r>
  <r>
    <s v="PR-0021"/>
    <d v="2026-04-02T00:00:00"/>
    <x v="5"/>
    <x v="5"/>
    <s v="Thursday"/>
    <x v="2"/>
    <x v="3"/>
    <x v="3"/>
    <s v="Toothpaste"/>
    <x v="8"/>
    <s v="Whitening Toothpaste 100g"/>
    <s v="B260402-L1C"/>
    <s v="A. Gupta"/>
    <x v="2"/>
    <x v="3"/>
    <x v="4"/>
    <n v="8880"/>
    <n v="7690"/>
    <n v="319"/>
    <n v="4.1482444733420026E-2"/>
    <n v="0.86599099099099097"/>
    <x v="4"/>
    <n v="24"/>
    <n v="0.4"/>
    <s v="Machine Breakdown"/>
    <n v="38"/>
    <n v="12122"/>
    <n v="26313"/>
    <n v="8560"/>
    <n v="8560"/>
    <x v="996"/>
    <n v="13500"/>
  </r>
  <r>
    <s v="PR-0583"/>
    <d v="2026-05-24T00:00:00"/>
    <x v="4"/>
    <x v="4"/>
    <s v="Sunday"/>
    <x v="0"/>
    <x v="0"/>
    <x v="0"/>
    <s v="Mouthwash"/>
    <x v="0"/>
    <s v="Mint Mouthwash 250ml"/>
    <s v="B260524-L2A"/>
    <s v="K. Verma"/>
    <x v="2"/>
    <x v="0"/>
    <x v="0"/>
    <n v="4590"/>
    <n v="4450"/>
    <n v="132"/>
    <n v="2.9662921348314608E-2"/>
    <n v="0.9694989106753813"/>
    <x v="3"/>
    <n v="57"/>
    <n v="0.95"/>
    <s v="Changeover"/>
    <n v="46"/>
    <n v="6072"/>
    <n v="24770"/>
    <n v="3950"/>
    <n v="3950"/>
    <x v="997"/>
    <n v="10500"/>
  </r>
  <r>
    <s v="PR-0613"/>
    <d v="2026-05-27T00:00:00"/>
    <x v="4"/>
    <x v="4"/>
    <s v="Wednesday"/>
    <x v="0"/>
    <x v="2"/>
    <x v="2"/>
    <s v="Dental Floss"/>
    <x v="6"/>
    <s v="Floss Picks (100 pcs)"/>
    <s v="B260527-L3A"/>
    <s v="R. Sharma"/>
    <x v="2"/>
    <x v="2"/>
    <x v="10"/>
    <n v="6850"/>
    <n v="6930"/>
    <n v="132"/>
    <n v="1.9047619047619049E-2"/>
    <n v="1.0116788321167882"/>
    <x v="5"/>
    <n v="73"/>
    <n v="1.2166666666666666"/>
    <s v="Changeover"/>
    <n v="33"/>
    <n v="4356"/>
    <n v="24617"/>
    <n v="6260"/>
    <n v="6260"/>
    <x v="998"/>
    <n v="9750"/>
  </r>
  <r>
    <s v="PR-0683"/>
    <d v="2026-06-02T00:00:00"/>
    <x v="3"/>
    <x v="3"/>
    <s v="Tuesday"/>
    <x v="2"/>
    <x v="3"/>
    <x v="3"/>
    <s v="Toothpaste"/>
    <x v="8"/>
    <s v="Whitening Toothpaste 100g"/>
    <s v="B260602-L1C"/>
    <s v="M. Khan"/>
    <x v="2"/>
    <x v="3"/>
    <x v="3"/>
    <n v="8700"/>
    <n v="8190"/>
    <n v="209"/>
    <n v="2.5518925518925518E-2"/>
    <n v="0.94137931034482758"/>
    <x v="3"/>
    <n v="0"/>
    <n v="0"/>
    <s v="None"/>
    <n v="38"/>
    <n v="7942"/>
    <n v="25288"/>
    <n v="8080"/>
    <n v="8080"/>
    <x v="999"/>
    <n v="13500"/>
  </r>
  <r>
    <s v="PR-0608"/>
    <d v="2026-05-26T00:00:00"/>
    <x v="4"/>
    <x v="4"/>
    <s v="Tuesday"/>
    <x v="2"/>
    <x v="0"/>
    <x v="0"/>
    <s v="Mouthwash"/>
    <x v="0"/>
    <s v="Mint Mouthwash 250ml"/>
    <s v="B260526-L2C"/>
    <s v="M. Khan"/>
    <x v="2"/>
    <x v="0"/>
    <x v="0"/>
    <n v="6910"/>
    <n v="6830"/>
    <n v="207"/>
    <n v="3.0307467057101026E-2"/>
    <n v="0.98842257597684513"/>
    <x v="3"/>
    <n v="0"/>
    <n v="0"/>
    <s v="None"/>
    <n v="46"/>
    <n v="9522"/>
    <n v="24780"/>
    <n v="6210"/>
    <n v="6210"/>
    <x v="1000"/>
    <n v="10500"/>
  </r>
  <r>
    <s v="PR-0299"/>
    <d v="2026-04-28T00:00:00"/>
    <x v="5"/>
    <x v="5"/>
    <s v="Tuesday"/>
    <x v="1"/>
    <x v="2"/>
    <x v="2"/>
    <s v="Dental Floss"/>
    <x v="9"/>
    <s v="Waxed Floss 50m"/>
    <s v="B260428-L3B"/>
    <s v="P. Singh"/>
    <x v="2"/>
    <x v="2"/>
    <x v="9"/>
    <n v="7460"/>
    <n v="6530"/>
    <n v="172"/>
    <n v="2.6339969372128638E-2"/>
    <n v="0.87533512064343166"/>
    <x v="0"/>
    <n v="48"/>
    <n v="0.8"/>
    <s v="Machine Breakdown"/>
    <n v="24"/>
    <n v="4128"/>
    <n v="25560"/>
    <n v="6720"/>
    <n v="6720"/>
    <x v="1001"/>
    <n v="12000"/>
  </r>
  <r>
    <s v="PR-0633"/>
    <d v="2026-05-28T00:00:00"/>
    <x v="4"/>
    <x v="4"/>
    <s v="Thursday"/>
    <x v="2"/>
    <x v="2"/>
    <x v="2"/>
    <s v="Dental Floss"/>
    <x v="6"/>
    <s v="Floss Picks (100 pcs)"/>
    <s v="B260528-L3C"/>
    <s v="M. Khan"/>
    <x v="2"/>
    <x v="2"/>
    <x v="11"/>
    <n v="6270"/>
    <n v="5480"/>
    <n v="239"/>
    <n v="4.3613138686131384E-2"/>
    <n v="0.87400318979266345"/>
    <x v="5"/>
    <n v="0"/>
    <n v="0"/>
    <s v="None"/>
    <n v="33"/>
    <n v="7887"/>
    <n v="25771"/>
    <n v="5810"/>
    <n v="5810"/>
    <x v="1002"/>
    <n v="9750"/>
  </r>
  <r>
    <s v="PR-0607"/>
    <d v="2026-05-26T00:00:00"/>
    <x v="4"/>
    <x v="4"/>
    <s v="Tuesday"/>
    <x v="2"/>
    <x v="3"/>
    <x v="3"/>
    <s v="Toothpaste"/>
    <x v="8"/>
    <s v="Whitening Toothpaste 100g"/>
    <s v="B260526-L1C"/>
    <s v="M. Khan"/>
    <x v="2"/>
    <x v="3"/>
    <x v="5"/>
    <n v="8260"/>
    <n v="7430"/>
    <n v="162"/>
    <n v="2.180349932705249E-2"/>
    <n v="0.8995157384987893"/>
    <x v="4"/>
    <n v="0"/>
    <n v="0"/>
    <s v="None"/>
    <n v="38"/>
    <n v="6156"/>
    <n v="25627"/>
    <n v="7680"/>
    <n v="7680"/>
    <x v="1003"/>
    <n v="13500"/>
  </r>
  <r>
    <s v="PR-0124"/>
    <d v="2026-04-11T00:00:00"/>
    <x v="5"/>
    <x v="5"/>
    <s v="Saturday"/>
    <x v="2"/>
    <x v="2"/>
    <x v="2"/>
    <s v="Dental Floss"/>
    <x v="9"/>
    <s v="Waxed Floss 50m"/>
    <s v="B260411-L3C"/>
    <s v="M. Khan"/>
    <x v="1"/>
    <x v="2"/>
    <x v="8"/>
    <n v="7720"/>
    <n v="7090"/>
    <n v="205"/>
    <n v="2.8913963328631876E-2"/>
    <n v="0.91839378238341973"/>
    <x v="4"/>
    <n v="0"/>
    <n v="0"/>
    <s v="None"/>
    <n v="24"/>
    <n v="4920"/>
    <n v="25751"/>
    <n v="7420"/>
    <n v="7420"/>
    <x v="1004"/>
    <n v="12000"/>
  </r>
  <r>
    <s v="PR-0788"/>
    <d v="2026-06-12T00:00:00"/>
    <x v="3"/>
    <x v="3"/>
    <s v="Friday"/>
    <x v="0"/>
    <x v="3"/>
    <x v="3"/>
    <s v="Toothpaste"/>
    <x v="8"/>
    <s v="Whitening Toothpaste 100g"/>
    <s v="B260612-L1A"/>
    <s v="R. Sharma"/>
    <x v="1"/>
    <x v="3"/>
    <x v="2"/>
    <n v="8560"/>
    <n v="8440"/>
    <n v="198"/>
    <n v="2.3459715639810426E-2"/>
    <n v="0.98598130841121501"/>
    <x v="0"/>
    <n v="0"/>
    <n v="0"/>
    <s v="None"/>
    <n v="38"/>
    <n v="7524"/>
    <n v="23961"/>
    <n v="6950"/>
    <n v="6950"/>
    <x v="1005"/>
    <n v="13500"/>
  </r>
  <r>
    <s v="PR-0667"/>
    <d v="2026-06-01T00:00:00"/>
    <x v="3"/>
    <x v="3"/>
    <s v="Monday"/>
    <x v="1"/>
    <x v="3"/>
    <x v="3"/>
    <s v="Toothpaste"/>
    <x v="8"/>
    <s v="Whitening Toothpaste 100g"/>
    <s v="B260601-L1B"/>
    <s v="P. Singh"/>
    <x v="2"/>
    <x v="3"/>
    <x v="2"/>
    <n v="9560"/>
    <n v="9380"/>
    <n v="140"/>
    <n v="1.4925373134328358E-2"/>
    <n v="0.98117154811715479"/>
    <x v="4"/>
    <n v="0"/>
    <n v="0"/>
    <s v="None"/>
    <n v="38"/>
    <n v="5320"/>
    <n v="25448"/>
    <n v="9400"/>
    <n v="9400"/>
    <x v="1006"/>
    <n v="13500"/>
  </r>
  <r>
    <s v="PR-0551"/>
    <d v="2026-05-21T00:00:00"/>
    <x v="4"/>
    <x v="4"/>
    <s v="Thursday"/>
    <x v="1"/>
    <x v="0"/>
    <x v="0"/>
    <s v="Mouthwash"/>
    <x v="0"/>
    <s v="Mint Mouthwash 250ml"/>
    <s v="B260521-L2B"/>
    <s v="S. Yadav"/>
    <x v="1"/>
    <x v="0"/>
    <x v="0"/>
    <n v="7270"/>
    <n v="6410"/>
    <n v="236"/>
    <n v="3.6817472698907956E-2"/>
    <n v="0.8817056396148556"/>
    <x v="0"/>
    <n v="0"/>
    <n v="0"/>
    <s v="None"/>
    <n v="46"/>
    <n v="10856"/>
    <n v="25768"/>
    <n v="6650"/>
    <n v="6650"/>
    <x v="1007"/>
    <n v="10500"/>
  </r>
  <r>
    <s v="PR-0041"/>
    <d v="2026-04-04T00:00:00"/>
    <x v="5"/>
    <x v="5"/>
    <s v="Saturday"/>
    <x v="1"/>
    <x v="3"/>
    <x v="3"/>
    <s v="Toothpaste"/>
    <x v="7"/>
    <s v="Sensitive Toothpaste 100g"/>
    <s v="B260404-L1B"/>
    <s v="S. Yadav"/>
    <x v="2"/>
    <x v="3"/>
    <x v="2"/>
    <n v="8240"/>
    <n v="7910"/>
    <n v="155"/>
    <n v="1.9595448798988623E-2"/>
    <n v="0.95995145631067957"/>
    <x v="3"/>
    <n v="0"/>
    <n v="0"/>
    <s v="None"/>
    <n v="42"/>
    <n v="6510"/>
    <n v="24999"/>
    <n v="7460"/>
    <n v="7460"/>
    <x v="1008"/>
    <n v="12000"/>
  </r>
  <r>
    <s v="PR-0600"/>
    <d v="2026-05-26T00:00:00"/>
    <x v="4"/>
    <x v="4"/>
    <s v="Tuesday"/>
    <x v="0"/>
    <x v="0"/>
    <x v="0"/>
    <s v="Mouthwash"/>
    <x v="0"/>
    <s v="Mint Mouthwash 250ml"/>
    <s v="B260526-L2A"/>
    <s v="R. Sharma"/>
    <x v="2"/>
    <x v="0"/>
    <x v="0"/>
    <n v="6610"/>
    <n v="6360"/>
    <n v="157"/>
    <n v="2.468553459119497E-2"/>
    <n v="0.96217851739788196"/>
    <x v="0"/>
    <n v="41"/>
    <n v="0.68333333333333335"/>
    <s v="Changeover"/>
    <n v="46"/>
    <n v="7222"/>
    <n v="25138"/>
    <n v="6020"/>
    <n v="6020"/>
    <x v="1009"/>
    <n v="10500"/>
  </r>
  <r>
    <s v="PR-1621"/>
    <d v="2026-08-27T00:00:00"/>
    <x v="1"/>
    <x v="1"/>
    <s v="Thursday"/>
    <x v="0"/>
    <x v="3"/>
    <x v="3"/>
    <s v="Toothpaste"/>
    <x v="5"/>
    <s v="Charcoal Toothpaste 150g"/>
    <s v="B260827-L1A"/>
    <s v="R. Sharma"/>
    <x v="1"/>
    <x v="3"/>
    <x v="2"/>
    <n v="5610"/>
    <n v="5530"/>
    <n v="137"/>
    <n v="2.4773960216998191E-2"/>
    <n v="0.98573975044563278"/>
    <x v="5"/>
    <n v="0"/>
    <n v="0"/>
    <s v="None"/>
    <n v="51"/>
    <n v="6987"/>
    <n v="24358"/>
    <n v="4430"/>
    <n v="4430"/>
    <x v="1009"/>
    <n v="9000"/>
  </r>
  <r>
    <s v="PR-1641"/>
    <d v="2026-08-28T00:00:00"/>
    <x v="1"/>
    <x v="1"/>
    <s v="Friday"/>
    <x v="2"/>
    <x v="3"/>
    <x v="3"/>
    <s v="Toothpaste"/>
    <x v="5"/>
    <s v="Charcoal Toothpaste 150g"/>
    <s v="B260828-L1C"/>
    <s v="A. Gupta"/>
    <x v="2"/>
    <x v="3"/>
    <x v="3"/>
    <n v="6000"/>
    <n v="5340"/>
    <n v="132"/>
    <n v="2.4719101123595506E-2"/>
    <n v="0.89"/>
    <x v="3"/>
    <n v="21"/>
    <n v="0.35"/>
    <s v="Machine Breakdown"/>
    <n v="51"/>
    <n v="6732"/>
    <n v="25644"/>
    <n v="5510"/>
    <n v="5510"/>
    <x v="1010"/>
    <n v="9000"/>
  </r>
  <r>
    <s v="PR-0792"/>
    <d v="2026-06-12T00:00:00"/>
    <x v="3"/>
    <x v="3"/>
    <s v="Friday"/>
    <x v="1"/>
    <x v="3"/>
    <x v="3"/>
    <s v="Toothpaste"/>
    <x v="8"/>
    <s v="Whitening Toothpaste 100g"/>
    <s v="B260612-L1B"/>
    <s v="P. Singh"/>
    <x v="2"/>
    <x v="3"/>
    <x v="2"/>
    <n v="8680"/>
    <n v="8780"/>
    <n v="279"/>
    <n v="3.1776765375854214E-2"/>
    <n v="1.0115207373271888"/>
    <x v="2"/>
    <n v="0"/>
    <n v="0"/>
    <s v="None"/>
    <n v="38"/>
    <n v="10602"/>
    <n v="25253"/>
    <n v="8390"/>
    <n v="8390"/>
    <x v="1011"/>
    <n v="13500"/>
  </r>
  <r>
    <s v="PR-0796"/>
    <d v="2026-06-12T00:00:00"/>
    <x v="3"/>
    <x v="3"/>
    <s v="Friday"/>
    <x v="2"/>
    <x v="3"/>
    <x v="3"/>
    <s v="Toothpaste"/>
    <x v="8"/>
    <s v="Whitening Toothpaste 100g"/>
    <s v="B260612-L1C"/>
    <s v="A. Gupta"/>
    <x v="1"/>
    <x v="3"/>
    <x v="2"/>
    <n v="8840"/>
    <n v="8640"/>
    <n v="187"/>
    <n v="2.1643518518518517E-2"/>
    <n v="0.9773755656108597"/>
    <x v="0"/>
    <n v="0"/>
    <n v="0"/>
    <s v="None"/>
    <n v="38"/>
    <n v="7106"/>
    <n v="25364"/>
    <n v="8430"/>
    <n v="8430"/>
    <x v="1012"/>
    <n v="13500"/>
  </r>
  <r>
    <s v="PR-0089"/>
    <d v="2026-04-08T00:00:00"/>
    <x v="5"/>
    <x v="5"/>
    <s v="Wednesday"/>
    <x v="2"/>
    <x v="1"/>
    <x v="1"/>
    <s v="Toothbrush"/>
    <x v="10"/>
    <s v="Medium Toothbrush"/>
    <s v="B260408-L4C"/>
    <s v="M. Khan"/>
    <x v="1"/>
    <x v="1"/>
    <x v="6"/>
    <n v="7880"/>
    <n v="7580"/>
    <n v="256"/>
    <n v="3.3773087071240104E-2"/>
    <n v="0.96192893401015234"/>
    <x v="3"/>
    <n v="0"/>
    <n v="0"/>
    <s v="None"/>
    <n v="17"/>
    <n v="4352"/>
    <n v="26023"/>
    <n v="7950"/>
    <n v="7950"/>
    <x v="1013"/>
    <n v="13500"/>
  </r>
  <r>
    <s v="PR-1205"/>
    <d v="2026-07-20T00:00:00"/>
    <x v="2"/>
    <x v="2"/>
    <s v="Monday"/>
    <x v="0"/>
    <x v="0"/>
    <x v="0"/>
    <s v="Mouthwash"/>
    <x v="0"/>
    <s v="Mint Mouthwash 250ml"/>
    <s v="B260720-L2A"/>
    <s v="K. Verma"/>
    <x v="0"/>
    <x v="0"/>
    <x v="0"/>
    <n v="6940"/>
    <n v="6750"/>
    <n v="860"/>
    <n v="0.12740740740740741"/>
    <n v="0.97262247838616711"/>
    <x v="1"/>
    <n v="0"/>
    <n v="0"/>
    <s v="None"/>
    <n v="46"/>
    <n v="39560"/>
    <n v="25497"/>
    <n v="5980"/>
    <n v="5980"/>
    <x v="1014"/>
    <n v="10500"/>
  </r>
  <r>
    <s v="PR-0800"/>
    <d v="2026-06-13T00:00:00"/>
    <x v="3"/>
    <x v="3"/>
    <s v="Saturday"/>
    <x v="0"/>
    <x v="3"/>
    <x v="3"/>
    <s v="Toothpaste"/>
    <x v="8"/>
    <s v="Whitening Toothpaste 100g"/>
    <s v="B260613-L1A"/>
    <s v="R. Sharma"/>
    <x v="2"/>
    <x v="3"/>
    <x v="4"/>
    <n v="9080"/>
    <n v="8420"/>
    <n v="174"/>
    <n v="2.0665083135391924E-2"/>
    <n v="0.92731277533039647"/>
    <x v="5"/>
    <n v="0"/>
    <n v="0"/>
    <s v="None"/>
    <n v="38"/>
    <n v="6612"/>
    <n v="25387"/>
    <n v="8220"/>
    <n v="8220"/>
    <x v="1015"/>
    <n v="13500"/>
  </r>
  <r>
    <s v="PR-0491"/>
    <d v="2026-05-15T00:00:00"/>
    <x v="4"/>
    <x v="4"/>
    <s v="Friday"/>
    <x v="2"/>
    <x v="0"/>
    <x v="0"/>
    <s v="Mouthwash"/>
    <x v="0"/>
    <s v="Mint Mouthwash 250ml"/>
    <s v="B260515-L2C"/>
    <s v="A. Gupta"/>
    <x v="2"/>
    <x v="0"/>
    <x v="0"/>
    <n v="6300"/>
    <n v="5980"/>
    <n v="210"/>
    <n v="3.5117056856187288E-2"/>
    <n v="0.94920634920634916"/>
    <x v="3"/>
    <n v="0"/>
    <n v="0"/>
    <s v="None"/>
    <n v="46"/>
    <n v="9660"/>
    <n v="25001"/>
    <n v="5340"/>
    <n v="5340"/>
    <x v="1016"/>
    <n v="10500"/>
  </r>
  <r>
    <s v="PR-0663"/>
    <d v="2026-06-01T00:00:00"/>
    <x v="3"/>
    <x v="3"/>
    <s v="Monday"/>
    <x v="0"/>
    <x v="3"/>
    <x v="3"/>
    <s v="Toothpaste"/>
    <x v="8"/>
    <s v="Whitening Toothpaste 100g"/>
    <s v="B260601-L1A"/>
    <s v="K. Verma"/>
    <x v="2"/>
    <x v="3"/>
    <x v="3"/>
    <n v="9700"/>
    <n v="8750"/>
    <n v="201"/>
    <n v="2.297142857142857E-2"/>
    <n v="0.90206185567010311"/>
    <x v="5"/>
    <n v="0"/>
    <n v="0"/>
    <s v="None"/>
    <n v="38"/>
    <n v="7638"/>
    <n v="24439"/>
    <n v="7540"/>
    <n v="7540"/>
    <x v="1017"/>
    <n v="13500"/>
  </r>
  <r>
    <s v="PR-0535"/>
    <d v="2026-05-20T00:00:00"/>
    <x v="4"/>
    <x v="4"/>
    <s v="Wednesday"/>
    <x v="0"/>
    <x v="0"/>
    <x v="0"/>
    <s v="Mouthwash"/>
    <x v="0"/>
    <s v="Mint Mouthwash 250ml"/>
    <s v="B260520-L2A"/>
    <s v="R. Sharma"/>
    <x v="2"/>
    <x v="0"/>
    <x v="0"/>
    <n v="7040"/>
    <n v="6540"/>
    <n v="193"/>
    <n v="2.9510703363914374E-2"/>
    <n v="0.92897727272727271"/>
    <x v="5"/>
    <n v="0"/>
    <n v="0"/>
    <s v="None"/>
    <n v="46"/>
    <n v="8878"/>
    <n v="25939"/>
    <n v="6820"/>
    <n v="6820"/>
    <x v="1018"/>
    <n v="10500"/>
  </r>
  <r>
    <s v="PR-0900"/>
    <d v="2026-06-22T00:00:00"/>
    <x v="3"/>
    <x v="3"/>
    <s v="Monday"/>
    <x v="1"/>
    <x v="3"/>
    <x v="3"/>
    <s v="Toothpaste"/>
    <x v="7"/>
    <s v="Sensitive Toothpaste 100g"/>
    <s v="B260622-L1B"/>
    <s v="P. Singh"/>
    <x v="2"/>
    <x v="3"/>
    <x v="2"/>
    <n v="7600"/>
    <n v="7570"/>
    <n v="175"/>
    <n v="2.3117569352708058E-2"/>
    <n v="0.99605263157894741"/>
    <x v="2"/>
    <n v="48"/>
    <n v="0.8"/>
    <s v="Machine Breakdown"/>
    <n v="42"/>
    <n v="7350"/>
    <n v="24969"/>
    <n v="6890"/>
    <n v="6890"/>
    <x v="1019"/>
    <n v="12000"/>
  </r>
  <r>
    <s v="PR-1748"/>
    <d v="2026-09-08T00:00:00"/>
    <x v="0"/>
    <x v="0"/>
    <s v="Tuesday"/>
    <x v="0"/>
    <x v="3"/>
    <x v="3"/>
    <s v="Toothpaste"/>
    <x v="5"/>
    <s v="Charcoal Toothpaste 150g"/>
    <s v="B260908-L1A"/>
    <s v="K. Verma"/>
    <x v="2"/>
    <x v="3"/>
    <x v="2"/>
    <n v="5800"/>
    <n v="5700"/>
    <n v="122"/>
    <n v="2.1403508771929824E-2"/>
    <n v="0.98275862068965514"/>
    <x v="5"/>
    <n v="0"/>
    <n v="0"/>
    <s v="None"/>
    <n v="51"/>
    <n v="6222"/>
    <n v="24404"/>
    <n v="4500"/>
    <n v="4500"/>
    <x v="1020"/>
    <n v="9000"/>
  </r>
  <r>
    <s v="PR-0190"/>
    <d v="2026-04-18T00:00:00"/>
    <x v="5"/>
    <x v="5"/>
    <s v="Saturday"/>
    <x v="0"/>
    <x v="3"/>
    <x v="3"/>
    <s v="Toothpaste"/>
    <x v="7"/>
    <s v="Sensitive Toothpaste 100g"/>
    <s v="B260418-L1A"/>
    <s v="K. Verma"/>
    <x v="1"/>
    <x v="3"/>
    <x v="3"/>
    <n v="8250"/>
    <n v="7860"/>
    <n v="153"/>
    <n v="1.9465648854961833E-2"/>
    <n v="0.95272727272727276"/>
    <x v="3"/>
    <n v="17"/>
    <n v="0.28333333333333333"/>
    <s v="Cleaning / Sanitation"/>
    <n v="42"/>
    <n v="6426"/>
    <n v="24699"/>
    <n v="6920"/>
    <n v="6920"/>
    <x v="1021"/>
    <n v="12000"/>
  </r>
  <r>
    <s v="PR-0025"/>
    <d v="2026-04-03T00:00:00"/>
    <x v="5"/>
    <x v="5"/>
    <s v="Friday"/>
    <x v="0"/>
    <x v="3"/>
    <x v="3"/>
    <s v="Toothpaste"/>
    <x v="7"/>
    <s v="Sensitive Toothpaste 100g"/>
    <s v="B260403-L1A"/>
    <s v="K. Verma"/>
    <x v="2"/>
    <x v="3"/>
    <x v="2"/>
    <n v="8500"/>
    <n v="8250"/>
    <n v="164"/>
    <n v="1.9878787878787878E-2"/>
    <n v="0.97058823529411764"/>
    <x v="2"/>
    <n v="0"/>
    <n v="0"/>
    <s v="None"/>
    <n v="42"/>
    <n v="6888"/>
    <n v="24634"/>
    <n v="7230"/>
    <n v="7230"/>
    <x v="1022"/>
    <n v="12000"/>
  </r>
  <r>
    <s v="PR-1199"/>
    <d v="2026-07-19T00:00:00"/>
    <x v="2"/>
    <x v="2"/>
    <s v="Sunday"/>
    <x v="0"/>
    <x v="0"/>
    <x v="0"/>
    <s v="Mouthwash"/>
    <x v="0"/>
    <s v="Mint Mouthwash 250ml"/>
    <s v="B260719-L2A"/>
    <s v="K. Verma"/>
    <x v="2"/>
    <x v="0"/>
    <x v="1"/>
    <n v="5210"/>
    <n v="4790"/>
    <n v="202"/>
    <n v="4.2171189979123176E-2"/>
    <n v="0.91938579654510555"/>
    <x v="3"/>
    <n v="0"/>
    <n v="0"/>
    <s v="None"/>
    <n v="46"/>
    <n v="9292"/>
    <n v="25999"/>
    <n v="5090"/>
    <n v="5090"/>
    <x v="1023"/>
    <n v="10500"/>
  </r>
  <r>
    <s v="PR-1709"/>
    <d v="2026-09-04T00:00:00"/>
    <x v="0"/>
    <x v="0"/>
    <s v="Friday"/>
    <x v="0"/>
    <x v="3"/>
    <x v="3"/>
    <s v="Toothpaste"/>
    <x v="5"/>
    <s v="Charcoal Toothpaste 150g"/>
    <s v="B260904-L1A"/>
    <s v="R. Sharma"/>
    <x v="1"/>
    <x v="3"/>
    <x v="3"/>
    <n v="5820"/>
    <n v="5190"/>
    <n v="162"/>
    <n v="3.121387283236994E-2"/>
    <n v="0.89175257731958768"/>
    <x v="2"/>
    <n v="0"/>
    <n v="0"/>
    <s v="None"/>
    <n v="51"/>
    <n v="8262"/>
    <n v="25652"/>
    <n v="5180"/>
    <n v="5180"/>
    <x v="1024"/>
    <n v="9000"/>
  </r>
  <r>
    <s v="PR-0643"/>
    <d v="2026-05-29T00:00:00"/>
    <x v="4"/>
    <x v="4"/>
    <s v="Friday"/>
    <x v="2"/>
    <x v="3"/>
    <x v="3"/>
    <s v="Toothpaste"/>
    <x v="8"/>
    <s v="Whitening Toothpaste 100g"/>
    <s v="B260529-L1C"/>
    <s v="M. Khan"/>
    <x v="1"/>
    <x v="3"/>
    <x v="2"/>
    <n v="8560"/>
    <n v="8320"/>
    <n v="203"/>
    <n v="2.4399038461538462E-2"/>
    <n v="0.9719626168224299"/>
    <x v="5"/>
    <n v="72"/>
    <n v="1.2"/>
    <s v="Changeover"/>
    <n v="38"/>
    <n v="7714"/>
    <n v="24934"/>
    <n v="7540"/>
    <n v="7540"/>
    <x v="1025"/>
    <n v="13500"/>
  </r>
  <r>
    <s v="PR-0112"/>
    <d v="2026-04-10T00:00:00"/>
    <x v="5"/>
    <x v="5"/>
    <s v="Friday"/>
    <x v="2"/>
    <x v="2"/>
    <x v="2"/>
    <s v="Dental Floss"/>
    <x v="9"/>
    <s v="Waxed Floss 50m"/>
    <s v="B260410-L3C"/>
    <s v="M. Khan"/>
    <x v="2"/>
    <x v="2"/>
    <x v="10"/>
    <n v="7710"/>
    <n v="7190"/>
    <n v="227"/>
    <n v="3.1571627260083446E-2"/>
    <n v="0.93255512321660183"/>
    <x v="2"/>
    <n v="0"/>
    <n v="0"/>
    <s v="None"/>
    <n v="24"/>
    <n v="5448"/>
    <n v="25017"/>
    <n v="6460"/>
    <n v="6460"/>
    <x v="1026"/>
    <n v="12000"/>
  </r>
  <r>
    <s v="PR-0253"/>
    <d v="2026-04-23T00:00:00"/>
    <x v="5"/>
    <x v="5"/>
    <s v="Thursday"/>
    <x v="2"/>
    <x v="2"/>
    <x v="2"/>
    <s v="Dental Floss"/>
    <x v="9"/>
    <s v="Waxed Floss 50m"/>
    <s v="B260423-L3C"/>
    <s v="A. Gupta"/>
    <x v="2"/>
    <x v="2"/>
    <x v="9"/>
    <n v="7830"/>
    <n v="6850"/>
    <n v="226"/>
    <n v="3.2992700729927008E-2"/>
    <n v="0.87484035759897827"/>
    <x v="0"/>
    <n v="0"/>
    <n v="0"/>
    <s v="None"/>
    <n v="24"/>
    <n v="5424"/>
    <n v="25673"/>
    <n v="6770"/>
    <n v="6770"/>
    <x v="1027"/>
    <n v="12000"/>
  </r>
  <r>
    <s v="PR-1645"/>
    <d v="2026-08-29T00:00:00"/>
    <x v="1"/>
    <x v="1"/>
    <s v="Saturday"/>
    <x v="0"/>
    <x v="3"/>
    <x v="3"/>
    <s v="Toothpaste"/>
    <x v="5"/>
    <s v="Charcoal Toothpaste 150g"/>
    <s v="B260829-L1A"/>
    <s v="R. Sharma"/>
    <x v="1"/>
    <x v="3"/>
    <x v="3"/>
    <n v="6120"/>
    <n v="5910"/>
    <n v="95"/>
    <n v="1.6074450084602367E-2"/>
    <n v="0.96568627450980393"/>
    <x v="3"/>
    <n v="28"/>
    <n v="0.46666666666666667"/>
    <s v="Cleaning / Sanitation"/>
    <n v="51"/>
    <n v="4845"/>
    <n v="25342"/>
    <n v="5630"/>
    <n v="5630"/>
    <x v="1027"/>
    <n v="9000"/>
  </r>
  <r>
    <s v="PR-0582"/>
    <d v="2026-05-24T00:00:00"/>
    <x v="4"/>
    <x v="4"/>
    <s v="Sunday"/>
    <x v="0"/>
    <x v="3"/>
    <x v="3"/>
    <s v="Toothpaste"/>
    <x v="8"/>
    <s v="Whitening Toothpaste 100g"/>
    <s v="B260524-L1A"/>
    <s v="R. Sharma"/>
    <x v="2"/>
    <x v="3"/>
    <x v="4"/>
    <n v="6780"/>
    <n v="6020"/>
    <n v="141"/>
    <n v="2.3421926910299002E-2"/>
    <n v="0.88790560471976399"/>
    <x v="0"/>
    <n v="0"/>
    <n v="0"/>
    <s v="None"/>
    <n v="38"/>
    <n v="5358"/>
    <n v="26755"/>
    <n v="7080"/>
    <n v="7080"/>
    <x v="1028"/>
    <n v="13500"/>
  </r>
  <r>
    <s v="PR-0241"/>
    <d v="2026-04-22T00:00:00"/>
    <x v="5"/>
    <x v="5"/>
    <s v="Wednesday"/>
    <x v="2"/>
    <x v="2"/>
    <x v="2"/>
    <s v="Dental Floss"/>
    <x v="9"/>
    <s v="Waxed Floss 50m"/>
    <s v="B260422-L3C"/>
    <s v="M. Khan"/>
    <x v="2"/>
    <x v="2"/>
    <x v="9"/>
    <n v="7420"/>
    <n v="6660"/>
    <n v="139"/>
    <n v="2.0870870870870872E-2"/>
    <n v="0.89757412398921832"/>
    <x v="5"/>
    <n v="68"/>
    <n v="1.1333333333333333"/>
    <s v="Machine Breakdown"/>
    <n v="24"/>
    <n v="3336"/>
    <n v="25727"/>
    <n v="6690"/>
    <n v="6690"/>
    <x v="1029"/>
    <n v="12000"/>
  </r>
  <r>
    <s v="PR-0287"/>
    <d v="2026-04-27T00:00:00"/>
    <x v="5"/>
    <x v="5"/>
    <s v="Monday"/>
    <x v="1"/>
    <x v="2"/>
    <x v="2"/>
    <s v="Dental Floss"/>
    <x v="9"/>
    <s v="Waxed Floss 50m"/>
    <s v="B260427-L3B"/>
    <s v="S. Yadav"/>
    <x v="1"/>
    <x v="2"/>
    <x v="10"/>
    <n v="8320"/>
    <n v="7830"/>
    <n v="159"/>
    <n v="2.0306513409961684E-2"/>
    <n v="0.94110576923076927"/>
    <x v="5"/>
    <n v="0"/>
    <n v="0"/>
    <s v="None"/>
    <n v="24"/>
    <n v="3816"/>
    <n v="25089"/>
    <n v="7200"/>
    <n v="7200"/>
    <x v="1030"/>
    <n v="12000"/>
  </r>
  <r>
    <s v="PR-0194"/>
    <d v="2026-04-18T00:00:00"/>
    <x v="5"/>
    <x v="5"/>
    <s v="Saturday"/>
    <x v="1"/>
    <x v="3"/>
    <x v="3"/>
    <s v="Toothpaste"/>
    <x v="7"/>
    <s v="Sensitive Toothpaste 100g"/>
    <s v="B260418-L1B"/>
    <s v="S. Yadav"/>
    <x v="1"/>
    <x v="3"/>
    <x v="5"/>
    <n v="7620"/>
    <n v="6390"/>
    <n v="163"/>
    <n v="2.5508607198748045E-2"/>
    <n v="0.83858267716535428"/>
    <x v="3"/>
    <n v="0"/>
    <n v="0"/>
    <s v="None"/>
    <n v="42"/>
    <n v="6846"/>
    <n v="25486"/>
    <n v="6150"/>
    <n v="6150"/>
    <x v="1031"/>
    <n v="12000"/>
  </r>
  <r>
    <s v="PR-0057"/>
    <d v="2026-04-06T00:00:00"/>
    <x v="5"/>
    <x v="5"/>
    <s v="Monday"/>
    <x v="0"/>
    <x v="1"/>
    <x v="1"/>
    <s v="Toothbrush"/>
    <x v="10"/>
    <s v="Medium Toothbrush"/>
    <s v="B260406-L4A"/>
    <s v="R. Sharma"/>
    <x v="2"/>
    <x v="1"/>
    <x v="6"/>
    <n v="9590"/>
    <n v="9080"/>
    <n v="97"/>
    <n v="1.0682819383259911E-2"/>
    <n v="0.94681960375391028"/>
    <x v="0"/>
    <n v="0"/>
    <n v="0"/>
    <s v="None"/>
    <n v="17"/>
    <n v="1649"/>
    <n v="25813"/>
    <n v="9210"/>
    <n v="9210"/>
    <x v="1032"/>
    <n v="13500"/>
  </r>
  <r>
    <s v="PR-0808"/>
    <d v="2026-06-13T00:00:00"/>
    <x v="3"/>
    <x v="3"/>
    <s v="Saturday"/>
    <x v="2"/>
    <x v="3"/>
    <x v="3"/>
    <s v="Toothpaste"/>
    <x v="8"/>
    <s v="Whitening Toothpaste 100g"/>
    <s v="B260613-L1C"/>
    <s v="A. Gupta"/>
    <x v="2"/>
    <x v="3"/>
    <x v="4"/>
    <n v="7960"/>
    <n v="7500"/>
    <n v="84"/>
    <n v="1.12E-2"/>
    <n v="0.94221105527638194"/>
    <x v="5"/>
    <n v="0"/>
    <n v="0"/>
    <s v="None"/>
    <n v="38"/>
    <n v="3192"/>
    <n v="25413"/>
    <n v="7210"/>
    <n v="7210"/>
    <x v="1033"/>
    <n v="13500"/>
  </r>
  <r>
    <s v="PR-0591"/>
    <d v="2026-05-25T00:00:00"/>
    <x v="4"/>
    <x v="4"/>
    <s v="Monday"/>
    <x v="1"/>
    <x v="3"/>
    <x v="3"/>
    <s v="Toothpaste"/>
    <x v="8"/>
    <s v="Whitening Toothpaste 100g"/>
    <s v="B260525-L1B"/>
    <s v="P. Singh"/>
    <x v="2"/>
    <x v="3"/>
    <x v="2"/>
    <n v="9240"/>
    <n v="8450"/>
    <n v="177"/>
    <n v="2.0946745562130178E-2"/>
    <n v="0.91450216450216448"/>
    <x v="2"/>
    <n v="0"/>
    <n v="0"/>
    <s v="None"/>
    <n v="38"/>
    <n v="6726"/>
    <n v="25554"/>
    <n v="8200"/>
    <n v="8200"/>
    <x v="1034"/>
    <n v="13500"/>
  </r>
  <r>
    <s v="PR-1629"/>
    <d v="2026-08-27T00:00:00"/>
    <x v="1"/>
    <x v="1"/>
    <s v="Thursday"/>
    <x v="2"/>
    <x v="3"/>
    <x v="3"/>
    <s v="Toothpaste"/>
    <x v="5"/>
    <s v="Charcoal Toothpaste 150g"/>
    <s v="B260827-L1C"/>
    <s v="M. Khan"/>
    <x v="1"/>
    <x v="3"/>
    <x v="3"/>
    <n v="5360"/>
    <n v="5220"/>
    <n v="97"/>
    <n v="1.8582375478927202E-2"/>
    <n v="0.97388059701492535"/>
    <x v="5"/>
    <n v="24"/>
    <n v="0.4"/>
    <s v="Changeover"/>
    <n v="51"/>
    <n v="4947"/>
    <n v="25321"/>
    <n v="4800"/>
    <n v="4800"/>
    <x v="1035"/>
    <n v="9000"/>
  </r>
  <r>
    <s v="PR-1697"/>
    <d v="2026-09-03T00:00:00"/>
    <x v="0"/>
    <x v="0"/>
    <s v="Thursday"/>
    <x v="0"/>
    <x v="3"/>
    <x v="3"/>
    <s v="Toothpaste"/>
    <x v="5"/>
    <s v="Charcoal Toothpaste 150g"/>
    <s v="B260903-L1A"/>
    <s v="K. Verma"/>
    <x v="1"/>
    <x v="3"/>
    <x v="2"/>
    <n v="6420"/>
    <n v="5950"/>
    <n v="140"/>
    <n v="2.3529411764705882E-2"/>
    <n v="0.92679127725856703"/>
    <x v="2"/>
    <n v="0"/>
    <n v="0"/>
    <s v="None"/>
    <n v="51"/>
    <n v="7140"/>
    <n v="26252"/>
    <n v="6410"/>
    <n v="6410"/>
    <x v="1036"/>
    <n v="9000"/>
  </r>
  <r>
    <s v="PR-0245"/>
    <d v="2026-04-23T00:00:00"/>
    <x v="5"/>
    <x v="5"/>
    <s v="Thursday"/>
    <x v="0"/>
    <x v="2"/>
    <x v="2"/>
    <s v="Dental Floss"/>
    <x v="9"/>
    <s v="Waxed Floss 50m"/>
    <s v="B260423-L3A"/>
    <s v="R. Sharma"/>
    <x v="1"/>
    <x v="2"/>
    <x v="10"/>
    <n v="8010"/>
    <n v="7790"/>
    <n v="115"/>
    <n v="1.4762516046213094E-2"/>
    <n v="0.97253433208489393"/>
    <x v="0"/>
    <n v="19"/>
    <n v="0.31666666666666665"/>
    <s v="Cleaning / Sanitation"/>
    <n v="24"/>
    <n v="2760"/>
    <n v="25558"/>
    <n v="7560"/>
    <n v="7560"/>
    <x v="1037"/>
    <n v="12000"/>
  </r>
  <r>
    <s v="PR-0296"/>
    <d v="2026-04-28T00:00:00"/>
    <x v="5"/>
    <x v="5"/>
    <s v="Tuesday"/>
    <x v="0"/>
    <x v="1"/>
    <x v="1"/>
    <s v="Toothbrush"/>
    <x v="10"/>
    <s v="Medium Toothbrush"/>
    <s v="B260428-L4A"/>
    <s v="K. Verma"/>
    <x v="2"/>
    <x v="1"/>
    <x v="6"/>
    <n v="8990"/>
    <n v="8260"/>
    <n v="261"/>
    <n v="3.1598062953995157E-2"/>
    <n v="0.91879866518353726"/>
    <x v="4"/>
    <n v="0"/>
    <n v="0"/>
    <s v="None"/>
    <n v="17"/>
    <n v="4437"/>
    <n v="26149"/>
    <n v="8470"/>
    <n v="8470"/>
    <x v="1038"/>
    <n v="13500"/>
  </r>
  <r>
    <s v="PR-0623"/>
    <d v="2026-05-28T00:00:00"/>
    <x v="4"/>
    <x v="4"/>
    <s v="Thursday"/>
    <x v="0"/>
    <x v="3"/>
    <x v="3"/>
    <s v="Toothpaste"/>
    <x v="8"/>
    <s v="Whitening Toothpaste 100g"/>
    <s v="B260528-L1A"/>
    <s v="K. Verma"/>
    <x v="2"/>
    <x v="3"/>
    <x v="2"/>
    <n v="9620"/>
    <n v="9060"/>
    <n v="302"/>
    <n v="3.3333333333333333E-2"/>
    <n v="0.94178794178794178"/>
    <x v="3"/>
    <n v="0"/>
    <n v="0"/>
    <s v="None"/>
    <n v="38"/>
    <n v="11476"/>
    <n v="24865"/>
    <n v="7940"/>
    <n v="7940"/>
    <x v="1039"/>
    <n v="13500"/>
  </r>
  <r>
    <s v="PR-0307"/>
    <d v="2026-04-29T00:00:00"/>
    <x v="5"/>
    <x v="5"/>
    <s v="Wednesday"/>
    <x v="0"/>
    <x v="2"/>
    <x v="2"/>
    <s v="Dental Floss"/>
    <x v="9"/>
    <s v="Waxed Floss 50m"/>
    <s v="B260429-L3A"/>
    <s v="K. Verma"/>
    <x v="2"/>
    <x v="2"/>
    <x v="10"/>
    <n v="7800"/>
    <n v="7590"/>
    <n v="138"/>
    <n v="1.8181818181818181E-2"/>
    <n v="0.97307692307692306"/>
    <x v="4"/>
    <n v="27"/>
    <n v="0.45"/>
    <s v="Machine Breakdown"/>
    <n v="24"/>
    <n v="3312"/>
    <n v="25198"/>
    <n v="6950"/>
    <n v="6950"/>
    <x v="1040"/>
    <n v="12000"/>
  </r>
  <r>
    <s v="PR-0637"/>
    <d v="2026-05-29T00:00:00"/>
    <x v="4"/>
    <x v="4"/>
    <s v="Friday"/>
    <x v="0"/>
    <x v="2"/>
    <x v="2"/>
    <s v="Dental Floss"/>
    <x v="6"/>
    <s v="Floss Picks (100 pcs)"/>
    <s v="B260529-L3A"/>
    <s v="R. Sharma"/>
    <x v="2"/>
    <x v="2"/>
    <x v="10"/>
    <n v="6480"/>
    <n v="6040"/>
    <n v="124"/>
    <n v="2.052980132450331E-2"/>
    <n v="0.9320987654320988"/>
    <x v="2"/>
    <n v="53"/>
    <n v="0.8833333333333333"/>
    <s v="Machine Breakdown"/>
    <n v="33"/>
    <n v="4092"/>
    <n v="25202"/>
    <n v="5410"/>
    <n v="5410"/>
    <x v="1041"/>
    <n v="9750"/>
  </r>
  <r>
    <s v="PR-1933"/>
    <d v="2026-09-24T00:00:00"/>
    <x v="0"/>
    <x v="0"/>
    <s v="Thursday"/>
    <x v="2"/>
    <x v="3"/>
    <x v="3"/>
    <s v="Toothpaste"/>
    <x v="5"/>
    <s v="Charcoal Toothpaste 150g"/>
    <s v="B260924-L1C"/>
    <s v="M. Khan"/>
    <x v="2"/>
    <x v="3"/>
    <x v="4"/>
    <n v="5510"/>
    <n v="5100"/>
    <n v="116"/>
    <n v="2.2745098039215685E-2"/>
    <n v="0.925589836660617"/>
    <x v="5"/>
    <n v="0"/>
    <n v="0"/>
    <s v="None"/>
    <n v="51"/>
    <n v="5916"/>
    <n v="25916"/>
    <n v="5180"/>
    <n v="5180"/>
    <x v="1042"/>
    <n v="9000"/>
  </r>
  <r>
    <s v="PR-0237"/>
    <d v="2026-04-22T00:00:00"/>
    <x v="5"/>
    <x v="5"/>
    <s v="Wednesday"/>
    <x v="1"/>
    <x v="2"/>
    <x v="2"/>
    <s v="Dental Floss"/>
    <x v="9"/>
    <s v="Waxed Floss 50m"/>
    <s v="B260422-L3B"/>
    <s v="S. Yadav"/>
    <x v="1"/>
    <x v="2"/>
    <x v="9"/>
    <n v="8430"/>
    <n v="7060"/>
    <n v="119"/>
    <n v="1.6855524079320113E-2"/>
    <n v="0.83748517200474493"/>
    <x v="2"/>
    <n v="26"/>
    <n v="0.43333333333333335"/>
    <s v="Manpower Shortage"/>
    <n v="24"/>
    <n v="2856"/>
    <n v="26906"/>
    <n v="8120"/>
    <n v="8120"/>
    <x v="1043"/>
    <n v="12000"/>
  </r>
  <r>
    <s v="PR-0293"/>
    <d v="2026-04-28T00:00:00"/>
    <x v="5"/>
    <x v="5"/>
    <s v="Tuesday"/>
    <x v="0"/>
    <x v="3"/>
    <x v="3"/>
    <s v="Toothpaste"/>
    <x v="8"/>
    <s v="Whitening Toothpaste 100g"/>
    <s v="B260428-L1A"/>
    <s v="K. Verma"/>
    <x v="1"/>
    <x v="3"/>
    <x v="4"/>
    <n v="8790"/>
    <n v="7690"/>
    <n v="218"/>
    <n v="2.8348504551365408E-2"/>
    <n v="0.8748577929465301"/>
    <x v="3"/>
    <n v="0"/>
    <n v="0"/>
    <s v="None"/>
    <n v="38"/>
    <n v="8284"/>
    <n v="26181"/>
    <n v="7910"/>
    <n v="7910"/>
    <x v="1044"/>
    <n v="13500"/>
  </r>
  <r>
    <s v="PR-0116"/>
    <d v="2026-04-11T00:00:00"/>
    <x v="5"/>
    <x v="5"/>
    <s v="Saturday"/>
    <x v="0"/>
    <x v="2"/>
    <x v="2"/>
    <s v="Dental Floss"/>
    <x v="9"/>
    <s v="Waxed Floss 50m"/>
    <s v="B260411-L3A"/>
    <s v="R. Sharma"/>
    <x v="1"/>
    <x v="2"/>
    <x v="10"/>
    <n v="8340"/>
    <n v="8000"/>
    <n v="239"/>
    <n v="2.9874999999999999E-2"/>
    <n v="0.95923261390887293"/>
    <x v="3"/>
    <n v="0"/>
    <n v="0"/>
    <s v="None"/>
    <n v="24"/>
    <n v="5736"/>
    <n v="25520"/>
    <n v="7530"/>
    <n v="7530"/>
    <x v="1045"/>
    <n v="12000"/>
  </r>
  <r>
    <s v="PR-1768"/>
    <d v="2026-09-09T00:00:00"/>
    <x v="0"/>
    <x v="0"/>
    <s v="Wednesday"/>
    <x v="2"/>
    <x v="3"/>
    <x v="3"/>
    <s v="Toothpaste"/>
    <x v="5"/>
    <s v="Charcoal Toothpaste 150g"/>
    <s v="B260909-L1C"/>
    <s v="A. Gupta"/>
    <x v="1"/>
    <x v="3"/>
    <x v="4"/>
    <n v="5340"/>
    <n v="4640"/>
    <n v="99"/>
    <n v="2.1336206896551725E-2"/>
    <n v="0.86891385767790263"/>
    <x v="0"/>
    <n v="0"/>
    <n v="0"/>
    <s v="None"/>
    <n v="51"/>
    <n v="5049"/>
    <n v="25482"/>
    <n v="4260"/>
    <n v="4260"/>
    <x v="1046"/>
    <n v="9000"/>
  </r>
  <r>
    <s v="PR-0061"/>
    <d v="2026-04-06T00:00:00"/>
    <x v="5"/>
    <x v="5"/>
    <s v="Monday"/>
    <x v="1"/>
    <x v="1"/>
    <x v="1"/>
    <s v="Toothbrush"/>
    <x v="10"/>
    <s v="Medium Toothbrush"/>
    <s v="B260406-L4B"/>
    <s v="S. Yadav"/>
    <x v="1"/>
    <x v="1"/>
    <x v="7"/>
    <n v="9450"/>
    <n v="9280"/>
    <n v="278"/>
    <n v="2.9956896551724139E-2"/>
    <n v="0.982010582010582"/>
    <x v="3"/>
    <n v="36"/>
    <n v="0.6"/>
    <s v="Machine Breakdown"/>
    <n v="17"/>
    <n v="4726"/>
    <n v="25586"/>
    <n v="8820"/>
    <n v="8820"/>
    <x v="1047"/>
    <n v="13500"/>
  </r>
  <r>
    <s v="PR-0547"/>
    <d v="2026-05-21T00:00:00"/>
    <x v="4"/>
    <x v="4"/>
    <s v="Thursday"/>
    <x v="0"/>
    <x v="0"/>
    <x v="0"/>
    <s v="Mouthwash"/>
    <x v="0"/>
    <s v="Mint Mouthwash 250ml"/>
    <s v="B260521-L2A"/>
    <s v="K. Verma"/>
    <x v="2"/>
    <x v="0"/>
    <x v="2"/>
    <n v="6640"/>
    <n v="6130"/>
    <n v="208"/>
    <n v="3.3931484502446985E-2"/>
    <n v="0.92319277108433739"/>
    <x v="4"/>
    <n v="11"/>
    <n v="0.18333333333333332"/>
    <s v="Cleaning / Sanitation"/>
    <n v="46"/>
    <n v="9568"/>
    <n v="25466"/>
    <n v="5620"/>
    <n v="5620"/>
    <x v="1047"/>
    <n v="10500"/>
  </r>
  <r>
    <s v="PR-0629"/>
    <d v="2026-05-28T00:00:00"/>
    <x v="4"/>
    <x v="4"/>
    <s v="Thursday"/>
    <x v="1"/>
    <x v="2"/>
    <x v="2"/>
    <s v="Dental Floss"/>
    <x v="6"/>
    <s v="Floss Picks (100 pcs)"/>
    <s v="B260528-L3B"/>
    <s v="P. Singh"/>
    <x v="2"/>
    <x v="2"/>
    <x v="10"/>
    <n v="6960"/>
    <n v="6630"/>
    <n v="174"/>
    <n v="2.6244343891402715E-2"/>
    <n v="0.95258620689655171"/>
    <x v="3"/>
    <n v="0"/>
    <n v="0"/>
    <s v="None"/>
    <n v="33"/>
    <n v="5742"/>
    <n v="25155"/>
    <n v="5840"/>
    <n v="5840"/>
    <x v="1048"/>
    <n v="9750"/>
  </r>
  <r>
    <s v="PR-0281"/>
    <d v="2026-04-27T00:00:00"/>
    <x v="5"/>
    <x v="5"/>
    <s v="Monday"/>
    <x v="0"/>
    <x v="3"/>
    <x v="3"/>
    <s v="Toothpaste"/>
    <x v="8"/>
    <s v="Whitening Toothpaste 100g"/>
    <s v="B260427-L1A"/>
    <s v="R. Sharma"/>
    <x v="2"/>
    <x v="3"/>
    <x v="2"/>
    <n v="8640"/>
    <n v="7840"/>
    <n v="157"/>
    <n v="2.0025510204081633E-2"/>
    <n v="0.90740740740740744"/>
    <x v="3"/>
    <n v="22"/>
    <n v="0.36666666666666664"/>
    <s v="Machine Breakdown"/>
    <n v="38"/>
    <n v="5966"/>
    <n v="25100"/>
    <n v="7010"/>
    <n v="7010"/>
    <x v="1049"/>
    <n v="13500"/>
  </r>
  <r>
    <s v="PR-0036"/>
    <d v="2026-04-03T00:00:00"/>
    <x v="5"/>
    <x v="5"/>
    <s v="Friday"/>
    <x v="2"/>
    <x v="1"/>
    <x v="1"/>
    <s v="Toothbrush"/>
    <x v="10"/>
    <s v="Medium Toothbrush"/>
    <s v="B260403-L4C"/>
    <s v="A. Gupta"/>
    <x v="2"/>
    <x v="1"/>
    <x v="6"/>
    <n v="8700"/>
    <n v="7930"/>
    <n v="168"/>
    <n v="2.1185372005044136E-2"/>
    <n v="0.91149425287356323"/>
    <x v="5"/>
    <n v="62"/>
    <n v="1.0333333333333334"/>
    <s v="Changeover"/>
    <n v="17"/>
    <n v="2856"/>
    <n v="26948"/>
    <n v="8930"/>
    <n v="8930"/>
    <x v="1050"/>
    <n v="13500"/>
  </r>
  <r>
    <s v="PR-0040"/>
    <d v="2026-04-04T00:00:00"/>
    <x v="5"/>
    <x v="5"/>
    <s v="Saturday"/>
    <x v="0"/>
    <x v="1"/>
    <x v="1"/>
    <s v="Toothbrush"/>
    <x v="10"/>
    <s v="Medium Toothbrush"/>
    <s v="B260404-L4A"/>
    <s v="R. Sharma"/>
    <x v="2"/>
    <x v="1"/>
    <x v="0"/>
    <n v="8420"/>
    <n v="7930"/>
    <n v="187"/>
    <n v="2.3581336696090794E-2"/>
    <n v="0.94180522565320668"/>
    <x v="4"/>
    <n v="0"/>
    <n v="0"/>
    <s v="None"/>
    <n v="17"/>
    <n v="3179"/>
    <n v="25780"/>
    <n v="7710"/>
    <n v="7710"/>
    <x v="1051"/>
    <n v="13500"/>
  </r>
  <r>
    <s v="PR-1543"/>
    <d v="2026-08-19T00:00:00"/>
    <x v="1"/>
    <x v="1"/>
    <s v="Wednesday"/>
    <x v="2"/>
    <x v="2"/>
    <x v="2"/>
    <s v="Dental Floss"/>
    <x v="9"/>
    <s v="Waxed Floss 50m"/>
    <s v="B260819-L3C"/>
    <s v="M. Khan"/>
    <x v="2"/>
    <x v="2"/>
    <x v="11"/>
    <n v="7050"/>
    <n v="6080"/>
    <n v="132"/>
    <n v="2.1710526315789475E-2"/>
    <n v="0.86241134751773052"/>
    <x v="4"/>
    <n v="0"/>
    <n v="0"/>
    <s v="None"/>
    <n v="24"/>
    <n v="3168"/>
    <n v="26562"/>
    <n v="6670"/>
    <n v="6670"/>
    <x v="1052"/>
    <n v="12000"/>
  </r>
  <r>
    <s v="PR-0311"/>
    <d v="2026-04-29T00:00:00"/>
    <x v="5"/>
    <x v="5"/>
    <s v="Wednesday"/>
    <x v="1"/>
    <x v="2"/>
    <x v="2"/>
    <s v="Dental Floss"/>
    <x v="9"/>
    <s v="Waxed Floss 50m"/>
    <s v="B260429-L3B"/>
    <s v="S. Yadav"/>
    <x v="2"/>
    <x v="2"/>
    <x v="8"/>
    <n v="8320"/>
    <n v="7870"/>
    <n v="285"/>
    <n v="3.6213468869123251E-2"/>
    <n v="0.94591346153846156"/>
    <x v="2"/>
    <n v="61"/>
    <n v="1.0166666666666666"/>
    <s v="Changeover"/>
    <n v="24"/>
    <n v="6840"/>
    <n v="25700"/>
    <n v="7400"/>
    <n v="7400"/>
    <x v="1053"/>
    <n v="12000"/>
  </r>
  <r>
    <s v="PR-0904"/>
    <d v="2026-06-22T00:00:00"/>
    <x v="3"/>
    <x v="3"/>
    <s v="Monday"/>
    <x v="2"/>
    <x v="3"/>
    <x v="3"/>
    <s v="Toothpaste"/>
    <x v="7"/>
    <s v="Sensitive Toothpaste 100g"/>
    <s v="B260622-L1C"/>
    <s v="M. Khan"/>
    <x v="1"/>
    <x v="3"/>
    <x v="5"/>
    <n v="7500"/>
    <n v="6380"/>
    <n v="188"/>
    <n v="2.9467084639498431E-2"/>
    <n v="0.85066666666666668"/>
    <x v="0"/>
    <n v="0"/>
    <n v="0"/>
    <s v="None"/>
    <n v="42"/>
    <n v="7896"/>
    <n v="25474"/>
    <n v="5780"/>
    <n v="5780"/>
    <x v="1054"/>
    <n v="12000"/>
  </r>
  <r>
    <s v="PR-0649"/>
    <d v="2026-05-30T00:00:00"/>
    <x v="4"/>
    <x v="4"/>
    <s v="Saturday"/>
    <x v="0"/>
    <x v="2"/>
    <x v="2"/>
    <s v="Dental Floss"/>
    <x v="6"/>
    <s v="Floss Picks (100 pcs)"/>
    <s v="B260530-L3A"/>
    <s v="K. Verma"/>
    <x v="2"/>
    <x v="2"/>
    <x v="8"/>
    <n v="6390"/>
    <n v="5790"/>
    <n v="164"/>
    <n v="2.8324697754749568E-2"/>
    <n v="0.9061032863849765"/>
    <x v="5"/>
    <n v="0"/>
    <n v="0"/>
    <s v="None"/>
    <n v="33"/>
    <n v="5412"/>
    <n v="26079"/>
    <n v="5800"/>
    <n v="5800"/>
    <x v="1055"/>
    <n v="9750"/>
  </r>
  <r>
    <s v="PR-1925"/>
    <d v="2026-09-24T00:00:00"/>
    <x v="0"/>
    <x v="0"/>
    <s v="Thursday"/>
    <x v="0"/>
    <x v="3"/>
    <x v="3"/>
    <s v="Toothpaste"/>
    <x v="5"/>
    <s v="Charcoal Toothpaste 150g"/>
    <s v="B260924-L1A"/>
    <s v="R. Sharma"/>
    <x v="1"/>
    <x v="3"/>
    <x v="2"/>
    <n v="5740"/>
    <n v="5370"/>
    <n v="204"/>
    <n v="3.798882681564246E-2"/>
    <n v="0.93554006968641112"/>
    <x v="0"/>
    <n v="0"/>
    <n v="0"/>
    <s v="None"/>
    <n v="51"/>
    <n v="10404"/>
    <n v="26200"/>
    <n v="5450"/>
    <n v="5450"/>
    <x v="1056"/>
    <n v="9000"/>
  </r>
  <r>
    <s v="PR-0531"/>
    <d v="2026-05-19T00:00:00"/>
    <x v="4"/>
    <x v="4"/>
    <s v="Tuesday"/>
    <x v="2"/>
    <x v="0"/>
    <x v="0"/>
    <s v="Mouthwash"/>
    <x v="0"/>
    <s v="Mint Mouthwash 250ml"/>
    <s v="B260519-L2C"/>
    <s v="A. Gupta"/>
    <x v="2"/>
    <x v="0"/>
    <x v="1"/>
    <n v="7000"/>
    <n v="6660"/>
    <n v="180"/>
    <n v="2.7027027027027029E-2"/>
    <n v="0.9514285714285714"/>
    <x v="3"/>
    <n v="54"/>
    <n v="0.9"/>
    <s v="Changeover"/>
    <n v="46"/>
    <n v="8280"/>
    <n v="25999"/>
    <n v="6540"/>
    <n v="6540"/>
    <x v="1057"/>
    <n v="10500"/>
  </r>
  <r>
    <s v="PR-1823"/>
    <d v="2026-09-15T00:00:00"/>
    <x v="0"/>
    <x v="0"/>
    <s v="Tuesday"/>
    <x v="0"/>
    <x v="3"/>
    <x v="3"/>
    <s v="Toothpaste"/>
    <x v="5"/>
    <s v="Charcoal Toothpaste 150g"/>
    <s v="B260915-L1A"/>
    <s v="R. Sharma"/>
    <x v="2"/>
    <x v="3"/>
    <x v="2"/>
    <n v="6020"/>
    <n v="5660"/>
    <n v="60"/>
    <n v="1.0600706713780919E-2"/>
    <n v="0.94019933554817281"/>
    <x v="2"/>
    <n v="0"/>
    <n v="0"/>
    <s v="None"/>
    <n v="51"/>
    <n v="3060"/>
    <n v="26296"/>
    <n v="5950"/>
    <n v="5950"/>
    <x v="1058"/>
    <n v="9000"/>
  </r>
  <r>
    <s v="PR-1831"/>
    <d v="2026-09-15T00:00:00"/>
    <x v="0"/>
    <x v="0"/>
    <s v="Tuesday"/>
    <x v="2"/>
    <x v="3"/>
    <x v="3"/>
    <s v="Toothpaste"/>
    <x v="5"/>
    <s v="Charcoal Toothpaste 150g"/>
    <s v="B260915-L1C"/>
    <s v="M. Khan"/>
    <x v="1"/>
    <x v="3"/>
    <x v="3"/>
    <n v="5260"/>
    <n v="4870"/>
    <n v="122"/>
    <n v="2.5051334702258728E-2"/>
    <n v="0.92585551330798477"/>
    <x v="2"/>
    <n v="69"/>
    <n v="1.1499999999999999"/>
    <s v="Changeover"/>
    <n v="51"/>
    <n v="6222"/>
    <n v="25946"/>
    <n v="4740"/>
    <n v="4740"/>
    <x v="1059"/>
    <n v="9000"/>
  </r>
  <r>
    <s v="PR-0132"/>
    <d v="2026-04-13T00:00:00"/>
    <x v="5"/>
    <x v="5"/>
    <s v="Monday"/>
    <x v="0"/>
    <x v="2"/>
    <x v="2"/>
    <s v="Dental Floss"/>
    <x v="9"/>
    <s v="Waxed Floss 50m"/>
    <s v="B260413-L3A"/>
    <s v="K. Verma"/>
    <x v="1"/>
    <x v="2"/>
    <x v="8"/>
    <n v="8350"/>
    <n v="8100"/>
    <n v="192"/>
    <n v="2.3703703703703703E-2"/>
    <n v="0.97005988023952094"/>
    <x v="2"/>
    <n v="0"/>
    <n v="0"/>
    <s v="None"/>
    <n v="24"/>
    <n v="4608"/>
    <n v="25064"/>
    <n v="7000"/>
    <n v="7000"/>
    <x v="1060"/>
    <n v="12000"/>
  </r>
  <r>
    <s v="PR-0519"/>
    <d v="2026-05-18T00:00:00"/>
    <x v="4"/>
    <x v="4"/>
    <s v="Monday"/>
    <x v="2"/>
    <x v="0"/>
    <x v="0"/>
    <s v="Mouthwash"/>
    <x v="0"/>
    <s v="Mint Mouthwash 250ml"/>
    <s v="B260518-L2C"/>
    <s v="M. Khan"/>
    <x v="1"/>
    <x v="0"/>
    <x v="4"/>
    <n v="6810"/>
    <n v="5650"/>
    <n v="162"/>
    <n v="2.8672566371681415E-2"/>
    <n v="0.82966226138032306"/>
    <x v="2"/>
    <n v="0"/>
    <n v="0"/>
    <s v="None"/>
    <n v="46"/>
    <n v="7452"/>
    <n v="26791"/>
    <n v="6280"/>
    <n v="6280"/>
    <x v="1061"/>
    <n v="10500"/>
  </r>
  <r>
    <s v="PR-1195"/>
    <d v="2026-07-18T00:00:00"/>
    <x v="2"/>
    <x v="2"/>
    <s v="Saturday"/>
    <x v="2"/>
    <x v="0"/>
    <x v="0"/>
    <s v="Mouthwash"/>
    <x v="0"/>
    <s v="Mint Mouthwash 250ml"/>
    <s v="B260718-L2C"/>
    <s v="M. Khan"/>
    <x v="0"/>
    <x v="0"/>
    <x v="3"/>
    <n v="7060"/>
    <n v="6310"/>
    <n v="556"/>
    <n v="8.8114104595879553E-2"/>
    <n v="0.89376770538243622"/>
    <x v="1"/>
    <n v="59"/>
    <n v="0.98333333333333328"/>
    <s v="Changeover"/>
    <n v="46"/>
    <n v="25576"/>
    <n v="26065"/>
    <n v="5820"/>
    <n v="5820"/>
    <x v="1061"/>
    <n v="10500"/>
  </r>
  <r>
    <s v="PR-0653"/>
    <d v="2026-05-30T00:00:00"/>
    <x v="4"/>
    <x v="4"/>
    <s v="Saturday"/>
    <x v="1"/>
    <x v="2"/>
    <x v="2"/>
    <s v="Dental Floss"/>
    <x v="6"/>
    <s v="Floss Picks (100 pcs)"/>
    <s v="B260530-L3B"/>
    <s v="P. Singh"/>
    <x v="2"/>
    <x v="2"/>
    <x v="10"/>
    <n v="6560"/>
    <n v="6400"/>
    <n v="142"/>
    <n v="2.2187499999999999E-2"/>
    <n v="0.97560975609756095"/>
    <x v="4"/>
    <n v="20"/>
    <n v="0.33333333333333331"/>
    <s v="Cleaning / Sanitation"/>
    <n v="33"/>
    <n v="4686"/>
    <n v="25905"/>
    <n v="6160"/>
    <n v="6160"/>
    <x v="1062"/>
    <n v="9750"/>
  </r>
  <r>
    <s v="PR-0077"/>
    <d v="2026-04-07T00:00:00"/>
    <x v="5"/>
    <x v="5"/>
    <s v="Tuesday"/>
    <x v="2"/>
    <x v="1"/>
    <x v="1"/>
    <s v="Toothbrush"/>
    <x v="10"/>
    <s v="Medium Toothbrush"/>
    <s v="B260407-L4C"/>
    <s v="A. Gupta"/>
    <x v="1"/>
    <x v="1"/>
    <x v="1"/>
    <n v="8870"/>
    <n v="8000"/>
    <n v="145"/>
    <n v="1.8124999999999999E-2"/>
    <n v="0.90191657271702363"/>
    <x v="4"/>
    <n v="0"/>
    <n v="0"/>
    <s v="None"/>
    <n v="17"/>
    <n v="2465"/>
    <n v="25768"/>
    <n v="7600"/>
    <n v="7600"/>
    <x v="1063"/>
    <n v="13500"/>
  </r>
  <r>
    <s v="PR-1804"/>
    <d v="2026-09-12T00:00:00"/>
    <x v="0"/>
    <x v="0"/>
    <s v="Saturday"/>
    <x v="2"/>
    <x v="3"/>
    <x v="3"/>
    <s v="Toothpaste"/>
    <x v="5"/>
    <s v="Charcoal Toothpaste 150g"/>
    <s v="B260912-L1C"/>
    <s v="M. Khan"/>
    <x v="1"/>
    <x v="3"/>
    <x v="5"/>
    <n v="6080"/>
    <n v="5070"/>
    <n v="172"/>
    <n v="3.3925049309664695E-2"/>
    <n v="0.83388157894736847"/>
    <x v="0"/>
    <n v="0"/>
    <n v="0"/>
    <s v="None"/>
    <n v="51"/>
    <n v="8772"/>
    <n v="26976"/>
    <n v="5850"/>
    <n v="5850"/>
    <x v="1064"/>
    <n v="9000"/>
  </r>
  <r>
    <s v="PR-0960"/>
    <d v="2026-06-27T00:00:00"/>
    <x v="3"/>
    <x v="3"/>
    <s v="Saturday"/>
    <x v="1"/>
    <x v="3"/>
    <x v="3"/>
    <s v="Toothpaste"/>
    <x v="7"/>
    <s v="Sensitive Toothpaste 100g"/>
    <s v="B260627-L1B"/>
    <s v="P. Singh"/>
    <x v="2"/>
    <x v="3"/>
    <x v="3"/>
    <n v="8030"/>
    <n v="7900"/>
    <n v="201"/>
    <n v="2.5443037974683544E-2"/>
    <n v="0.98381070983810714"/>
    <x v="0"/>
    <n v="12"/>
    <n v="0.2"/>
    <s v="Changeover"/>
    <n v="42"/>
    <n v="8442"/>
    <n v="24767"/>
    <n v="6440"/>
    <n v="6440"/>
    <x v="1065"/>
    <n v="12000"/>
  </r>
  <r>
    <s v="PR-1973"/>
    <d v="2026-09-28T00:00:00"/>
    <x v="0"/>
    <x v="0"/>
    <s v="Monday"/>
    <x v="2"/>
    <x v="3"/>
    <x v="3"/>
    <s v="Toothpaste"/>
    <x v="5"/>
    <s v="Charcoal Toothpaste 150g"/>
    <s v="B260928-L1C"/>
    <s v="M. Khan"/>
    <x v="2"/>
    <x v="3"/>
    <x v="4"/>
    <n v="5550"/>
    <n v="5160"/>
    <n v="155"/>
    <n v="3.0038759689922482E-2"/>
    <n v="0.92972972972972978"/>
    <x v="4"/>
    <n v="0"/>
    <n v="0"/>
    <s v="None"/>
    <n v="51"/>
    <n v="7905"/>
    <n v="25720"/>
    <n v="4690"/>
    <n v="4690"/>
    <x v="1066"/>
    <n v="9000"/>
  </r>
  <r>
    <s v="PR-0616"/>
    <d v="2026-05-27T00:00:00"/>
    <x v="4"/>
    <x v="4"/>
    <s v="Wednesday"/>
    <x v="1"/>
    <x v="0"/>
    <x v="0"/>
    <s v="Mouthwash"/>
    <x v="0"/>
    <s v="Mint Mouthwash 250ml"/>
    <s v="B260527-L2B"/>
    <s v="P. Singh"/>
    <x v="1"/>
    <x v="0"/>
    <x v="0"/>
    <n v="6840"/>
    <n v="7000"/>
    <n v="243"/>
    <n v="3.4714285714285711E-2"/>
    <n v="1.0233918128654971"/>
    <x v="3"/>
    <n v="0"/>
    <n v="0"/>
    <s v="None"/>
    <n v="46"/>
    <n v="11178"/>
    <n v="25193"/>
    <n v="5910"/>
    <n v="5910"/>
    <x v="1067"/>
    <n v="10500"/>
  </r>
  <r>
    <s v="PR-0641"/>
    <d v="2026-05-29T00:00:00"/>
    <x v="4"/>
    <x v="4"/>
    <s v="Friday"/>
    <x v="1"/>
    <x v="2"/>
    <x v="2"/>
    <s v="Dental Floss"/>
    <x v="6"/>
    <s v="Floss Picks (100 pcs)"/>
    <s v="B260529-L3B"/>
    <s v="S. Yadav"/>
    <x v="2"/>
    <x v="2"/>
    <x v="9"/>
    <n v="6730"/>
    <n v="5790"/>
    <n v="154"/>
    <n v="2.6597582037996545E-2"/>
    <n v="0.86032689450222888"/>
    <x v="0"/>
    <n v="0"/>
    <n v="0"/>
    <s v="None"/>
    <n v="33"/>
    <n v="5082"/>
    <n v="25708"/>
    <n v="5300"/>
    <n v="5300"/>
    <x v="1068"/>
    <n v="9750"/>
  </r>
  <r>
    <s v="PR-1653"/>
    <d v="2026-08-29T00:00:00"/>
    <x v="1"/>
    <x v="1"/>
    <s v="Saturday"/>
    <x v="2"/>
    <x v="3"/>
    <x v="3"/>
    <s v="Toothpaste"/>
    <x v="5"/>
    <s v="Charcoal Toothpaste 150g"/>
    <s v="B260829-L1C"/>
    <s v="M. Khan"/>
    <x v="1"/>
    <x v="3"/>
    <x v="3"/>
    <n v="5990"/>
    <n v="5710"/>
    <n v="128"/>
    <n v="2.2416812609457094E-2"/>
    <n v="0.95325542570951582"/>
    <x v="3"/>
    <n v="0"/>
    <n v="0"/>
    <s v="None"/>
    <n v="51"/>
    <n v="6528"/>
    <n v="25527"/>
    <n v="5050"/>
    <n v="5050"/>
    <x v="1069"/>
    <n v="9000"/>
  </r>
  <r>
    <s v="PR-1167"/>
    <d v="2026-07-16T00:00:00"/>
    <x v="2"/>
    <x v="2"/>
    <s v="Thursday"/>
    <x v="1"/>
    <x v="0"/>
    <x v="0"/>
    <s v="Mouthwash"/>
    <x v="0"/>
    <s v="Mint Mouthwash 250ml"/>
    <s v="B260716-L2B"/>
    <s v="S. Yadav"/>
    <x v="0"/>
    <x v="0"/>
    <x v="0"/>
    <n v="7250"/>
    <n v="7170"/>
    <n v="634"/>
    <n v="8.8423988842398882E-2"/>
    <n v="0.98896551724137927"/>
    <x v="1"/>
    <n v="0"/>
    <n v="0"/>
    <s v="None"/>
    <n v="46"/>
    <n v="29164"/>
    <n v="26959"/>
    <n v="7430"/>
    <n v="7430"/>
    <x v="1070"/>
    <n v="10500"/>
  </r>
  <r>
    <s v="PR-0645"/>
    <d v="2026-05-29T00:00:00"/>
    <x v="4"/>
    <x v="4"/>
    <s v="Friday"/>
    <x v="2"/>
    <x v="2"/>
    <x v="2"/>
    <s v="Dental Floss"/>
    <x v="6"/>
    <s v="Floss Picks (100 pcs)"/>
    <s v="B260529-L3C"/>
    <s v="A. Gupta"/>
    <x v="1"/>
    <x v="2"/>
    <x v="10"/>
    <n v="6210"/>
    <n v="6290"/>
    <n v="145"/>
    <n v="2.3052464228934817E-2"/>
    <n v="1.0128824476650564"/>
    <x v="3"/>
    <n v="0"/>
    <n v="0"/>
    <s v="None"/>
    <n v="33"/>
    <n v="4785"/>
    <n v="26044"/>
    <n v="6110"/>
    <n v="6110"/>
    <x v="1071"/>
    <n v="9750"/>
  </r>
  <r>
    <s v="PR-0300"/>
    <d v="2026-04-28T00:00:00"/>
    <x v="5"/>
    <x v="5"/>
    <s v="Tuesday"/>
    <x v="1"/>
    <x v="1"/>
    <x v="1"/>
    <s v="Toothbrush"/>
    <x v="10"/>
    <s v="Medium Toothbrush"/>
    <s v="B260428-L4B"/>
    <s v="P. Singh"/>
    <x v="1"/>
    <x v="1"/>
    <x v="6"/>
    <n v="9420"/>
    <n v="9080"/>
    <n v="143"/>
    <n v="1.5748898678414096E-2"/>
    <n v="0.96390658174097665"/>
    <x v="0"/>
    <n v="48"/>
    <n v="0.8"/>
    <s v="Machine Breakdown"/>
    <n v="17"/>
    <n v="2431"/>
    <n v="25678"/>
    <n v="8530"/>
    <n v="8530"/>
    <x v="1072"/>
    <n v="13500"/>
  </r>
  <r>
    <s v="PR-0292"/>
    <d v="2026-04-27T00:00:00"/>
    <x v="5"/>
    <x v="5"/>
    <s v="Monday"/>
    <x v="2"/>
    <x v="1"/>
    <x v="1"/>
    <s v="Toothbrush"/>
    <x v="10"/>
    <s v="Medium Toothbrush"/>
    <s v="B260427-L4C"/>
    <s v="A. Gupta"/>
    <x v="2"/>
    <x v="1"/>
    <x v="0"/>
    <n v="8040"/>
    <n v="7540"/>
    <n v="215"/>
    <n v="2.8514588859416445E-2"/>
    <n v="0.93781094527363185"/>
    <x v="4"/>
    <n v="0"/>
    <n v="0"/>
    <s v="None"/>
    <n v="17"/>
    <n v="3655"/>
    <n v="26714"/>
    <n v="7890"/>
    <n v="7890"/>
    <x v="1073"/>
    <n v="13500"/>
  </r>
  <r>
    <s v="PR-0912"/>
    <d v="2026-06-23T00:00:00"/>
    <x v="3"/>
    <x v="3"/>
    <s v="Tuesday"/>
    <x v="1"/>
    <x v="3"/>
    <x v="3"/>
    <s v="Toothpaste"/>
    <x v="7"/>
    <s v="Sensitive Toothpaste 100g"/>
    <s v="B260623-L1B"/>
    <s v="S. Yadav"/>
    <x v="2"/>
    <x v="3"/>
    <x v="4"/>
    <n v="7710"/>
    <n v="6930"/>
    <n v="115"/>
    <n v="1.6594516594516596E-2"/>
    <n v="0.89883268482490275"/>
    <x v="3"/>
    <n v="71"/>
    <n v="1.1833333333333333"/>
    <s v="Material Shortage"/>
    <n v="42"/>
    <n v="4830"/>
    <n v="25886"/>
    <n v="6550"/>
    <n v="6550"/>
    <x v="1074"/>
    <n v="12000"/>
  </r>
  <r>
    <s v="PR-0964"/>
    <d v="2026-06-27T00:00:00"/>
    <x v="3"/>
    <x v="3"/>
    <s v="Saturday"/>
    <x v="2"/>
    <x v="3"/>
    <x v="3"/>
    <s v="Toothpaste"/>
    <x v="7"/>
    <s v="Sensitive Toothpaste 100g"/>
    <s v="B260627-L1C"/>
    <s v="A. Gupta"/>
    <x v="2"/>
    <x v="3"/>
    <x v="5"/>
    <n v="7660"/>
    <n v="6930"/>
    <n v="153"/>
    <n v="2.2077922077922078E-2"/>
    <n v="0.90469973890339428"/>
    <x v="0"/>
    <n v="0"/>
    <n v="0"/>
    <s v="None"/>
    <n v="42"/>
    <n v="6426"/>
    <n v="26026"/>
    <n v="6630"/>
    <n v="6630"/>
    <x v="1075"/>
    <n v="12000"/>
  </r>
  <r>
    <s v="PR-0285"/>
    <d v="2026-04-27T00:00:00"/>
    <x v="5"/>
    <x v="5"/>
    <s v="Monday"/>
    <x v="1"/>
    <x v="3"/>
    <x v="3"/>
    <s v="Toothpaste"/>
    <x v="8"/>
    <s v="Whitening Toothpaste 100g"/>
    <s v="B260427-L1B"/>
    <s v="P. Singh"/>
    <x v="1"/>
    <x v="3"/>
    <x v="2"/>
    <n v="8710"/>
    <n v="8150"/>
    <n v="92"/>
    <n v="1.1288343558282208E-2"/>
    <n v="0.93570608495981633"/>
    <x v="4"/>
    <n v="0"/>
    <n v="0"/>
    <s v="None"/>
    <n v="38"/>
    <n v="3496"/>
    <n v="25773"/>
    <n v="7650"/>
    <n v="7650"/>
    <x v="1076"/>
    <n v="13500"/>
  </r>
  <r>
    <s v="PR-1901"/>
    <d v="2026-09-22T00:00:00"/>
    <x v="0"/>
    <x v="0"/>
    <s v="Tuesday"/>
    <x v="0"/>
    <x v="3"/>
    <x v="3"/>
    <s v="Toothpaste"/>
    <x v="5"/>
    <s v="Charcoal Toothpaste 150g"/>
    <s v="B260922-L1A"/>
    <s v="R. Sharma"/>
    <x v="2"/>
    <x v="3"/>
    <x v="3"/>
    <n v="5940"/>
    <n v="5420"/>
    <n v="192"/>
    <n v="3.5424354243542434E-2"/>
    <n v="0.91245791245791241"/>
    <x v="3"/>
    <n v="64"/>
    <n v="1.0666666666666667"/>
    <s v="Changeover"/>
    <n v="51"/>
    <n v="9792"/>
    <n v="26502"/>
    <n v="5530"/>
    <n v="5530"/>
    <x v="1077"/>
    <n v="9000"/>
  </r>
  <r>
    <s v="PR-0545"/>
    <d v="2026-05-20T00:00:00"/>
    <x v="4"/>
    <x v="4"/>
    <s v="Wednesday"/>
    <x v="2"/>
    <x v="1"/>
    <x v="1"/>
    <s v="Toothbrush"/>
    <x v="10"/>
    <s v="Medium Toothbrush"/>
    <s v="B260520-L4C"/>
    <s v="M. Khan"/>
    <x v="1"/>
    <x v="1"/>
    <x v="7"/>
    <n v="9180"/>
    <n v="8710"/>
    <n v="231"/>
    <n v="2.6521239954075775E-2"/>
    <n v="0.94880174291939001"/>
    <x v="0"/>
    <n v="0"/>
    <n v="0"/>
    <s v="None"/>
    <n v="17"/>
    <n v="3927"/>
    <n v="27239"/>
    <n v="9490"/>
    <n v="9490"/>
    <x v="1078"/>
    <n v="13500"/>
  </r>
  <r>
    <s v="PR-0495"/>
    <d v="2026-05-16T00:00:00"/>
    <x v="4"/>
    <x v="4"/>
    <s v="Saturday"/>
    <x v="0"/>
    <x v="0"/>
    <x v="0"/>
    <s v="Mouthwash"/>
    <x v="0"/>
    <s v="Mint Mouthwash 250ml"/>
    <s v="B260516-L2A"/>
    <s v="K. Verma"/>
    <x v="1"/>
    <x v="0"/>
    <x v="0"/>
    <n v="6660"/>
    <n v="6600"/>
    <n v="132"/>
    <n v="0.02"/>
    <n v="0.99099099099099097"/>
    <x v="2"/>
    <n v="41"/>
    <n v="0.68333333333333335"/>
    <s v="Machine Breakdown"/>
    <n v="46"/>
    <n v="6072"/>
    <n v="25431"/>
    <n v="5670"/>
    <n v="5670"/>
    <x v="1079"/>
    <n v="10500"/>
  </r>
  <r>
    <s v="PR-1665"/>
    <d v="2026-08-31T00:00:00"/>
    <x v="1"/>
    <x v="1"/>
    <s v="Monday"/>
    <x v="1"/>
    <x v="3"/>
    <x v="3"/>
    <s v="Toothpaste"/>
    <x v="5"/>
    <s v="Charcoal Toothpaste 150g"/>
    <s v="B260831-L1B"/>
    <s v="S. Yadav"/>
    <x v="1"/>
    <x v="3"/>
    <x v="2"/>
    <n v="5790"/>
    <n v="5160"/>
    <n v="77"/>
    <n v="1.4922480620155039E-2"/>
    <n v="0.89119170984455953"/>
    <x v="0"/>
    <n v="46"/>
    <n v="0.76666666666666672"/>
    <s v="Cleaning / Sanitation"/>
    <n v="51"/>
    <n v="3927"/>
    <n v="26059"/>
    <n v="4890"/>
    <n v="4890"/>
    <x v="1080"/>
    <n v="9000"/>
  </r>
  <r>
    <s v="PR-1523"/>
    <d v="2026-08-18T00:00:00"/>
    <x v="1"/>
    <x v="1"/>
    <s v="Tuesday"/>
    <x v="0"/>
    <x v="2"/>
    <x v="2"/>
    <s v="Dental Floss"/>
    <x v="9"/>
    <s v="Waxed Floss 50m"/>
    <s v="B260818-L3A"/>
    <s v="R. Sharma"/>
    <x v="2"/>
    <x v="2"/>
    <x v="8"/>
    <n v="7910"/>
    <n v="7770"/>
    <n v="102"/>
    <n v="1.3127413127413128E-2"/>
    <n v="0.98230088495575218"/>
    <x v="2"/>
    <n v="0"/>
    <n v="0"/>
    <s v="None"/>
    <n v="24"/>
    <n v="2448"/>
    <n v="26552"/>
    <n v="7960"/>
    <n v="7960"/>
    <x v="1081"/>
    <n v="12000"/>
  </r>
  <r>
    <s v="PR-1815"/>
    <d v="2026-09-14T00:00:00"/>
    <x v="0"/>
    <x v="0"/>
    <s v="Monday"/>
    <x v="1"/>
    <x v="3"/>
    <x v="3"/>
    <s v="Toothpaste"/>
    <x v="5"/>
    <s v="Charcoal Toothpaste 150g"/>
    <s v="B260914-L1B"/>
    <s v="S. Yadav"/>
    <x v="2"/>
    <x v="3"/>
    <x v="2"/>
    <n v="6380"/>
    <n v="6010"/>
    <n v="178"/>
    <n v="2.9617304492512479E-2"/>
    <n v="0.94200626959247646"/>
    <x v="2"/>
    <n v="0"/>
    <n v="0"/>
    <s v="None"/>
    <n v="51"/>
    <n v="9078"/>
    <n v="26024"/>
    <n v="5560"/>
    <n v="5560"/>
    <x v="1082"/>
    <n v="9000"/>
  </r>
  <r>
    <s v="PR-0001"/>
    <d v="2026-04-01T00:00:00"/>
    <x v="5"/>
    <x v="5"/>
    <s v="Wednesday"/>
    <x v="0"/>
    <x v="3"/>
    <x v="3"/>
    <s v="Toothpaste"/>
    <x v="8"/>
    <s v="Whitening Toothpaste 100g"/>
    <s v="B260401-L1A"/>
    <s v="K. Verma"/>
    <x v="1"/>
    <x v="3"/>
    <x v="2"/>
    <n v="8400"/>
    <n v="7950"/>
    <n v="197"/>
    <n v="2.4779874213836477E-2"/>
    <n v="0.9464285714285714"/>
    <x v="4"/>
    <n v="0"/>
    <n v="0"/>
    <s v="None"/>
    <n v="38"/>
    <n v="7486"/>
    <n v="27000"/>
    <n v="8440"/>
    <n v="8440"/>
    <x v="1083"/>
    <n v="13500"/>
  </r>
  <r>
    <s v="PR-0657"/>
    <d v="2026-05-30T00:00:00"/>
    <x v="4"/>
    <x v="4"/>
    <s v="Saturday"/>
    <x v="2"/>
    <x v="2"/>
    <x v="2"/>
    <s v="Dental Floss"/>
    <x v="6"/>
    <s v="Floss Picks (100 pcs)"/>
    <s v="B260530-L3C"/>
    <s v="A. Gupta"/>
    <x v="2"/>
    <x v="2"/>
    <x v="8"/>
    <n v="6020"/>
    <n v="5690"/>
    <n v="140"/>
    <n v="2.4604569420035149E-2"/>
    <n v="0.94518272425249172"/>
    <x v="4"/>
    <n v="0"/>
    <n v="0"/>
    <s v="None"/>
    <n v="33"/>
    <n v="4620"/>
    <n v="26003"/>
    <n v="5200"/>
    <n v="5200"/>
    <x v="1084"/>
    <n v="9750"/>
  </r>
  <r>
    <s v="PR-0144"/>
    <d v="2026-04-14T00:00:00"/>
    <x v="5"/>
    <x v="5"/>
    <s v="Tuesday"/>
    <x v="0"/>
    <x v="2"/>
    <x v="2"/>
    <s v="Dental Floss"/>
    <x v="9"/>
    <s v="Waxed Floss 50m"/>
    <s v="B260414-L3A"/>
    <s v="K. Verma"/>
    <x v="2"/>
    <x v="2"/>
    <x v="10"/>
    <n v="7690"/>
    <n v="7240"/>
    <n v="193"/>
    <n v="2.6657458563535911E-2"/>
    <n v="0.94148244473342002"/>
    <x v="4"/>
    <n v="49"/>
    <n v="0.81666666666666665"/>
    <s v="Changeover"/>
    <n v="24"/>
    <n v="4632"/>
    <n v="26378"/>
    <n v="7060"/>
    <n v="7060"/>
    <x v="1085"/>
    <n v="12000"/>
  </r>
  <r>
    <s v="PR-0136"/>
    <d v="2026-04-13T00:00:00"/>
    <x v="5"/>
    <x v="5"/>
    <s v="Monday"/>
    <x v="1"/>
    <x v="2"/>
    <x v="2"/>
    <s v="Dental Floss"/>
    <x v="9"/>
    <s v="Waxed Floss 50m"/>
    <s v="B260413-L3B"/>
    <s v="S. Yadav"/>
    <x v="2"/>
    <x v="2"/>
    <x v="10"/>
    <n v="7530"/>
    <n v="7100"/>
    <n v="114"/>
    <n v="1.6056338028169016E-2"/>
    <n v="0.94289508632138119"/>
    <x v="0"/>
    <n v="0"/>
    <n v="0"/>
    <s v="None"/>
    <n v="24"/>
    <n v="2736"/>
    <n v="25972"/>
    <n v="6580"/>
    <n v="6580"/>
    <x v="1086"/>
    <n v="12000"/>
  </r>
  <r>
    <s v="PR-1772"/>
    <d v="2026-09-10T00:00:00"/>
    <x v="0"/>
    <x v="0"/>
    <s v="Thursday"/>
    <x v="0"/>
    <x v="3"/>
    <x v="3"/>
    <s v="Toothpaste"/>
    <x v="5"/>
    <s v="Charcoal Toothpaste 150g"/>
    <s v="B260910-L1A"/>
    <s v="R. Sharma"/>
    <x v="2"/>
    <x v="3"/>
    <x v="3"/>
    <n v="5770"/>
    <n v="5470"/>
    <n v="151"/>
    <n v="2.760511882998172E-2"/>
    <n v="0.94800693240901213"/>
    <x v="3"/>
    <n v="65"/>
    <n v="1.0833333333333333"/>
    <s v="Machine Breakdown"/>
    <n v="51"/>
    <n v="7701"/>
    <n v="25763"/>
    <n v="4700"/>
    <n v="4700"/>
    <x v="1087"/>
    <n v="9000"/>
  </r>
  <r>
    <s v="PR-0981"/>
    <d v="2026-06-29T00:00:00"/>
    <x v="3"/>
    <x v="3"/>
    <s v="Monday"/>
    <x v="2"/>
    <x v="3"/>
    <x v="3"/>
    <s v="Toothpaste"/>
    <x v="7"/>
    <s v="Sensitive Toothpaste 100g"/>
    <s v="B260629-L1C"/>
    <s v="A. Gupta"/>
    <x v="1"/>
    <x v="3"/>
    <x v="2"/>
    <n v="7530"/>
    <n v="7450"/>
    <n v="374"/>
    <n v="5.0201342281879197E-2"/>
    <n v="0.98937583001328022"/>
    <x v="3"/>
    <n v="0"/>
    <n v="0"/>
    <s v="None"/>
    <n v="42"/>
    <n v="15708"/>
    <n v="26173"/>
    <n v="6830"/>
    <n v="6830"/>
    <x v="1088"/>
    <n v="12000"/>
  </r>
  <r>
    <s v="PR-1896"/>
    <d v="2026-09-21T00:00:00"/>
    <x v="0"/>
    <x v="0"/>
    <s v="Monday"/>
    <x v="1"/>
    <x v="1"/>
    <x v="1"/>
    <s v="Toothbrush"/>
    <x v="10"/>
    <s v="Medium Toothbrush"/>
    <s v="B260921-L4B"/>
    <s v="P. Singh"/>
    <x v="2"/>
    <x v="1"/>
    <x v="1"/>
    <n v="8760"/>
    <n v="7950"/>
    <n v="214"/>
    <n v="2.6918238993710691E-2"/>
    <n v="0.90753424657534243"/>
    <x v="3"/>
    <n v="0"/>
    <n v="0"/>
    <s v="None"/>
    <n v="17"/>
    <n v="3638"/>
    <n v="26512"/>
    <n v="7820"/>
    <n v="7820"/>
    <x v="1089"/>
    <n v="13500"/>
  </r>
  <r>
    <s v="PR-1847"/>
    <d v="2026-09-17T00:00:00"/>
    <x v="0"/>
    <x v="0"/>
    <s v="Thursday"/>
    <x v="0"/>
    <x v="3"/>
    <x v="3"/>
    <s v="Toothpaste"/>
    <x v="5"/>
    <s v="Charcoal Toothpaste 150g"/>
    <s v="B260917-L1A"/>
    <s v="R. Sharma"/>
    <x v="1"/>
    <x v="3"/>
    <x v="2"/>
    <n v="5790"/>
    <n v="5770"/>
    <n v="171"/>
    <n v="2.9636048526863086E-2"/>
    <n v="0.99654576856649391"/>
    <x v="0"/>
    <n v="61"/>
    <n v="1.0166666666666666"/>
    <s v="Changeover"/>
    <n v="51"/>
    <n v="8721"/>
    <n v="26487"/>
    <n v="5640"/>
    <n v="5640"/>
    <x v="1090"/>
    <n v="9000"/>
  </r>
  <r>
    <s v="PR-1867"/>
    <d v="2026-09-18T00:00:00"/>
    <x v="0"/>
    <x v="0"/>
    <s v="Friday"/>
    <x v="2"/>
    <x v="3"/>
    <x v="3"/>
    <s v="Toothpaste"/>
    <x v="5"/>
    <s v="Charcoal Toothpaste 150g"/>
    <s v="B260918-L1C"/>
    <s v="M. Khan"/>
    <x v="2"/>
    <x v="3"/>
    <x v="3"/>
    <n v="5810"/>
    <n v="5500"/>
    <n v="115"/>
    <n v="2.0909090909090908E-2"/>
    <n v="0.94664371772805511"/>
    <x v="3"/>
    <n v="0"/>
    <n v="0"/>
    <s v="None"/>
    <n v="51"/>
    <n v="5865"/>
    <n v="26737"/>
    <n v="5660"/>
    <n v="5660"/>
    <x v="1091"/>
    <n v="9000"/>
  </r>
  <r>
    <s v="PR-1839"/>
    <d v="2026-09-16T00:00:00"/>
    <x v="0"/>
    <x v="0"/>
    <s v="Wednesday"/>
    <x v="1"/>
    <x v="3"/>
    <x v="3"/>
    <s v="Toothpaste"/>
    <x v="5"/>
    <s v="Charcoal Toothpaste 150g"/>
    <s v="B260916-L1B"/>
    <s v="P. Singh"/>
    <x v="2"/>
    <x v="3"/>
    <x v="3"/>
    <n v="6000"/>
    <n v="5350"/>
    <n v="117"/>
    <n v="2.1869158878504671E-2"/>
    <n v="0.89166666666666672"/>
    <x v="2"/>
    <n v="0"/>
    <n v="0"/>
    <s v="None"/>
    <n v="51"/>
    <n v="5967"/>
    <n v="25954"/>
    <n v="4700"/>
    <n v="4700"/>
    <x v="1092"/>
    <n v="9000"/>
  </r>
  <r>
    <s v="PR-1889"/>
    <d v="2026-09-21T00:00:00"/>
    <x v="0"/>
    <x v="0"/>
    <s v="Monday"/>
    <x v="0"/>
    <x v="3"/>
    <x v="3"/>
    <s v="Toothpaste"/>
    <x v="5"/>
    <s v="Charcoal Toothpaste 150g"/>
    <s v="B260921-L1A"/>
    <s v="R. Sharma"/>
    <x v="2"/>
    <x v="3"/>
    <x v="2"/>
    <n v="6420"/>
    <n v="6230"/>
    <n v="68"/>
    <n v="1.0914927768860353E-2"/>
    <n v="0.97040498442367606"/>
    <x v="0"/>
    <n v="0"/>
    <n v="0"/>
    <s v="None"/>
    <n v="51"/>
    <n v="3468"/>
    <n v="26660"/>
    <n v="6320"/>
    <n v="6320"/>
    <x v="1093"/>
    <n v="9000"/>
  </r>
  <r>
    <s v="PR-1878"/>
    <d v="2026-09-19T00:00:00"/>
    <x v="0"/>
    <x v="0"/>
    <s v="Saturday"/>
    <x v="1"/>
    <x v="1"/>
    <x v="1"/>
    <s v="Toothbrush"/>
    <x v="10"/>
    <s v="Medium Toothbrush"/>
    <s v="B260919-L4B"/>
    <s v="S. Yadav"/>
    <x v="1"/>
    <x v="1"/>
    <x v="0"/>
    <n v="9710"/>
    <n v="8810"/>
    <n v="199"/>
    <n v="2.2587968217934167E-2"/>
    <n v="0.90731204943357369"/>
    <x v="5"/>
    <n v="0"/>
    <n v="0"/>
    <s v="None"/>
    <n v="17"/>
    <n v="3383"/>
    <n v="27701"/>
    <n v="9800"/>
    <n v="9800"/>
    <x v="1094"/>
    <n v="13500"/>
  </r>
  <r>
    <s v="PR-1515"/>
    <d v="2026-08-17T00:00:00"/>
    <x v="1"/>
    <x v="1"/>
    <s v="Monday"/>
    <x v="1"/>
    <x v="2"/>
    <x v="2"/>
    <s v="Dental Floss"/>
    <x v="9"/>
    <s v="Waxed Floss 50m"/>
    <s v="B260817-L3B"/>
    <s v="S. Yadav"/>
    <x v="1"/>
    <x v="2"/>
    <x v="8"/>
    <n v="7980"/>
    <n v="7310"/>
    <n v="224"/>
    <n v="3.0642954856361149E-2"/>
    <n v="0.91604010025062654"/>
    <x v="2"/>
    <n v="0"/>
    <n v="0"/>
    <s v="None"/>
    <n v="24"/>
    <n v="5376"/>
    <n v="26786"/>
    <n v="7320"/>
    <n v="7320"/>
    <x v="1095"/>
    <n v="12000"/>
  </r>
  <r>
    <s v="PR-0309"/>
    <d v="2026-04-29T00:00:00"/>
    <x v="5"/>
    <x v="5"/>
    <s v="Wednesday"/>
    <x v="1"/>
    <x v="3"/>
    <x v="3"/>
    <s v="Toothpaste"/>
    <x v="8"/>
    <s v="Whitening Toothpaste 100g"/>
    <s v="B260429-L1B"/>
    <s v="P. Singh"/>
    <x v="1"/>
    <x v="3"/>
    <x v="3"/>
    <n v="9180"/>
    <n v="8610"/>
    <n v="207"/>
    <n v="2.4041811846689895E-2"/>
    <n v="0.93790849673202614"/>
    <x v="0"/>
    <n v="0"/>
    <n v="0"/>
    <s v="None"/>
    <n v="38"/>
    <n v="7866"/>
    <n v="25743"/>
    <n v="7590"/>
    <n v="7590"/>
    <x v="1096"/>
    <n v="13500"/>
  </r>
  <r>
    <s v="PR-0416"/>
    <d v="2026-05-08T00:00:00"/>
    <x v="4"/>
    <x v="4"/>
    <s v="Friday"/>
    <x v="2"/>
    <x v="2"/>
    <x v="2"/>
    <s v="Dental Floss"/>
    <x v="9"/>
    <s v="Waxed Floss 50m"/>
    <s v="B260508-L3C"/>
    <s v="M. Khan"/>
    <x v="1"/>
    <x v="2"/>
    <x v="8"/>
    <n v="7690"/>
    <n v="7030"/>
    <n v="196"/>
    <n v="2.7880512091038406E-2"/>
    <n v="0.91417425227568272"/>
    <x v="3"/>
    <n v="0"/>
    <n v="0"/>
    <s v="None"/>
    <n v="24"/>
    <n v="4704"/>
    <n v="27304"/>
    <n v="7580"/>
    <n v="7580"/>
    <x v="1097"/>
    <n v="12000"/>
  </r>
  <r>
    <s v="PR-1531"/>
    <d v="2026-08-18T00:00:00"/>
    <x v="1"/>
    <x v="1"/>
    <s v="Tuesday"/>
    <x v="2"/>
    <x v="2"/>
    <x v="2"/>
    <s v="Dental Floss"/>
    <x v="9"/>
    <s v="Waxed Floss 50m"/>
    <s v="B260818-L3C"/>
    <s v="A. Gupta"/>
    <x v="1"/>
    <x v="2"/>
    <x v="10"/>
    <n v="7700"/>
    <n v="7430"/>
    <n v="168"/>
    <n v="2.2611036339165544E-2"/>
    <n v="0.96493506493506498"/>
    <x v="3"/>
    <n v="31"/>
    <n v="0.51666666666666672"/>
    <s v="Changeover"/>
    <n v="24"/>
    <n v="4032"/>
    <n v="26260"/>
    <n v="6960"/>
    <n v="6960"/>
    <x v="1098"/>
    <n v="12000"/>
  </r>
  <r>
    <s v="PR-0321"/>
    <d v="2026-04-30T00:00:00"/>
    <x v="5"/>
    <x v="5"/>
    <s v="Thursday"/>
    <x v="1"/>
    <x v="3"/>
    <x v="3"/>
    <s v="Toothpaste"/>
    <x v="8"/>
    <s v="Whitening Toothpaste 100g"/>
    <s v="B260430-L1B"/>
    <s v="P. Singh"/>
    <x v="1"/>
    <x v="3"/>
    <x v="3"/>
    <n v="9320"/>
    <n v="8780"/>
    <n v="267"/>
    <n v="3.041002277904328E-2"/>
    <n v="0.94206008583690992"/>
    <x v="5"/>
    <n v="0"/>
    <n v="0"/>
    <s v="None"/>
    <n v="38"/>
    <n v="10146"/>
    <n v="27084"/>
    <n v="9030"/>
    <n v="9030"/>
    <x v="1099"/>
    <n v="13500"/>
  </r>
  <r>
    <s v="PR-0304"/>
    <d v="2026-04-28T00:00:00"/>
    <x v="5"/>
    <x v="5"/>
    <s v="Tuesday"/>
    <x v="2"/>
    <x v="1"/>
    <x v="1"/>
    <s v="Toothbrush"/>
    <x v="10"/>
    <s v="Medium Toothbrush"/>
    <s v="B260428-L4C"/>
    <s v="A. Gupta"/>
    <x v="1"/>
    <x v="1"/>
    <x v="6"/>
    <n v="8330"/>
    <n v="7810"/>
    <n v="229"/>
    <n v="2.9321382842509604E-2"/>
    <n v="0.93757503001200482"/>
    <x v="0"/>
    <n v="0"/>
    <n v="0"/>
    <s v="None"/>
    <n v="17"/>
    <n v="3893"/>
    <n v="26085"/>
    <n v="7090"/>
    <n v="7090"/>
    <x v="1100"/>
    <n v="13500"/>
  </r>
  <r>
    <s v="PR-0250"/>
    <d v="2026-04-23T00:00:00"/>
    <x v="5"/>
    <x v="5"/>
    <s v="Thursday"/>
    <x v="1"/>
    <x v="1"/>
    <x v="1"/>
    <s v="Toothbrush"/>
    <x v="10"/>
    <s v="Medium Toothbrush"/>
    <s v="B260423-L4B"/>
    <s v="S. Yadav"/>
    <x v="2"/>
    <x v="1"/>
    <x v="7"/>
    <n v="8640"/>
    <n v="7760"/>
    <n v="200"/>
    <n v="2.5773195876288658E-2"/>
    <n v="0.89814814814814814"/>
    <x v="0"/>
    <n v="14"/>
    <n v="0.23333333333333334"/>
    <s v="Cleaning / Sanitation"/>
    <n v="17"/>
    <n v="3400"/>
    <n v="27063"/>
    <n v="8000"/>
    <n v="8000"/>
    <x v="1101"/>
    <n v="13500"/>
  </r>
  <r>
    <s v="PR-0669"/>
    <d v="2026-06-01T00:00:00"/>
    <x v="3"/>
    <x v="3"/>
    <s v="Monday"/>
    <x v="1"/>
    <x v="2"/>
    <x v="2"/>
    <s v="Dental Floss"/>
    <x v="6"/>
    <s v="Floss Picks (100 pcs)"/>
    <s v="B260601-L3B"/>
    <s v="S. Yadav"/>
    <x v="1"/>
    <x v="2"/>
    <x v="10"/>
    <n v="6500"/>
    <n v="6040"/>
    <n v="224"/>
    <n v="3.7086092715231792E-2"/>
    <n v="0.92923076923076919"/>
    <x v="0"/>
    <n v="0"/>
    <n v="0"/>
    <s v="None"/>
    <n v="33"/>
    <n v="7392"/>
    <n v="26353"/>
    <n v="5520"/>
    <n v="5520"/>
    <x v="1102"/>
    <n v="9750"/>
  </r>
  <r>
    <s v="PR-1871"/>
    <d v="2026-09-19T00:00:00"/>
    <x v="0"/>
    <x v="0"/>
    <s v="Saturday"/>
    <x v="0"/>
    <x v="3"/>
    <x v="3"/>
    <s v="Toothpaste"/>
    <x v="5"/>
    <s v="Charcoal Toothpaste 150g"/>
    <s v="B260919-L1A"/>
    <s v="R. Sharma"/>
    <x v="1"/>
    <x v="3"/>
    <x v="2"/>
    <n v="5980"/>
    <n v="5900"/>
    <n v="112"/>
    <n v="1.8983050847457626E-2"/>
    <n v="0.98662207357859533"/>
    <x v="4"/>
    <n v="0"/>
    <n v="0"/>
    <s v="None"/>
    <n v="51"/>
    <n v="5712"/>
    <n v="26462"/>
    <n v="5590"/>
    <n v="5590"/>
    <x v="1103"/>
    <n v="9000"/>
  </r>
  <r>
    <s v="PR-0258"/>
    <d v="2026-04-24T00:00:00"/>
    <x v="5"/>
    <x v="5"/>
    <s v="Friday"/>
    <x v="0"/>
    <x v="1"/>
    <x v="1"/>
    <s v="Toothbrush"/>
    <x v="10"/>
    <s v="Medium Toothbrush"/>
    <s v="B260424-L4A"/>
    <s v="K. Verma"/>
    <x v="1"/>
    <x v="1"/>
    <x v="0"/>
    <n v="9100"/>
    <n v="8290"/>
    <n v="229"/>
    <n v="2.7623642943305188E-2"/>
    <n v="0.91098901098901097"/>
    <x v="3"/>
    <n v="15"/>
    <n v="0.25"/>
    <s v="Machine Breakdown"/>
    <n v="17"/>
    <n v="3893"/>
    <n v="26623"/>
    <n v="7970"/>
    <n v="7970"/>
    <x v="1104"/>
    <n v="13500"/>
  </r>
  <r>
    <s v="PR-0101"/>
    <d v="2026-04-09T00:00:00"/>
    <x v="5"/>
    <x v="5"/>
    <s v="Thursday"/>
    <x v="2"/>
    <x v="1"/>
    <x v="1"/>
    <s v="Toothbrush"/>
    <x v="10"/>
    <s v="Medium Toothbrush"/>
    <s v="B260409-L4C"/>
    <s v="A. Gupta"/>
    <x v="1"/>
    <x v="1"/>
    <x v="6"/>
    <n v="8290"/>
    <n v="7720"/>
    <n v="190"/>
    <n v="2.4611398963730571E-2"/>
    <n v="0.93124246079613993"/>
    <x v="2"/>
    <n v="0"/>
    <n v="0"/>
    <s v="None"/>
    <n v="17"/>
    <n v="3230"/>
    <n v="25397"/>
    <n v="6210"/>
    <n v="6210"/>
    <x v="1105"/>
    <n v="13500"/>
  </r>
  <r>
    <s v="PR-1859"/>
    <d v="2026-09-18T00:00:00"/>
    <x v="0"/>
    <x v="0"/>
    <s v="Friday"/>
    <x v="0"/>
    <x v="3"/>
    <x v="3"/>
    <s v="Toothpaste"/>
    <x v="5"/>
    <s v="Charcoal Toothpaste 150g"/>
    <s v="B260918-L1A"/>
    <s v="K. Verma"/>
    <x v="2"/>
    <x v="3"/>
    <x v="2"/>
    <n v="6270"/>
    <n v="5990"/>
    <n v="145"/>
    <n v="2.4207011686143573E-2"/>
    <n v="0.95534290271132372"/>
    <x v="3"/>
    <n v="30"/>
    <n v="0.5"/>
    <s v="Changeover"/>
    <n v="51"/>
    <n v="7395"/>
    <n v="26882"/>
    <n v="5990"/>
    <n v="5990"/>
    <x v="1106"/>
    <n v="9000"/>
  </r>
  <r>
    <s v="PR-0176"/>
    <d v="2026-04-16T00:00:00"/>
    <x v="5"/>
    <x v="5"/>
    <s v="Thursday"/>
    <x v="2"/>
    <x v="2"/>
    <x v="2"/>
    <s v="Dental Floss"/>
    <x v="9"/>
    <s v="Waxed Floss 50m"/>
    <s v="B260416-L3C"/>
    <s v="M. Khan"/>
    <x v="2"/>
    <x v="2"/>
    <x v="10"/>
    <n v="8180"/>
    <n v="8160"/>
    <n v="248"/>
    <n v="3.0392156862745098E-2"/>
    <n v="0.99755501222493892"/>
    <x v="3"/>
    <n v="19"/>
    <n v="0.31666666666666665"/>
    <s v="Changeover"/>
    <n v="24"/>
    <n v="5952"/>
    <n v="26993"/>
    <n v="8160"/>
    <n v="8160"/>
    <x v="1107"/>
    <n v="12000"/>
  </r>
  <r>
    <s v="PR-0578"/>
    <d v="2026-05-23T00:00:00"/>
    <x v="4"/>
    <x v="4"/>
    <s v="Saturday"/>
    <x v="2"/>
    <x v="3"/>
    <x v="3"/>
    <s v="Toothpaste"/>
    <x v="8"/>
    <s v="Whitening Toothpaste 100g"/>
    <s v="B260523-L1C"/>
    <s v="M. Khan"/>
    <x v="1"/>
    <x v="3"/>
    <x v="4"/>
    <n v="8410"/>
    <n v="7770"/>
    <n v="272"/>
    <n v="3.5006435006435008E-2"/>
    <n v="0.92390011890606416"/>
    <x v="4"/>
    <n v="0"/>
    <n v="0"/>
    <s v="None"/>
    <n v="38"/>
    <n v="10336"/>
    <n v="27317"/>
    <n v="8060"/>
    <n v="8060"/>
    <x v="1108"/>
    <n v="13500"/>
  </r>
  <r>
    <s v="PR-1977"/>
    <d v="2026-09-29T00:00:00"/>
    <x v="0"/>
    <x v="0"/>
    <s v="Tuesday"/>
    <x v="0"/>
    <x v="3"/>
    <x v="3"/>
    <s v="Toothpaste"/>
    <x v="5"/>
    <s v="Charcoal Toothpaste 150g"/>
    <s v="B260929-L1A"/>
    <s v="R. Sharma"/>
    <x v="1"/>
    <x v="3"/>
    <x v="2"/>
    <n v="5910"/>
    <n v="5960"/>
    <n v="126"/>
    <n v="2.1140939597315438E-2"/>
    <n v="1.0084602368866329"/>
    <x v="0"/>
    <n v="0"/>
    <n v="0"/>
    <s v="None"/>
    <n v="51"/>
    <n v="6426"/>
    <n v="26035"/>
    <n v="5110"/>
    <n v="5110"/>
    <x v="1109"/>
    <n v="9000"/>
  </r>
  <r>
    <s v="PR-1511"/>
    <d v="2026-08-17T00:00:00"/>
    <x v="1"/>
    <x v="1"/>
    <s v="Monday"/>
    <x v="0"/>
    <x v="2"/>
    <x v="2"/>
    <s v="Dental Floss"/>
    <x v="9"/>
    <s v="Waxed Floss 50m"/>
    <s v="B260817-L3A"/>
    <s v="K. Verma"/>
    <x v="2"/>
    <x v="2"/>
    <x v="8"/>
    <n v="7720"/>
    <n v="6760"/>
    <n v="163"/>
    <n v="2.4112426035502958E-2"/>
    <n v="0.87564766839378239"/>
    <x v="4"/>
    <n v="0"/>
    <n v="0"/>
    <s v="None"/>
    <n v="24"/>
    <n v="3912"/>
    <n v="27229"/>
    <n v="7040"/>
    <n v="7040"/>
    <x v="1110"/>
    <n v="12000"/>
  </r>
  <r>
    <s v="PR-0515"/>
    <d v="2026-05-18T00:00:00"/>
    <x v="4"/>
    <x v="4"/>
    <s v="Monday"/>
    <x v="1"/>
    <x v="0"/>
    <x v="0"/>
    <s v="Mouthwash"/>
    <x v="0"/>
    <s v="Mint Mouthwash 250ml"/>
    <s v="B260518-L2B"/>
    <s v="P. Singh"/>
    <x v="2"/>
    <x v="0"/>
    <x v="1"/>
    <n v="7360"/>
    <n v="7330"/>
    <n v="218"/>
    <n v="2.9740791268758525E-2"/>
    <n v="0.99592391304347827"/>
    <x v="3"/>
    <n v="0"/>
    <n v="0"/>
    <s v="None"/>
    <n v="46"/>
    <n v="10028"/>
    <n v="26229"/>
    <n v="6550"/>
    <n v="6550"/>
    <x v="1111"/>
    <n v="10500"/>
  </r>
  <r>
    <s v="PR-0628"/>
    <d v="2026-05-28T00:00:00"/>
    <x v="4"/>
    <x v="4"/>
    <s v="Thursday"/>
    <x v="1"/>
    <x v="0"/>
    <x v="0"/>
    <s v="Mouthwash"/>
    <x v="0"/>
    <s v="Mint Mouthwash 250ml"/>
    <s v="B260528-L2B"/>
    <s v="S. Yadav"/>
    <x v="2"/>
    <x v="0"/>
    <x v="1"/>
    <n v="6760"/>
    <n v="6330"/>
    <n v="148"/>
    <n v="2.3380726698262244E-2"/>
    <n v="0.93639053254437865"/>
    <x v="2"/>
    <n v="0"/>
    <n v="0"/>
    <s v="None"/>
    <n v="46"/>
    <n v="6808"/>
    <n v="26962"/>
    <n v="6350"/>
    <n v="6350"/>
    <x v="1112"/>
    <n v="10500"/>
  </r>
  <r>
    <s v="PR-1855"/>
    <d v="2026-09-17T00:00:00"/>
    <x v="0"/>
    <x v="0"/>
    <s v="Thursday"/>
    <x v="2"/>
    <x v="3"/>
    <x v="3"/>
    <s v="Toothpaste"/>
    <x v="5"/>
    <s v="Charcoal Toothpaste 150g"/>
    <s v="B260917-L1C"/>
    <s v="A. Gupta"/>
    <x v="2"/>
    <x v="3"/>
    <x v="3"/>
    <n v="5790"/>
    <n v="5370"/>
    <n v="84"/>
    <n v="1.564245810055866E-2"/>
    <n v="0.92746113989637302"/>
    <x v="5"/>
    <n v="0"/>
    <n v="0"/>
    <s v="None"/>
    <n v="51"/>
    <n v="4284"/>
    <n v="26446"/>
    <n v="4850"/>
    <n v="4850"/>
    <x v="1113"/>
    <n v="9000"/>
  </r>
  <r>
    <s v="PR-0549"/>
    <d v="2026-05-21T00:00:00"/>
    <x v="4"/>
    <x v="4"/>
    <s v="Thursday"/>
    <x v="0"/>
    <x v="1"/>
    <x v="1"/>
    <s v="Toothbrush"/>
    <x v="10"/>
    <s v="Medium Toothbrush"/>
    <s v="B260521-L4A"/>
    <s v="R. Sharma"/>
    <x v="1"/>
    <x v="1"/>
    <x v="6"/>
    <n v="8460"/>
    <n v="7910"/>
    <n v="286"/>
    <n v="3.615676359039191E-2"/>
    <n v="0.93498817966903069"/>
    <x v="5"/>
    <n v="0"/>
    <n v="0"/>
    <s v="None"/>
    <n v="17"/>
    <n v="4862"/>
    <n v="26228"/>
    <n v="6950"/>
    <n v="6950"/>
    <x v="1114"/>
    <n v="13500"/>
  </r>
  <r>
    <s v="PR-0217"/>
    <d v="2026-04-20T00:00:00"/>
    <x v="5"/>
    <x v="5"/>
    <s v="Monday"/>
    <x v="2"/>
    <x v="2"/>
    <x v="2"/>
    <s v="Dental Floss"/>
    <x v="9"/>
    <s v="Waxed Floss 50m"/>
    <s v="B260420-L3C"/>
    <s v="A. Gupta"/>
    <x v="1"/>
    <x v="2"/>
    <x v="10"/>
    <n v="7680"/>
    <n v="7270"/>
    <n v="196"/>
    <n v="2.6960110041265476E-2"/>
    <n v="0.94661458333333337"/>
    <x v="0"/>
    <n v="0"/>
    <n v="0"/>
    <s v="None"/>
    <n v="24"/>
    <n v="4704"/>
    <n v="27572"/>
    <n v="7740"/>
    <n v="7740"/>
    <x v="1115"/>
    <n v="12000"/>
  </r>
  <r>
    <s v="PR-0357"/>
    <d v="2026-05-03T00:00:00"/>
    <x v="4"/>
    <x v="4"/>
    <s v="Sunday"/>
    <x v="1"/>
    <x v="2"/>
    <x v="2"/>
    <s v="Dental Floss"/>
    <x v="9"/>
    <s v="Waxed Floss 50m"/>
    <s v="B260503-L3B"/>
    <s v="S. Yadav"/>
    <x v="1"/>
    <x v="2"/>
    <x v="10"/>
    <n v="5720"/>
    <n v="5710"/>
    <n v="199"/>
    <n v="3.4851138353765326E-2"/>
    <n v="0.99825174825174823"/>
    <x v="5"/>
    <n v="0"/>
    <n v="0"/>
    <s v="None"/>
    <n v="24"/>
    <n v="4776"/>
    <n v="27148"/>
    <n v="5740"/>
    <n v="5740"/>
    <x v="1116"/>
    <n v="12000"/>
  </r>
  <r>
    <s v="PR-0323"/>
    <d v="2026-04-30T00:00:00"/>
    <x v="5"/>
    <x v="5"/>
    <s v="Thursday"/>
    <x v="1"/>
    <x v="2"/>
    <x v="2"/>
    <s v="Dental Floss"/>
    <x v="9"/>
    <s v="Waxed Floss 50m"/>
    <s v="B260430-L3B"/>
    <s v="P. Singh"/>
    <x v="1"/>
    <x v="2"/>
    <x v="10"/>
    <n v="8240"/>
    <n v="8300"/>
    <n v="258"/>
    <n v="3.1084337349397591E-2"/>
    <n v="1.0072815533980584"/>
    <x v="5"/>
    <n v="0"/>
    <n v="0"/>
    <s v="None"/>
    <n v="24"/>
    <n v="6192"/>
    <n v="25885"/>
    <n v="7000"/>
    <n v="7000"/>
    <x v="1117"/>
    <n v="12000"/>
  </r>
  <r>
    <s v="PR-0993"/>
    <d v="2026-06-30T00:00:00"/>
    <x v="3"/>
    <x v="3"/>
    <s v="Tuesday"/>
    <x v="2"/>
    <x v="3"/>
    <x v="3"/>
    <s v="Toothpaste"/>
    <x v="7"/>
    <s v="Sensitive Toothpaste 100g"/>
    <s v="B260630-L1C"/>
    <s v="A. Gupta"/>
    <x v="1"/>
    <x v="3"/>
    <x v="5"/>
    <n v="7340"/>
    <n v="6460"/>
    <n v="252"/>
    <n v="3.9009287925696592E-2"/>
    <n v="0.88010899182561309"/>
    <x v="0"/>
    <n v="10"/>
    <n v="0.16666666666666666"/>
    <s v="Changeover"/>
    <n v="42"/>
    <n v="10584"/>
    <n v="28079"/>
    <n v="7350"/>
    <n v="7350"/>
    <x v="1118"/>
    <n v="12000"/>
  </r>
  <r>
    <s v="PR-0028"/>
    <d v="2026-04-03T00:00:00"/>
    <x v="5"/>
    <x v="5"/>
    <s v="Friday"/>
    <x v="0"/>
    <x v="1"/>
    <x v="1"/>
    <s v="Toothbrush"/>
    <x v="10"/>
    <s v="Medium Toothbrush"/>
    <s v="B260403-L4A"/>
    <s v="R. Sharma"/>
    <x v="2"/>
    <x v="1"/>
    <x v="6"/>
    <n v="8310"/>
    <n v="7900"/>
    <n v="222"/>
    <n v="2.8101265822784809E-2"/>
    <n v="0.95066185318892904"/>
    <x v="0"/>
    <n v="32"/>
    <n v="0.53333333333333333"/>
    <s v="Changeover"/>
    <n v="17"/>
    <n v="3774"/>
    <n v="27000"/>
    <n v="7730"/>
    <n v="7730"/>
    <x v="1119"/>
    <n v="13500"/>
  </r>
  <r>
    <s v="PR-1163"/>
    <d v="2026-07-16T00:00:00"/>
    <x v="2"/>
    <x v="2"/>
    <s v="Thursday"/>
    <x v="0"/>
    <x v="0"/>
    <x v="0"/>
    <s v="Mouthwash"/>
    <x v="0"/>
    <s v="Mint Mouthwash 250ml"/>
    <s v="B260716-L2A"/>
    <s v="R. Sharma"/>
    <x v="0"/>
    <x v="0"/>
    <x v="2"/>
    <n v="7210"/>
    <n v="6450"/>
    <n v="628"/>
    <n v="9.7364341085271311E-2"/>
    <n v="0.89459084604715677"/>
    <x v="1"/>
    <n v="0"/>
    <n v="0"/>
    <s v="None"/>
    <n v="46"/>
    <n v="28888"/>
    <n v="28167"/>
    <n v="7030"/>
    <n v="7030"/>
    <x v="1120"/>
    <n v="10500"/>
  </r>
  <r>
    <s v="PR-0624"/>
    <d v="2026-05-28T00:00:00"/>
    <x v="4"/>
    <x v="4"/>
    <s v="Thursday"/>
    <x v="0"/>
    <x v="0"/>
    <x v="0"/>
    <s v="Mouthwash"/>
    <x v="0"/>
    <s v="Mint Mouthwash 250ml"/>
    <s v="B260528-L2A"/>
    <s v="R. Sharma"/>
    <x v="1"/>
    <x v="0"/>
    <x v="1"/>
    <n v="6880"/>
    <n v="6800"/>
    <n v="178"/>
    <n v="2.6176470588235294E-2"/>
    <n v="0.98837209302325579"/>
    <x v="5"/>
    <n v="0"/>
    <n v="0"/>
    <s v="None"/>
    <n v="46"/>
    <n v="8188"/>
    <n v="26040"/>
    <n v="5700"/>
    <n v="5700"/>
    <x v="1121"/>
    <n v="10500"/>
  </r>
  <r>
    <s v="PR-1776"/>
    <d v="2026-09-10T00:00:00"/>
    <x v="0"/>
    <x v="0"/>
    <s v="Thursday"/>
    <x v="1"/>
    <x v="3"/>
    <x v="3"/>
    <s v="Toothpaste"/>
    <x v="5"/>
    <s v="Charcoal Toothpaste 150g"/>
    <s v="B260910-L1B"/>
    <s v="S. Yadav"/>
    <x v="1"/>
    <x v="3"/>
    <x v="2"/>
    <n v="6310"/>
    <n v="6230"/>
    <n v="86"/>
    <n v="1.3804173354735152E-2"/>
    <n v="0.98732171156893822"/>
    <x v="3"/>
    <n v="20"/>
    <n v="0.33333333333333331"/>
    <s v="Machine Breakdown"/>
    <n v="51"/>
    <n v="4386"/>
    <n v="26382"/>
    <n v="5550"/>
    <n v="5550"/>
    <x v="1122"/>
    <n v="9000"/>
  </r>
  <r>
    <s v="PR-0152"/>
    <d v="2026-04-14T00:00:00"/>
    <x v="5"/>
    <x v="5"/>
    <s v="Tuesday"/>
    <x v="2"/>
    <x v="2"/>
    <x v="2"/>
    <s v="Dental Floss"/>
    <x v="9"/>
    <s v="Waxed Floss 50m"/>
    <s v="B260414-L3C"/>
    <s v="A. Gupta"/>
    <x v="2"/>
    <x v="2"/>
    <x v="8"/>
    <n v="7330"/>
    <n v="7050"/>
    <n v="218"/>
    <n v="3.0921985815602838E-2"/>
    <n v="0.9618008185538881"/>
    <x v="3"/>
    <n v="40"/>
    <n v="0.66666666666666663"/>
    <s v="Cleaning / Sanitation"/>
    <n v="24"/>
    <n v="5232"/>
    <n v="26365"/>
    <n v="6220"/>
    <n v="6220"/>
    <x v="1123"/>
    <n v="12000"/>
  </r>
  <r>
    <s v="PR-1469"/>
    <d v="2026-08-12T00:00:00"/>
    <x v="1"/>
    <x v="1"/>
    <s v="Wednesday"/>
    <x v="2"/>
    <x v="2"/>
    <x v="2"/>
    <s v="Dental Floss"/>
    <x v="9"/>
    <s v="Waxed Floss 50m"/>
    <s v="B260812-L3C"/>
    <s v="A. Gupta"/>
    <x v="1"/>
    <x v="2"/>
    <x v="8"/>
    <n v="7540"/>
    <n v="6810"/>
    <n v="207"/>
    <n v="3.0396475770925111E-2"/>
    <n v="0.90318302387267901"/>
    <x v="4"/>
    <n v="0"/>
    <n v="0"/>
    <s v="None"/>
    <n v="24"/>
    <n v="4968"/>
    <n v="27104"/>
    <n v="6730"/>
    <n v="6730"/>
    <x v="1123"/>
    <n v="12000"/>
  </r>
  <r>
    <s v="PR-0339"/>
    <d v="2026-05-01T00:00:00"/>
    <x v="4"/>
    <x v="4"/>
    <s v="Friday"/>
    <x v="2"/>
    <x v="2"/>
    <x v="2"/>
    <s v="Dental Floss"/>
    <x v="9"/>
    <s v="Waxed Floss 50m"/>
    <s v="B260501-L3C"/>
    <s v="A. Gupta"/>
    <x v="1"/>
    <x v="2"/>
    <x v="9"/>
    <n v="7880"/>
    <n v="7210"/>
    <n v="304"/>
    <n v="4.216366158113731E-2"/>
    <n v="0.9149746192893401"/>
    <x v="3"/>
    <n v="63"/>
    <n v="1.05"/>
    <s v="Cleaning / Sanitation"/>
    <n v="24"/>
    <n v="7296"/>
    <n v="26927"/>
    <n v="6850"/>
    <n v="6850"/>
    <x v="1124"/>
    <n v="12000"/>
  </r>
  <r>
    <s v="PR-1108"/>
    <d v="2026-07-10T00:00:00"/>
    <x v="2"/>
    <x v="2"/>
    <s v="Friday"/>
    <x v="2"/>
    <x v="1"/>
    <x v="1"/>
    <s v="Toothbrush"/>
    <x v="10"/>
    <s v="Medium Toothbrush"/>
    <s v="B260710-L4C"/>
    <s v="M. Khan"/>
    <x v="2"/>
    <x v="1"/>
    <x v="1"/>
    <n v="9060"/>
    <n v="7730"/>
    <n v="159"/>
    <n v="2.056921086675291E-2"/>
    <n v="0.85320088300220753"/>
    <x v="2"/>
    <n v="0"/>
    <n v="0"/>
    <s v="None"/>
    <n v="17"/>
    <n v="2703"/>
    <n v="27688"/>
    <n v="8270"/>
    <n v="8270"/>
    <x v="1125"/>
    <n v="13500"/>
  </r>
  <r>
    <s v="PR-0168"/>
    <d v="2026-04-16T00:00:00"/>
    <x v="5"/>
    <x v="5"/>
    <s v="Thursday"/>
    <x v="0"/>
    <x v="2"/>
    <x v="2"/>
    <s v="Dental Floss"/>
    <x v="9"/>
    <s v="Waxed Floss 50m"/>
    <s v="B260416-L3A"/>
    <s v="R. Sharma"/>
    <x v="1"/>
    <x v="2"/>
    <x v="10"/>
    <n v="7710"/>
    <n v="7270"/>
    <n v="201"/>
    <n v="2.7647867950481429E-2"/>
    <n v="0.94293125810635536"/>
    <x v="0"/>
    <n v="0"/>
    <n v="0"/>
    <s v="None"/>
    <n v="24"/>
    <n v="4824"/>
    <n v="27304"/>
    <n v="7380"/>
    <n v="7380"/>
    <x v="1126"/>
    <n v="12000"/>
  </r>
  <r>
    <s v="PR-1997"/>
    <d v="2026-09-30T00:00:00"/>
    <x v="0"/>
    <x v="0"/>
    <s v="Wednesday"/>
    <x v="2"/>
    <x v="3"/>
    <x v="3"/>
    <s v="Toothpaste"/>
    <x v="5"/>
    <s v="Charcoal Toothpaste 150g"/>
    <s v="B260930-L1C"/>
    <s v="A. Gupta"/>
    <x v="1"/>
    <x v="3"/>
    <x v="2"/>
    <n v="6070"/>
    <n v="5780"/>
    <n v="139"/>
    <n v="2.4048442906574395E-2"/>
    <n v="0.9522240527182867"/>
    <x v="0"/>
    <n v="0"/>
    <n v="0"/>
    <s v="None"/>
    <n v="51"/>
    <n v="7089"/>
    <n v="26759"/>
    <n v="5390"/>
    <n v="5390"/>
    <x v="1127"/>
    <n v="9000"/>
  </r>
  <r>
    <s v="PR-0985"/>
    <d v="2026-06-30T00:00:00"/>
    <x v="3"/>
    <x v="3"/>
    <s v="Tuesday"/>
    <x v="0"/>
    <x v="3"/>
    <x v="3"/>
    <s v="Toothpaste"/>
    <x v="7"/>
    <s v="Sensitive Toothpaste 100g"/>
    <s v="B260630-L1A"/>
    <s v="K. Verma"/>
    <x v="2"/>
    <x v="3"/>
    <x v="3"/>
    <n v="7440"/>
    <n v="7010"/>
    <n v="204"/>
    <n v="2.9101283880171185E-2"/>
    <n v="0.94220430107526887"/>
    <x v="0"/>
    <n v="0"/>
    <n v="0"/>
    <s v="None"/>
    <n v="42"/>
    <n v="8568"/>
    <n v="26419"/>
    <n v="6210"/>
    <n v="6210"/>
    <x v="1128"/>
    <n v="12000"/>
  </r>
  <r>
    <s v="PR-0446"/>
    <d v="2026-05-12T00:00:00"/>
    <x v="4"/>
    <x v="4"/>
    <s v="Tuesday"/>
    <x v="0"/>
    <x v="3"/>
    <x v="3"/>
    <s v="Toothpaste"/>
    <x v="8"/>
    <s v="Whitening Toothpaste 100g"/>
    <s v="B260512-L1A"/>
    <s v="R. Sharma"/>
    <x v="1"/>
    <x v="3"/>
    <x v="3"/>
    <n v="8930"/>
    <n v="8340"/>
    <n v="33"/>
    <n v="3.9568345323741008E-3"/>
    <n v="0.93393057110862265"/>
    <x v="5"/>
    <n v="0"/>
    <n v="0"/>
    <s v="None"/>
    <n v="38"/>
    <n v="1254"/>
    <n v="27420"/>
    <n v="8690"/>
    <n v="8690"/>
    <x v="1129"/>
    <n v="13500"/>
  </r>
  <r>
    <s v="PR-1481"/>
    <d v="2026-08-13T00:00:00"/>
    <x v="1"/>
    <x v="1"/>
    <s v="Thursday"/>
    <x v="2"/>
    <x v="2"/>
    <x v="2"/>
    <s v="Dental Floss"/>
    <x v="9"/>
    <s v="Waxed Floss 50m"/>
    <s v="B260813-L3C"/>
    <s v="M. Khan"/>
    <x v="2"/>
    <x v="2"/>
    <x v="8"/>
    <n v="7910"/>
    <n v="7030"/>
    <n v="97"/>
    <n v="1.379800853485064E-2"/>
    <n v="0.88874841972187102"/>
    <x v="0"/>
    <n v="71"/>
    <n v="1.1833333333333333"/>
    <s v="Machine Breakdown"/>
    <n v="24"/>
    <n v="2328"/>
    <n v="27615"/>
    <n v="7490"/>
    <n v="7490"/>
    <x v="1130"/>
    <n v="12000"/>
  </r>
  <r>
    <s v="PR-0214"/>
    <d v="2026-04-20T00:00:00"/>
    <x v="5"/>
    <x v="5"/>
    <s v="Monday"/>
    <x v="1"/>
    <x v="1"/>
    <x v="1"/>
    <s v="Toothbrush"/>
    <x v="10"/>
    <s v="Medium Toothbrush"/>
    <s v="B260420-L4B"/>
    <s v="P. Singh"/>
    <x v="1"/>
    <x v="1"/>
    <x v="6"/>
    <n v="8690"/>
    <n v="8140"/>
    <n v="188"/>
    <n v="2.3095823095823097E-2"/>
    <n v="0.93670886075949367"/>
    <x v="2"/>
    <n v="31"/>
    <n v="0.51666666666666672"/>
    <s v="Machine Breakdown"/>
    <n v="17"/>
    <n v="3196"/>
    <n v="27321"/>
    <n v="8210"/>
    <n v="8210"/>
    <x v="1131"/>
    <n v="13500"/>
  </r>
  <r>
    <s v="PR-1092"/>
    <d v="2026-07-09T00:00:00"/>
    <x v="2"/>
    <x v="2"/>
    <s v="Thursday"/>
    <x v="1"/>
    <x v="1"/>
    <x v="1"/>
    <s v="Toothbrush"/>
    <x v="10"/>
    <s v="Medium Toothbrush"/>
    <s v="B260709-L4B"/>
    <s v="S. Yadav"/>
    <x v="2"/>
    <x v="1"/>
    <x v="1"/>
    <n v="8540"/>
    <n v="7450"/>
    <n v="218"/>
    <n v="2.9261744966442953E-2"/>
    <n v="0.8723653395784543"/>
    <x v="3"/>
    <n v="0"/>
    <n v="0"/>
    <s v="None"/>
    <n v="17"/>
    <n v="3706"/>
    <n v="27572"/>
    <n v="7730"/>
    <n v="7730"/>
    <x v="1132"/>
    <n v="13500"/>
  </r>
  <r>
    <s v="PR-0317"/>
    <d v="2026-04-30T00:00:00"/>
    <x v="5"/>
    <x v="5"/>
    <s v="Thursday"/>
    <x v="0"/>
    <x v="3"/>
    <x v="3"/>
    <s v="Toothpaste"/>
    <x v="8"/>
    <s v="Whitening Toothpaste 100g"/>
    <s v="B260430-L1A"/>
    <s v="R. Sharma"/>
    <x v="2"/>
    <x v="3"/>
    <x v="4"/>
    <n v="9490"/>
    <n v="9040"/>
    <n v="162"/>
    <n v="1.7920353982300886E-2"/>
    <n v="0.95258166491043206"/>
    <x v="5"/>
    <n v="0"/>
    <n v="0"/>
    <s v="None"/>
    <n v="38"/>
    <n v="6156"/>
    <n v="26556"/>
    <n v="8350"/>
    <n v="8350"/>
    <x v="1133"/>
    <n v="13500"/>
  </r>
  <r>
    <s v="PR-0818"/>
    <d v="2026-06-15T00:00:00"/>
    <x v="3"/>
    <x v="3"/>
    <s v="Monday"/>
    <x v="0"/>
    <x v="3"/>
    <x v="3"/>
    <s v="Toothpaste"/>
    <x v="8"/>
    <s v="Whitening Toothpaste 100g"/>
    <s v="B260615-L1A"/>
    <s v="R. Sharma"/>
    <x v="1"/>
    <x v="3"/>
    <x v="2"/>
    <n v="8730"/>
    <n v="8860"/>
    <n v="255"/>
    <n v="2.8781038374717832E-2"/>
    <n v="1.0148911798396334"/>
    <x v="0"/>
    <n v="0"/>
    <n v="0"/>
    <s v="None"/>
    <n v="38"/>
    <n v="9690"/>
    <n v="25619"/>
    <n v="7140"/>
    <n v="7140"/>
    <x v="1133"/>
    <n v="13500"/>
  </r>
  <r>
    <s v="PR-0474"/>
    <d v="2026-05-14T00:00:00"/>
    <x v="4"/>
    <x v="4"/>
    <s v="Thursday"/>
    <x v="1"/>
    <x v="3"/>
    <x v="3"/>
    <s v="Toothpaste"/>
    <x v="8"/>
    <s v="Whitening Toothpaste 100g"/>
    <s v="B260514-L1B"/>
    <s v="P. Singh"/>
    <x v="1"/>
    <x v="3"/>
    <x v="2"/>
    <n v="9290"/>
    <n v="9450"/>
    <n v="220"/>
    <n v="2.328042328042328E-2"/>
    <n v="1.0172228202368139"/>
    <x v="3"/>
    <n v="0"/>
    <n v="0"/>
    <s v="None"/>
    <n v="38"/>
    <n v="8360"/>
    <n v="27894"/>
    <n v="10030"/>
    <n v="10030"/>
    <x v="1134"/>
    <n v="13500"/>
  </r>
  <r>
    <s v="PR-0333"/>
    <d v="2026-05-01T00:00:00"/>
    <x v="4"/>
    <x v="4"/>
    <s v="Friday"/>
    <x v="1"/>
    <x v="3"/>
    <x v="3"/>
    <s v="Toothpaste"/>
    <x v="8"/>
    <s v="Whitening Toothpaste 100g"/>
    <s v="B260501-L1B"/>
    <s v="S. Yadav"/>
    <x v="1"/>
    <x v="3"/>
    <x v="2"/>
    <n v="8940"/>
    <n v="8390"/>
    <n v="360"/>
    <n v="4.2908224076281289E-2"/>
    <n v="0.93847874720357938"/>
    <x v="2"/>
    <n v="0"/>
    <n v="0"/>
    <s v="None"/>
    <n v="38"/>
    <n v="13680"/>
    <n v="26567"/>
    <n v="7500"/>
    <n v="7500"/>
    <x v="1135"/>
    <n v="13500"/>
  </r>
  <r>
    <s v="PR-1465"/>
    <d v="2026-08-12T00:00:00"/>
    <x v="1"/>
    <x v="1"/>
    <s v="Wednesday"/>
    <x v="1"/>
    <x v="2"/>
    <x v="2"/>
    <s v="Dental Floss"/>
    <x v="9"/>
    <s v="Waxed Floss 50m"/>
    <s v="B260812-L3B"/>
    <s v="S. Yadav"/>
    <x v="2"/>
    <x v="2"/>
    <x v="10"/>
    <n v="7950"/>
    <n v="7370"/>
    <n v="121"/>
    <n v="1.6417910447761194E-2"/>
    <n v="0.92704402515723272"/>
    <x v="3"/>
    <n v="0"/>
    <n v="0"/>
    <s v="None"/>
    <n v="24"/>
    <n v="2904"/>
    <n v="27345"/>
    <n v="7490"/>
    <n v="7490"/>
    <x v="1136"/>
    <n v="12000"/>
  </r>
  <r>
    <s v="PR-0332"/>
    <d v="2026-05-01T00:00:00"/>
    <x v="4"/>
    <x v="4"/>
    <s v="Friday"/>
    <x v="0"/>
    <x v="1"/>
    <x v="1"/>
    <s v="Toothbrush"/>
    <x v="10"/>
    <s v="Medium Toothbrush"/>
    <s v="B260501-L4A"/>
    <s v="K. Verma"/>
    <x v="2"/>
    <x v="1"/>
    <x v="6"/>
    <n v="9150"/>
    <n v="9040"/>
    <n v="235"/>
    <n v="2.5995575221238937E-2"/>
    <n v="0.9879781420765027"/>
    <x v="0"/>
    <n v="54"/>
    <n v="0.9"/>
    <s v="Cleaning / Sanitation"/>
    <n v="17"/>
    <n v="3995"/>
    <n v="27493"/>
    <n v="9190"/>
    <n v="9190"/>
    <x v="1137"/>
    <n v="13500"/>
  </r>
  <r>
    <s v="PR-0347"/>
    <d v="2026-05-02T00:00:00"/>
    <x v="4"/>
    <x v="4"/>
    <s v="Saturday"/>
    <x v="1"/>
    <x v="2"/>
    <x v="2"/>
    <s v="Dental Floss"/>
    <x v="9"/>
    <s v="Waxed Floss 50m"/>
    <s v="B260502-L3B"/>
    <s v="P. Singh"/>
    <x v="2"/>
    <x v="2"/>
    <x v="8"/>
    <n v="8400"/>
    <n v="7640"/>
    <n v="245"/>
    <n v="3.206806282722513E-2"/>
    <n v="0.90952380952380951"/>
    <x v="3"/>
    <n v="0"/>
    <n v="0"/>
    <s v="None"/>
    <n v="24"/>
    <n v="5880"/>
    <n v="26983"/>
    <n v="7230"/>
    <n v="7230"/>
    <x v="1138"/>
    <n v="12000"/>
  </r>
  <r>
    <s v="PR-0355"/>
    <d v="2026-05-03T00:00:00"/>
    <x v="4"/>
    <x v="4"/>
    <s v="Sunday"/>
    <x v="1"/>
    <x v="3"/>
    <x v="3"/>
    <s v="Toothpaste"/>
    <x v="8"/>
    <s v="Whitening Toothpaste 100g"/>
    <s v="B260503-L1B"/>
    <s v="P. Singh"/>
    <x v="2"/>
    <x v="3"/>
    <x v="2"/>
    <n v="6390"/>
    <n v="6250"/>
    <n v="132"/>
    <n v="2.112E-2"/>
    <n v="0.97809076682316121"/>
    <x v="4"/>
    <n v="47"/>
    <n v="0.78333333333333333"/>
    <s v="Changeover"/>
    <n v="38"/>
    <n v="5016"/>
    <n v="27097"/>
    <n v="6040"/>
    <n v="6040"/>
    <x v="1139"/>
    <n v="13500"/>
  </r>
  <r>
    <s v="PR-0362"/>
    <d v="2026-05-04T00:00:00"/>
    <x v="4"/>
    <x v="4"/>
    <s v="Monday"/>
    <x v="1"/>
    <x v="3"/>
    <x v="3"/>
    <s v="Toothpaste"/>
    <x v="8"/>
    <s v="Whitening Toothpaste 100g"/>
    <s v="B260504-L1B"/>
    <s v="S. Yadav"/>
    <x v="2"/>
    <x v="3"/>
    <x v="3"/>
    <n v="8930"/>
    <n v="7990"/>
    <n v="203"/>
    <n v="2.5406758448060077E-2"/>
    <n v="0.89473684210526316"/>
    <x v="5"/>
    <n v="0"/>
    <n v="0"/>
    <s v="None"/>
    <n v="38"/>
    <n v="7714"/>
    <n v="27175"/>
    <n v="7770"/>
    <n v="7770"/>
    <x v="1140"/>
    <n v="13500"/>
  </r>
  <r>
    <s v="PR-1501"/>
    <d v="2026-08-15T00:00:00"/>
    <x v="1"/>
    <x v="1"/>
    <s v="Saturday"/>
    <x v="1"/>
    <x v="2"/>
    <x v="2"/>
    <s v="Dental Floss"/>
    <x v="9"/>
    <s v="Waxed Floss 50m"/>
    <s v="B260815-L3B"/>
    <s v="S. Yadav"/>
    <x v="1"/>
    <x v="2"/>
    <x v="10"/>
    <n v="8210"/>
    <n v="7950"/>
    <n v="109"/>
    <n v="1.3710691823899371E-2"/>
    <n v="0.96833130328867234"/>
    <x v="2"/>
    <n v="15"/>
    <n v="0.25"/>
    <s v="Changeover"/>
    <n v="24"/>
    <n v="2616"/>
    <n v="27058"/>
    <n v="7670"/>
    <n v="7670"/>
    <x v="1141"/>
    <n v="12000"/>
  </r>
  <r>
    <s v="PR-0180"/>
    <d v="2026-04-17T00:00:00"/>
    <x v="5"/>
    <x v="5"/>
    <s v="Friday"/>
    <x v="0"/>
    <x v="2"/>
    <x v="2"/>
    <s v="Dental Floss"/>
    <x v="9"/>
    <s v="Waxed Floss 50m"/>
    <s v="B260417-L3A"/>
    <s v="R. Sharma"/>
    <x v="1"/>
    <x v="2"/>
    <x v="10"/>
    <n v="8630"/>
    <n v="8340"/>
    <n v="176"/>
    <n v="2.1103117505995205E-2"/>
    <n v="0.96639629200463495"/>
    <x v="0"/>
    <n v="0"/>
    <n v="0"/>
    <s v="None"/>
    <n v="24"/>
    <n v="4224"/>
    <n v="26745"/>
    <n v="7670"/>
    <n v="7670"/>
    <x v="1142"/>
    <n v="12000"/>
  </r>
  <r>
    <s v="PR-0541"/>
    <d v="2026-05-20T00:00:00"/>
    <x v="4"/>
    <x v="4"/>
    <s v="Wednesday"/>
    <x v="1"/>
    <x v="1"/>
    <x v="1"/>
    <s v="Toothbrush"/>
    <x v="10"/>
    <s v="Medium Toothbrush"/>
    <s v="B260520-L4B"/>
    <s v="S. Yadav"/>
    <x v="2"/>
    <x v="1"/>
    <x v="2"/>
    <n v="9130"/>
    <n v="7470"/>
    <n v="222"/>
    <n v="2.9718875502008031E-2"/>
    <n v="0.81818181818181823"/>
    <x v="0"/>
    <n v="58"/>
    <n v="0.96666666666666667"/>
    <s v="Cleaning / Sanitation"/>
    <n v="17"/>
    <n v="3774"/>
    <n v="28291"/>
    <n v="8300"/>
    <n v="8300"/>
    <x v="1142"/>
    <n v="13500"/>
  </r>
  <r>
    <s v="PR-0184"/>
    <d v="2026-04-17T00:00:00"/>
    <x v="5"/>
    <x v="5"/>
    <s v="Friday"/>
    <x v="1"/>
    <x v="2"/>
    <x v="2"/>
    <s v="Dental Floss"/>
    <x v="9"/>
    <s v="Waxed Floss 50m"/>
    <s v="B260417-L3B"/>
    <s v="P. Singh"/>
    <x v="2"/>
    <x v="2"/>
    <x v="10"/>
    <n v="7870"/>
    <n v="7750"/>
    <n v="207"/>
    <n v="2.670967741935484E-2"/>
    <n v="0.98475222363405335"/>
    <x v="0"/>
    <n v="67"/>
    <n v="1.1166666666666667"/>
    <s v="Cleaning / Sanitation"/>
    <n v="24"/>
    <n v="4968"/>
    <n v="27239"/>
    <n v="7540"/>
    <n v="7540"/>
    <x v="1143"/>
    <n v="12000"/>
  </r>
  <r>
    <s v="PR-0757"/>
    <d v="2026-06-09T00:00:00"/>
    <x v="3"/>
    <x v="3"/>
    <s v="Tuesday"/>
    <x v="1"/>
    <x v="0"/>
    <x v="0"/>
    <s v="Mouthwash"/>
    <x v="0"/>
    <s v="Mint Mouthwash 250ml"/>
    <s v="B260609-L2B"/>
    <s v="P. Singh"/>
    <x v="1"/>
    <x v="0"/>
    <x v="1"/>
    <n v="7440"/>
    <n v="6570"/>
    <n v="169"/>
    <n v="2.5722983257229833E-2"/>
    <n v="0.88306451612903225"/>
    <x v="3"/>
    <n v="40"/>
    <n v="0.66666666666666663"/>
    <s v="Power Interruption"/>
    <n v="46"/>
    <n v="7774"/>
    <n v="28248"/>
    <n v="7400"/>
    <n v="7400"/>
    <x v="1144"/>
    <n v="10500"/>
  </r>
  <r>
    <s v="PR-1254"/>
    <d v="2026-07-24T00:00:00"/>
    <x v="2"/>
    <x v="2"/>
    <s v="Friday"/>
    <x v="0"/>
    <x v="2"/>
    <x v="2"/>
    <s v="Dental Floss"/>
    <x v="9"/>
    <s v="Waxed Floss 50m"/>
    <s v="B260724-L3A"/>
    <s v="K. Verma"/>
    <x v="1"/>
    <x v="2"/>
    <x v="8"/>
    <n v="8270"/>
    <n v="7390"/>
    <n v="269"/>
    <n v="3.6400541271989176E-2"/>
    <n v="0.89359129383313185"/>
    <x v="5"/>
    <n v="68"/>
    <n v="1.1333333333333333"/>
    <s v="Cleaning / Sanitation"/>
    <n v="24"/>
    <n v="6456"/>
    <n v="27738"/>
    <n v="7590"/>
    <n v="7590"/>
    <x v="1145"/>
    <n v="12000"/>
  </r>
  <r>
    <s v="PR-1426"/>
    <d v="2026-08-08T00:00:00"/>
    <x v="1"/>
    <x v="1"/>
    <s v="Saturday"/>
    <x v="2"/>
    <x v="2"/>
    <x v="2"/>
    <s v="Dental Floss"/>
    <x v="9"/>
    <s v="Waxed Floss 50m"/>
    <s v="B260808-L3C"/>
    <s v="M. Khan"/>
    <x v="2"/>
    <x v="2"/>
    <x v="9"/>
    <n v="8110"/>
    <n v="7060"/>
    <n v="255"/>
    <n v="3.6118980169971671E-2"/>
    <n v="0.87053020961775585"/>
    <x v="5"/>
    <n v="51"/>
    <n v="0.85"/>
    <s v="Cleaning / Sanitation"/>
    <n v="24"/>
    <n v="6120"/>
    <n v="28257"/>
    <n v="7770"/>
    <n v="7770"/>
    <x v="1146"/>
    <n v="12000"/>
  </r>
  <r>
    <s v="PR-0164"/>
    <d v="2026-04-15T00:00:00"/>
    <x v="5"/>
    <x v="5"/>
    <s v="Wednesday"/>
    <x v="2"/>
    <x v="2"/>
    <x v="2"/>
    <s v="Dental Floss"/>
    <x v="9"/>
    <s v="Waxed Floss 50m"/>
    <s v="B260415-L3C"/>
    <s v="M. Khan"/>
    <x v="2"/>
    <x v="2"/>
    <x v="10"/>
    <n v="7420"/>
    <n v="7300"/>
    <n v="153"/>
    <n v="2.095890410958904E-2"/>
    <n v="0.98382749326145558"/>
    <x v="5"/>
    <n v="40"/>
    <n v="0.66666666666666663"/>
    <s v="Machine Breakdown"/>
    <n v="24"/>
    <n v="3672"/>
    <n v="26977"/>
    <n v="6820"/>
    <n v="6820"/>
    <x v="1147"/>
    <n v="12000"/>
  </r>
  <r>
    <s v="PR-0408"/>
    <d v="2026-05-08T00:00:00"/>
    <x v="4"/>
    <x v="4"/>
    <s v="Friday"/>
    <x v="0"/>
    <x v="2"/>
    <x v="2"/>
    <s v="Dental Floss"/>
    <x v="9"/>
    <s v="Waxed Floss 50m"/>
    <s v="B260508-L3A"/>
    <s v="K. Verma"/>
    <x v="2"/>
    <x v="2"/>
    <x v="10"/>
    <n v="8490"/>
    <n v="8250"/>
    <n v="182"/>
    <n v="2.2060606060606062E-2"/>
    <n v="0.9717314487632509"/>
    <x v="3"/>
    <n v="10"/>
    <n v="0.16666666666666666"/>
    <s v="Machine Breakdown"/>
    <n v="24"/>
    <n v="4368"/>
    <n v="27436"/>
    <n v="8200"/>
    <n v="8200"/>
    <x v="1147"/>
    <n v="12000"/>
  </r>
  <r>
    <s v="PR-0570"/>
    <d v="2026-05-23T00:00:00"/>
    <x v="4"/>
    <x v="4"/>
    <s v="Saturday"/>
    <x v="0"/>
    <x v="3"/>
    <x v="3"/>
    <s v="Toothpaste"/>
    <x v="8"/>
    <s v="Whitening Toothpaste 100g"/>
    <s v="B260523-L1A"/>
    <s v="R. Sharma"/>
    <x v="2"/>
    <x v="3"/>
    <x v="3"/>
    <n v="9290"/>
    <n v="8870"/>
    <n v="177"/>
    <n v="1.9954904171364148E-2"/>
    <n v="0.9547900968783638"/>
    <x v="0"/>
    <n v="0"/>
    <n v="0"/>
    <s v="None"/>
    <n v="38"/>
    <n v="6726"/>
    <n v="27514"/>
    <n v="8890"/>
    <n v="8890"/>
    <x v="1148"/>
    <n v="13500"/>
  </r>
  <r>
    <s v="PR-0206"/>
    <d v="2026-04-19T00:00:00"/>
    <x v="5"/>
    <x v="5"/>
    <s v="Sunday"/>
    <x v="1"/>
    <x v="1"/>
    <x v="1"/>
    <s v="Toothbrush"/>
    <x v="10"/>
    <s v="Medium Toothbrush"/>
    <s v="B260419-L4B"/>
    <s v="P. Singh"/>
    <x v="2"/>
    <x v="1"/>
    <x v="2"/>
    <n v="5810"/>
    <n v="4920"/>
    <n v="120"/>
    <n v="2.4390243902439025E-2"/>
    <n v="0.846815834767642"/>
    <x v="0"/>
    <n v="26"/>
    <n v="0.43333333333333335"/>
    <s v="Cleaning / Sanitation"/>
    <n v="17"/>
    <n v="2040"/>
    <n v="27871"/>
    <n v="5350"/>
    <n v="5350"/>
    <x v="1149"/>
    <n v="13500"/>
  </r>
  <r>
    <s v="PR-1587"/>
    <d v="2026-08-24T00:00:00"/>
    <x v="1"/>
    <x v="1"/>
    <s v="Monday"/>
    <x v="0"/>
    <x v="2"/>
    <x v="2"/>
    <s v="Dental Floss"/>
    <x v="9"/>
    <s v="Waxed Floss 50m"/>
    <s v="B260824-L3A"/>
    <s v="K. Verma"/>
    <x v="1"/>
    <x v="2"/>
    <x v="10"/>
    <n v="8570"/>
    <n v="8060"/>
    <n v="107"/>
    <n v="1.3275434243176178E-2"/>
    <n v="0.94049008168028003"/>
    <x v="4"/>
    <n v="0"/>
    <n v="0"/>
    <s v="None"/>
    <n v="24"/>
    <n v="2568"/>
    <n v="28045"/>
    <n v="8660"/>
    <n v="8660"/>
    <x v="1150"/>
    <n v="12000"/>
  </r>
  <r>
    <s v="PR-1449"/>
    <d v="2026-08-11T00:00:00"/>
    <x v="1"/>
    <x v="1"/>
    <s v="Tuesday"/>
    <x v="0"/>
    <x v="2"/>
    <x v="2"/>
    <s v="Dental Floss"/>
    <x v="9"/>
    <s v="Waxed Floss 50m"/>
    <s v="B260811-L3A"/>
    <s v="R. Sharma"/>
    <x v="2"/>
    <x v="2"/>
    <x v="10"/>
    <n v="7650"/>
    <n v="6840"/>
    <n v="189"/>
    <n v="2.763157894736842E-2"/>
    <n v="0.89411764705882357"/>
    <x v="3"/>
    <n v="51"/>
    <n v="0.85"/>
    <s v="Changeover"/>
    <n v="24"/>
    <n v="4536"/>
    <n v="27534"/>
    <n v="6840"/>
    <n v="6840"/>
    <x v="1151"/>
    <n v="12000"/>
  </r>
  <r>
    <s v="PR-0602"/>
    <d v="2026-05-26T00:00:00"/>
    <x v="4"/>
    <x v="4"/>
    <s v="Tuesday"/>
    <x v="0"/>
    <x v="1"/>
    <x v="1"/>
    <s v="Toothbrush"/>
    <x v="10"/>
    <s v="Medium Toothbrush"/>
    <s v="B260526-L4A"/>
    <s v="K. Verma"/>
    <x v="1"/>
    <x v="1"/>
    <x v="6"/>
    <n v="8800"/>
    <n v="8350"/>
    <n v="232"/>
    <n v="2.7784431137724552E-2"/>
    <n v="0.94886363636363635"/>
    <x v="3"/>
    <n v="0"/>
    <n v="0"/>
    <s v="None"/>
    <n v="17"/>
    <n v="3944"/>
    <n v="27378"/>
    <n v="8150"/>
    <n v="8150"/>
    <x v="1152"/>
    <n v="13500"/>
  </r>
  <r>
    <s v="PR-0586"/>
    <d v="2026-05-24T00:00:00"/>
    <x v="4"/>
    <x v="4"/>
    <s v="Sunday"/>
    <x v="1"/>
    <x v="1"/>
    <x v="1"/>
    <s v="Toothbrush"/>
    <x v="10"/>
    <s v="Medium Toothbrush"/>
    <s v="B260524-L4B"/>
    <s v="S. Yadav"/>
    <x v="1"/>
    <x v="1"/>
    <x v="0"/>
    <n v="5830"/>
    <n v="5570"/>
    <n v="104"/>
    <n v="1.867145421903052E-2"/>
    <n v="0.95540308747855918"/>
    <x v="0"/>
    <n v="0"/>
    <n v="0"/>
    <s v="None"/>
    <n v="17"/>
    <n v="1768"/>
    <n v="27852"/>
    <n v="5940"/>
    <n v="5940"/>
    <x v="1153"/>
    <n v="13500"/>
  </r>
  <r>
    <s v="PR-0717"/>
    <d v="2026-06-05T00:00:00"/>
    <x v="3"/>
    <x v="3"/>
    <s v="Friday"/>
    <x v="1"/>
    <x v="2"/>
    <x v="2"/>
    <s v="Dental Floss"/>
    <x v="6"/>
    <s v="Floss Picks (100 pcs)"/>
    <s v="B260605-L3B"/>
    <s v="S. Yadav"/>
    <x v="2"/>
    <x v="2"/>
    <x v="8"/>
    <n v="6070"/>
    <n v="5240"/>
    <n v="135"/>
    <n v="2.5763358778625955E-2"/>
    <n v="0.86326194398682043"/>
    <x v="0"/>
    <n v="0"/>
    <n v="0"/>
    <s v="None"/>
    <n v="33"/>
    <n v="4455"/>
    <n v="27805"/>
    <n v="5530"/>
    <n v="5530"/>
    <x v="1154"/>
    <n v="9750"/>
  </r>
  <r>
    <s v="PR-0561"/>
    <d v="2026-05-22T00:00:00"/>
    <x v="4"/>
    <x v="4"/>
    <s v="Friday"/>
    <x v="0"/>
    <x v="1"/>
    <x v="1"/>
    <s v="Toothbrush"/>
    <x v="10"/>
    <s v="Medium Toothbrush"/>
    <s v="B260522-L4A"/>
    <s v="K. Verma"/>
    <x v="1"/>
    <x v="1"/>
    <x v="0"/>
    <n v="8940"/>
    <n v="8050"/>
    <n v="229"/>
    <n v="2.8447204968944099E-2"/>
    <n v="0.90044742729306493"/>
    <x v="2"/>
    <n v="0"/>
    <n v="0"/>
    <s v="None"/>
    <n v="17"/>
    <n v="3893"/>
    <n v="26902"/>
    <n v="7340"/>
    <n v="7340"/>
    <x v="1155"/>
    <n v="13500"/>
  </r>
  <r>
    <s v="PR-0426"/>
    <d v="2026-05-09T00:00:00"/>
    <x v="4"/>
    <x v="4"/>
    <s v="Saturday"/>
    <x v="2"/>
    <x v="3"/>
    <x v="3"/>
    <s v="Toothpaste"/>
    <x v="8"/>
    <s v="Whitening Toothpaste 100g"/>
    <s v="B260509-L1C"/>
    <s v="M. Khan"/>
    <x v="1"/>
    <x v="3"/>
    <x v="4"/>
    <n v="8450"/>
    <n v="7570"/>
    <n v="188"/>
    <n v="2.4834874504623513E-2"/>
    <n v="0.89585798816568052"/>
    <x v="4"/>
    <n v="0"/>
    <n v="0"/>
    <s v="None"/>
    <n v="38"/>
    <n v="7144"/>
    <n v="27588"/>
    <n v="7550"/>
    <n v="7550"/>
    <x v="1156"/>
    <n v="13500"/>
  </r>
  <r>
    <s v="PR-1133"/>
    <d v="2026-07-13T00:00:00"/>
    <x v="2"/>
    <x v="2"/>
    <s v="Monday"/>
    <x v="1"/>
    <x v="1"/>
    <x v="1"/>
    <s v="Toothbrush"/>
    <x v="10"/>
    <s v="Medium Toothbrush"/>
    <s v="B260713-L4B"/>
    <s v="P. Singh"/>
    <x v="2"/>
    <x v="1"/>
    <x v="6"/>
    <n v="8630"/>
    <n v="7940"/>
    <n v="277"/>
    <n v="3.4886649874055417E-2"/>
    <n v="0.92004634994206258"/>
    <x v="3"/>
    <n v="36"/>
    <n v="0.6"/>
    <s v="Cleaning / Sanitation"/>
    <n v="17"/>
    <n v="4709"/>
    <n v="27518"/>
    <n v="7760"/>
    <n v="7760"/>
    <x v="1157"/>
    <n v="13500"/>
  </r>
  <r>
    <s v="PR-0456"/>
    <d v="2026-05-12T00:00:00"/>
    <x v="4"/>
    <x v="4"/>
    <s v="Tuesday"/>
    <x v="2"/>
    <x v="2"/>
    <x v="2"/>
    <s v="Dental Floss"/>
    <x v="9"/>
    <s v="Waxed Floss 50m"/>
    <s v="B260512-L3C"/>
    <s v="M. Khan"/>
    <x v="1"/>
    <x v="2"/>
    <x v="8"/>
    <n v="7020"/>
    <n v="6620"/>
    <n v="132"/>
    <n v="1.9939577039274924E-2"/>
    <n v="0.94301994301994307"/>
    <x v="5"/>
    <n v="55"/>
    <n v="0.91666666666666663"/>
    <s v="Changeover"/>
    <n v="24"/>
    <n v="3168"/>
    <n v="27518"/>
    <n v="6580"/>
    <n v="6580"/>
    <x v="1158"/>
    <n v="12000"/>
  </r>
  <r>
    <s v="PR-0400"/>
    <d v="2026-05-07T00:00:00"/>
    <x v="4"/>
    <x v="4"/>
    <s v="Thursday"/>
    <x v="1"/>
    <x v="2"/>
    <x v="2"/>
    <s v="Dental Floss"/>
    <x v="9"/>
    <s v="Waxed Floss 50m"/>
    <s v="B260507-L3B"/>
    <s v="S. Yadav"/>
    <x v="2"/>
    <x v="2"/>
    <x v="8"/>
    <n v="8110"/>
    <n v="7300"/>
    <n v="245"/>
    <n v="3.3561643835616439E-2"/>
    <n v="0.90012330456226886"/>
    <x v="5"/>
    <n v="0"/>
    <n v="0"/>
    <s v="None"/>
    <n v="24"/>
    <n v="5880"/>
    <n v="27921"/>
    <n v="7540"/>
    <n v="7540"/>
    <x v="1159"/>
    <n v="12000"/>
  </r>
  <r>
    <s v="PR-0508"/>
    <d v="2026-05-17T00:00:00"/>
    <x v="4"/>
    <x v="4"/>
    <s v="Sunday"/>
    <x v="0"/>
    <x v="1"/>
    <x v="1"/>
    <s v="Toothbrush"/>
    <x v="10"/>
    <s v="Medium Toothbrush"/>
    <s v="B260517-L4A"/>
    <s v="K. Verma"/>
    <x v="2"/>
    <x v="1"/>
    <x v="6"/>
    <n v="6430"/>
    <n v="6030"/>
    <n v="132"/>
    <n v="2.1890547263681594E-2"/>
    <n v="0.93779160186625199"/>
    <x v="2"/>
    <n v="39"/>
    <n v="0.65"/>
    <s v="Machine Breakdown"/>
    <n v="17"/>
    <n v="2244"/>
    <n v="27849"/>
    <n v="6310"/>
    <n v="6310"/>
    <x v="1160"/>
    <n v="13500"/>
  </r>
  <r>
    <s v="PR-1430"/>
    <d v="2026-08-09T00:00:00"/>
    <x v="1"/>
    <x v="1"/>
    <s v="Sunday"/>
    <x v="0"/>
    <x v="2"/>
    <x v="2"/>
    <s v="Dental Floss"/>
    <x v="9"/>
    <s v="Waxed Floss 50m"/>
    <s v="B260809-L3A"/>
    <s v="R. Sharma"/>
    <x v="1"/>
    <x v="2"/>
    <x v="8"/>
    <n v="5720"/>
    <n v="5430"/>
    <n v="145"/>
    <n v="2.6703499079189688E-2"/>
    <n v="0.94930069930069927"/>
    <x v="5"/>
    <n v="10"/>
    <n v="0.16666666666666666"/>
    <s v="Changeover"/>
    <n v="24"/>
    <n v="3480"/>
    <n v="27292"/>
    <n v="5130"/>
    <n v="5130"/>
    <x v="1161"/>
    <n v="12000"/>
  </r>
  <r>
    <s v="PR-0328"/>
    <d v="2026-04-30T00:00:00"/>
    <x v="5"/>
    <x v="5"/>
    <s v="Thursday"/>
    <x v="2"/>
    <x v="1"/>
    <x v="1"/>
    <s v="Toothbrush"/>
    <x v="10"/>
    <s v="Medium Toothbrush"/>
    <s v="B260430-L4C"/>
    <s v="M. Khan"/>
    <x v="1"/>
    <x v="1"/>
    <x v="0"/>
    <n v="9000"/>
    <n v="8550"/>
    <n v="253"/>
    <n v="2.9590643274853803E-2"/>
    <n v="0.95"/>
    <x v="3"/>
    <n v="0"/>
    <n v="0"/>
    <s v="None"/>
    <n v="17"/>
    <n v="4301"/>
    <n v="26576"/>
    <n v="7380"/>
    <n v="7380"/>
    <x v="1162"/>
    <n v="13500"/>
  </r>
  <r>
    <s v="PR-0816"/>
    <d v="2026-06-14T00:00:00"/>
    <x v="3"/>
    <x v="3"/>
    <s v="Sunday"/>
    <x v="1"/>
    <x v="2"/>
    <x v="2"/>
    <s v="Dental Floss"/>
    <x v="6"/>
    <s v="Floss Picks (100 pcs)"/>
    <s v="B260614-L3B"/>
    <s v="S. Yadav"/>
    <x v="1"/>
    <x v="2"/>
    <x v="9"/>
    <n v="4720"/>
    <n v="4290"/>
    <n v="134"/>
    <n v="3.1235431235431235E-2"/>
    <n v="0.90889830508474578"/>
    <x v="5"/>
    <n v="33"/>
    <n v="0.55000000000000004"/>
    <s v="Material Shortage"/>
    <n v="33"/>
    <n v="4422"/>
    <n v="27820"/>
    <n v="4480"/>
    <n v="4480"/>
    <x v="1163"/>
    <n v="9750"/>
  </r>
  <r>
    <s v="PR-0141"/>
    <d v="2026-04-13T00:00:00"/>
    <x v="5"/>
    <x v="5"/>
    <s v="Monday"/>
    <x v="2"/>
    <x v="1"/>
    <x v="1"/>
    <s v="Toothbrush"/>
    <x v="10"/>
    <s v="Medium Toothbrush"/>
    <s v="B260413-L4C"/>
    <s v="M. Khan"/>
    <x v="2"/>
    <x v="1"/>
    <x v="2"/>
    <n v="8260"/>
    <n v="6890"/>
    <n v="135"/>
    <n v="1.9593613933236574E-2"/>
    <n v="0.83414043583535114"/>
    <x v="0"/>
    <n v="53"/>
    <n v="0.8833333333333333"/>
    <s v="Cleaning / Sanitation"/>
    <n v="17"/>
    <n v="2295"/>
    <n v="28104"/>
    <n v="7360"/>
    <n v="7360"/>
    <x v="1164"/>
    <n v="13500"/>
  </r>
  <r>
    <s v="PR-0562"/>
    <d v="2026-05-22T00:00:00"/>
    <x v="4"/>
    <x v="4"/>
    <s v="Friday"/>
    <x v="1"/>
    <x v="3"/>
    <x v="3"/>
    <s v="Toothpaste"/>
    <x v="8"/>
    <s v="Whitening Toothpaste 100g"/>
    <s v="B260522-L1B"/>
    <s v="S. Yadav"/>
    <x v="1"/>
    <x v="3"/>
    <x v="3"/>
    <n v="8860"/>
    <n v="7960"/>
    <n v="106"/>
    <n v="1.3316582914572864E-2"/>
    <n v="0.89841986455981937"/>
    <x v="2"/>
    <n v="23"/>
    <n v="0.38333333333333336"/>
    <s v="Changeover"/>
    <n v="38"/>
    <n v="4028"/>
    <n v="28270"/>
    <n v="8610"/>
    <n v="8610"/>
    <x v="1165"/>
    <n v="13500"/>
  </r>
  <r>
    <s v="PR-0448"/>
    <d v="2026-05-12T00:00:00"/>
    <x v="4"/>
    <x v="4"/>
    <s v="Tuesday"/>
    <x v="0"/>
    <x v="2"/>
    <x v="2"/>
    <s v="Dental Floss"/>
    <x v="9"/>
    <s v="Waxed Floss 50m"/>
    <s v="B260512-L3A"/>
    <s v="R. Sharma"/>
    <x v="2"/>
    <x v="2"/>
    <x v="10"/>
    <n v="8120"/>
    <n v="7910"/>
    <n v="170"/>
    <n v="2.1491782553729456E-2"/>
    <n v="0.97413793103448276"/>
    <x v="4"/>
    <n v="0"/>
    <n v="0"/>
    <s v="None"/>
    <n v="24"/>
    <n v="4080"/>
    <n v="26558"/>
    <n v="6780"/>
    <n v="6780"/>
    <x v="1166"/>
    <n v="12000"/>
  </r>
  <r>
    <s v="PR-1129"/>
    <d v="2026-07-13T00:00:00"/>
    <x v="2"/>
    <x v="2"/>
    <s v="Monday"/>
    <x v="0"/>
    <x v="1"/>
    <x v="1"/>
    <s v="Toothbrush"/>
    <x v="10"/>
    <s v="Medium Toothbrush"/>
    <s v="B260713-L4A"/>
    <s v="K. Verma"/>
    <x v="1"/>
    <x v="1"/>
    <x v="7"/>
    <n v="8890"/>
    <n v="8630"/>
    <n v="221"/>
    <n v="2.5608342989571264E-2"/>
    <n v="0.97075365579302586"/>
    <x v="2"/>
    <n v="0"/>
    <n v="0"/>
    <s v="None"/>
    <n v="17"/>
    <n v="3757"/>
    <n v="26989"/>
    <n v="7880"/>
    <n v="7880"/>
    <x v="1166"/>
    <n v="13500"/>
  </r>
  <r>
    <s v="PR-1334"/>
    <d v="2026-07-31T00:00:00"/>
    <x v="2"/>
    <x v="2"/>
    <s v="Friday"/>
    <x v="1"/>
    <x v="2"/>
    <x v="2"/>
    <s v="Dental Floss"/>
    <x v="9"/>
    <s v="Waxed Floss 50m"/>
    <s v="B260731-L3B"/>
    <s v="S. Yadav"/>
    <x v="2"/>
    <x v="2"/>
    <x v="8"/>
    <n v="8070"/>
    <n v="7270"/>
    <n v="292"/>
    <n v="4.0165061898211826E-2"/>
    <n v="0.90086741016109051"/>
    <x v="0"/>
    <n v="0"/>
    <n v="0"/>
    <s v="None"/>
    <n v="24"/>
    <n v="7008"/>
    <n v="28562"/>
    <n v="8020"/>
    <n v="8020"/>
    <x v="1167"/>
    <n v="12000"/>
  </r>
  <r>
    <s v="PR-1433"/>
    <d v="2026-08-09T00:00:00"/>
    <x v="1"/>
    <x v="1"/>
    <s v="Sunday"/>
    <x v="1"/>
    <x v="2"/>
    <x v="2"/>
    <s v="Dental Floss"/>
    <x v="9"/>
    <s v="Waxed Floss 50m"/>
    <s v="B260809-L3B"/>
    <s v="P. Singh"/>
    <x v="1"/>
    <x v="2"/>
    <x v="8"/>
    <n v="5310"/>
    <n v="5070"/>
    <n v="153"/>
    <n v="3.0177514792899408E-2"/>
    <n v="0.95480225988700562"/>
    <x v="0"/>
    <n v="21"/>
    <n v="0.35"/>
    <s v="Material Shortage"/>
    <n v="24"/>
    <n v="3672"/>
    <n v="27447"/>
    <n v="4830"/>
    <n v="4830"/>
    <x v="1168"/>
    <n v="12000"/>
  </r>
  <r>
    <s v="PR-0365"/>
    <d v="2026-05-04T00:00:00"/>
    <x v="4"/>
    <x v="4"/>
    <s v="Monday"/>
    <x v="1"/>
    <x v="1"/>
    <x v="1"/>
    <s v="Toothbrush"/>
    <x v="10"/>
    <s v="Medium Toothbrush"/>
    <s v="B260504-L4B"/>
    <s v="S. Yadav"/>
    <x v="1"/>
    <x v="1"/>
    <x v="6"/>
    <n v="9010"/>
    <n v="8800"/>
    <n v="223"/>
    <n v="2.5340909090909091E-2"/>
    <n v="0.97669256381797998"/>
    <x v="3"/>
    <n v="0"/>
    <n v="0"/>
    <s v="None"/>
    <n v="17"/>
    <n v="3791"/>
    <n v="27108"/>
    <n v="8140"/>
    <n v="8140"/>
    <x v="1169"/>
    <n v="13500"/>
  </r>
  <r>
    <s v="PR-0192"/>
    <d v="2026-04-18T00:00:00"/>
    <x v="5"/>
    <x v="5"/>
    <s v="Saturday"/>
    <x v="0"/>
    <x v="2"/>
    <x v="2"/>
    <s v="Dental Floss"/>
    <x v="9"/>
    <s v="Waxed Floss 50m"/>
    <s v="B260418-L3A"/>
    <s v="K. Verma"/>
    <x v="1"/>
    <x v="2"/>
    <x v="8"/>
    <n v="7910"/>
    <n v="7320"/>
    <n v="260"/>
    <n v="3.5519125683060107E-2"/>
    <n v="0.92541087231352714"/>
    <x v="0"/>
    <n v="0"/>
    <n v="0"/>
    <s v="None"/>
    <n v="24"/>
    <n v="6240"/>
    <n v="27242"/>
    <n v="6730"/>
    <n v="6730"/>
    <x v="1170"/>
    <n v="12000"/>
  </r>
  <r>
    <s v="PR-1088"/>
    <d v="2026-07-09T00:00:00"/>
    <x v="2"/>
    <x v="2"/>
    <s v="Thursday"/>
    <x v="0"/>
    <x v="1"/>
    <x v="1"/>
    <s v="Toothbrush"/>
    <x v="10"/>
    <s v="Medium Toothbrush"/>
    <s v="B260709-L4A"/>
    <s v="R. Sharma"/>
    <x v="2"/>
    <x v="1"/>
    <x v="6"/>
    <n v="8630"/>
    <n v="8090"/>
    <n v="177"/>
    <n v="2.1878862793572311E-2"/>
    <n v="0.93742757821552725"/>
    <x v="4"/>
    <n v="58"/>
    <n v="0.96666666666666667"/>
    <s v="Power Interruption"/>
    <n v="17"/>
    <n v="3009"/>
    <n v="27839"/>
    <n v="8180"/>
    <n v="8180"/>
    <x v="1170"/>
    <n v="13500"/>
  </r>
  <r>
    <s v="PR-0406"/>
    <d v="2026-05-08T00:00:00"/>
    <x v="4"/>
    <x v="4"/>
    <s v="Friday"/>
    <x v="0"/>
    <x v="3"/>
    <x v="3"/>
    <s v="Toothpaste"/>
    <x v="8"/>
    <s v="Whitening Toothpaste 100g"/>
    <s v="B260508-L1A"/>
    <s v="K. Verma"/>
    <x v="1"/>
    <x v="3"/>
    <x v="5"/>
    <n v="9340"/>
    <n v="8030"/>
    <n v="201"/>
    <n v="2.5031133250311331E-2"/>
    <n v="0.85974304068522489"/>
    <x v="4"/>
    <n v="38"/>
    <n v="0.6333333333333333"/>
    <s v="Machine Breakdown"/>
    <n v="38"/>
    <n v="7638"/>
    <n v="28359"/>
    <n v="8600"/>
    <n v="8600"/>
    <x v="1171"/>
    <n v="13500"/>
  </r>
  <r>
    <s v="PR-1547"/>
    <d v="2026-08-20T00:00:00"/>
    <x v="1"/>
    <x v="1"/>
    <s v="Thursday"/>
    <x v="0"/>
    <x v="2"/>
    <x v="2"/>
    <s v="Dental Floss"/>
    <x v="9"/>
    <s v="Waxed Floss 50m"/>
    <s v="B260820-L3A"/>
    <s v="K. Verma"/>
    <x v="1"/>
    <x v="2"/>
    <x v="10"/>
    <n v="8620"/>
    <n v="8800"/>
    <n v="387"/>
    <n v="4.3977272727272726E-2"/>
    <n v="1.0208816705336428"/>
    <x v="5"/>
    <n v="0"/>
    <n v="0"/>
    <s v="None"/>
    <n v="24"/>
    <n v="9288"/>
    <n v="25840"/>
    <n v="6650"/>
    <n v="6650"/>
    <x v="1172"/>
    <n v="12000"/>
  </r>
  <r>
    <s v="PR-1477"/>
    <d v="2026-08-13T00:00:00"/>
    <x v="1"/>
    <x v="1"/>
    <s v="Thursday"/>
    <x v="1"/>
    <x v="2"/>
    <x v="2"/>
    <s v="Dental Floss"/>
    <x v="9"/>
    <s v="Waxed Floss 50m"/>
    <s v="B260813-L3B"/>
    <s v="P. Singh"/>
    <x v="2"/>
    <x v="2"/>
    <x v="9"/>
    <n v="8610"/>
    <n v="7840"/>
    <n v="252"/>
    <n v="3.214285714285714E-2"/>
    <n v="0.91056910569105687"/>
    <x v="2"/>
    <n v="0"/>
    <n v="0"/>
    <s v="None"/>
    <n v="24"/>
    <n v="6048"/>
    <n v="26977"/>
    <n v="6950"/>
    <n v="6950"/>
    <x v="1173"/>
    <n v="12000"/>
  </r>
  <r>
    <s v="PR-1056"/>
    <d v="2026-07-06T00:00:00"/>
    <x v="2"/>
    <x v="2"/>
    <s v="Monday"/>
    <x v="1"/>
    <x v="1"/>
    <x v="1"/>
    <s v="Toothbrush"/>
    <x v="10"/>
    <s v="Medium Toothbrush"/>
    <s v="B260706-L4B"/>
    <s v="P. Singh"/>
    <x v="2"/>
    <x v="1"/>
    <x v="7"/>
    <n v="9080"/>
    <n v="8390"/>
    <n v="164"/>
    <n v="1.9547079856972585E-2"/>
    <n v="0.92400881057268724"/>
    <x v="5"/>
    <n v="0"/>
    <n v="0"/>
    <s v="None"/>
    <n v="17"/>
    <n v="2788"/>
    <n v="27911"/>
    <n v="8520"/>
    <n v="8520"/>
    <x v="1174"/>
    <n v="13500"/>
  </r>
  <r>
    <s v="PR-0729"/>
    <d v="2026-06-06T00:00:00"/>
    <x v="3"/>
    <x v="3"/>
    <s v="Saturday"/>
    <x v="1"/>
    <x v="2"/>
    <x v="2"/>
    <s v="Dental Floss"/>
    <x v="6"/>
    <s v="Floss Picks (100 pcs)"/>
    <s v="B260606-L3B"/>
    <s v="S. Yadav"/>
    <x v="2"/>
    <x v="2"/>
    <x v="10"/>
    <n v="6050"/>
    <n v="6000"/>
    <n v="119"/>
    <n v="1.9833333333333335E-2"/>
    <n v="0.99173553719008267"/>
    <x v="3"/>
    <n v="0"/>
    <n v="0"/>
    <s v="None"/>
    <n v="33"/>
    <n v="3927"/>
    <n v="27380"/>
    <n v="5610"/>
    <n v="5610"/>
    <x v="1175"/>
    <n v="9750"/>
  </r>
  <r>
    <s v="PR-1270"/>
    <d v="2026-07-25T00:00:00"/>
    <x v="2"/>
    <x v="2"/>
    <s v="Saturday"/>
    <x v="1"/>
    <x v="2"/>
    <x v="2"/>
    <s v="Dental Floss"/>
    <x v="9"/>
    <s v="Waxed Floss 50m"/>
    <s v="B260725-L3B"/>
    <s v="S. Yadav"/>
    <x v="1"/>
    <x v="2"/>
    <x v="10"/>
    <n v="8400"/>
    <n v="8020"/>
    <n v="159"/>
    <n v="1.9825436408977555E-2"/>
    <n v="0.95476190476190481"/>
    <x v="4"/>
    <n v="54"/>
    <n v="0.9"/>
    <s v="Material Shortage"/>
    <n v="24"/>
    <n v="3816"/>
    <n v="27905"/>
    <n v="8110"/>
    <n v="8110"/>
    <x v="1176"/>
    <n v="12000"/>
  </r>
  <r>
    <s v="PR-0520"/>
    <d v="2026-05-18T00:00:00"/>
    <x v="4"/>
    <x v="4"/>
    <s v="Monday"/>
    <x v="2"/>
    <x v="2"/>
    <x v="2"/>
    <s v="Dental Floss"/>
    <x v="9"/>
    <s v="Waxed Floss 50m"/>
    <s v="B260518-L3C"/>
    <s v="A. Gupta"/>
    <x v="2"/>
    <x v="2"/>
    <x v="9"/>
    <n v="7680"/>
    <n v="6850"/>
    <n v="70"/>
    <n v="1.0218978102189781E-2"/>
    <n v="0.89192708333333337"/>
    <x v="4"/>
    <n v="0"/>
    <n v="0"/>
    <s v="None"/>
    <n v="24"/>
    <n v="1680"/>
    <n v="27749"/>
    <n v="6850"/>
    <n v="6850"/>
    <x v="1177"/>
    <n v="12000"/>
  </r>
  <r>
    <s v="PR-1904"/>
    <d v="2026-09-22T00:00:00"/>
    <x v="0"/>
    <x v="0"/>
    <s v="Tuesday"/>
    <x v="0"/>
    <x v="1"/>
    <x v="1"/>
    <s v="Toothbrush"/>
    <x v="10"/>
    <s v="Medium Toothbrush"/>
    <s v="B260922-L4A"/>
    <s v="R. Sharma"/>
    <x v="2"/>
    <x v="1"/>
    <x v="7"/>
    <n v="8460"/>
    <n v="8510"/>
    <n v="233"/>
    <n v="2.7379553466509988E-2"/>
    <n v="1.0059101654846336"/>
    <x v="5"/>
    <n v="0"/>
    <n v="0"/>
    <s v="None"/>
    <n v="17"/>
    <n v="3961"/>
    <n v="26428"/>
    <n v="7020"/>
    <n v="7020"/>
    <x v="1178"/>
    <n v="13500"/>
  </r>
  <r>
    <s v="PR-0798"/>
    <d v="2026-06-12T00:00:00"/>
    <x v="3"/>
    <x v="3"/>
    <s v="Friday"/>
    <x v="2"/>
    <x v="2"/>
    <x v="2"/>
    <s v="Dental Floss"/>
    <x v="6"/>
    <s v="Floss Picks (100 pcs)"/>
    <s v="B260612-L3C"/>
    <s v="A. Gupta"/>
    <x v="1"/>
    <x v="2"/>
    <x v="9"/>
    <n v="5910"/>
    <n v="5030"/>
    <n v="165"/>
    <n v="3.2803180914512925E-2"/>
    <n v="0.8510998307952623"/>
    <x v="0"/>
    <n v="52"/>
    <n v="0.8666666666666667"/>
    <s v="Manpower Shortage"/>
    <n v="33"/>
    <n v="5445"/>
    <n v="28501"/>
    <n v="5680"/>
    <n v="5680"/>
    <x v="1179"/>
    <n v="9750"/>
  </r>
  <r>
    <s v="PR-1104"/>
    <d v="2026-07-10T00:00:00"/>
    <x v="2"/>
    <x v="2"/>
    <s v="Friday"/>
    <x v="1"/>
    <x v="1"/>
    <x v="1"/>
    <s v="Toothbrush"/>
    <x v="10"/>
    <s v="Medium Toothbrush"/>
    <s v="B260710-L4B"/>
    <s v="S. Yadav"/>
    <x v="2"/>
    <x v="1"/>
    <x v="7"/>
    <n v="8860"/>
    <n v="8750"/>
    <n v="126"/>
    <n v="1.44E-2"/>
    <n v="0.98758465011286678"/>
    <x v="2"/>
    <n v="0"/>
    <n v="0"/>
    <s v="None"/>
    <n v="17"/>
    <n v="2142"/>
    <n v="27074"/>
    <n v="8010"/>
    <n v="8010"/>
    <x v="1180"/>
    <n v="13500"/>
  </r>
  <r>
    <s v="PR-1874"/>
    <d v="2026-09-19T00:00:00"/>
    <x v="0"/>
    <x v="0"/>
    <s v="Saturday"/>
    <x v="0"/>
    <x v="1"/>
    <x v="1"/>
    <s v="Toothbrush"/>
    <x v="10"/>
    <s v="Medium Toothbrush"/>
    <s v="B260919-L4A"/>
    <s v="K. Verma"/>
    <x v="2"/>
    <x v="1"/>
    <x v="6"/>
    <n v="9000"/>
    <n v="8630"/>
    <n v="122"/>
    <n v="1.4136732329084589E-2"/>
    <n v="0.9588888888888889"/>
    <x v="5"/>
    <n v="0"/>
    <n v="0"/>
    <s v="None"/>
    <n v="17"/>
    <n v="2074"/>
    <n v="28563"/>
    <n v="9370"/>
    <n v="9370"/>
    <x v="1181"/>
    <n v="13500"/>
  </r>
  <r>
    <s v="PR-0517"/>
    <d v="2026-05-18T00:00:00"/>
    <x v="4"/>
    <x v="4"/>
    <s v="Monday"/>
    <x v="1"/>
    <x v="1"/>
    <x v="1"/>
    <s v="Toothbrush"/>
    <x v="10"/>
    <s v="Medium Toothbrush"/>
    <s v="B260518-L4B"/>
    <s v="P. Singh"/>
    <x v="2"/>
    <x v="1"/>
    <x v="0"/>
    <n v="8290"/>
    <n v="7780"/>
    <n v="233"/>
    <n v="2.9948586118251928E-2"/>
    <n v="0.93848009650180941"/>
    <x v="2"/>
    <n v="43"/>
    <n v="0.71666666666666667"/>
    <s v="Machine Breakdown"/>
    <n v="17"/>
    <n v="3961"/>
    <n v="28216"/>
    <n v="8060"/>
    <n v="8060"/>
    <x v="1182"/>
    <n v="13500"/>
  </r>
  <r>
    <s v="PR-1041"/>
    <d v="2026-07-04T00:00:00"/>
    <x v="2"/>
    <x v="2"/>
    <s v="Saturday"/>
    <x v="2"/>
    <x v="3"/>
    <x v="3"/>
    <s v="Toothpaste"/>
    <x v="7"/>
    <s v="Sensitive Toothpaste 100g"/>
    <s v="B260704-L1C"/>
    <s v="M. Khan"/>
    <x v="1"/>
    <x v="3"/>
    <x v="3"/>
    <n v="8130"/>
    <n v="7420"/>
    <n v="250"/>
    <n v="3.3692722371967652E-2"/>
    <n v="0.91266912669126687"/>
    <x v="4"/>
    <n v="35"/>
    <n v="0.58333333333333337"/>
    <s v="Cleaning / Sanitation"/>
    <n v="42"/>
    <n v="10500"/>
    <n v="28338"/>
    <n v="7800"/>
    <n v="7800"/>
    <x v="1183"/>
    <n v="12000"/>
  </r>
  <r>
    <s v="PR-1068"/>
    <d v="2026-07-07T00:00:00"/>
    <x v="2"/>
    <x v="2"/>
    <s v="Tuesday"/>
    <x v="1"/>
    <x v="1"/>
    <x v="1"/>
    <s v="Toothbrush"/>
    <x v="10"/>
    <s v="Medium Toothbrush"/>
    <s v="B260707-L4B"/>
    <s v="S. Yadav"/>
    <x v="2"/>
    <x v="1"/>
    <x v="6"/>
    <n v="8750"/>
    <n v="7770"/>
    <n v="120"/>
    <n v="1.5444015444015444E-2"/>
    <n v="0.88800000000000001"/>
    <x v="3"/>
    <n v="0"/>
    <n v="0"/>
    <s v="None"/>
    <n v="17"/>
    <n v="2040"/>
    <n v="27617"/>
    <n v="7550"/>
    <n v="7550"/>
    <x v="1184"/>
    <n v="13500"/>
  </r>
  <r>
    <s v="PR-1306"/>
    <d v="2026-07-29T00:00:00"/>
    <x v="2"/>
    <x v="2"/>
    <s v="Wednesday"/>
    <x v="0"/>
    <x v="2"/>
    <x v="2"/>
    <s v="Dental Floss"/>
    <x v="9"/>
    <s v="Waxed Floss 50m"/>
    <s v="B260729-L3A"/>
    <s v="K. Verma"/>
    <x v="1"/>
    <x v="2"/>
    <x v="10"/>
    <n v="7910"/>
    <n v="7510"/>
    <n v="153"/>
    <n v="2.03728362183755E-2"/>
    <n v="0.94943109987357777"/>
    <x v="2"/>
    <n v="0"/>
    <n v="0"/>
    <s v="None"/>
    <n v="24"/>
    <n v="3672"/>
    <n v="28141"/>
    <n v="7780"/>
    <n v="7780"/>
    <x v="1185"/>
    <n v="12000"/>
  </r>
  <r>
    <s v="PR-1238"/>
    <d v="2026-07-22T00:00:00"/>
    <x v="2"/>
    <x v="2"/>
    <s v="Wednesday"/>
    <x v="2"/>
    <x v="2"/>
    <x v="2"/>
    <s v="Dental Floss"/>
    <x v="9"/>
    <s v="Waxed Floss 50m"/>
    <s v="B260722-L3C"/>
    <s v="A. Gupta"/>
    <x v="1"/>
    <x v="2"/>
    <x v="9"/>
    <n v="7350"/>
    <n v="6150"/>
    <n v="102"/>
    <n v="1.6585365853658537E-2"/>
    <n v="0.83673469387755106"/>
    <x v="4"/>
    <n v="0"/>
    <n v="0"/>
    <s v="None"/>
    <n v="24"/>
    <n v="2448"/>
    <n v="28360"/>
    <n v="6670"/>
    <n v="6670"/>
    <x v="1186"/>
    <n v="12000"/>
  </r>
  <r>
    <s v="PR-0526"/>
    <d v="2026-05-19T00:00:00"/>
    <x v="4"/>
    <x v="4"/>
    <s v="Tuesday"/>
    <x v="1"/>
    <x v="3"/>
    <x v="3"/>
    <s v="Toothpaste"/>
    <x v="8"/>
    <s v="Whitening Toothpaste 100g"/>
    <s v="B260519-L1B"/>
    <s v="P. Singh"/>
    <x v="1"/>
    <x v="3"/>
    <x v="2"/>
    <n v="9230"/>
    <n v="8660"/>
    <n v="211"/>
    <n v="2.4364896073903002E-2"/>
    <n v="0.93824485373781152"/>
    <x v="3"/>
    <n v="74"/>
    <n v="1.2333333333333334"/>
    <s v="Changeover"/>
    <n v="38"/>
    <n v="8018"/>
    <n v="28793"/>
    <n v="9500"/>
    <n v="9500"/>
    <x v="1187"/>
    <n v="13500"/>
  </r>
  <r>
    <s v="PR-0492"/>
    <d v="2026-05-15T00:00:00"/>
    <x v="4"/>
    <x v="4"/>
    <s v="Friday"/>
    <x v="2"/>
    <x v="2"/>
    <x v="2"/>
    <s v="Dental Floss"/>
    <x v="9"/>
    <s v="Waxed Floss 50m"/>
    <s v="B260515-L3C"/>
    <s v="M. Khan"/>
    <x v="2"/>
    <x v="2"/>
    <x v="10"/>
    <n v="7470"/>
    <n v="7060"/>
    <n v="237"/>
    <n v="3.3569405099150143E-2"/>
    <n v="0.94511378848728245"/>
    <x v="2"/>
    <n v="0"/>
    <n v="0"/>
    <s v="None"/>
    <n v="24"/>
    <n v="5688"/>
    <n v="28136"/>
    <n v="7210"/>
    <n v="7210"/>
    <x v="1188"/>
    <n v="12000"/>
  </r>
  <r>
    <s v="PR-1591"/>
    <d v="2026-08-24T00:00:00"/>
    <x v="1"/>
    <x v="1"/>
    <s v="Monday"/>
    <x v="1"/>
    <x v="2"/>
    <x v="2"/>
    <s v="Dental Floss"/>
    <x v="9"/>
    <s v="Waxed Floss 50m"/>
    <s v="B260824-L3B"/>
    <s v="S. Yadav"/>
    <x v="2"/>
    <x v="2"/>
    <x v="10"/>
    <n v="7920"/>
    <n v="7840"/>
    <n v="204"/>
    <n v="2.6020408163265306E-2"/>
    <n v="0.98989898989898994"/>
    <x v="0"/>
    <n v="0"/>
    <n v="0"/>
    <s v="None"/>
    <n v="24"/>
    <n v="4896"/>
    <n v="27338"/>
    <n v="7190"/>
    <n v="7190"/>
    <x v="1189"/>
    <n v="12000"/>
  </r>
  <r>
    <s v="PR-0697"/>
    <d v="2026-06-03T00:00:00"/>
    <x v="3"/>
    <x v="3"/>
    <s v="Wednesday"/>
    <x v="2"/>
    <x v="2"/>
    <x v="2"/>
    <s v="Dental Floss"/>
    <x v="6"/>
    <s v="Floss Picks (100 pcs)"/>
    <s v="B260603-L3C"/>
    <s v="A. Gupta"/>
    <x v="2"/>
    <x v="2"/>
    <x v="8"/>
    <n v="6160"/>
    <n v="5970"/>
    <n v="195"/>
    <n v="3.2663316582914576E-2"/>
    <n v="0.9691558441558441"/>
    <x v="4"/>
    <n v="0"/>
    <n v="0"/>
    <s v="None"/>
    <n v="33"/>
    <n v="6435"/>
    <n v="26649"/>
    <n v="4630"/>
    <n v="4630"/>
    <x v="1190"/>
    <n v="9750"/>
  </r>
  <r>
    <s v="PR-0713"/>
    <d v="2026-06-05T00:00:00"/>
    <x v="3"/>
    <x v="3"/>
    <s v="Friday"/>
    <x v="0"/>
    <x v="2"/>
    <x v="2"/>
    <s v="Dental Floss"/>
    <x v="6"/>
    <s v="Floss Picks (100 pcs)"/>
    <s v="B260605-L3A"/>
    <s v="R. Sharma"/>
    <x v="2"/>
    <x v="2"/>
    <x v="10"/>
    <n v="6620"/>
    <n v="6490"/>
    <n v="169"/>
    <n v="2.6040061633281972E-2"/>
    <n v="0.98036253776435045"/>
    <x v="5"/>
    <n v="46"/>
    <n v="0.76666666666666672"/>
    <s v="Material Shortage"/>
    <n v="33"/>
    <n v="5577"/>
    <n v="27794"/>
    <n v="6310"/>
    <n v="6310"/>
    <x v="1191"/>
    <n v="9750"/>
  </r>
  <r>
    <s v="PR-0810"/>
    <d v="2026-06-13T00:00:00"/>
    <x v="3"/>
    <x v="3"/>
    <s v="Saturday"/>
    <x v="2"/>
    <x v="2"/>
    <x v="2"/>
    <s v="Dental Floss"/>
    <x v="6"/>
    <s v="Floss Picks (100 pcs)"/>
    <s v="B260613-L3C"/>
    <s v="M. Khan"/>
    <x v="2"/>
    <x v="2"/>
    <x v="8"/>
    <n v="5740"/>
    <n v="5100"/>
    <n v="86"/>
    <n v="1.6862745098039214E-2"/>
    <n v="0.88850174216027877"/>
    <x v="4"/>
    <n v="0"/>
    <n v="0"/>
    <s v="None"/>
    <n v="33"/>
    <n v="2838"/>
    <n v="27686"/>
    <n v="4880"/>
    <n v="4880"/>
    <x v="1192"/>
    <n v="9750"/>
  </r>
  <r>
    <s v="PR-1204"/>
    <d v="2026-07-20T00:00:00"/>
    <x v="2"/>
    <x v="2"/>
    <s v="Monday"/>
    <x v="0"/>
    <x v="3"/>
    <x v="3"/>
    <s v="Toothpaste"/>
    <x v="7"/>
    <s v="Sensitive Toothpaste 100g"/>
    <s v="B260720-L1A"/>
    <s v="R. Sharma"/>
    <x v="2"/>
    <x v="3"/>
    <x v="2"/>
    <n v="7760"/>
    <n v="7200"/>
    <n v="117"/>
    <n v="1.6250000000000001E-2"/>
    <n v="0.92783505154639179"/>
    <x v="0"/>
    <n v="0"/>
    <n v="0"/>
    <s v="None"/>
    <n v="42"/>
    <n v="4914"/>
    <n v="28650"/>
    <n v="7910"/>
    <n v="7910"/>
    <x v="1193"/>
    <n v="12000"/>
  </r>
  <r>
    <s v="PR-0397"/>
    <d v="2026-05-07T00:00:00"/>
    <x v="4"/>
    <x v="4"/>
    <s v="Thursday"/>
    <x v="0"/>
    <x v="1"/>
    <x v="1"/>
    <s v="Toothbrush"/>
    <x v="10"/>
    <s v="Medium Toothbrush"/>
    <s v="B260507-L4A"/>
    <s v="R. Sharma"/>
    <x v="2"/>
    <x v="1"/>
    <x v="6"/>
    <n v="8640"/>
    <n v="8550"/>
    <n v="306"/>
    <n v="3.5789473684210524E-2"/>
    <n v="0.98958333333333337"/>
    <x v="4"/>
    <n v="57"/>
    <n v="0.95"/>
    <s v="Changeover"/>
    <n v="17"/>
    <n v="5202"/>
    <n v="27911"/>
    <n v="8330"/>
    <n v="8330"/>
    <x v="1194"/>
    <n v="13500"/>
  </r>
  <r>
    <s v="PR-1335"/>
    <d v="2026-07-31T00:00:00"/>
    <x v="2"/>
    <x v="2"/>
    <s v="Friday"/>
    <x v="1"/>
    <x v="1"/>
    <x v="1"/>
    <s v="Toothbrush"/>
    <x v="10"/>
    <s v="Medium Toothbrush"/>
    <s v="B260731-L4B"/>
    <s v="P. Singh"/>
    <x v="2"/>
    <x v="1"/>
    <x v="7"/>
    <n v="8470"/>
    <n v="8070"/>
    <n v="145"/>
    <n v="1.7967781908302356E-2"/>
    <n v="0.9527744982290437"/>
    <x v="3"/>
    <n v="0"/>
    <n v="0"/>
    <s v="None"/>
    <n v="17"/>
    <n v="2465"/>
    <n v="28242"/>
    <n v="8340"/>
    <n v="8340"/>
    <x v="1195"/>
    <n v="13500"/>
  </r>
  <r>
    <s v="PR-0636"/>
    <d v="2026-05-29T00:00:00"/>
    <x v="4"/>
    <x v="4"/>
    <s v="Friday"/>
    <x v="0"/>
    <x v="0"/>
    <x v="0"/>
    <s v="Mouthwash"/>
    <x v="0"/>
    <s v="Mint Mouthwash 250ml"/>
    <s v="B260529-L2A"/>
    <s v="K. Verma"/>
    <x v="1"/>
    <x v="0"/>
    <x v="1"/>
    <n v="7110"/>
    <n v="6900"/>
    <n v="154"/>
    <n v="2.2318840579710144E-2"/>
    <n v="0.97046413502109707"/>
    <x v="3"/>
    <n v="0"/>
    <n v="0"/>
    <s v="None"/>
    <n v="46"/>
    <n v="7084"/>
    <n v="26794"/>
    <n v="5710"/>
    <n v="5710"/>
    <x v="1196"/>
    <n v="10500"/>
  </r>
  <r>
    <s v="PR-1080"/>
    <d v="2026-07-08T00:00:00"/>
    <x v="2"/>
    <x v="2"/>
    <s v="Wednesday"/>
    <x v="1"/>
    <x v="1"/>
    <x v="1"/>
    <s v="Toothbrush"/>
    <x v="10"/>
    <s v="Medium Toothbrush"/>
    <s v="B260708-L4B"/>
    <s v="S. Yadav"/>
    <x v="2"/>
    <x v="1"/>
    <x v="7"/>
    <n v="8820"/>
    <n v="8580"/>
    <n v="318"/>
    <n v="3.7062937062937062E-2"/>
    <n v="0.97278911564625847"/>
    <x v="4"/>
    <n v="25"/>
    <n v="0.41666666666666669"/>
    <s v="Changeover"/>
    <n v="17"/>
    <n v="5406"/>
    <n v="27717"/>
    <n v="8140"/>
    <n v="8140"/>
    <x v="1197"/>
    <n v="13500"/>
  </r>
  <r>
    <s v="PR-0493"/>
    <d v="2026-05-15T00:00:00"/>
    <x v="4"/>
    <x v="4"/>
    <s v="Friday"/>
    <x v="2"/>
    <x v="1"/>
    <x v="1"/>
    <s v="Toothbrush"/>
    <x v="10"/>
    <s v="Medium Toothbrush"/>
    <s v="B260515-L4C"/>
    <s v="A. Gupta"/>
    <x v="1"/>
    <x v="1"/>
    <x v="2"/>
    <n v="8260"/>
    <n v="7230"/>
    <n v="243"/>
    <n v="3.3609958506224065E-2"/>
    <n v="0.87530266343825669"/>
    <x v="2"/>
    <n v="69"/>
    <n v="1.1499999999999999"/>
    <s v="Cleaning / Sanitation"/>
    <n v="17"/>
    <n v="4131"/>
    <n v="28212"/>
    <n v="7350"/>
    <n v="7350"/>
    <x v="1198"/>
    <n v="13500"/>
  </r>
  <r>
    <s v="PR-0581"/>
    <d v="2026-05-23T00:00:00"/>
    <x v="4"/>
    <x v="4"/>
    <s v="Saturday"/>
    <x v="2"/>
    <x v="1"/>
    <x v="1"/>
    <s v="Toothbrush"/>
    <x v="10"/>
    <s v="Medium Toothbrush"/>
    <s v="B260523-L4C"/>
    <s v="A. Gupta"/>
    <x v="2"/>
    <x v="1"/>
    <x v="2"/>
    <n v="8880"/>
    <n v="7760"/>
    <n v="195"/>
    <n v="2.5128865979381444E-2"/>
    <n v="0.87387387387387383"/>
    <x v="3"/>
    <n v="44"/>
    <n v="0.73333333333333328"/>
    <s v="Changeover"/>
    <n v="17"/>
    <n v="3315"/>
    <n v="28207"/>
    <n v="7920"/>
    <n v="7920"/>
    <x v="1199"/>
    <n v="13500"/>
  </r>
  <r>
    <s v="PR-0852"/>
    <d v="2026-06-17T00:00:00"/>
    <x v="3"/>
    <x v="3"/>
    <s v="Wednesday"/>
    <x v="2"/>
    <x v="2"/>
    <x v="2"/>
    <s v="Dental Floss"/>
    <x v="6"/>
    <s v="Floss Picks (100 pcs)"/>
    <s v="B260617-L3C"/>
    <s v="M. Khan"/>
    <x v="1"/>
    <x v="2"/>
    <x v="10"/>
    <n v="5710"/>
    <n v="5520"/>
    <n v="190"/>
    <n v="3.4420289855072464E-2"/>
    <n v="0.96672504378283708"/>
    <x v="3"/>
    <n v="28"/>
    <n v="0.46666666666666667"/>
    <s v="Machine Breakdown"/>
    <n v="33"/>
    <n v="6270"/>
    <n v="27496"/>
    <n v="4960"/>
    <n v="4960"/>
    <x v="1200"/>
    <n v="9750"/>
  </r>
  <r>
    <s v="PR-0201"/>
    <d v="2026-04-18T00:00:00"/>
    <x v="5"/>
    <x v="5"/>
    <s v="Saturday"/>
    <x v="2"/>
    <x v="1"/>
    <x v="1"/>
    <s v="Toothbrush"/>
    <x v="10"/>
    <s v="Medium Toothbrush"/>
    <s v="B260418-L4C"/>
    <s v="M. Khan"/>
    <x v="2"/>
    <x v="1"/>
    <x v="0"/>
    <n v="8050"/>
    <n v="7680"/>
    <n v="108"/>
    <n v="1.40625E-2"/>
    <n v="0.95403726708074532"/>
    <x v="2"/>
    <n v="0"/>
    <n v="0"/>
    <s v="None"/>
    <n v="17"/>
    <n v="1836"/>
    <n v="27499"/>
    <n v="7200"/>
    <n v="7200"/>
    <x v="1201"/>
    <n v="13500"/>
  </r>
  <r>
    <s v="PR-0466"/>
    <d v="2026-05-13T00:00:00"/>
    <x v="4"/>
    <x v="4"/>
    <s v="Wednesday"/>
    <x v="2"/>
    <x v="3"/>
    <x v="3"/>
    <s v="Toothpaste"/>
    <x v="8"/>
    <s v="Whitening Toothpaste 100g"/>
    <s v="B260513-L1C"/>
    <s v="A. Gupta"/>
    <x v="1"/>
    <x v="3"/>
    <x v="3"/>
    <n v="8290"/>
    <n v="7640"/>
    <n v="223"/>
    <n v="2.9188481675392671E-2"/>
    <n v="0.92159227985524728"/>
    <x v="3"/>
    <n v="0"/>
    <n v="0"/>
    <s v="None"/>
    <n v="38"/>
    <n v="8474"/>
    <n v="28387"/>
    <n v="7910"/>
    <n v="7910"/>
    <x v="1202"/>
    <n v="13500"/>
  </r>
  <r>
    <s v="PR-0105"/>
    <d v="2026-04-10T00:00:00"/>
    <x v="5"/>
    <x v="5"/>
    <s v="Friday"/>
    <x v="0"/>
    <x v="1"/>
    <x v="1"/>
    <s v="Toothbrush"/>
    <x v="10"/>
    <s v="Medium Toothbrush"/>
    <s v="B260410-L4A"/>
    <s v="K. Verma"/>
    <x v="2"/>
    <x v="1"/>
    <x v="7"/>
    <n v="9320"/>
    <n v="8980"/>
    <n v="236"/>
    <n v="2.6280623608017816E-2"/>
    <n v="0.96351931330472107"/>
    <x v="4"/>
    <n v="0"/>
    <n v="0"/>
    <s v="None"/>
    <n v="17"/>
    <n v="4012"/>
    <n v="26717"/>
    <n v="7560"/>
    <n v="7560"/>
    <x v="1203"/>
    <n v="13500"/>
  </r>
  <r>
    <s v="PR-1258"/>
    <d v="2026-07-24T00:00:00"/>
    <x v="2"/>
    <x v="2"/>
    <s v="Friday"/>
    <x v="1"/>
    <x v="2"/>
    <x v="2"/>
    <s v="Dental Floss"/>
    <x v="9"/>
    <s v="Waxed Floss 50m"/>
    <s v="B260724-L3B"/>
    <s v="S. Yadav"/>
    <x v="2"/>
    <x v="2"/>
    <x v="10"/>
    <n v="8580"/>
    <n v="8240"/>
    <n v="134"/>
    <n v="1.6262135922330098E-2"/>
    <n v="0.96037296037296038"/>
    <x v="0"/>
    <n v="28"/>
    <n v="0.46666666666666667"/>
    <s v="Cleaning / Sanitation"/>
    <n v="24"/>
    <n v="3216"/>
    <n v="27269"/>
    <n v="7470"/>
    <n v="7470"/>
    <x v="1204"/>
    <n v="12000"/>
  </r>
  <r>
    <s v="PR-0997"/>
    <d v="2026-07-01T00:00:00"/>
    <x v="2"/>
    <x v="2"/>
    <s v="Wednesday"/>
    <x v="0"/>
    <x v="3"/>
    <x v="3"/>
    <s v="Toothpaste"/>
    <x v="7"/>
    <s v="Sensitive Toothpaste 100g"/>
    <s v="B260701-L1A"/>
    <s v="R. Sharma"/>
    <x v="2"/>
    <x v="3"/>
    <x v="3"/>
    <n v="8070"/>
    <n v="7830"/>
    <n v="307"/>
    <n v="3.920817369093231E-2"/>
    <n v="0.97026022304832715"/>
    <x v="3"/>
    <n v="0"/>
    <n v="0"/>
    <s v="None"/>
    <n v="42"/>
    <n v="12894"/>
    <n v="26937"/>
    <n v="6550"/>
    <n v="6550"/>
    <x v="1205"/>
    <n v="12000"/>
  </r>
  <r>
    <s v="PR-0393"/>
    <d v="2026-05-06T00:00:00"/>
    <x v="4"/>
    <x v="4"/>
    <s v="Wednesday"/>
    <x v="2"/>
    <x v="1"/>
    <x v="1"/>
    <s v="Toothbrush"/>
    <x v="10"/>
    <s v="Medium Toothbrush"/>
    <s v="B260506-L4C"/>
    <s v="M. Khan"/>
    <x v="1"/>
    <x v="1"/>
    <x v="6"/>
    <n v="8720"/>
    <n v="8420"/>
    <n v="224"/>
    <n v="2.6603325415676959E-2"/>
    <n v="0.9655963302752294"/>
    <x v="4"/>
    <n v="0"/>
    <n v="0"/>
    <s v="None"/>
    <n v="17"/>
    <n v="3808"/>
    <n v="27545"/>
    <n v="7830"/>
    <n v="7830"/>
    <x v="1206"/>
    <n v="13500"/>
  </r>
  <r>
    <s v="PR-1040"/>
    <d v="2026-07-04T00:00:00"/>
    <x v="2"/>
    <x v="2"/>
    <s v="Saturday"/>
    <x v="1"/>
    <x v="1"/>
    <x v="1"/>
    <s v="Toothbrush"/>
    <x v="10"/>
    <s v="Medium Toothbrush"/>
    <s v="B260704-L4B"/>
    <s v="P. Singh"/>
    <x v="1"/>
    <x v="1"/>
    <x v="0"/>
    <n v="9530"/>
    <n v="8340"/>
    <n v="228"/>
    <n v="2.7338129496402876E-2"/>
    <n v="0.87513116474291708"/>
    <x v="3"/>
    <n v="0"/>
    <n v="0"/>
    <s v="None"/>
    <n v="17"/>
    <n v="3876"/>
    <n v="29599"/>
    <n v="9800"/>
    <n v="9800"/>
    <x v="1206"/>
    <n v="13500"/>
  </r>
  <r>
    <s v="PR-0761"/>
    <d v="2026-06-09T00:00:00"/>
    <x v="3"/>
    <x v="3"/>
    <s v="Tuesday"/>
    <x v="2"/>
    <x v="0"/>
    <x v="0"/>
    <s v="Mouthwash"/>
    <x v="0"/>
    <s v="Mint Mouthwash 250ml"/>
    <s v="B260609-L2C"/>
    <s v="M. Khan"/>
    <x v="2"/>
    <x v="0"/>
    <x v="2"/>
    <n v="7130"/>
    <n v="6340"/>
    <n v="164"/>
    <n v="2.5867507886435333E-2"/>
    <n v="0.8892005610098177"/>
    <x v="3"/>
    <n v="29"/>
    <n v="0.48333333333333334"/>
    <s v="Machine Breakdown"/>
    <n v="46"/>
    <n v="7544"/>
    <n v="27249"/>
    <n v="5510"/>
    <n v="5510"/>
    <x v="1207"/>
    <n v="10500"/>
  </r>
  <r>
    <s v="PR-0388"/>
    <d v="2026-05-06T00:00:00"/>
    <x v="4"/>
    <x v="4"/>
    <s v="Wednesday"/>
    <x v="1"/>
    <x v="2"/>
    <x v="2"/>
    <s v="Dental Floss"/>
    <x v="9"/>
    <s v="Waxed Floss 50m"/>
    <s v="B260506-L3B"/>
    <s v="S. Yadav"/>
    <x v="2"/>
    <x v="2"/>
    <x v="10"/>
    <n v="7580"/>
    <n v="7180"/>
    <n v="140"/>
    <n v="1.9498607242339833E-2"/>
    <n v="0.94722955145118737"/>
    <x v="2"/>
    <n v="0"/>
    <n v="0"/>
    <s v="None"/>
    <n v="24"/>
    <n v="3360"/>
    <n v="28011"/>
    <n v="7130"/>
    <n v="7130"/>
    <x v="1208"/>
    <n v="12000"/>
  </r>
  <r>
    <s v="PR-0528"/>
    <d v="2026-05-19T00:00:00"/>
    <x v="4"/>
    <x v="4"/>
    <s v="Tuesday"/>
    <x v="1"/>
    <x v="2"/>
    <x v="2"/>
    <s v="Dental Floss"/>
    <x v="9"/>
    <s v="Waxed Floss 50m"/>
    <s v="B260519-L3B"/>
    <s v="P. Singh"/>
    <x v="2"/>
    <x v="2"/>
    <x v="8"/>
    <n v="7770"/>
    <n v="7650"/>
    <n v="111"/>
    <n v="1.4509803921568627E-2"/>
    <n v="0.98455598455598459"/>
    <x v="3"/>
    <n v="0"/>
    <n v="0"/>
    <s v="None"/>
    <n v="24"/>
    <n v="2664"/>
    <n v="27679"/>
    <n v="7210"/>
    <n v="7210"/>
    <x v="1209"/>
    <n v="12000"/>
  </r>
  <r>
    <s v="PR-0384"/>
    <d v="2026-05-06T00:00:00"/>
    <x v="4"/>
    <x v="4"/>
    <s v="Wednesday"/>
    <x v="0"/>
    <x v="2"/>
    <x v="2"/>
    <s v="Dental Floss"/>
    <x v="9"/>
    <s v="Waxed Floss 50m"/>
    <s v="B260506-L3A"/>
    <s v="R. Sharma"/>
    <x v="1"/>
    <x v="2"/>
    <x v="10"/>
    <n v="8180"/>
    <n v="7870"/>
    <n v="208"/>
    <n v="2.6429479034307497E-2"/>
    <n v="0.96210268948655253"/>
    <x v="0"/>
    <n v="0"/>
    <n v="0"/>
    <s v="None"/>
    <n v="24"/>
    <n v="4992"/>
    <n v="26919"/>
    <n v="6570"/>
    <n v="6570"/>
    <x v="1210"/>
    <n v="12000"/>
  </r>
  <r>
    <s v="PR-1326"/>
    <d v="2026-07-30T00:00:00"/>
    <x v="2"/>
    <x v="2"/>
    <s v="Thursday"/>
    <x v="2"/>
    <x v="2"/>
    <x v="2"/>
    <s v="Dental Floss"/>
    <x v="9"/>
    <s v="Waxed Floss 50m"/>
    <s v="B260730-L3C"/>
    <s v="M. Khan"/>
    <x v="2"/>
    <x v="2"/>
    <x v="8"/>
    <n v="7210"/>
    <n v="6670"/>
    <n v="204"/>
    <n v="3.0584707646176913E-2"/>
    <n v="0.92510402219140087"/>
    <x v="2"/>
    <n v="0"/>
    <n v="0"/>
    <s v="None"/>
    <n v="24"/>
    <n v="4896"/>
    <n v="27718"/>
    <n v="6170"/>
    <n v="6170"/>
    <x v="1211"/>
    <n v="12000"/>
  </r>
  <r>
    <s v="PR-1555"/>
    <d v="2026-08-20T00:00:00"/>
    <x v="1"/>
    <x v="1"/>
    <s v="Thursday"/>
    <x v="2"/>
    <x v="2"/>
    <x v="2"/>
    <s v="Dental Floss"/>
    <x v="9"/>
    <s v="Waxed Floss 50m"/>
    <s v="B260820-L3C"/>
    <s v="M. Khan"/>
    <x v="2"/>
    <x v="2"/>
    <x v="10"/>
    <n v="7370"/>
    <n v="6930"/>
    <n v="208"/>
    <n v="3.0014430014430014E-2"/>
    <n v="0.94029850746268662"/>
    <x v="0"/>
    <n v="0"/>
    <n v="0"/>
    <s v="None"/>
    <n v="24"/>
    <n v="4992"/>
    <n v="27603"/>
    <n v="6280"/>
    <n v="6280"/>
    <x v="1212"/>
    <n v="12000"/>
  </r>
  <r>
    <s v="PR-0864"/>
    <d v="2026-06-18T00:00:00"/>
    <x v="3"/>
    <x v="3"/>
    <s v="Thursday"/>
    <x v="2"/>
    <x v="2"/>
    <x v="2"/>
    <s v="Dental Floss"/>
    <x v="6"/>
    <s v="Floss Picks (100 pcs)"/>
    <s v="B260618-L3C"/>
    <s v="A. Gupta"/>
    <x v="2"/>
    <x v="2"/>
    <x v="10"/>
    <n v="6130"/>
    <n v="5840"/>
    <n v="174"/>
    <n v="2.9794520547945205E-2"/>
    <n v="0.95269168026101136"/>
    <x v="2"/>
    <n v="0"/>
    <n v="0"/>
    <s v="None"/>
    <n v="33"/>
    <n v="5742"/>
    <n v="27866"/>
    <n v="5460"/>
    <n v="5460"/>
    <x v="1213"/>
    <n v="9750"/>
  </r>
  <r>
    <s v="PR-0762"/>
    <d v="2026-06-09T00:00:00"/>
    <x v="3"/>
    <x v="3"/>
    <s v="Tuesday"/>
    <x v="2"/>
    <x v="2"/>
    <x v="2"/>
    <s v="Dental Floss"/>
    <x v="6"/>
    <s v="Floss Picks (100 pcs)"/>
    <s v="B260609-L3C"/>
    <s v="M. Khan"/>
    <x v="1"/>
    <x v="2"/>
    <x v="8"/>
    <n v="6480"/>
    <n v="6330"/>
    <n v="199"/>
    <n v="3.1437598736176936E-2"/>
    <n v="0.97685185185185186"/>
    <x v="2"/>
    <n v="33"/>
    <n v="0.55000000000000004"/>
    <s v="Cleaning / Sanitation"/>
    <n v="33"/>
    <n v="6567"/>
    <n v="28488"/>
    <n v="6540"/>
    <n v="6540"/>
    <x v="1214"/>
    <n v="9750"/>
  </r>
  <r>
    <s v="PR-0989"/>
    <d v="2026-06-30T00:00:00"/>
    <x v="3"/>
    <x v="3"/>
    <s v="Tuesday"/>
    <x v="1"/>
    <x v="3"/>
    <x v="3"/>
    <s v="Toothpaste"/>
    <x v="7"/>
    <s v="Sensitive Toothpaste 100g"/>
    <s v="B260630-L1B"/>
    <s v="P. Singh"/>
    <x v="2"/>
    <x v="3"/>
    <x v="2"/>
    <n v="8240"/>
    <n v="7980"/>
    <n v="206"/>
    <n v="2.581453634085213E-2"/>
    <n v="0.96844660194174759"/>
    <x v="0"/>
    <n v="45"/>
    <n v="0.75"/>
    <s v="Cleaning / Sanitation"/>
    <n v="42"/>
    <n v="8652"/>
    <n v="27015"/>
    <n v="6710"/>
    <n v="6710"/>
    <x v="1214"/>
    <n v="12000"/>
  </r>
  <r>
    <s v="PR-1338"/>
    <d v="2026-07-31T00:00:00"/>
    <x v="2"/>
    <x v="2"/>
    <s v="Friday"/>
    <x v="2"/>
    <x v="2"/>
    <x v="2"/>
    <s v="Dental Floss"/>
    <x v="9"/>
    <s v="Waxed Floss 50m"/>
    <s v="B260731-L3C"/>
    <s v="M. Khan"/>
    <x v="2"/>
    <x v="2"/>
    <x v="8"/>
    <n v="7770"/>
    <n v="7900"/>
    <n v="206"/>
    <n v="2.6075949367088607E-2"/>
    <n v="1.0167310167310166"/>
    <x v="4"/>
    <n v="0"/>
    <n v="0"/>
    <s v="None"/>
    <n v="24"/>
    <n v="4944"/>
    <n v="27520"/>
    <n v="7120"/>
    <n v="7120"/>
    <x v="1215"/>
    <n v="12000"/>
  </r>
  <r>
    <s v="PR-0782"/>
    <d v="2026-06-11T00:00:00"/>
    <x v="3"/>
    <x v="3"/>
    <s v="Thursday"/>
    <x v="1"/>
    <x v="2"/>
    <x v="2"/>
    <s v="Dental Floss"/>
    <x v="6"/>
    <s v="Floss Picks (100 pcs)"/>
    <s v="B260611-L3B"/>
    <s v="P. Singh"/>
    <x v="1"/>
    <x v="2"/>
    <x v="9"/>
    <n v="6780"/>
    <n v="5870"/>
    <n v="102"/>
    <n v="1.737649063032368E-2"/>
    <n v="0.86578171091445433"/>
    <x v="4"/>
    <n v="16"/>
    <n v="0.26666666666666666"/>
    <s v="Changeover"/>
    <n v="33"/>
    <n v="3366"/>
    <n v="28285"/>
    <n v="5950"/>
    <n v="5950"/>
    <x v="1216"/>
    <n v="9750"/>
  </r>
  <r>
    <s v="PR-0109"/>
    <d v="2026-04-10T00:00:00"/>
    <x v="5"/>
    <x v="5"/>
    <s v="Friday"/>
    <x v="1"/>
    <x v="1"/>
    <x v="1"/>
    <s v="Toothbrush"/>
    <x v="10"/>
    <s v="Medium Toothbrush"/>
    <s v="B260410-L4B"/>
    <s v="P. Singh"/>
    <x v="2"/>
    <x v="1"/>
    <x v="6"/>
    <n v="9370"/>
    <n v="8650"/>
    <n v="137"/>
    <n v="1.583815028901734E-2"/>
    <n v="0.9231590181430096"/>
    <x v="2"/>
    <n v="0"/>
    <n v="0"/>
    <s v="None"/>
    <n v="17"/>
    <n v="2329"/>
    <n v="27901"/>
    <n v="8310"/>
    <n v="8310"/>
    <x v="1217"/>
    <n v="13500"/>
  </r>
  <r>
    <s v="PR-1920"/>
    <d v="2026-09-23T00:00:00"/>
    <x v="0"/>
    <x v="0"/>
    <s v="Wednesday"/>
    <x v="1"/>
    <x v="1"/>
    <x v="1"/>
    <s v="Toothbrush"/>
    <x v="10"/>
    <s v="Medium Toothbrush"/>
    <s v="B260923-L4B"/>
    <s v="P. Singh"/>
    <x v="2"/>
    <x v="1"/>
    <x v="6"/>
    <n v="9600"/>
    <n v="8680"/>
    <n v="343"/>
    <n v="3.9516129032258061E-2"/>
    <n v="0.90416666666666667"/>
    <x v="3"/>
    <n v="0"/>
    <n v="0"/>
    <s v="None"/>
    <n v="17"/>
    <n v="5831"/>
    <n v="28510"/>
    <n v="8740"/>
    <n v="8740"/>
    <x v="1218"/>
    <n v="13500"/>
  </r>
  <r>
    <s v="PR-0460"/>
    <d v="2026-05-13T00:00:00"/>
    <x v="4"/>
    <x v="4"/>
    <s v="Wednesday"/>
    <x v="0"/>
    <x v="2"/>
    <x v="2"/>
    <s v="Dental Floss"/>
    <x v="9"/>
    <s v="Waxed Floss 50m"/>
    <s v="B260513-L3A"/>
    <s v="R. Sharma"/>
    <x v="2"/>
    <x v="2"/>
    <x v="10"/>
    <n v="8540"/>
    <n v="8380"/>
    <n v="300"/>
    <n v="3.5799522673031027E-2"/>
    <n v="0.9812646370023419"/>
    <x v="5"/>
    <n v="0"/>
    <n v="0"/>
    <s v="None"/>
    <n v="24"/>
    <n v="7200"/>
    <n v="27426"/>
    <n v="7370"/>
    <n v="7370"/>
    <x v="1219"/>
    <n v="12000"/>
  </r>
  <r>
    <s v="PR-0370"/>
    <d v="2026-05-05T00:00:00"/>
    <x v="4"/>
    <x v="4"/>
    <s v="Tuesday"/>
    <x v="0"/>
    <x v="3"/>
    <x v="3"/>
    <s v="Toothpaste"/>
    <x v="8"/>
    <s v="Whitening Toothpaste 100g"/>
    <s v="B260505-L1A"/>
    <s v="K. Verma"/>
    <x v="2"/>
    <x v="3"/>
    <x v="2"/>
    <n v="9680"/>
    <n v="9580"/>
    <n v="312"/>
    <n v="3.2567849686847603E-2"/>
    <n v="0.98966942148760328"/>
    <x v="5"/>
    <n v="0"/>
    <n v="0"/>
    <s v="None"/>
    <n v="38"/>
    <n v="11856"/>
    <n v="27192"/>
    <n v="8320"/>
    <n v="8320"/>
    <x v="1220"/>
    <n v="13500"/>
  </r>
  <r>
    <s v="PR-1302"/>
    <d v="2026-07-28T00:00:00"/>
    <x v="2"/>
    <x v="2"/>
    <s v="Tuesday"/>
    <x v="2"/>
    <x v="2"/>
    <x v="2"/>
    <s v="Dental Floss"/>
    <x v="9"/>
    <s v="Waxed Floss 50m"/>
    <s v="B260728-L3C"/>
    <s v="A. Gupta"/>
    <x v="2"/>
    <x v="2"/>
    <x v="9"/>
    <n v="7500"/>
    <n v="6150"/>
    <n v="82"/>
    <n v="1.3333333333333334E-2"/>
    <n v="0.82"/>
    <x v="3"/>
    <n v="72"/>
    <n v="1.2"/>
    <s v="Changeover"/>
    <n v="24"/>
    <n v="1968"/>
    <n v="28253"/>
    <n v="6180"/>
    <n v="6180"/>
    <x v="1221"/>
    <n v="12000"/>
  </r>
  <r>
    <s v="PR-0742"/>
    <d v="2026-06-08T00:00:00"/>
    <x v="3"/>
    <x v="3"/>
    <s v="Monday"/>
    <x v="0"/>
    <x v="2"/>
    <x v="2"/>
    <s v="Dental Floss"/>
    <x v="6"/>
    <s v="Floss Picks (100 pcs)"/>
    <s v="B260608-L3A"/>
    <s v="K. Verma"/>
    <x v="2"/>
    <x v="2"/>
    <x v="10"/>
    <n v="6990"/>
    <n v="6910"/>
    <n v="151"/>
    <n v="2.1852387843704777E-2"/>
    <n v="0.98855507868383408"/>
    <x v="2"/>
    <n v="72"/>
    <n v="1.2"/>
    <s v="Material Shortage"/>
    <n v="33"/>
    <n v="4983"/>
    <n v="27651"/>
    <n v="6250"/>
    <n v="6250"/>
    <x v="1222"/>
    <n v="9750"/>
  </r>
  <r>
    <s v="PR-1159"/>
    <d v="2026-07-15T00:00:00"/>
    <x v="2"/>
    <x v="2"/>
    <s v="Wednesday"/>
    <x v="2"/>
    <x v="0"/>
    <x v="0"/>
    <s v="Mouthwash"/>
    <x v="0"/>
    <s v="Mint Mouthwash 250ml"/>
    <s v="B260715-L2C"/>
    <s v="M. Khan"/>
    <x v="0"/>
    <x v="0"/>
    <x v="0"/>
    <n v="6670"/>
    <n v="6710"/>
    <n v="631"/>
    <n v="9.4038748137108788E-2"/>
    <n v="1.0059970014992503"/>
    <x v="1"/>
    <n v="0"/>
    <n v="0"/>
    <s v="None"/>
    <n v="46"/>
    <n v="29026"/>
    <n v="28358"/>
    <n v="6270"/>
    <n v="6270"/>
    <x v="1223"/>
    <n v="10500"/>
  </r>
  <r>
    <s v="PR-0770"/>
    <d v="2026-06-10T00:00:00"/>
    <x v="3"/>
    <x v="3"/>
    <s v="Wednesday"/>
    <x v="1"/>
    <x v="2"/>
    <x v="2"/>
    <s v="Dental Floss"/>
    <x v="6"/>
    <s v="Floss Picks (100 pcs)"/>
    <s v="B260610-L3B"/>
    <s v="S. Yadav"/>
    <x v="2"/>
    <x v="2"/>
    <x v="8"/>
    <n v="6450"/>
    <n v="6270"/>
    <n v="187"/>
    <n v="2.9824561403508771E-2"/>
    <n v="0.97209302325581393"/>
    <x v="4"/>
    <n v="30"/>
    <n v="0.5"/>
    <s v="Cleaning / Sanitation"/>
    <n v="33"/>
    <n v="6171"/>
    <n v="28079"/>
    <n v="5990"/>
    <n v="5990"/>
    <x v="1224"/>
    <n v="9750"/>
  </r>
  <r>
    <s v="PR-1366"/>
    <d v="2026-08-03T00:00:00"/>
    <x v="1"/>
    <x v="1"/>
    <s v="Monday"/>
    <x v="2"/>
    <x v="2"/>
    <x v="2"/>
    <s v="Dental Floss"/>
    <x v="9"/>
    <s v="Waxed Floss 50m"/>
    <s v="B260803-L3C"/>
    <s v="A. Gupta"/>
    <x v="1"/>
    <x v="2"/>
    <x v="10"/>
    <n v="7260"/>
    <n v="6920"/>
    <n v="145"/>
    <n v="2.0953757225433526E-2"/>
    <n v="0.95316804407713496"/>
    <x v="0"/>
    <n v="0"/>
    <n v="0"/>
    <s v="None"/>
    <n v="24"/>
    <n v="3480"/>
    <n v="28487"/>
    <n v="7060"/>
    <n v="7060"/>
    <x v="1225"/>
    <n v="12000"/>
  </r>
  <r>
    <s v="PR-0577"/>
    <d v="2026-05-23T00:00:00"/>
    <x v="4"/>
    <x v="4"/>
    <s v="Saturday"/>
    <x v="1"/>
    <x v="1"/>
    <x v="1"/>
    <s v="Toothbrush"/>
    <x v="10"/>
    <s v="Medium Toothbrush"/>
    <s v="B260523-L4B"/>
    <s v="S. Yadav"/>
    <x v="2"/>
    <x v="1"/>
    <x v="7"/>
    <n v="9030"/>
    <n v="8840"/>
    <n v="186"/>
    <n v="2.1040723981900454E-2"/>
    <n v="0.97895902547065339"/>
    <x v="4"/>
    <n v="55"/>
    <n v="0.91666666666666663"/>
    <s v="Machine Breakdown"/>
    <n v="17"/>
    <n v="3162"/>
    <n v="27383"/>
    <n v="7830"/>
    <n v="7830"/>
    <x v="1226"/>
    <n v="13500"/>
  </r>
  <r>
    <s v="PR-0534"/>
    <d v="2026-05-20T00:00:00"/>
    <x v="4"/>
    <x v="4"/>
    <s v="Wednesday"/>
    <x v="0"/>
    <x v="3"/>
    <x v="3"/>
    <s v="Toothpaste"/>
    <x v="8"/>
    <s v="Whitening Toothpaste 100g"/>
    <s v="B260520-L1A"/>
    <s v="R. Sharma"/>
    <x v="2"/>
    <x v="3"/>
    <x v="2"/>
    <n v="8480"/>
    <n v="8060"/>
    <n v="202"/>
    <n v="2.5062034739454096E-2"/>
    <n v="0.95047169811320753"/>
    <x v="3"/>
    <n v="0"/>
    <n v="0"/>
    <s v="None"/>
    <n v="38"/>
    <n v="7676"/>
    <n v="27742"/>
    <n v="7390"/>
    <n v="7390"/>
    <x v="1227"/>
    <n v="13500"/>
  </r>
  <r>
    <s v="PR-0485"/>
    <d v="2026-05-15T00:00:00"/>
    <x v="4"/>
    <x v="4"/>
    <s v="Friday"/>
    <x v="0"/>
    <x v="1"/>
    <x v="1"/>
    <s v="Toothbrush"/>
    <x v="10"/>
    <s v="Medium Toothbrush"/>
    <s v="B260515-L4A"/>
    <s v="R. Sharma"/>
    <x v="2"/>
    <x v="1"/>
    <x v="6"/>
    <n v="8560"/>
    <n v="7940"/>
    <n v="175"/>
    <n v="2.2040302267002519E-2"/>
    <n v="0.92757009345794394"/>
    <x v="0"/>
    <n v="28"/>
    <n v="0.46666666666666667"/>
    <s v="Changeover"/>
    <n v="17"/>
    <n v="2975"/>
    <n v="28437"/>
    <n v="7990"/>
    <n v="7990"/>
    <x v="1228"/>
    <n v="13500"/>
  </r>
  <r>
    <s v="PR-1732"/>
    <d v="2026-09-05T00:00:00"/>
    <x v="0"/>
    <x v="0"/>
    <s v="Saturday"/>
    <x v="2"/>
    <x v="1"/>
    <x v="1"/>
    <s v="Toothbrush"/>
    <x v="10"/>
    <s v="Medium Toothbrush"/>
    <s v="B260905-L4C"/>
    <s v="A. Gupta"/>
    <x v="1"/>
    <x v="1"/>
    <x v="1"/>
    <n v="9120"/>
    <n v="7900"/>
    <n v="297"/>
    <n v="3.7594936708860757E-2"/>
    <n v="0.86622807017543857"/>
    <x v="2"/>
    <n v="0"/>
    <n v="0"/>
    <s v="None"/>
    <n v="17"/>
    <n v="5049"/>
    <n v="28872"/>
    <n v="8260"/>
    <n v="8260"/>
    <x v="1229"/>
    <n v="13500"/>
  </r>
  <r>
    <s v="PR-0513"/>
    <d v="2026-05-18T00:00:00"/>
    <x v="4"/>
    <x v="4"/>
    <s v="Monday"/>
    <x v="0"/>
    <x v="1"/>
    <x v="1"/>
    <s v="Toothbrush"/>
    <x v="10"/>
    <s v="Medium Toothbrush"/>
    <s v="B260518-L4A"/>
    <s v="K. Verma"/>
    <x v="1"/>
    <x v="1"/>
    <x v="6"/>
    <n v="8900"/>
    <n v="8620"/>
    <n v="221"/>
    <n v="2.5638051044083527E-2"/>
    <n v="0.96853932584269664"/>
    <x v="0"/>
    <n v="70"/>
    <n v="1.1666666666666667"/>
    <s v="Material Shortage"/>
    <n v="17"/>
    <n v="3757"/>
    <n v="27437"/>
    <n v="7620"/>
    <n v="7620"/>
    <x v="1230"/>
    <n v="13500"/>
  </r>
  <r>
    <s v="PR-1327"/>
    <d v="2026-07-30T00:00:00"/>
    <x v="2"/>
    <x v="2"/>
    <s v="Thursday"/>
    <x v="2"/>
    <x v="1"/>
    <x v="1"/>
    <s v="Toothbrush"/>
    <x v="10"/>
    <s v="Medium Toothbrush"/>
    <s v="B260730-L4C"/>
    <s v="A. Gupta"/>
    <x v="1"/>
    <x v="1"/>
    <x v="0"/>
    <n v="8710"/>
    <n v="8220"/>
    <n v="274"/>
    <n v="3.3333333333333333E-2"/>
    <n v="0.94374282433983925"/>
    <x v="0"/>
    <n v="0"/>
    <n v="0"/>
    <s v="None"/>
    <n v="17"/>
    <n v="4658"/>
    <n v="29236"/>
    <n v="8940"/>
    <n v="8940"/>
    <x v="1231"/>
    <n v="13500"/>
  </r>
  <r>
    <s v="PR-0749"/>
    <d v="2026-06-08T00:00:00"/>
    <x v="3"/>
    <x v="3"/>
    <s v="Monday"/>
    <x v="2"/>
    <x v="0"/>
    <x v="0"/>
    <s v="Mouthwash"/>
    <x v="0"/>
    <s v="Mint Mouthwash 250ml"/>
    <s v="B260608-L2C"/>
    <s v="M. Khan"/>
    <x v="1"/>
    <x v="0"/>
    <x v="1"/>
    <n v="6730"/>
    <n v="6270"/>
    <n v="108"/>
    <n v="1.7224880382775119E-2"/>
    <n v="0.93164933135215455"/>
    <x v="5"/>
    <n v="38"/>
    <n v="0.6333333333333333"/>
    <s v="Cleaning / Sanitation"/>
    <n v="46"/>
    <n v="4968"/>
    <n v="28486"/>
    <n v="6400"/>
    <n v="6400"/>
    <x v="1232"/>
    <n v="10500"/>
  </r>
  <r>
    <s v="PR-1294"/>
    <d v="2026-07-28T00:00:00"/>
    <x v="2"/>
    <x v="2"/>
    <s v="Tuesday"/>
    <x v="0"/>
    <x v="2"/>
    <x v="2"/>
    <s v="Dental Floss"/>
    <x v="9"/>
    <s v="Waxed Floss 50m"/>
    <s v="B260728-L3A"/>
    <s v="K. Verma"/>
    <x v="2"/>
    <x v="2"/>
    <x v="9"/>
    <n v="7980"/>
    <n v="7170"/>
    <n v="243"/>
    <n v="3.3891213389121336E-2"/>
    <n v="0.89849624060150379"/>
    <x v="2"/>
    <n v="0"/>
    <n v="0"/>
    <s v="None"/>
    <n v="24"/>
    <n v="5832"/>
    <n v="27656"/>
    <n v="6330"/>
    <n v="6330"/>
    <x v="1233"/>
    <n v="12000"/>
  </r>
  <r>
    <s v="PR-0676"/>
    <d v="2026-06-02T00:00:00"/>
    <x v="3"/>
    <x v="3"/>
    <s v="Tuesday"/>
    <x v="0"/>
    <x v="0"/>
    <x v="0"/>
    <s v="Mouthwash"/>
    <x v="0"/>
    <s v="Mint Mouthwash 250ml"/>
    <s v="B260602-L2A"/>
    <s v="R. Sharma"/>
    <x v="1"/>
    <x v="0"/>
    <x v="0"/>
    <n v="7050"/>
    <n v="6400"/>
    <n v="52"/>
    <n v="8.1250000000000003E-3"/>
    <n v="0.90780141843971629"/>
    <x v="5"/>
    <n v="33"/>
    <n v="0.55000000000000004"/>
    <s v="Material Shortage"/>
    <n v="46"/>
    <n v="2392"/>
    <n v="28489"/>
    <n v="6580"/>
    <n v="6580"/>
    <x v="1234"/>
    <n v="10500"/>
  </r>
  <r>
    <s v="PR-1414"/>
    <d v="2026-08-07T00:00:00"/>
    <x v="1"/>
    <x v="1"/>
    <s v="Friday"/>
    <x v="2"/>
    <x v="2"/>
    <x v="2"/>
    <s v="Dental Floss"/>
    <x v="9"/>
    <s v="Waxed Floss 50m"/>
    <s v="B260807-L3C"/>
    <s v="A. Gupta"/>
    <x v="1"/>
    <x v="2"/>
    <x v="11"/>
    <n v="7910"/>
    <n v="6630"/>
    <n v="240"/>
    <n v="3.6199095022624438E-2"/>
    <n v="0.83817951959544879"/>
    <x v="2"/>
    <n v="0"/>
    <n v="0"/>
    <s v="None"/>
    <n v="24"/>
    <n v="5760"/>
    <n v="28967"/>
    <n v="7100"/>
    <n v="7100"/>
    <x v="1234"/>
    <n v="12000"/>
  </r>
  <r>
    <s v="PR-1110"/>
    <d v="2026-07-11T00:00:00"/>
    <x v="2"/>
    <x v="2"/>
    <s v="Saturday"/>
    <x v="0"/>
    <x v="0"/>
    <x v="0"/>
    <s v="Mouthwash"/>
    <x v="0"/>
    <s v="Mint Mouthwash 250ml"/>
    <s v="B260711-L2A"/>
    <s v="R. Sharma"/>
    <x v="2"/>
    <x v="0"/>
    <x v="1"/>
    <n v="6880"/>
    <n v="6260"/>
    <n v="129"/>
    <n v="2.060702875399361E-2"/>
    <n v="0.90988372093023251"/>
    <x v="3"/>
    <n v="0"/>
    <n v="0"/>
    <s v="None"/>
    <n v="46"/>
    <n v="5934"/>
    <n v="28743"/>
    <n v="6610"/>
    <n v="6610"/>
    <x v="1235"/>
    <n v="10500"/>
  </r>
  <r>
    <s v="PR-0542"/>
    <d v="2026-05-20T00:00:00"/>
    <x v="4"/>
    <x v="4"/>
    <s v="Wednesday"/>
    <x v="2"/>
    <x v="3"/>
    <x v="3"/>
    <s v="Toothpaste"/>
    <x v="8"/>
    <s v="Whitening Toothpaste 100g"/>
    <s v="B260520-L1C"/>
    <s v="A. Gupta"/>
    <x v="2"/>
    <x v="3"/>
    <x v="2"/>
    <n v="9120"/>
    <n v="8830"/>
    <n v="280"/>
    <n v="3.1710079275198186E-2"/>
    <n v="0.9682017543859649"/>
    <x v="0"/>
    <n v="41"/>
    <n v="0.68333333333333335"/>
    <s v="Changeover"/>
    <n v="38"/>
    <n v="10640"/>
    <n v="28210"/>
    <n v="8490"/>
    <n v="8490"/>
    <x v="1236"/>
    <n v="13500"/>
  </r>
  <r>
    <s v="PR-0778"/>
    <d v="2026-06-11T00:00:00"/>
    <x v="3"/>
    <x v="3"/>
    <s v="Thursday"/>
    <x v="0"/>
    <x v="2"/>
    <x v="2"/>
    <s v="Dental Floss"/>
    <x v="6"/>
    <s v="Floss Picks (100 pcs)"/>
    <s v="B260611-L3A"/>
    <s v="R. Sharma"/>
    <x v="1"/>
    <x v="2"/>
    <x v="10"/>
    <n v="6280"/>
    <n v="5810"/>
    <n v="137"/>
    <n v="2.3580034423407916E-2"/>
    <n v="0.92515923566878977"/>
    <x v="0"/>
    <n v="0"/>
    <n v="0"/>
    <s v="None"/>
    <n v="33"/>
    <n v="4521"/>
    <n v="28172"/>
    <n v="5560"/>
    <n v="5560"/>
    <x v="1237"/>
    <n v="9750"/>
  </r>
  <r>
    <s v="PR-0537"/>
    <d v="2026-05-20T00:00:00"/>
    <x v="4"/>
    <x v="4"/>
    <s v="Wednesday"/>
    <x v="0"/>
    <x v="1"/>
    <x v="1"/>
    <s v="Toothbrush"/>
    <x v="10"/>
    <s v="Medium Toothbrush"/>
    <s v="B260520-L4A"/>
    <s v="K. Verma"/>
    <x v="1"/>
    <x v="1"/>
    <x v="7"/>
    <n v="8320"/>
    <n v="7760"/>
    <n v="142"/>
    <n v="1.8298969072164949E-2"/>
    <n v="0.93269230769230771"/>
    <x v="5"/>
    <n v="72"/>
    <n v="1.2"/>
    <s v="Power Interruption"/>
    <n v="17"/>
    <n v="2414"/>
    <n v="27703"/>
    <n v="7030"/>
    <n v="7030"/>
    <x v="1238"/>
    <n v="13500"/>
  </r>
  <r>
    <s v="PR-0665"/>
    <d v="2026-06-01T00:00:00"/>
    <x v="3"/>
    <x v="3"/>
    <s v="Monday"/>
    <x v="0"/>
    <x v="2"/>
    <x v="2"/>
    <s v="Dental Floss"/>
    <x v="9"/>
    <s v="Waxed Floss 50m"/>
    <s v="B260601-L3A"/>
    <s v="R. Sharma"/>
    <x v="1"/>
    <x v="2"/>
    <x v="10"/>
    <n v="7920"/>
    <n v="7290"/>
    <n v="224"/>
    <n v="3.0727023319615913E-2"/>
    <n v="0.92045454545454541"/>
    <x v="2"/>
    <n v="46"/>
    <n v="0.76666666666666672"/>
    <s v="Material Shortage"/>
    <n v="24"/>
    <n v="5376"/>
    <n v="28902"/>
    <n v="7660"/>
    <n v="7660"/>
    <x v="1239"/>
    <n v="12000"/>
  </r>
  <r>
    <s v="PR-1374"/>
    <d v="2026-08-04T00:00:00"/>
    <x v="1"/>
    <x v="1"/>
    <s v="Tuesday"/>
    <x v="1"/>
    <x v="2"/>
    <x v="2"/>
    <s v="Dental Floss"/>
    <x v="9"/>
    <s v="Waxed Floss 50m"/>
    <s v="B260804-L3B"/>
    <s v="P. Singh"/>
    <x v="1"/>
    <x v="2"/>
    <x v="8"/>
    <n v="8010"/>
    <n v="7430"/>
    <n v="156"/>
    <n v="2.0995962314939436E-2"/>
    <n v="0.92759051186017483"/>
    <x v="2"/>
    <n v="0"/>
    <n v="0"/>
    <s v="None"/>
    <n v="24"/>
    <n v="3744"/>
    <n v="28202"/>
    <n v="7160"/>
    <n v="7160"/>
    <x v="1240"/>
    <n v="12000"/>
  </r>
  <r>
    <s v="PR-0502"/>
    <d v="2026-05-16T00:00:00"/>
    <x v="4"/>
    <x v="4"/>
    <s v="Saturday"/>
    <x v="2"/>
    <x v="3"/>
    <x v="3"/>
    <s v="Toothpaste"/>
    <x v="8"/>
    <s v="Whitening Toothpaste 100g"/>
    <s v="B260516-L1C"/>
    <s v="A. Gupta"/>
    <x v="1"/>
    <x v="3"/>
    <x v="2"/>
    <n v="8550"/>
    <n v="8400"/>
    <n v="327"/>
    <n v="3.892857142857143E-2"/>
    <n v="0.98245614035087714"/>
    <x v="5"/>
    <n v="0"/>
    <n v="0"/>
    <s v="None"/>
    <n v="38"/>
    <n v="12426"/>
    <n v="27094"/>
    <n v="6830"/>
    <n v="6830"/>
    <x v="1241"/>
    <n v="13500"/>
  </r>
  <r>
    <s v="PR-1033"/>
    <d v="2026-07-04T00:00:00"/>
    <x v="2"/>
    <x v="2"/>
    <s v="Saturday"/>
    <x v="0"/>
    <x v="3"/>
    <x v="3"/>
    <s v="Toothpaste"/>
    <x v="7"/>
    <s v="Sensitive Toothpaste 100g"/>
    <s v="B260704-L1A"/>
    <s v="K. Verma"/>
    <x v="1"/>
    <x v="3"/>
    <x v="3"/>
    <n v="7440"/>
    <n v="6510"/>
    <n v="141"/>
    <n v="2.1658986175115209E-2"/>
    <n v="0.875"/>
    <x v="3"/>
    <n v="0"/>
    <n v="0"/>
    <s v="None"/>
    <n v="42"/>
    <n v="5922"/>
    <n v="28599"/>
    <n v="6630"/>
    <n v="6630"/>
    <x v="1242"/>
    <n v="12000"/>
  </r>
  <r>
    <s v="PR-1166"/>
    <d v="2026-07-16T00:00:00"/>
    <x v="2"/>
    <x v="2"/>
    <s v="Thursday"/>
    <x v="1"/>
    <x v="3"/>
    <x v="3"/>
    <s v="Toothpaste"/>
    <x v="7"/>
    <s v="Sensitive Toothpaste 100g"/>
    <s v="B260716-L1B"/>
    <s v="S. Yadav"/>
    <x v="1"/>
    <x v="3"/>
    <x v="3"/>
    <n v="7510"/>
    <n v="6590"/>
    <n v="133"/>
    <n v="2.0182094081942336E-2"/>
    <n v="0.87749667110519303"/>
    <x v="4"/>
    <n v="0"/>
    <n v="0"/>
    <s v="None"/>
    <n v="42"/>
    <n v="5586"/>
    <n v="29203"/>
    <n v="7310"/>
    <n v="7310"/>
    <x v="1243"/>
    <n v="12000"/>
  </r>
  <r>
    <s v="PR-1151"/>
    <d v="2026-07-15T00:00:00"/>
    <x v="2"/>
    <x v="2"/>
    <s v="Wednesday"/>
    <x v="0"/>
    <x v="0"/>
    <x v="0"/>
    <s v="Mouthwash"/>
    <x v="0"/>
    <s v="Mint Mouthwash 250ml"/>
    <s v="B260715-L2A"/>
    <s v="K. Verma"/>
    <x v="2"/>
    <x v="0"/>
    <x v="1"/>
    <n v="7340"/>
    <n v="6610"/>
    <n v="201"/>
    <n v="3.0408472012102873E-2"/>
    <n v="0.90054495912806543"/>
    <x v="3"/>
    <n v="63"/>
    <n v="1.05"/>
    <s v="Machine Breakdown"/>
    <n v="46"/>
    <n v="9246"/>
    <n v="28789"/>
    <n v="6840"/>
    <n v="6840"/>
    <x v="1244"/>
    <n v="10500"/>
  </r>
  <r>
    <s v="PR-0386"/>
    <d v="2026-05-06T00:00:00"/>
    <x v="4"/>
    <x v="4"/>
    <s v="Wednesday"/>
    <x v="1"/>
    <x v="3"/>
    <x v="3"/>
    <s v="Toothpaste"/>
    <x v="8"/>
    <s v="Whitening Toothpaste 100g"/>
    <s v="B260506-L1B"/>
    <s v="P. Singh"/>
    <x v="2"/>
    <x v="3"/>
    <x v="2"/>
    <n v="9710"/>
    <n v="9270"/>
    <n v="111"/>
    <n v="1.197411003236246E-2"/>
    <n v="0.95468589083419153"/>
    <x v="3"/>
    <n v="12"/>
    <n v="0.2"/>
    <s v="Power Interruption"/>
    <n v="38"/>
    <n v="4218"/>
    <n v="28140"/>
    <n v="8940"/>
    <n v="8940"/>
    <x v="1245"/>
    <n v="13500"/>
  </r>
  <r>
    <s v="PR-1230"/>
    <d v="2026-07-22T00:00:00"/>
    <x v="2"/>
    <x v="2"/>
    <s v="Wednesday"/>
    <x v="0"/>
    <x v="2"/>
    <x v="2"/>
    <s v="Dental Floss"/>
    <x v="9"/>
    <s v="Waxed Floss 50m"/>
    <s v="B260722-L3A"/>
    <s v="R. Sharma"/>
    <x v="1"/>
    <x v="2"/>
    <x v="10"/>
    <n v="8630"/>
    <n v="7910"/>
    <n v="178"/>
    <n v="2.2503160556257902E-2"/>
    <n v="0.91657010428736962"/>
    <x v="3"/>
    <n v="0"/>
    <n v="0"/>
    <s v="None"/>
    <n v="24"/>
    <n v="4272"/>
    <n v="28478"/>
    <n v="7850"/>
    <n v="7850"/>
    <x v="1246"/>
    <n v="12000"/>
  </r>
  <r>
    <s v="PR-0822"/>
    <d v="2026-06-15T00:00:00"/>
    <x v="3"/>
    <x v="3"/>
    <s v="Monday"/>
    <x v="1"/>
    <x v="3"/>
    <x v="3"/>
    <s v="Toothpaste"/>
    <x v="8"/>
    <s v="Whitening Toothpaste 100g"/>
    <s v="B260615-L1B"/>
    <s v="P. Singh"/>
    <x v="1"/>
    <x v="3"/>
    <x v="4"/>
    <n v="9610"/>
    <n v="8970"/>
    <n v="192"/>
    <n v="2.1404682274247491E-2"/>
    <n v="0.93340270551508842"/>
    <x v="4"/>
    <n v="30"/>
    <n v="0.5"/>
    <s v="Manpower Shortage"/>
    <n v="38"/>
    <n v="7296"/>
    <n v="27084"/>
    <n v="7500"/>
    <n v="7500"/>
    <x v="1247"/>
    <n v="13500"/>
  </r>
  <r>
    <s v="PR-0458"/>
    <d v="2026-05-13T00:00:00"/>
    <x v="4"/>
    <x v="4"/>
    <s v="Wednesday"/>
    <x v="0"/>
    <x v="3"/>
    <x v="3"/>
    <s v="Toothpaste"/>
    <x v="8"/>
    <s v="Whitening Toothpaste 100g"/>
    <s v="B260513-L1A"/>
    <s v="K. Verma"/>
    <x v="1"/>
    <x v="3"/>
    <x v="2"/>
    <n v="9570"/>
    <n v="8850"/>
    <n v="150"/>
    <n v="1.6949152542372881E-2"/>
    <n v="0.92476489028213171"/>
    <x v="4"/>
    <n v="0"/>
    <n v="0"/>
    <s v="None"/>
    <n v="38"/>
    <n v="5700"/>
    <n v="27037"/>
    <n v="7350"/>
    <n v="7350"/>
    <x v="1248"/>
    <n v="13500"/>
  </r>
  <r>
    <s v="PR-1069"/>
    <d v="2026-07-07T00:00:00"/>
    <x v="2"/>
    <x v="2"/>
    <s v="Tuesday"/>
    <x v="2"/>
    <x v="3"/>
    <x v="3"/>
    <s v="Toothpaste"/>
    <x v="7"/>
    <s v="Sensitive Toothpaste 100g"/>
    <s v="B260707-L1C"/>
    <s v="A. Gupta"/>
    <x v="2"/>
    <x v="3"/>
    <x v="5"/>
    <n v="7120"/>
    <n v="6200"/>
    <n v="129"/>
    <n v="2.0806451612903225E-2"/>
    <n v="0.8707865168539326"/>
    <x v="4"/>
    <n v="53"/>
    <n v="0.8833333333333333"/>
    <s v="Material Shortage"/>
    <n v="42"/>
    <n v="5418"/>
    <n v="28557"/>
    <n v="6210"/>
    <n v="6210"/>
    <x v="1249"/>
    <n v="12000"/>
  </r>
  <r>
    <s v="PR-0544"/>
    <d v="2026-05-20T00:00:00"/>
    <x v="4"/>
    <x v="4"/>
    <s v="Wednesday"/>
    <x v="2"/>
    <x v="2"/>
    <x v="2"/>
    <s v="Dental Floss"/>
    <x v="9"/>
    <s v="Waxed Floss 50m"/>
    <s v="B260520-L3C"/>
    <s v="A. Gupta"/>
    <x v="1"/>
    <x v="2"/>
    <x v="9"/>
    <n v="7790"/>
    <n v="7280"/>
    <n v="181"/>
    <n v="2.4862637362637361E-2"/>
    <n v="0.93453145057766362"/>
    <x v="4"/>
    <n v="43"/>
    <n v="0.71666666666666667"/>
    <s v="Machine Breakdown"/>
    <n v="24"/>
    <n v="4344"/>
    <n v="28477"/>
    <n v="7150"/>
    <n v="7150"/>
    <x v="1250"/>
    <n v="12000"/>
  </r>
  <r>
    <s v="PR-0560"/>
    <d v="2026-05-22T00:00:00"/>
    <x v="4"/>
    <x v="4"/>
    <s v="Friday"/>
    <x v="0"/>
    <x v="2"/>
    <x v="2"/>
    <s v="Dental Floss"/>
    <x v="9"/>
    <s v="Waxed Floss 50m"/>
    <s v="B260522-L3A"/>
    <s v="K. Verma"/>
    <x v="2"/>
    <x v="2"/>
    <x v="10"/>
    <n v="7780"/>
    <n v="7400"/>
    <n v="206"/>
    <n v="2.7837837837837838E-2"/>
    <n v="0.95115681233933158"/>
    <x v="3"/>
    <n v="32"/>
    <n v="0.53333333333333333"/>
    <s v="Changeover"/>
    <n v="24"/>
    <n v="4944"/>
    <n v="28426"/>
    <n v="7190"/>
    <n v="7190"/>
    <x v="1251"/>
    <n v="12000"/>
  </r>
  <r>
    <s v="PR-1210"/>
    <d v="2026-07-20T00:00:00"/>
    <x v="2"/>
    <x v="2"/>
    <s v="Monday"/>
    <x v="1"/>
    <x v="2"/>
    <x v="2"/>
    <s v="Dental Floss"/>
    <x v="9"/>
    <s v="Waxed Floss 50m"/>
    <s v="B260720-L3B"/>
    <s v="P. Singh"/>
    <x v="2"/>
    <x v="2"/>
    <x v="9"/>
    <n v="8210"/>
    <n v="7220"/>
    <n v="207"/>
    <n v="2.8670360110803324E-2"/>
    <n v="0.87941534713763703"/>
    <x v="4"/>
    <n v="0"/>
    <n v="0"/>
    <s v="None"/>
    <n v="24"/>
    <n v="4968"/>
    <n v="28921"/>
    <n v="7500"/>
    <n v="7500"/>
    <x v="1252"/>
    <n v="12000"/>
  </r>
  <r>
    <s v="PR-0481"/>
    <d v="2026-05-14T00:00:00"/>
    <x v="4"/>
    <x v="4"/>
    <s v="Thursday"/>
    <x v="2"/>
    <x v="1"/>
    <x v="1"/>
    <s v="Toothbrush"/>
    <x v="10"/>
    <s v="Medium Toothbrush"/>
    <s v="B260514-L4C"/>
    <s v="A. Gupta"/>
    <x v="2"/>
    <x v="1"/>
    <x v="3"/>
    <n v="7900"/>
    <n v="6290"/>
    <n v="176"/>
    <n v="2.7980922098569158E-2"/>
    <n v="0.79620253164556964"/>
    <x v="3"/>
    <n v="29"/>
    <n v="0.48333333333333334"/>
    <s v="Machine Breakdown"/>
    <n v="17"/>
    <n v="2992"/>
    <n v="28893"/>
    <n v="6570"/>
    <n v="6570"/>
    <x v="1253"/>
    <n v="13500"/>
  </r>
  <r>
    <s v="PR-0425"/>
    <d v="2026-05-09T00:00:00"/>
    <x v="4"/>
    <x v="4"/>
    <s v="Saturday"/>
    <x v="1"/>
    <x v="1"/>
    <x v="1"/>
    <s v="Toothbrush"/>
    <x v="10"/>
    <s v="Medium Toothbrush"/>
    <s v="B260509-L4B"/>
    <s v="P. Singh"/>
    <x v="1"/>
    <x v="1"/>
    <x v="6"/>
    <n v="8350"/>
    <n v="7600"/>
    <n v="185"/>
    <n v="2.4342105263157894E-2"/>
    <n v="0.91017964071856283"/>
    <x v="2"/>
    <n v="0"/>
    <n v="0"/>
    <s v="None"/>
    <n v="17"/>
    <n v="3145"/>
    <n v="27825"/>
    <n v="6800"/>
    <n v="6800"/>
    <x v="1254"/>
    <n v="13500"/>
  </r>
  <r>
    <s v="PR-0536"/>
    <d v="2026-05-20T00:00:00"/>
    <x v="4"/>
    <x v="4"/>
    <s v="Wednesday"/>
    <x v="0"/>
    <x v="2"/>
    <x v="2"/>
    <s v="Dental Floss"/>
    <x v="9"/>
    <s v="Waxed Floss 50m"/>
    <s v="B260520-L3A"/>
    <s v="R. Sharma"/>
    <x v="2"/>
    <x v="2"/>
    <x v="10"/>
    <n v="8240"/>
    <n v="8050"/>
    <n v="211"/>
    <n v="2.6211180124223604E-2"/>
    <n v="0.97694174757281549"/>
    <x v="3"/>
    <n v="0"/>
    <n v="0"/>
    <s v="None"/>
    <n v="24"/>
    <n v="5064"/>
    <n v="28008"/>
    <n v="7370"/>
    <n v="7370"/>
    <x v="1255"/>
    <n v="12000"/>
  </r>
  <r>
    <s v="PR-1222"/>
    <d v="2026-07-21T00:00:00"/>
    <x v="2"/>
    <x v="2"/>
    <s v="Tuesday"/>
    <x v="1"/>
    <x v="2"/>
    <x v="2"/>
    <s v="Dental Floss"/>
    <x v="9"/>
    <s v="Waxed Floss 50m"/>
    <s v="B260721-L3B"/>
    <s v="P. Singh"/>
    <x v="1"/>
    <x v="2"/>
    <x v="10"/>
    <n v="8400"/>
    <n v="8410"/>
    <n v="286"/>
    <n v="3.4007134363852554E-2"/>
    <n v="1.0011904761904762"/>
    <x v="4"/>
    <n v="28"/>
    <n v="0.46666666666666667"/>
    <s v="Changeover"/>
    <n v="24"/>
    <n v="6864"/>
    <n v="28434"/>
    <n v="8080"/>
    <n v="8080"/>
    <x v="1256"/>
    <n v="12000"/>
  </r>
  <r>
    <s v="PR-1154"/>
    <d v="2026-07-15T00:00:00"/>
    <x v="2"/>
    <x v="2"/>
    <s v="Wednesday"/>
    <x v="1"/>
    <x v="3"/>
    <x v="3"/>
    <s v="Toothpaste"/>
    <x v="7"/>
    <s v="Sensitive Toothpaste 100g"/>
    <s v="B260715-L1B"/>
    <s v="P. Singh"/>
    <x v="2"/>
    <x v="3"/>
    <x v="3"/>
    <n v="8290"/>
    <n v="7590"/>
    <n v="224"/>
    <n v="2.9512516469038207E-2"/>
    <n v="0.91556091676718943"/>
    <x v="0"/>
    <n v="0"/>
    <n v="0"/>
    <s v="None"/>
    <n v="42"/>
    <n v="9408"/>
    <n v="29285"/>
    <n v="8170"/>
    <n v="8170"/>
    <x v="1257"/>
    <n v="12000"/>
  </r>
  <r>
    <s v="PR-0724"/>
    <d v="2026-06-06T00:00:00"/>
    <x v="3"/>
    <x v="3"/>
    <s v="Saturday"/>
    <x v="0"/>
    <x v="0"/>
    <x v="0"/>
    <s v="Mouthwash"/>
    <x v="0"/>
    <s v="Mint Mouthwash 250ml"/>
    <s v="B260606-L2A"/>
    <s v="R. Sharma"/>
    <x v="1"/>
    <x v="0"/>
    <x v="1"/>
    <n v="7400"/>
    <n v="6880"/>
    <n v="167"/>
    <n v="2.4273255813953488E-2"/>
    <n v="0.92972972972972978"/>
    <x v="0"/>
    <n v="0"/>
    <n v="0"/>
    <s v="None"/>
    <n v="46"/>
    <n v="7682"/>
    <n v="28663"/>
    <n v="6890"/>
    <n v="6890"/>
    <x v="1258"/>
    <n v="10500"/>
  </r>
  <r>
    <s v="PR-1362"/>
    <d v="2026-08-03T00:00:00"/>
    <x v="1"/>
    <x v="1"/>
    <s v="Monday"/>
    <x v="1"/>
    <x v="2"/>
    <x v="2"/>
    <s v="Dental Floss"/>
    <x v="9"/>
    <s v="Waxed Floss 50m"/>
    <s v="B260803-L3B"/>
    <s v="P. Singh"/>
    <x v="1"/>
    <x v="2"/>
    <x v="10"/>
    <n v="7630"/>
    <n v="7030"/>
    <n v="196"/>
    <n v="2.7880512091038406E-2"/>
    <n v="0.92136304062909569"/>
    <x v="2"/>
    <n v="53"/>
    <n v="0.8833333333333333"/>
    <s v="Changeover"/>
    <n v="24"/>
    <n v="4704"/>
    <n v="28843"/>
    <n v="7190"/>
    <n v="7190"/>
    <x v="1259"/>
    <n v="12000"/>
  </r>
  <r>
    <s v="PR-0754"/>
    <d v="2026-06-09T00:00:00"/>
    <x v="3"/>
    <x v="3"/>
    <s v="Tuesday"/>
    <x v="0"/>
    <x v="2"/>
    <x v="2"/>
    <s v="Dental Floss"/>
    <x v="6"/>
    <s v="Floss Picks (100 pcs)"/>
    <s v="B260609-L3A"/>
    <s v="R. Sharma"/>
    <x v="2"/>
    <x v="2"/>
    <x v="10"/>
    <n v="6240"/>
    <n v="5880"/>
    <n v="102"/>
    <n v="1.7346938775510204E-2"/>
    <n v="0.94230769230769229"/>
    <x v="0"/>
    <n v="59"/>
    <n v="0.98333333333333328"/>
    <s v="Changeover"/>
    <n v="33"/>
    <n v="3366"/>
    <n v="28160"/>
    <n v="5450"/>
    <n v="5450"/>
    <x v="1260"/>
    <n v="9750"/>
  </r>
  <r>
    <s v="PR-0664"/>
    <d v="2026-06-01T00:00:00"/>
    <x v="3"/>
    <x v="3"/>
    <s v="Monday"/>
    <x v="0"/>
    <x v="0"/>
    <x v="0"/>
    <s v="Mouthwash"/>
    <x v="0"/>
    <s v="Mint Mouthwash 250ml"/>
    <s v="B260601-L2A"/>
    <s v="K. Verma"/>
    <x v="1"/>
    <x v="0"/>
    <x v="1"/>
    <n v="6860"/>
    <n v="6360"/>
    <n v="180"/>
    <n v="2.8301886792452831E-2"/>
    <n v="0.92711370262390669"/>
    <x v="5"/>
    <n v="0"/>
    <n v="0"/>
    <s v="None"/>
    <n v="46"/>
    <n v="8280"/>
    <n v="28529"/>
    <n v="6220"/>
    <n v="6220"/>
    <x v="1261"/>
    <n v="10500"/>
  </r>
  <r>
    <s v="PR-1049"/>
    <d v="2026-07-06T00:00:00"/>
    <x v="2"/>
    <x v="2"/>
    <s v="Monday"/>
    <x v="0"/>
    <x v="3"/>
    <x v="3"/>
    <s v="Toothpaste"/>
    <x v="7"/>
    <s v="Sensitive Toothpaste 100g"/>
    <s v="B260706-L1A"/>
    <s v="K. Verma"/>
    <x v="2"/>
    <x v="3"/>
    <x v="2"/>
    <n v="8220"/>
    <n v="8180"/>
    <n v="239"/>
    <n v="2.9217603911980441E-2"/>
    <n v="0.99513381995133821"/>
    <x v="2"/>
    <n v="0"/>
    <n v="0"/>
    <s v="None"/>
    <n v="42"/>
    <n v="10038"/>
    <n v="27708"/>
    <n v="7160"/>
    <n v="7160"/>
    <x v="1261"/>
    <n v="12000"/>
  </r>
  <r>
    <s v="PR-0576"/>
    <d v="2026-05-23T00:00:00"/>
    <x v="4"/>
    <x v="4"/>
    <s v="Saturday"/>
    <x v="1"/>
    <x v="2"/>
    <x v="2"/>
    <s v="Dental Floss"/>
    <x v="9"/>
    <s v="Waxed Floss 50m"/>
    <s v="B260523-L3B"/>
    <s v="P. Singh"/>
    <x v="2"/>
    <x v="2"/>
    <x v="10"/>
    <n v="7480"/>
    <n v="7120"/>
    <n v="178"/>
    <n v="2.5000000000000001E-2"/>
    <n v="0.95187165775401072"/>
    <x v="5"/>
    <n v="0"/>
    <n v="0"/>
    <s v="None"/>
    <n v="24"/>
    <n v="4272"/>
    <n v="28430"/>
    <n v="6880"/>
    <n v="6880"/>
    <x v="1262"/>
    <n v="12000"/>
  </r>
  <r>
    <s v="PR-0469"/>
    <d v="2026-05-13T00:00:00"/>
    <x v="4"/>
    <x v="4"/>
    <s v="Wednesday"/>
    <x v="2"/>
    <x v="1"/>
    <x v="1"/>
    <s v="Toothbrush"/>
    <x v="10"/>
    <s v="Medium Toothbrush"/>
    <s v="B260513-L4C"/>
    <s v="M. Khan"/>
    <x v="2"/>
    <x v="1"/>
    <x v="0"/>
    <n v="9190"/>
    <n v="8030"/>
    <n v="303"/>
    <n v="3.7733499377334993E-2"/>
    <n v="0.87377584330794345"/>
    <x v="5"/>
    <n v="0"/>
    <n v="0"/>
    <s v="None"/>
    <n v="17"/>
    <n v="5151"/>
    <n v="29026"/>
    <n v="8260"/>
    <n v="8260"/>
    <x v="1263"/>
    <n v="13500"/>
  </r>
  <r>
    <s v="PR-0790"/>
    <d v="2026-06-12T00:00:00"/>
    <x v="3"/>
    <x v="3"/>
    <s v="Friday"/>
    <x v="0"/>
    <x v="2"/>
    <x v="2"/>
    <s v="Dental Floss"/>
    <x v="6"/>
    <s v="Floss Picks (100 pcs)"/>
    <s v="B260612-L3A"/>
    <s v="K. Verma"/>
    <x v="1"/>
    <x v="2"/>
    <x v="10"/>
    <n v="6310"/>
    <n v="6180"/>
    <n v="132"/>
    <n v="2.1359223300970873E-2"/>
    <n v="0.97939778129952459"/>
    <x v="2"/>
    <n v="70"/>
    <n v="1.1666666666666667"/>
    <s v="Cleaning / Sanitation"/>
    <n v="33"/>
    <n v="4356"/>
    <n v="28103"/>
    <n v="5650"/>
    <n v="5650"/>
    <x v="1264"/>
    <n v="9750"/>
  </r>
  <r>
    <s v="PR-1615"/>
    <d v="2026-08-26T00:00:00"/>
    <x v="1"/>
    <x v="1"/>
    <s v="Wednesday"/>
    <x v="1"/>
    <x v="2"/>
    <x v="2"/>
    <s v="Dental Floss"/>
    <x v="9"/>
    <s v="Waxed Floss 50m"/>
    <s v="B260826-L3B"/>
    <s v="S. Yadav"/>
    <x v="2"/>
    <x v="2"/>
    <x v="10"/>
    <n v="7720"/>
    <n v="7580"/>
    <n v="186"/>
    <n v="2.453825857519789E-2"/>
    <n v="0.98186528497409331"/>
    <x v="5"/>
    <n v="65"/>
    <n v="1.0833333333333333"/>
    <s v="Cleaning / Sanitation"/>
    <n v="24"/>
    <n v="4464"/>
    <n v="27784"/>
    <n v="6670"/>
    <n v="6670"/>
    <x v="1265"/>
    <n v="12000"/>
  </r>
  <r>
    <s v="PR-1908"/>
    <d v="2026-09-22T00:00:00"/>
    <x v="0"/>
    <x v="0"/>
    <s v="Tuesday"/>
    <x v="1"/>
    <x v="1"/>
    <x v="1"/>
    <s v="Toothbrush"/>
    <x v="10"/>
    <s v="Medium Toothbrush"/>
    <s v="B260922-L4B"/>
    <s v="P. Singh"/>
    <x v="1"/>
    <x v="1"/>
    <x v="7"/>
    <n v="8680"/>
    <n v="8600"/>
    <n v="285"/>
    <n v="3.3139534883720928E-2"/>
    <n v="0.99078341013824889"/>
    <x v="3"/>
    <n v="14"/>
    <n v="0.23333333333333334"/>
    <s v="Changeover"/>
    <n v="17"/>
    <n v="4845"/>
    <n v="27685"/>
    <n v="7490"/>
    <n v="7490"/>
    <x v="1266"/>
    <n v="13500"/>
  </r>
  <r>
    <s v="PR-1619"/>
    <d v="2026-08-26T00:00:00"/>
    <x v="1"/>
    <x v="1"/>
    <s v="Wednesday"/>
    <x v="2"/>
    <x v="2"/>
    <x v="2"/>
    <s v="Dental Floss"/>
    <x v="9"/>
    <s v="Waxed Floss 50m"/>
    <s v="B260826-L3C"/>
    <s v="M. Khan"/>
    <x v="2"/>
    <x v="2"/>
    <x v="10"/>
    <n v="7380"/>
    <n v="6890"/>
    <n v="107"/>
    <n v="1.5529753265602322E-2"/>
    <n v="0.93360433604336046"/>
    <x v="3"/>
    <n v="0"/>
    <n v="0"/>
    <s v="None"/>
    <n v="24"/>
    <n v="2568"/>
    <n v="28508"/>
    <n v="6770"/>
    <n v="6770"/>
    <x v="1267"/>
    <n v="12000"/>
  </r>
  <r>
    <s v="PR-0652"/>
    <d v="2026-05-30T00:00:00"/>
    <x v="4"/>
    <x v="4"/>
    <s v="Saturday"/>
    <x v="1"/>
    <x v="0"/>
    <x v="0"/>
    <s v="Mouthwash"/>
    <x v="0"/>
    <s v="Mint Mouthwash 250ml"/>
    <s v="B260530-L2B"/>
    <s v="P. Singh"/>
    <x v="2"/>
    <x v="0"/>
    <x v="0"/>
    <n v="7230"/>
    <n v="7090"/>
    <n v="161"/>
    <n v="2.2708039492242597E-2"/>
    <n v="0.98063623789764864"/>
    <x v="3"/>
    <n v="0"/>
    <n v="0"/>
    <s v="None"/>
    <n v="46"/>
    <n v="7406"/>
    <n v="27830"/>
    <n v="6230"/>
    <n v="6230"/>
    <x v="1268"/>
    <n v="10500"/>
  </r>
  <r>
    <s v="PR-0777"/>
    <d v="2026-06-11T00:00:00"/>
    <x v="3"/>
    <x v="3"/>
    <s v="Thursday"/>
    <x v="0"/>
    <x v="0"/>
    <x v="0"/>
    <s v="Mouthwash"/>
    <x v="0"/>
    <s v="Mint Mouthwash 250ml"/>
    <s v="B260611-L2A"/>
    <s v="K. Verma"/>
    <x v="2"/>
    <x v="0"/>
    <x v="1"/>
    <n v="7330"/>
    <n v="6970"/>
    <n v="120"/>
    <n v="1.721664275466284E-2"/>
    <n v="0.9508867667121419"/>
    <x v="4"/>
    <n v="64"/>
    <n v="1.0666666666666667"/>
    <s v="Machine Breakdown"/>
    <n v="46"/>
    <n v="5520"/>
    <n v="27915"/>
    <n v="6230"/>
    <n v="6230"/>
    <x v="1269"/>
    <n v="10500"/>
  </r>
  <r>
    <s v="PR-0838"/>
    <d v="2026-06-16T00:00:00"/>
    <x v="3"/>
    <x v="3"/>
    <s v="Tuesday"/>
    <x v="2"/>
    <x v="3"/>
    <x v="3"/>
    <s v="Toothpaste"/>
    <x v="8"/>
    <s v="Whitening Toothpaste 100g"/>
    <s v="B260616-L1C"/>
    <s v="A. Gupta"/>
    <x v="2"/>
    <x v="3"/>
    <x v="4"/>
    <n v="8630"/>
    <n v="7990"/>
    <n v="213"/>
    <n v="2.6658322903629537E-2"/>
    <n v="0.9258400926998841"/>
    <x v="0"/>
    <n v="0"/>
    <n v="0"/>
    <s v="None"/>
    <n v="38"/>
    <n v="8094"/>
    <n v="28362"/>
    <n v="7600"/>
    <n v="7600"/>
    <x v="1270"/>
    <n v="13500"/>
  </r>
  <r>
    <s v="PR-1061"/>
    <d v="2026-07-07T00:00:00"/>
    <x v="2"/>
    <x v="2"/>
    <s v="Tuesday"/>
    <x v="0"/>
    <x v="3"/>
    <x v="3"/>
    <s v="Toothpaste"/>
    <x v="7"/>
    <s v="Sensitive Toothpaste 100g"/>
    <s v="B260707-L1A"/>
    <s v="K. Verma"/>
    <x v="1"/>
    <x v="3"/>
    <x v="3"/>
    <n v="7770"/>
    <n v="7370"/>
    <n v="254"/>
    <n v="3.4464043419267301E-2"/>
    <n v="0.94851994851994847"/>
    <x v="4"/>
    <n v="39"/>
    <n v="0.65"/>
    <s v="Changeover"/>
    <n v="42"/>
    <n v="10668"/>
    <n v="28641"/>
    <n v="7200"/>
    <n v="7200"/>
    <x v="1271"/>
    <n v="12000"/>
  </r>
  <r>
    <s v="PR-1330"/>
    <d v="2026-07-31T00:00:00"/>
    <x v="2"/>
    <x v="2"/>
    <s v="Friday"/>
    <x v="0"/>
    <x v="2"/>
    <x v="2"/>
    <s v="Dental Floss"/>
    <x v="9"/>
    <s v="Waxed Floss 50m"/>
    <s v="B260731-L3A"/>
    <s v="K. Verma"/>
    <x v="2"/>
    <x v="2"/>
    <x v="10"/>
    <n v="8020"/>
    <n v="7710"/>
    <n v="272"/>
    <n v="3.5278858625162127E-2"/>
    <n v="0.96134663341645887"/>
    <x v="5"/>
    <n v="0"/>
    <n v="0"/>
    <s v="None"/>
    <n v="24"/>
    <n v="6528"/>
    <n v="28014"/>
    <n v="6890"/>
    <n v="6890"/>
    <x v="1272"/>
    <n v="12000"/>
  </r>
  <r>
    <s v="PR-1870"/>
    <d v="2026-09-18T00:00:00"/>
    <x v="0"/>
    <x v="0"/>
    <s v="Friday"/>
    <x v="2"/>
    <x v="1"/>
    <x v="1"/>
    <s v="Toothbrush"/>
    <x v="10"/>
    <s v="Medium Toothbrush"/>
    <s v="B260918-L4C"/>
    <s v="A. Gupta"/>
    <x v="1"/>
    <x v="1"/>
    <x v="6"/>
    <n v="8260"/>
    <n v="7810"/>
    <n v="259"/>
    <n v="3.3162612035851476E-2"/>
    <n v="0.94552058111380144"/>
    <x v="4"/>
    <n v="0"/>
    <n v="0"/>
    <s v="None"/>
    <n v="17"/>
    <n v="4403"/>
    <n v="29242"/>
    <n v="8230"/>
    <n v="8230"/>
    <x v="1273"/>
    <n v="13500"/>
  </r>
  <r>
    <s v="PR-1434"/>
    <d v="2026-08-09T00:00:00"/>
    <x v="1"/>
    <x v="1"/>
    <s v="Sunday"/>
    <x v="1"/>
    <x v="1"/>
    <x v="1"/>
    <s v="Toothbrush"/>
    <x v="10"/>
    <s v="Medium Toothbrush"/>
    <s v="B260809-L4B"/>
    <s v="S. Yadav"/>
    <x v="1"/>
    <x v="1"/>
    <x v="0"/>
    <n v="5930"/>
    <n v="5160"/>
    <n v="167"/>
    <n v="3.2364341085271316E-2"/>
    <n v="0.8701517706576728"/>
    <x v="4"/>
    <n v="0"/>
    <n v="0"/>
    <s v="None"/>
    <n v="17"/>
    <n v="2839"/>
    <n v="28583"/>
    <n v="5000"/>
    <n v="5000"/>
    <x v="1274"/>
    <n v="13500"/>
  </r>
  <r>
    <s v="PR-1762"/>
    <d v="2026-09-09T00:00:00"/>
    <x v="0"/>
    <x v="0"/>
    <s v="Wednesday"/>
    <x v="0"/>
    <x v="2"/>
    <x v="2"/>
    <s v="Dental Floss"/>
    <x v="9"/>
    <s v="Waxed Floss 50m"/>
    <s v="B260909-L3A"/>
    <s v="K. Verma"/>
    <x v="1"/>
    <x v="2"/>
    <x v="10"/>
    <n v="7500"/>
    <n v="7010"/>
    <n v="150"/>
    <n v="2.1398002853067047E-2"/>
    <n v="0.93466666666666665"/>
    <x v="2"/>
    <n v="0"/>
    <n v="0"/>
    <s v="None"/>
    <n v="24"/>
    <n v="3600"/>
    <n v="28710"/>
    <n v="6990"/>
    <n v="6990"/>
    <x v="1275"/>
    <n v="12000"/>
  </r>
  <r>
    <s v="PR-1419"/>
    <d v="2026-08-08T00:00:00"/>
    <x v="1"/>
    <x v="1"/>
    <s v="Saturday"/>
    <x v="0"/>
    <x v="1"/>
    <x v="1"/>
    <s v="Toothbrush"/>
    <x v="10"/>
    <s v="Medium Toothbrush"/>
    <s v="B260808-L4A"/>
    <s v="K. Verma"/>
    <x v="1"/>
    <x v="1"/>
    <x v="6"/>
    <n v="9070"/>
    <n v="8580"/>
    <n v="102"/>
    <n v="1.1888111888111888E-2"/>
    <n v="0.94597574421168684"/>
    <x v="2"/>
    <n v="10"/>
    <n v="0.16666666666666666"/>
    <s v="Machine Breakdown"/>
    <n v="17"/>
    <n v="1734"/>
    <n v="28605"/>
    <n v="8500"/>
    <n v="8500"/>
    <x v="1276"/>
    <n v="13500"/>
  </r>
  <r>
    <s v="PR-1382"/>
    <d v="2026-08-05T00:00:00"/>
    <x v="1"/>
    <x v="1"/>
    <s v="Wednesday"/>
    <x v="0"/>
    <x v="2"/>
    <x v="2"/>
    <s v="Dental Floss"/>
    <x v="9"/>
    <s v="Waxed Floss 50m"/>
    <s v="B260805-L3A"/>
    <s v="K. Verma"/>
    <x v="2"/>
    <x v="2"/>
    <x v="8"/>
    <n v="7440"/>
    <n v="6850"/>
    <n v="225"/>
    <n v="3.2846715328467155E-2"/>
    <n v="0.92069892473118276"/>
    <x v="4"/>
    <n v="0"/>
    <n v="0"/>
    <s v="None"/>
    <n v="24"/>
    <n v="5400"/>
    <n v="28316"/>
    <n v="6350"/>
    <n v="6350"/>
    <x v="1277"/>
    <n v="12000"/>
  </r>
  <r>
    <s v="PR-1009"/>
    <d v="2026-07-02T00:00:00"/>
    <x v="2"/>
    <x v="2"/>
    <s v="Thursday"/>
    <x v="0"/>
    <x v="3"/>
    <x v="3"/>
    <s v="Toothpaste"/>
    <x v="7"/>
    <s v="Sensitive Toothpaste 100g"/>
    <s v="B260702-L1A"/>
    <s v="R. Sharma"/>
    <x v="1"/>
    <x v="3"/>
    <x v="3"/>
    <n v="7760"/>
    <n v="7430"/>
    <n v="111"/>
    <n v="1.4939434724091521E-2"/>
    <n v="0.95747422680412375"/>
    <x v="4"/>
    <n v="41"/>
    <n v="0.68333333333333335"/>
    <s v="Material Shortage"/>
    <n v="42"/>
    <n v="4662"/>
    <n v="27910"/>
    <n v="6630"/>
    <n v="6630"/>
    <x v="1278"/>
    <n v="12000"/>
  </r>
  <r>
    <s v="PR-1367"/>
    <d v="2026-08-03T00:00:00"/>
    <x v="1"/>
    <x v="1"/>
    <s v="Monday"/>
    <x v="2"/>
    <x v="1"/>
    <x v="1"/>
    <s v="Toothbrush"/>
    <x v="10"/>
    <s v="Medium Toothbrush"/>
    <s v="B260803-L4C"/>
    <s v="M. Khan"/>
    <x v="2"/>
    <x v="1"/>
    <x v="0"/>
    <n v="8100"/>
    <n v="7940"/>
    <n v="117"/>
    <n v="1.473551637279597E-2"/>
    <n v="0.98024691358024696"/>
    <x v="3"/>
    <n v="0"/>
    <n v="0"/>
    <s v="None"/>
    <n v="17"/>
    <n v="1989"/>
    <n v="27827"/>
    <n v="7050"/>
    <n v="7050"/>
    <x v="1279"/>
    <n v="13500"/>
  </r>
  <r>
    <s v="PR-1407"/>
    <d v="2026-08-07T00:00:00"/>
    <x v="1"/>
    <x v="1"/>
    <s v="Friday"/>
    <x v="0"/>
    <x v="1"/>
    <x v="1"/>
    <s v="Toothbrush"/>
    <x v="10"/>
    <s v="Medium Toothbrush"/>
    <s v="B260807-L4A"/>
    <s v="R. Sharma"/>
    <x v="1"/>
    <x v="1"/>
    <x v="0"/>
    <n v="8940"/>
    <n v="8160"/>
    <n v="209"/>
    <n v="2.5612745098039215E-2"/>
    <n v="0.91275167785234901"/>
    <x v="2"/>
    <n v="59"/>
    <n v="0.98333333333333328"/>
    <s v="Changeover"/>
    <n v="17"/>
    <n v="3553"/>
    <n v="29344"/>
    <n v="8690"/>
    <n v="8690"/>
    <x v="1280"/>
    <n v="13500"/>
  </r>
  <r>
    <s v="PR-0876"/>
    <d v="2026-06-19T00:00:00"/>
    <x v="3"/>
    <x v="3"/>
    <s v="Friday"/>
    <x v="2"/>
    <x v="2"/>
    <x v="2"/>
    <s v="Dental Floss"/>
    <x v="6"/>
    <s v="Floss Picks (100 pcs)"/>
    <s v="B260619-L3C"/>
    <s v="M. Khan"/>
    <x v="2"/>
    <x v="2"/>
    <x v="10"/>
    <n v="6020"/>
    <n v="5650"/>
    <n v="149"/>
    <n v="2.6371681415929205E-2"/>
    <n v="0.93853820598006643"/>
    <x v="2"/>
    <n v="0"/>
    <n v="0"/>
    <s v="None"/>
    <n v="33"/>
    <n v="4917"/>
    <n v="28072"/>
    <n v="4960"/>
    <n v="4960"/>
    <x v="1281"/>
    <n v="9750"/>
  </r>
  <r>
    <s v="PR-1137"/>
    <d v="2026-07-13T00:00:00"/>
    <x v="2"/>
    <x v="2"/>
    <s v="Monday"/>
    <x v="2"/>
    <x v="1"/>
    <x v="1"/>
    <s v="Toothbrush"/>
    <x v="10"/>
    <s v="Medium Toothbrush"/>
    <s v="B260713-L4C"/>
    <s v="M. Khan"/>
    <x v="1"/>
    <x v="1"/>
    <x v="0"/>
    <n v="8470"/>
    <n v="7690"/>
    <n v="91"/>
    <n v="1.1833550065019505E-2"/>
    <n v="0.90791027154663517"/>
    <x v="4"/>
    <n v="0"/>
    <n v="0"/>
    <s v="None"/>
    <n v="17"/>
    <n v="1547"/>
    <n v="27421"/>
    <n v="6390"/>
    <n v="6390"/>
    <x v="1282"/>
    <n v="13500"/>
  </r>
  <r>
    <s v="PR-1053"/>
    <d v="2026-07-06T00:00:00"/>
    <x v="2"/>
    <x v="2"/>
    <s v="Monday"/>
    <x v="1"/>
    <x v="3"/>
    <x v="3"/>
    <s v="Toothpaste"/>
    <x v="7"/>
    <s v="Sensitive Toothpaste 100g"/>
    <s v="B260706-L1B"/>
    <s v="P. Singh"/>
    <x v="1"/>
    <x v="3"/>
    <x v="3"/>
    <n v="7490"/>
    <n v="7190"/>
    <n v="178"/>
    <n v="2.4756606397774689E-2"/>
    <n v="0.95994659546061412"/>
    <x v="4"/>
    <n v="0"/>
    <n v="0"/>
    <s v="None"/>
    <n v="42"/>
    <n v="7476"/>
    <n v="28489"/>
    <n v="6860"/>
    <n v="6860"/>
    <x v="1283"/>
    <n v="12000"/>
  </r>
  <r>
    <s v="PR-1198"/>
    <d v="2026-07-19T00:00:00"/>
    <x v="2"/>
    <x v="2"/>
    <s v="Sunday"/>
    <x v="0"/>
    <x v="3"/>
    <x v="3"/>
    <s v="Toothpaste"/>
    <x v="7"/>
    <s v="Sensitive Toothpaste 100g"/>
    <s v="B260719-L1A"/>
    <s v="R. Sharma"/>
    <x v="1"/>
    <x v="3"/>
    <x v="5"/>
    <n v="5380"/>
    <n v="4570"/>
    <n v="143"/>
    <n v="3.1291028446389493E-2"/>
    <n v="0.84944237918215615"/>
    <x v="3"/>
    <n v="50"/>
    <n v="0.83333333333333337"/>
    <s v="Manpower Shortage"/>
    <n v="42"/>
    <n v="6006"/>
    <n v="29193"/>
    <n v="4970"/>
    <n v="4970"/>
    <x v="1284"/>
    <n v="12000"/>
  </r>
  <r>
    <s v="PR-1667"/>
    <d v="2026-08-31T00:00:00"/>
    <x v="1"/>
    <x v="1"/>
    <s v="Monday"/>
    <x v="1"/>
    <x v="2"/>
    <x v="2"/>
    <s v="Dental Floss"/>
    <x v="9"/>
    <s v="Waxed Floss 50m"/>
    <s v="B260831-L3B"/>
    <s v="P. Singh"/>
    <x v="2"/>
    <x v="2"/>
    <x v="9"/>
    <n v="7610"/>
    <n v="7050"/>
    <n v="185"/>
    <n v="2.6241134751773049E-2"/>
    <n v="0.92641261498028904"/>
    <x v="0"/>
    <n v="73"/>
    <n v="1.2166666666666666"/>
    <s v="Machine Breakdown"/>
    <n v="24"/>
    <n v="4440"/>
    <n v="29449"/>
    <n v="7660"/>
    <n v="7660"/>
    <x v="1285"/>
    <n v="12000"/>
  </r>
  <r>
    <s v="PR-0688"/>
    <d v="2026-06-03T00:00:00"/>
    <x v="3"/>
    <x v="3"/>
    <s v="Wednesday"/>
    <x v="0"/>
    <x v="0"/>
    <x v="0"/>
    <s v="Mouthwash"/>
    <x v="0"/>
    <s v="Mint Mouthwash 250ml"/>
    <s v="B260603-L2A"/>
    <s v="R. Sharma"/>
    <x v="1"/>
    <x v="0"/>
    <x v="0"/>
    <n v="7440"/>
    <n v="7420"/>
    <n v="134"/>
    <n v="1.8059299191374664E-2"/>
    <n v="0.99731182795698925"/>
    <x v="4"/>
    <n v="60"/>
    <n v="1"/>
    <s v="Machine Breakdown"/>
    <n v="46"/>
    <n v="6164"/>
    <n v="28257"/>
    <n v="6880"/>
    <n v="6880"/>
    <x v="1286"/>
    <n v="10500"/>
  </r>
  <r>
    <s v="PR-1704"/>
    <d v="2026-09-03T00:00:00"/>
    <x v="0"/>
    <x v="0"/>
    <s v="Thursday"/>
    <x v="1"/>
    <x v="1"/>
    <x v="1"/>
    <s v="Toothbrush"/>
    <x v="10"/>
    <s v="Medium Toothbrush"/>
    <s v="B260903-L4B"/>
    <s v="P. Singh"/>
    <x v="1"/>
    <x v="1"/>
    <x v="0"/>
    <n v="9590"/>
    <n v="8920"/>
    <n v="289"/>
    <n v="3.2399103139013452E-2"/>
    <n v="0.93013555787278412"/>
    <x v="4"/>
    <n v="16"/>
    <n v="0.26666666666666666"/>
    <s v="Cleaning / Sanitation"/>
    <n v="17"/>
    <n v="4913"/>
    <n v="29110"/>
    <n v="9070"/>
    <n v="9070"/>
    <x v="1287"/>
    <n v="13500"/>
  </r>
  <r>
    <s v="PR-1758"/>
    <d v="2026-09-08T00:00:00"/>
    <x v="0"/>
    <x v="0"/>
    <s v="Tuesday"/>
    <x v="2"/>
    <x v="2"/>
    <x v="2"/>
    <s v="Dental Floss"/>
    <x v="9"/>
    <s v="Waxed Floss 50m"/>
    <s v="B260908-L3C"/>
    <s v="A. Gupta"/>
    <x v="2"/>
    <x v="2"/>
    <x v="8"/>
    <n v="7950"/>
    <n v="7210"/>
    <n v="176"/>
    <n v="2.4410540915395285E-2"/>
    <n v="0.90691823899371071"/>
    <x v="2"/>
    <n v="21"/>
    <n v="0.35"/>
    <s v="Cleaning / Sanitation"/>
    <n v="24"/>
    <n v="4224"/>
    <n v="28796"/>
    <n v="7120"/>
    <n v="7120"/>
    <x v="1288"/>
    <n v="12000"/>
  </r>
  <r>
    <s v="PR-0877"/>
    <d v="2026-06-19T00:00:00"/>
    <x v="3"/>
    <x v="3"/>
    <s v="Friday"/>
    <x v="2"/>
    <x v="1"/>
    <x v="1"/>
    <s v="Toothbrush"/>
    <x v="10"/>
    <s v="Medium Toothbrush"/>
    <s v="B260619-L4C"/>
    <s v="M. Khan"/>
    <x v="1"/>
    <x v="1"/>
    <x v="1"/>
    <n v="8150"/>
    <n v="7060"/>
    <n v="176"/>
    <n v="2.4929178470254956E-2"/>
    <n v="0.86625766871165644"/>
    <x v="2"/>
    <n v="0"/>
    <n v="0"/>
    <s v="None"/>
    <n v="17"/>
    <n v="2992"/>
    <n v="29792"/>
    <n v="7960"/>
    <n v="7960"/>
    <x v="1289"/>
    <n v="13500"/>
  </r>
  <r>
    <s v="PR-1106"/>
    <d v="2026-07-10T00:00:00"/>
    <x v="2"/>
    <x v="2"/>
    <s v="Friday"/>
    <x v="2"/>
    <x v="0"/>
    <x v="0"/>
    <s v="Mouthwash"/>
    <x v="0"/>
    <s v="Mint Mouthwash 250ml"/>
    <s v="B260710-L2C"/>
    <s v="A. Gupta"/>
    <x v="0"/>
    <x v="0"/>
    <x v="4"/>
    <n v="6230"/>
    <n v="5420"/>
    <n v="495"/>
    <n v="9.1328413284132839E-2"/>
    <n v="0.869983948635634"/>
    <x v="1"/>
    <n v="0"/>
    <n v="0"/>
    <s v="None"/>
    <n v="46"/>
    <n v="22770"/>
    <n v="29818"/>
    <n v="6000"/>
    <n v="6000"/>
    <x v="1290"/>
    <n v="10500"/>
  </r>
  <r>
    <s v="PR-0614"/>
    <d v="2026-05-27T00:00:00"/>
    <x v="4"/>
    <x v="4"/>
    <s v="Wednesday"/>
    <x v="0"/>
    <x v="1"/>
    <x v="1"/>
    <s v="Toothbrush"/>
    <x v="10"/>
    <s v="Medium Toothbrush"/>
    <s v="B260527-L4A"/>
    <s v="R. Sharma"/>
    <x v="1"/>
    <x v="1"/>
    <x v="6"/>
    <n v="9500"/>
    <n v="9620"/>
    <n v="254"/>
    <n v="2.6403326403326405E-2"/>
    <n v="1.0126315789473683"/>
    <x v="0"/>
    <n v="58"/>
    <n v="0.96666666666666667"/>
    <s v="Changeover"/>
    <n v="17"/>
    <n v="4318"/>
    <n v="27346"/>
    <n v="7950"/>
    <n v="7950"/>
    <x v="1291"/>
    <n v="13500"/>
  </r>
  <r>
    <s v="PR-1818"/>
    <d v="2026-09-14T00:00:00"/>
    <x v="0"/>
    <x v="0"/>
    <s v="Monday"/>
    <x v="1"/>
    <x v="1"/>
    <x v="1"/>
    <s v="Toothbrush"/>
    <x v="10"/>
    <s v="Medium Toothbrush"/>
    <s v="B260914-L4B"/>
    <s v="S. Yadav"/>
    <x v="2"/>
    <x v="1"/>
    <x v="6"/>
    <n v="8740"/>
    <n v="7980"/>
    <n v="217"/>
    <n v="2.7192982456140352E-2"/>
    <n v="0.91304347826086951"/>
    <x v="0"/>
    <n v="16"/>
    <n v="0.26666666666666666"/>
    <s v="Material Shortage"/>
    <n v="17"/>
    <n v="3689"/>
    <n v="29185"/>
    <n v="8180"/>
    <n v="8180"/>
    <x v="1292"/>
    <n v="13500"/>
  </r>
  <r>
    <s v="PR-1474"/>
    <d v="2026-08-13T00:00:00"/>
    <x v="1"/>
    <x v="1"/>
    <s v="Thursday"/>
    <x v="0"/>
    <x v="1"/>
    <x v="1"/>
    <s v="Toothbrush"/>
    <x v="10"/>
    <s v="Medium Toothbrush"/>
    <s v="B260813-L4A"/>
    <s v="K. Verma"/>
    <x v="1"/>
    <x v="1"/>
    <x v="7"/>
    <n v="9680"/>
    <n v="9230"/>
    <n v="213"/>
    <n v="2.3076923076923078E-2"/>
    <n v="0.95351239669421484"/>
    <x v="0"/>
    <n v="23"/>
    <n v="0.38333333333333336"/>
    <s v="Cleaning / Sanitation"/>
    <n v="17"/>
    <n v="3621"/>
    <n v="28952"/>
    <n v="9190"/>
    <n v="9190"/>
    <x v="1293"/>
    <n v="13500"/>
  </r>
  <r>
    <s v="PR-1127"/>
    <d v="2026-07-13T00:00:00"/>
    <x v="2"/>
    <x v="2"/>
    <s v="Monday"/>
    <x v="0"/>
    <x v="0"/>
    <x v="0"/>
    <s v="Mouthwash"/>
    <x v="0"/>
    <s v="Mint Mouthwash 250ml"/>
    <s v="B260713-L2A"/>
    <s v="K. Verma"/>
    <x v="1"/>
    <x v="0"/>
    <x v="0"/>
    <n v="6460"/>
    <n v="6170"/>
    <n v="105"/>
    <n v="1.7017828200972446E-2"/>
    <n v="0.95510835913312697"/>
    <x v="4"/>
    <n v="50"/>
    <n v="0.83333333333333337"/>
    <s v="Power Interruption"/>
    <n v="46"/>
    <n v="4830"/>
    <n v="28264"/>
    <n v="5540"/>
    <n v="5540"/>
    <x v="1294"/>
    <n v="10500"/>
  </r>
  <r>
    <s v="PR-0506"/>
    <d v="2026-05-17T00:00:00"/>
    <x v="4"/>
    <x v="4"/>
    <s v="Sunday"/>
    <x v="0"/>
    <x v="3"/>
    <x v="3"/>
    <s v="Toothpaste"/>
    <x v="8"/>
    <s v="Whitening Toothpaste 100g"/>
    <s v="B260517-L1A"/>
    <s v="R. Sharma"/>
    <x v="2"/>
    <x v="3"/>
    <x v="3"/>
    <n v="6120"/>
    <n v="5590"/>
    <n v="184"/>
    <n v="3.2915921288014315E-2"/>
    <n v="0.91339869281045749"/>
    <x v="2"/>
    <n v="0"/>
    <n v="0"/>
    <s v="None"/>
    <n v="38"/>
    <n v="6992"/>
    <n v="28337"/>
    <n v="4950"/>
    <n v="4950"/>
    <x v="1295"/>
    <n v="13500"/>
  </r>
  <r>
    <s v="PR-1750"/>
    <d v="2026-09-08T00:00:00"/>
    <x v="0"/>
    <x v="0"/>
    <s v="Tuesday"/>
    <x v="0"/>
    <x v="2"/>
    <x v="2"/>
    <s v="Dental Floss"/>
    <x v="9"/>
    <s v="Waxed Floss 50m"/>
    <s v="B260908-L3A"/>
    <s v="K. Verma"/>
    <x v="2"/>
    <x v="2"/>
    <x v="10"/>
    <n v="7940"/>
    <n v="7540"/>
    <n v="166"/>
    <n v="2.2015915119363395E-2"/>
    <n v="0.94962216624685136"/>
    <x v="4"/>
    <n v="0"/>
    <n v="0"/>
    <s v="None"/>
    <n v="24"/>
    <n v="3984"/>
    <n v="29142"/>
    <n v="7720"/>
    <n v="7720"/>
    <x v="1296"/>
    <n v="12000"/>
  </r>
  <r>
    <s v="PR-1212"/>
    <d v="2026-07-20T00:00:00"/>
    <x v="2"/>
    <x v="2"/>
    <s v="Monday"/>
    <x v="2"/>
    <x v="3"/>
    <x v="3"/>
    <s v="Toothpaste"/>
    <x v="7"/>
    <s v="Sensitive Toothpaste 100g"/>
    <s v="B260720-L1C"/>
    <s v="A. Gupta"/>
    <x v="1"/>
    <x v="3"/>
    <x v="2"/>
    <n v="7480"/>
    <n v="7140"/>
    <n v="67"/>
    <n v="9.3837535014005598E-3"/>
    <n v="0.95454545454545459"/>
    <x v="3"/>
    <n v="0"/>
    <n v="0"/>
    <s v="None"/>
    <n v="42"/>
    <n v="2814"/>
    <n v="27823"/>
    <n v="6080"/>
    <n v="6080"/>
    <x v="1297"/>
    <n v="12000"/>
  </r>
  <r>
    <s v="PR-1350"/>
    <d v="2026-08-01T00:00:00"/>
    <x v="1"/>
    <x v="1"/>
    <s v="Saturday"/>
    <x v="2"/>
    <x v="2"/>
    <x v="2"/>
    <s v="Dental Floss"/>
    <x v="9"/>
    <s v="Waxed Floss 50m"/>
    <s v="B260801-L3C"/>
    <s v="A. Gupta"/>
    <x v="2"/>
    <x v="2"/>
    <x v="8"/>
    <n v="8190"/>
    <n v="7740"/>
    <n v="162"/>
    <n v="2.0930232558139535E-2"/>
    <n v="0.94505494505494503"/>
    <x v="4"/>
    <n v="0"/>
    <n v="0"/>
    <s v="None"/>
    <n v="24"/>
    <n v="3888"/>
    <n v="28875"/>
    <n v="7610"/>
    <n v="7610"/>
    <x v="1298"/>
    <n v="12000"/>
  </r>
  <r>
    <s v="PR-0677"/>
    <d v="2026-06-02T00:00:00"/>
    <x v="3"/>
    <x v="3"/>
    <s v="Tuesday"/>
    <x v="0"/>
    <x v="2"/>
    <x v="2"/>
    <s v="Dental Floss"/>
    <x v="9"/>
    <s v="Waxed Floss 50m"/>
    <s v="B260602-L3A"/>
    <s v="R. Sharma"/>
    <x v="2"/>
    <x v="2"/>
    <x v="10"/>
    <n v="8550"/>
    <n v="8430"/>
    <n v="150"/>
    <n v="1.7793594306049824E-2"/>
    <n v="0.98596491228070171"/>
    <x v="4"/>
    <n v="10"/>
    <n v="0.16666666666666666"/>
    <s v="Changeover"/>
    <n v="24"/>
    <n v="3600"/>
    <n v="28308"/>
    <n v="7740"/>
    <n v="7740"/>
    <x v="1299"/>
    <n v="12000"/>
  </r>
  <r>
    <s v="PR-1708"/>
    <d v="2026-09-03T00:00:00"/>
    <x v="0"/>
    <x v="0"/>
    <s v="Thursday"/>
    <x v="2"/>
    <x v="1"/>
    <x v="1"/>
    <s v="Toothbrush"/>
    <x v="10"/>
    <s v="Medium Toothbrush"/>
    <s v="B260903-L4C"/>
    <s v="A. Gupta"/>
    <x v="2"/>
    <x v="1"/>
    <x v="1"/>
    <n v="8340"/>
    <n v="7600"/>
    <n v="129"/>
    <n v="1.6973684210526314E-2"/>
    <n v="0.91127098321342925"/>
    <x v="4"/>
    <n v="0"/>
    <n v="0"/>
    <s v="None"/>
    <n v="17"/>
    <n v="2193"/>
    <n v="28671"/>
    <n v="7270"/>
    <n v="7270"/>
    <x v="1300"/>
    <n v="13500"/>
  </r>
  <r>
    <s v="PR-1346"/>
    <d v="2026-08-01T00:00:00"/>
    <x v="1"/>
    <x v="1"/>
    <s v="Saturday"/>
    <x v="1"/>
    <x v="2"/>
    <x v="2"/>
    <s v="Dental Floss"/>
    <x v="9"/>
    <s v="Waxed Floss 50m"/>
    <s v="B260801-L3B"/>
    <s v="S. Yadav"/>
    <x v="1"/>
    <x v="2"/>
    <x v="8"/>
    <n v="8060"/>
    <n v="7750"/>
    <n v="119"/>
    <n v="1.535483870967742E-2"/>
    <n v="0.96153846153846156"/>
    <x v="0"/>
    <n v="0"/>
    <n v="0"/>
    <s v="None"/>
    <n v="24"/>
    <n v="2856"/>
    <n v="28094"/>
    <n v="6850"/>
    <n v="6850"/>
    <x v="1301"/>
    <n v="12000"/>
  </r>
  <r>
    <s v="PR-0477"/>
    <d v="2026-05-14T00:00:00"/>
    <x v="4"/>
    <x v="4"/>
    <s v="Thursday"/>
    <x v="1"/>
    <x v="1"/>
    <x v="1"/>
    <s v="Toothbrush"/>
    <x v="10"/>
    <s v="Medium Toothbrush"/>
    <s v="B260514-L4B"/>
    <s v="P. Singh"/>
    <x v="1"/>
    <x v="1"/>
    <x v="7"/>
    <n v="8840"/>
    <n v="8590"/>
    <n v="190"/>
    <n v="2.2118742724097789E-2"/>
    <n v="0.97171945701357465"/>
    <x v="2"/>
    <n v="40"/>
    <n v="0.66666666666666663"/>
    <s v="Cleaning / Sanitation"/>
    <n v="17"/>
    <n v="3230"/>
    <n v="28493"/>
    <n v="8000"/>
    <n v="8000"/>
    <x v="1302"/>
    <n v="13500"/>
  </r>
  <r>
    <s v="PR-0617"/>
    <d v="2026-05-27T00:00:00"/>
    <x v="4"/>
    <x v="4"/>
    <s v="Wednesday"/>
    <x v="1"/>
    <x v="2"/>
    <x v="2"/>
    <s v="Dental Floss"/>
    <x v="9"/>
    <s v="Waxed Floss 50m"/>
    <s v="B260527-L3B"/>
    <s v="S. Yadav"/>
    <x v="2"/>
    <x v="2"/>
    <x v="8"/>
    <n v="8500"/>
    <n v="7500"/>
    <n v="208"/>
    <n v="2.7733333333333332E-2"/>
    <n v="0.88235294117647056"/>
    <x v="0"/>
    <n v="0"/>
    <n v="0"/>
    <s v="None"/>
    <n v="24"/>
    <n v="4992"/>
    <n v="29610"/>
    <n v="8000"/>
    <n v="8000"/>
    <x v="1303"/>
    <n v="12000"/>
  </r>
  <r>
    <s v="PR-0638"/>
    <d v="2026-05-29T00:00:00"/>
    <x v="4"/>
    <x v="4"/>
    <s v="Friday"/>
    <x v="0"/>
    <x v="1"/>
    <x v="1"/>
    <s v="Toothbrush"/>
    <x v="10"/>
    <s v="Medium Toothbrush"/>
    <s v="B260529-L4A"/>
    <s v="R. Sharma"/>
    <x v="1"/>
    <x v="1"/>
    <x v="6"/>
    <n v="9270"/>
    <n v="8410"/>
    <n v="62"/>
    <n v="7.3721759809750294E-3"/>
    <n v="0.90722761596548007"/>
    <x v="2"/>
    <n v="0"/>
    <n v="0"/>
    <s v="None"/>
    <n v="17"/>
    <n v="1054"/>
    <n v="28762"/>
    <n v="8200"/>
    <n v="8200"/>
    <x v="1304"/>
    <n v="13500"/>
  </r>
  <r>
    <s v="PR-1438"/>
    <d v="2026-08-10T00:00:00"/>
    <x v="1"/>
    <x v="1"/>
    <s v="Monday"/>
    <x v="0"/>
    <x v="1"/>
    <x v="1"/>
    <s v="Toothbrush"/>
    <x v="10"/>
    <s v="Medium Toothbrush"/>
    <s v="B260810-L4A"/>
    <s v="K. Verma"/>
    <x v="2"/>
    <x v="1"/>
    <x v="7"/>
    <n v="8430"/>
    <n v="8290"/>
    <n v="174"/>
    <n v="2.0989143546441495E-2"/>
    <n v="0.98339264531435355"/>
    <x v="4"/>
    <n v="0"/>
    <n v="0"/>
    <s v="None"/>
    <n v="17"/>
    <n v="2958"/>
    <n v="28576"/>
    <n v="7780"/>
    <n v="7780"/>
    <x v="1305"/>
    <n v="13500"/>
  </r>
  <r>
    <s v="PR-1787"/>
    <d v="2026-09-11T00:00:00"/>
    <x v="0"/>
    <x v="0"/>
    <s v="Friday"/>
    <x v="0"/>
    <x v="1"/>
    <x v="1"/>
    <s v="Toothbrush"/>
    <x v="10"/>
    <s v="Medium Toothbrush"/>
    <s v="B260911-L4A"/>
    <s v="K. Verma"/>
    <x v="1"/>
    <x v="1"/>
    <x v="0"/>
    <n v="8710"/>
    <n v="7590"/>
    <n v="196"/>
    <n v="2.5823451910408433E-2"/>
    <n v="0.87141216991963255"/>
    <x v="3"/>
    <n v="0"/>
    <n v="0"/>
    <s v="None"/>
    <n v="17"/>
    <n v="3332"/>
    <n v="29186"/>
    <n v="7660"/>
    <n v="7660"/>
    <x v="1306"/>
    <n v="13500"/>
  </r>
  <r>
    <s v="PR-1206"/>
    <d v="2026-07-20T00:00:00"/>
    <x v="2"/>
    <x v="2"/>
    <s v="Monday"/>
    <x v="0"/>
    <x v="2"/>
    <x v="2"/>
    <s v="Dental Floss"/>
    <x v="9"/>
    <s v="Waxed Floss 50m"/>
    <s v="B260720-L3A"/>
    <s v="K. Verma"/>
    <x v="1"/>
    <x v="2"/>
    <x v="8"/>
    <n v="8140"/>
    <n v="7550"/>
    <n v="98"/>
    <n v="1.2980132450331127E-2"/>
    <n v="0.9275184275184275"/>
    <x v="4"/>
    <n v="56"/>
    <n v="0.93333333333333335"/>
    <s v="Machine Breakdown"/>
    <n v="24"/>
    <n v="2352"/>
    <n v="29389"/>
    <n v="7920"/>
    <n v="7920"/>
    <x v="1307"/>
    <n v="12000"/>
  </r>
  <r>
    <s v="PR-0681"/>
    <d v="2026-06-02T00:00:00"/>
    <x v="3"/>
    <x v="3"/>
    <s v="Tuesday"/>
    <x v="1"/>
    <x v="2"/>
    <x v="2"/>
    <s v="Dental Floss"/>
    <x v="9"/>
    <s v="Waxed Floss 50m"/>
    <s v="B260602-L3B"/>
    <s v="S. Yadav"/>
    <x v="1"/>
    <x v="2"/>
    <x v="9"/>
    <n v="7800"/>
    <n v="7100"/>
    <n v="214"/>
    <n v="3.0140845070422535E-2"/>
    <n v="0.91025641025641024"/>
    <x v="4"/>
    <n v="0"/>
    <n v="0"/>
    <s v="None"/>
    <n v="24"/>
    <n v="5136"/>
    <n v="28848"/>
    <n v="6790"/>
    <n v="6790"/>
    <x v="1308"/>
    <n v="12000"/>
  </r>
  <r>
    <s v="PR-1462"/>
    <d v="2026-08-12T00:00:00"/>
    <x v="1"/>
    <x v="1"/>
    <s v="Wednesday"/>
    <x v="0"/>
    <x v="1"/>
    <x v="1"/>
    <s v="Toothbrush"/>
    <x v="10"/>
    <s v="Medium Toothbrush"/>
    <s v="B260812-L4A"/>
    <s v="R. Sharma"/>
    <x v="2"/>
    <x v="1"/>
    <x v="7"/>
    <n v="9620"/>
    <n v="9180"/>
    <n v="140"/>
    <n v="1.5250544662309368E-2"/>
    <n v="0.95426195426195426"/>
    <x v="4"/>
    <n v="0"/>
    <n v="0"/>
    <s v="None"/>
    <n v="17"/>
    <n v="2380"/>
    <n v="28912"/>
    <n v="9000"/>
    <n v="9000"/>
    <x v="1309"/>
    <n v="13500"/>
  </r>
  <r>
    <s v="PR-1675"/>
    <d v="2026-09-01T00:00:00"/>
    <x v="0"/>
    <x v="0"/>
    <s v="Tuesday"/>
    <x v="0"/>
    <x v="2"/>
    <x v="2"/>
    <s v="Dental Floss"/>
    <x v="9"/>
    <s v="Waxed Floss 50m"/>
    <s v="B260901-L3A"/>
    <s v="K. Verma"/>
    <x v="1"/>
    <x v="2"/>
    <x v="8"/>
    <n v="8610"/>
    <n v="7820"/>
    <n v="300"/>
    <n v="3.8363171355498722E-2"/>
    <n v="0.90824622531939603"/>
    <x v="5"/>
    <n v="0"/>
    <n v="0"/>
    <s v="None"/>
    <n v="24"/>
    <n v="7200"/>
    <n v="28654"/>
    <n v="7220"/>
    <n v="7220"/>
    <x v="1310"/>
    <n v="12000"/>
  </r>
  <r>
    <s v="PR-1928"/>
    <d v="2026-09-24T00:00:00"/>
    <x v="0"/>
    <x v="0"/>
    <s v="Thursday"/>
    <x v="0"/>
    <x v="1"/>
    <x v="1"/>
    <s v="Toothbrush"/>
    <x v="10"/>
    <s v="Medium Toothbrush"/>
    <s v="B260924-L4A"/>
    <s v="R. Sharma"/>
    <x v="2"/>
    <x v="1"/>
    <x v="7"/>
    <n v="9400"/>
    <n v="9040"/>
    <n v="161"/>
    <n v="1.7809734513274337E-2"/>
    <n v="0.96170212765957441"/>
    <x v="0"/>
    <n v="0"/>
    <n v="0"/>
    <s v="None"/>
    <n v="17"/>
    <n v="2737"/>
    <n v="28107"/>
    <n v="8020"/>
    <n v="8020"/>
    <x v="1311"/>
    <n v="13500"/>
  </r>
  <r>
    <s v="PR-1410"/>
    <d v="2026-08-07T00:00:00"/>
    <x v="1"/>
    <x v="1"/>
    <s v="Friday"/>
    <x v="1"/>
    <x v="2"/>
    <x v="2"/>
    <s v="Dental Floss"/>
    <x v="9"/>
    <s v="Waxed Floss 50m"/>
    <s v="B260807-L3B"/>
    <s v="P. Singh"/>
    <x v="1"/>
    <x v="2"/>
    <x v="10"/>
    <n v="7590"/>
    <n v="7330"/>
    <n v="144"/>
    <n v="1.9645293315143246E-2"/>
    <n v="0.96574440052700927"/>
    <x v="5"/>
    <n v="0"/>
    <n v="0"/>
    <s v="None"/>
    <n v="24"/>
    <n v="3456"/>
    <n v="28591"/>
    <n v="6810"/>
    <n v="6810"/>
    <x v="1312"/>
    <n v="12000"/>
  </r>
  <r>
    <s v="PR-0453"/>
    <d v="2026-05-12T00:00:00"/>
    <x v="4"/>
    <x v="4"/>
    <s v="Tuesday"/>
    <x v="1"/>
    <x v="1"/>
    <x v="1"/>
    <s v="Toothbrush"/>
    <x v="10"/>
    <s v="Medium Toothbrush"/>
    <s v="B260512-L4B"/>
    <s v="S. Yadav"/>
    <x v="1"/>
    <x v="1"/>
    <x v="0"/>
    <n v="9460"/>
    <n v="8670"/>
    <n v="136"/>
    <n v="1.5686274509803921E-2"/>
    <n v="0.91649048625792817"/>
    <x v="4"/>
    <n v="0"/>
    <n v="0"/>
    <s v="None"/>
    <n v="17"/>
    <n v="2312"/>
    <n v="29322"/>
    <n v="8830"/>
    <n v="8830"/>
    <x v="1313"/>
    <n v="13500"/>
  </r>
  <r>
    <s v="PR-1623"/>
    <d v="2026-08-27T00:00:00"/>
    <x v="1"/>
    <x v="1"/>
    <s v="Thursday"/>
    <x v="0"/>
    <x v="2"/>
    <x v="2"/>
    <s v="Dental Floss"/>
    <x v="9"/>
    <s v="Waxed Floss 50m"/>
    <s v="B260827-L3A"/>
    <s v="K. Verma"/>
    <x v="2"/>
    <x v="2"/>
    <x v="10"/>
    <n v="7680"/>
    <n v="7750"/>
    <n v="169"/>
    <n v="2.1806451612903226E-2"/>
    <n v="1.0091145833333333"/>
    <x v="4"/>
    <n v="0"/>
    <n v="0"/>
    <s v="None"/>
    <n v="24"/>
    <n v="4056"/>
    <n v="28521"/>
    <n v="7050"/>
    <n v="7050"/>
    <x v="1314"/>
    <n v="12000"/>
  </r>
  <r>
    <s v="PR-1696"/>
    <d v="2026-09-02T00:00:00"/>
    <x v="0"/>
    <x v="0"/>
    <s v="Wednesday"/>
    <x v="2"/>
    <x v="1"/>
    <x v="1"/>
    <s v="Toothbrush"/>
    <x v="10"/>
    <s v="Medium Toothbrush"/>
    <s v="B260902-L4C"/>
    <s v="A. Gupta"/>
    <x v="2"/>
    <x v="1"/>
    <x v="0"/>
    <n v="8580"/>
    <n v="7510"/>
    <n v="219"/>
    <n v="2.9161118508655128E-2"/>
    <n v="0.87529137529137524"/>
    <x v="2"/>
    <n v="29"/>
    <n v="0.48333333333333334"/>
    <s v="Material Shortage"/>
    <n v="17"/>
    <n v="3723"/>
    <n v="29969"/>
    <n v="8150"/>
    <n v="8150"/>
    <x v="1315"/>
    <n v="13500"/>
  </r>
  <r>
    <s v="PR-1320"/>
    <d v="2026-07-30T00:00:00"/>
    <x v="2"/>
    <x v="2"/>
    <s v="Thursday"/>
    <x v="1"/>
    <x v="3"/>
    <x v="3"/>
    <s v="Toothpaste"/>
    <x v="7"/>
    <s v="Sensitive Toothpaste 100g"/>
    <s v="B260730-L1B"/>
    <s v="S. Yadav"/>
    <x v="1"/>
    <x v="3"/>
    <x v="4"/>
    <n v="8610"/>
    <n v="7340"/>
    <n v="241"/>
    <n v="3.2833787465940054E-2"/>
    <n v="0.85249709639953541"/>
    <x v="0"/>
    <n v="32"/>
    <n v="0.53333333333333333"/>
    <s v="Manpower Shortage"/>
    <n v="42"/>
    <n v="10122"/>
    <n v="29826"/>
    <n v="7800"/>
    <n v="7800"/>
    <x v="1316"/>
    <n v="12000"/>
  </r>
  <r>
    <s v="PR-1287"/>
    <d v="2026-07-27T00:00:00"/>
    <x v="2"/>
    <x v="2"/>
    <s v="Monday"/>
    <x v="1"/>
    <x v="1"/>
    <x v="1"/>
    <s v="Toothbrush"/>
    <x v="10"/>
    <s v="Medium Toothbrush"/>
    <s v="B260727-L4B"/>
    <s v="P. Singh"/>
    <x v="1"/>
    <x v="1"/>
    <x v="0"/>
    <n v="8420"/>
    <n v="7690"/>
    <n v="232"/>
    <n v="3.0169050715214564E-2"/>
    <n v="0.91330166270783852"/>
    <x v="3"/>
    <n v="44"/>
    <n v="0.73333333333333328"/>
    <s v="Machine Breakdown"/>
    <n v="17"/>
    <n v="3944"/>
    <n v="29199"/>
    <n v="7520"/>
    <n v="7520"/>
    <x v="1317"/>
    <n v="13500"/>
  </r>
  <r>
    <s v="PR-1746"/>
    <d v="2026-09-07T00:00:00"/>
    <x v="0"/>
    <x v="0"/>
    <s v="Monday"/>
    <x v="2"/>
    <x v="2"/>
    <x v="2"/>
    <s v="Dental Floss"/>
    <x v="9"/>
    <s v="Waxed Floss 50m"/>
    <s v="B260907-L3C"/>
    <s v="M. Khan"/>
    <x v="2"/>
    <x v="2"/>
    <x v="8"/>
    <n v="7090"/>
    <n v="6580"/>
    <n v="160"/>
    <n v="2.4316109422492401E-2"/>
    <n v="0.92806770098730607"/>
    <x v="4"/>
    <n v="0"/>
    <n v="0"/>
    <s v="None"/>
    <n v="24"/>
    <n v="3840"/>
    <n v="30462"/>
    <n v="7740"/>
    <n v="7740"/>
    <x v="1318"/>
    <n v="12000"/>
  </r>
  <r>
    <s v="PR-1170"/>
    <d v="2026-07-16T00:00:00"/>
    <x v="2"/>
    <x v="2"/>
    <s v="Thursday"/>
    <x v="2"/>
    <x v="3"/>
    <x v="3"/>
    <s v="Toothpaste"/>
    <x v="7"/>
    <s v="Sensitive Toothpaste 100g"/>
    <s v="B260716-L1C"/>
    <s v="A. Gupta"/>
    <x v="2"/>
    <x v="3"/>
    <x v="3"/>
    <n v="7700"/>
    <n v="7370"/>
    <n v="177"/>
    <n v="2.401628222523745E-2"/>
    <n v="0.95714285714285718"/>
    <x v="3"/>
    <n v="0"/>
    <n v="0"/>
    <s v="None"/>
    <n v="42"/>
    <n v="7434"/>
    <n v="28350"/>
    <n v="6390"/>
    <n v="6390"/>
    <x v="1319"/>
    <n v="12000"/>
  </r>
  <r>
    <s v="PR-0781"/>
    <d v="2026-06-11T00:00:00"/>
    <x v="3"/>
    <x v="3"/>
    <s v="Thursday"/>
    <x v="1"/>
    <x v="0"/>
    <x v="0"/>
    <s v="Mouthwash"/>
    <x v="0"/>
    <s v="Mint Mouthwash 250ml"/>
    <s v="B260611-L2B"/>
    <s v="P. Singh"/>
    <x v="1"/>
    <x v="0"/>
    <x v="2"/>
    <n v="7200"/>
    <n v="6670"/>
    <n v="88"/>
    <n v="1.3193403298350824E-2"/>
    <n v="0.92638888888888893"/>
    <x v="0"/>
    <n v="0"/>
    <n v="0"/>
    <s v="None"/>
    <n v="46"/>
    <n v="4048"/>
    <n v="28535"/>
    <n v="5940"/>
    <n v="5940"/>
    <x v="1320"/>
    <n v="10500"/>
  </r>
  <r>
    <s v="PR-0686"/>
    <d v="2026-06-02T00:00:00"/>
    <x v="3"/>
    <x v="3"/>
    <s v="Tuesday"/>
    <x v="2"/>
    <x v="1"/>
    <x v="1"/>
    <s v="Toothbrush"/>
    <x v="10"/>
    <s v="Medium Toothbrush"/>
    <s v="B260602-L4C"/>
    <s v="A. Gupta"/>
    <x v="2"/>
    <x v="1"/>
    <x v="0"/>
    <n v="7900"/>
    <n v="7360"/>
    <n v="215"/>
    <n v="2.9211956521739132E-2"/>
    <n v="0.93164556962025313"/>
    <x v="3"/>
    <n v="0"/>
    <n v="0"/>
    <s v="None"/>
    <n v="17"/>
    <n v="3655"/>
    <n v="29690"/>
    <n v="7650"/>
    <n v="7650"/>
    <x v="1321"/>
    <n v="13500"/>
  </r>
  <r>
    <s v="PR-1807"/>
    <d v="2026-09-12T00:00:00"/>
    <x v="0"/>
    <x v="0"/>
    <s v="Saturday"/>
    <x v="2"/>
    <x v="1"/>
    <x v="1"/>
    <s v="Toothbrush"/>
    <x v="10"/>
    <s v="Medium Toothbrush"/>
    <s v="B260912-L4C"/>
    <s v="M. Khan"/>
    <x v="1"/>
    <x v="1"/>
    <x v="0"/>
    <n v="8660"/>
    <n v="8520"/>
    <n v="125"/>
    <n v="1.4671361502347418E-2"/>
    <n v="0.9838337182448037"/>
    <x v="2"/>
    <n v="0"/>
    <n v="0"/>
    <s v="None"/>
    <n v="17"/>
    <n v="2125"/>
    <n v="28920"/>
    <n v="8130"/>
    <n v="8130"/>
    <x v="1321"/>
    <n v="13500"/>
  </r>
  <r>
    <s v="PR-1771"/>
    <d v="2026-09-09T00:00:00"/>
    <x v="0"/>
    <x v="0"/>
    <s v="Wednesday"/>
    <x v="2"/>
    <x v="1"/>
    <x v="1"/>
    <s v="Toothbrush"/>
    <x v="10"/>
    <s v="Medium Toothbrush"/>
    <s v="B260909-L4C"/>
    <s v="A. Gupta"/>
    <x v="2"/>
    <x v="1"/>
    <x v="6"/>
    <n v="8310"/>
    <n v="8150"/>
    <n v="309"/>
    <n v="3.7914110429447853E-2"/>
    <n v="0.98074608904933813"/>
    <x v="4"/>
    <n v="0"/>
    <n v="0"/>
    <s v="None"/>
    <n v="17"/>
    <n v="5253"/>
    <n v="28215"/>
    <n v="6870"/>
    <n v="6870"/>
    <x v="1322"/>
    <n v="13500"/>
  </r>
  <r>
    <s v="PR-0650"/>
    <d v="2026-05-30T00:00:00"/>
    <x v="4"/>
    <x v="4"/>
    <s v="Saturday"/>
    <x v="0"/>
    <x v="1"/>
    <x v="1"/>
    <s v="Toothbrush"/>
    <x v="10"/>
    <s v="Medium Toothbrush"/>
    <s v="B260530-L4A"/>
    <s v="R. Sharma"/>
    <x v="1"/>
    <x v="1"/>
    <x v="7"/>
    <n v="8710"/>
    <n v="8270"/>
    <n v="288"/>
    <n v="3.4824667472793232E-2"/>
    <n v="0.94948335246842708"/>
    <x v="0"/>
    <n v="0"/>
    <n v="0"/>
    <s v="None"/>
    <n v="17"/>
    <n v="4896"/>
    <n v="28910"/>
    <n v="7700"/>
    <n v="7700"/>
    <x v="1323"/>
    <n v="13500"/>
  </r>
  <r>
    <s v="PR-1194"/>
    <d v="2026-07-18T00:00:00"/>
    <x v="2"/>
    <x v="2"/>
    <s v="Saturday"/>
    <x v="2"/>
    <x v="3"/>
    <x v="3"/>
    <s v="Toothpaste"/>
    <x v="7"/>
    <s v="Sensitive Toothpaste 100g"/>
    <s v="B260718-L1C"/>
    <s v="A. Gupta"/>
    <x v="2"/>
    <x v="3"/>
    <x v="3"/>
    <n v="8040"/>
    <n v="7520"/>
    <n v="179"/>
    <n v="2.3803191489361702E-2"/>
    <n v="0.93532338308457708"/>
    <x v="3"/>
    <n v="52"/>
    <n v="0.8666666666666667"/>
    <s v="Material Shortage"/>
    <n v="42"/>
    <n v="7518"/>
    <n v="29242"/>
    <n v="7390"/>
    <n v="7390"/>
    <x v="1324"/>
    <n v="12000"/>
  </r>
  <r>
    <s v="PR-1141"/>
    <d v="2026-07-14T00:00:00"/>
    <x v="2"/>
    <x v="2"/>
    <s v="Tuesday"/>
    <x v="0"/>
    <x v="1"/>
    <x v="1"/>
    <s v="Toothbrush"/>
    <x v="10"/>
    <s v="Medium Toothbrush"/>
    <s v="B260714-L4A"/>
    <s v="K. Verma"/>
    <x v="1"/>
    <x v="1"/>
    <x v="7"/>
    <n v="9280"/>
    <n v="8930"/>
    <n v="153"/>
    <n v="1.7133258678611422E-2"/>
    <n v="0.96228448275862066"/>
    <x v="5"/>
    <n v="46"/>
    <n v="0.76666666666666672"/>
    <s v="Changeover"/>
    <n v="17"/>
    <n v="2601"/>
    <n v="28630"/>
    <n v="8210"/>
    <n v="8210"/>
    <x v="1325"/>
    <n v="13500"/>
  </r>
  <r>
    <s v="PR-1283"/>
    <d v="2026-07-27T00:00:00"/>
    <x v="2"/>
    <x v="2"/>
    <s v="Monday"/>
    <x v="0"/>
    <x v="1"/>
    <x v="1"/>
    <s v="Toothbrush"/>
    <x v="10"/>
    <s v="Medium Toothbrush"/>
    <s v="B260727-L4A"/>
    <s v="K. Verma"/>
    <x v="1"/>
    <x v="1"/>
    <x v="0"/>
    <n v="8540"/>
    <n v="7970"/>
    <n v="106"/>
    <n v="1.3299874529485571E-2"/>
    <n v="0.93325526932084313"/>
    <x v="5"/>
    <n v="0"/>
    <n v="0"/>
    <s v="None"/>
    <n v="17"/>
    <n v="1802"/>
    <n v="29735"/>
    <n v="8400"/>
    <n v="8400"/>
    <x v="1326"/>
    <n v="13500"/>
  </r>
  <r>
    <s v="PR-1158"/>
    <d v="2026-07-15T00:00:00"/>
    <x v="2"/>
    <x v="2"/>
    <s v="Wednesday"/>
    <x v="2"/>
    <x v="3"/>
    <x v="3"/>
    <s v="Toothpaste"/>
    <x v="7"/>
    <s v="Sensitive Toothpaste 100g"/>
    <s v="B260715-L1C"/>
    <s v="M. Khan"/>
    <x v="2"/>
    <x v="3"/>
    <x v="2"/>
    <n v="8050"/>
    <n v="7850"/>
    <n v="208"/>
    <n v="2.6496815286624203E-2"/>
    <n v="0.97515527950310554"/>
    <x v="4"/>
    <n v="0"/>
    <n v="0"/>
    <s v="None"/>
    <n v="42"/>
    <n v="8736"/>
    <n v="28481"/>
    <n v="6920"/>
    <n v="6920"/>
    <x v="1327"/>
    <n v="12000"/>
  </r>
  <r>
    <s v="PR-1319"/>
    <d v="2026-07-30T00:00:00"/>
    <x v="2"/>
    <x v="2"/>
    <s v="Thursday"/>
    <x v="0"/>
    <x v="1"/>
    <x v="1"/>
    <s v="Toothbrush"/>
    <x v="10"/>
    <s v="Medium Toothbrush"/>
    <s v="B260730-L4A"/>
    <s v="R. Sharma"/>
    <x v="2"/>
    <x v="1"/>
    <x v="6"/>
    <n v="8440"/>
    <n v="7630"/>
    <n v="228"/>
    <n v="2.9882044560943642E-2"/>
    <n v="0.90402843601895733"/>
    <x v="5"/>
    <n v="0"/>
    <n v="0"/>
    <s v="None"/>
    <n v="17"/>
    <n v="3876"/>
    <n v="29414"/>
    <n v="7580"/>
    <n v="7580"/>
    <x v="1328"/>
    <n v="13500"/>
  </r>
  <r>
    <s v="PR-1174"/>
    <d v="2026-07-17T00:00:00"/>
    <x v="2"/>
    <x v="2"/>
    <s v="Friday"/>
    <x v="0"/>
    <x v="3"/>
    <x v="3"/>
    <s v="Toothpaste"/>
    <x v="7"/>
    <s v="Sensitive Toothpaste 100g"/>
    <s v="B260717-L1A"/>
    <s v="K. Verma"/>
    <x v="2"/>
    <x v="3"/>
    <x v="3"/>
    <n v="7730"/>
    <n v="7250"/>
    <n v="141"/>
    <n v="1.9448275862068966E-2"/>
    <n v="0.9379042690815006"/>
    <x v="0"/>
    <n v="68"/>
    <n v="1.1333333333333333"/>
    <s v="Cleaning / Sanitation"/>
    <n v="42"/>
    <n v="5922"/>
    <n v="29153"/>
    <n v="7020"/>
    <n v="7020"/>
    <x v="1329"/>
    <n v="12000"/>
  </r>
  <r>
    <s v="PR-1846"/>
    <d v="2026-09-16T00:00:00"/>
    <x v="0"/>
    <x v="0"/>
    <s v="Wednesday"/>
    <x v="2"/>
    <x v="1"/>
    <x v="1"/>
    <s v="Toothbrush"/>
    <x v="10"/>
    <s v="Medium Toothbrush"/>
    <s v="B260916-L4C"/>
    <s v="M. Khan"/>
    <x v="2"/>
    <x v="1"/>
    <x v="3"/>
    <n v="8330"/>
    <n v="7320"/>
    <n v="111"/>
    <n v="1.5163934426229509E-2"/>
    <n v="0.8787515006002401"/>
    <x v="4"/>
    <n v="0"/>
    <n v="0"/>
    <s v="None"/>
    <n v="17"/>
    <n v="1887"/>
    <n v="29313"/>
    <n v="7280"/>
    <n v="7280"/>
    <x v="1329"/>
    <n v="13500"/>
  </r>
  <r>
    <s v="PR-0902"/>
    <d v="2026-06-22T00:00:00"/>
    <x v="3"/>
    <x v="3"/>
    <s v="Monday"/>
    <x v="1"/>
    <x v="2"/>
    <x v="2"/>
    <s v="Dental Floss"/>
    <x v="6"/>
    <s v="Floss Picks (100 pcs)"/>
    <s v="B260622-L3B"/>
    <s v="P. Singh"/>
    <x v="2"/>
    <x v="2"/>
    <x v="8"/>
    <n v="6180"/>
    <n v="6110"/>
    <n v="91"/>
    <n v="1.4893617021276596E-2"/>
    <n v="0.98867313915857602"/>
    <x v="2"/>
    <n v="0"/>
    <n v="0"/>
    <s v="None"/>
    <n v="33"/>
    <n v="3003"/>
    <n v="28613"/>
    <n v="5360"/>
    <n v="5360"/>
    <x v="1330"/>
    <n v="9750"/>
  </r>
  <r>
    <s v="PR-1150"/>
    <d v="2026-07-15T00:00:00"/>
    <x v="2"/>
    <x v="2"/>
    <s v="Wednesday"/>
    <x v="0"/>
    <x v="3"/>
    <x v="3"/>
    <s v="Toothpaste"/>
    <x v="7"/>
    <s v="Sensitive Toothpaste 100g"/>
    <s v="B260715-L1A"/>
    <s v="R. Sharma"/>
    <x v="2"/>
    <x v="3"/>
    <x v="3"/>
    <n v="8330"/>
    <n v="7800"/>
    <n v="239"/>
    <n v="3.0641025641025641E-2"/>
    <n v="0.93637454981992796"/>
    <x v="0"/>
    <n v="0"/>
    <n v="0"/>
    <s v="None"/>
    <n v="42"/>
    <n v="10038"/>
    <n v="29394"/>
    <n v="7670"/>
    <n v="7670"/>
    <x v="1331"/>
    <n v="12000"/>
  </r>
  <r>
    <s v="PR-1248"/>
    <d v="2026-07-23T00:00:00"/>
    <x v="2"/>
    <x v="2"/>
    <s v="Thursday"/>
    <x v="2"/>
    <x v="3"/>
    <x v="3"/>
    <s v="Toothpaste"/>
    <x v="7"/>
    <s v="Sensitive Toothpaste 100g"/>
    <s v="B260723-L1C"/>
    <s v="M. Khan"/>
    <x v="1"/>
    <x v="3"/>
    <x v="4"/>
    <n v="7710"/>
    <n v="6230"/>
    <n v="71"/>
    <n v="1.1396468699839487E-2"/>
    <n v="0.80804150453955903"/>
    <x v="5"/>
    <n v="0"/>
    <n v="0"/>
    <s v="None"/>
    <n v="42"/>
    <n v="2982"/>
    <n v="29984"/>
    <n v="6850"/>
    <n v="6850"/>
    <x v="1332"/>
    <n v="12000"/>
  </r>
  <r>
    <s v="PR-1376"/>
    <d v="2026-08-04T00:00:00"/>
    <x v="1"/>
    <x v="1"/>
    <s v="Tuesday"/>
    <x v="2"/>
    <x v="3"/>
    <x v="3"/>
    <s v="Toothpaste"/>
    <x v="7"/>
    <s v="Sensitive Toothpaste 100g"/>
    <s v="B260804-L1C"/>
    <s v="A. Gupta"/>
    <x v="1"/>
    <x v="3"/>
    <x v="10"/>
    <n v="8040"/>
    <n v="6570"/>
    <n v="106"/>
    <n v="1.6133942161339423E-2"/>
    <n v="0.81716417910447758"/>
    <x v="3"/>
    <n v="0"/>
    <n v="0"/>
    <s v="None"/>
    <n v="42"/>
    <n v="4452"/>
    <n v="30644"/>
    <n v="7810"/>
    <n v="7810"/>
    <x v="1333"/>
    <n v="12000"/>
  </r>
  <r>
    <s v="PR-1838"/>
    <d v="2026-09-16T00:00:00"/>
    <x v="0"/>
    <x v="0"/>
    <s v="Wednesday"/>
    <x v="0"/>
    <x v="1"/>
    <x v="1"/>
    <s v="Toothbrush"/>
    <x v="10"/>
    <s v="Medium Toothbrush"/>
    <s v="B260916-L4A"/>
    <s v="K. Verma"/>
    <x v="2"/>
    <x v="1"/>
    <x v="6"/>
    <n v="8610"/>
    <n v="8520"/>
    <n v="185"/>
    <n v="2.171361502347418E-2"/>
    <n v="0.98954703832752611"/>
    <x v="2"/>
    <n v="0"/>
    <n v="0"/>
    <s v="None"/>
    <n v="17"/>
    <n v="3145"/>
    <n v="28768"/>
    <n v="7790"/>
    <n v="7790"/>
    <x v="1334"/>
    <n v="13500"/>
  </r>
  <r>
    <s v="PR-0449"/>
    <d v="2026-05-12T00:00:00"/>
    <x v="4"/>
    <x v="4"/>
    <s v="Tuesday"/>
    <x v="0"/>
    <x v="1"/>
    <x v="1"/>
    <s v="Toothbrush"/>
    <x v="10"/>
    <s v="Medium Toothbrush"/>
    <s v="B260512-L4A"/>
    <s v="R. Sharma"/>
    <x v="1"/>
    <x v="1"/>
    <x v="6"/>
    <n v="8750"/>
    <n v="8150"/>
    <n v="138"/>
    <n v="1.6932515337423314E-2"/>
    <n v="0.93142857142857138"/>
    <x v="3"/>
    <n v="0"/>
    <n v="0"/>
    <s v="None"/>
    <n v="17"/>
    <n v="2346"/>
    <n v="28440"/>
    <n v="7130"/>
    <n v="7130"/>
    <x v="1335"/>
    <n v="13500"/>
  </r>
  <r>
    <s v="PR-0895"/>
    <d v="2026-06-21T00:00:00"/>
    <x v="3"/>
    <x v="3"/>
    <s v="Sunday"/>
    <x v="1"/>
    <x v="1"/>
    <x v="1"/>
    <s v="Toothbrush"/>
    <x v="10"/>
    <s v="Medium Toothbrush"/>
    <s v="B260621-L4B"/>
    <s v="P. Singh"/>
    <x v="1"/>
    <x v="1"/>
    <x v="0"/>
    <n v="6060"/>
    <n v="5570"/>
    <n v="208"/>
    <n v="3.734290843806104E-2"/>
    <n v="0.91914191419141911"/>
    <x v="3"/>
    <n v="38"/>
    <n v="0.6333333333333333"/>
    <s v="Changeover"/>
    <n v="17"/>
    <n v="3536"/>
    <n v="30009"/>
    <n v="6040"/>
    <n v="6040"/>
    <x v="1336"/>
    <n v="13500"/>
  </r>
  <r>
    <s v="PR-1271"/>
    <d v="2026-07-25T00:00:00"/>
    <x v="2"/>
    <x v="2"/>
    <s v="Saturday"/>
    <x v="1"/>
    <x v="1"/>
    <x v="1"/>
    <s v="Toothbrush"/>
    <x v="10"/>
    <s v="Medium Toothbrush"/>
    <s v="B260725-L4B"/>
    <s v="P. Singh"/>
    <x v="2"/>
    <x v="1"/>
    <x v="6"/>
    <n v="9320"/>
    <n v="8670"/>
    <n v="292"/>
    <n v="3.3679354094579006E-2"/>
    <n v="0.93025751072961371"/>
    <x v="4"/>
    <n v="0"/>
    <n v="0"/>
    <s v="None"/>
    <n v="17"/>
    <n v="4964"/>
    <n v="29615"/>
    <n v="8660"/>
    <n v="8660"/>
    <x v="1337"/>
    <n v="13500"/>
  </r>
  <r>
    <s v="PR-1383"/>
    <d v="2026-08-05T00:00:00"/>
    <x v="1"/>
    <x v="1"/>
    <s v="Wednesday"/>
    <x v="0"/>
    <x v="1"/>
    <x v="1"/>
    <s v="Toothbrush"/>
    <x v="10"/>
    <s v="Medium Toothbrush"/>
    <s v="B260805-L4A"/>
    <s v="R. Sharma"/>
    <x v="2"/>
    <x v="1"/>
    <x v="7"/>
    <n v="9210"/>
    <n v="8560"/>
    <n v="224"/>
    <n v="2.6168224299065422E-2"/>
    <n v="0.92942453854505969"/>
    <x v="4"/>
    <n v="0"/>
    <n v="0"/>
    <s v="None"/>
    <n v="17"/>
    <n v="3808"/>
    <n v="29408"/>
    <n v="8400"/>
    <n v="8400"/>
    <x v="1338"/>
    <n v="13500"/>
  </r>
  <r>
    <s v="PR-1388"/>
    <d v="2026-08-05T00:00:00"/>
    <x v="1"/>
    <x v="1"/>
    <s v="Wednesday"/>
    <x v="2"/>
    <x v="3"/>
    <x v="3"/>
    <s v="Toothpaste"/>
    <x v="7"/>
    <s v="Sensitive Toothpaste 100g"/>
    <s v="B260805-L1C"/>
    <s v="M. Khan"/>
    <x v="2"/>
    <x v="3"/>
    <x v="3"/>
    <n v="8010"/>
    <n v="7400"/>
    <n v="187"/>
    <n v="2.5270270270270269E-2"/>
    <n v="0.92384519350811489"/>
    <x v="4"/>
    <n v="34"/>
    <n v="0.56666666666666665"/>
    <s v="Power Interruption"/>
    <n v="42"/>
    <n v="7854"/>
    <n v="29298"/>
    <n v="7140"/>
    <n v="7140"/>
    <x v="1339"/>
    <n v="12000"/>
  </r>
  <r>
    <s v="PR-1192"/>
    <d v="2026-07-18T00:00:00"/>
    <x v="2"/>
    <x v="2"/>
    <s v="Saturday"/>
    <x v="1"/>
    <x v="2"/>
    <x v="2"/>
    <s v="Dental Floss"/>
    <x v="9"/>
    <s v="Waxed Floss 50m"/>
    <s v="B260718-L3B"/>
    <s v="S. Yadav"/>
    <x v="1"/>
    <x v="2"/>
    <x v="10"/>
    <n v="8450"/>
    <n v="8160"/>
    <n v="217"/>
    <n v="2.659313725490196E-2"/>
    <n v="0.96568047337278107"/>
    <x v="0"/>
    <n v="0"/>
    <n v="0"/>
    <s v="None"/>
    <n v="24"/>
    <n v="5208"/>
    <n v="29486"/>
    <n v="8040"/>
    <n v="8040"/>
    <x v="1340"/>
    <n v="12000"/>
  </r>
  <r>
    <s v="PR-1146"/>
    <d v="2026-07-14T00:00:00"/>
    <x v="2"/>
    <x v="2"/>
    <s v="Tuesday"/>
    <x v="2"/>
    <x v="3"/>
    <x v="3"/>
    <s v="Toothpaste"/>
    <x v="7"/>
    <s v="Sensitive Toothpaste 100g"/>
    <s v="B260714-L1C"/>
    <s v="M. Khan"/>
    <x v="1"/>
    <x v="3"/>
    <x v="5"/>
    <n v="8180"/>
    <n v="6980"/>
    <n v="187"/>
    <n v="2.6790830945558741E-2"/>
    <n v="0.85330073349633251"/>
    <x v="5"/>
    <n v="0"/>
    <n v="0"/>
    <s v="None"/>
    <n v="42"/>
    <n v="7854"/>
    <n v="30181"/>
    <n v="7580"/>
    <n v="7580"/>
    <x v="1341"/>
    <n v="12000"/>
  </r>
  <r>
    <s v="PR-1486"/>
    <d v="2026-08-14T00:00:00"/>
    <x v="1"/>
    <x v="1"/>
    <s v="Friday"/>
    <x v="0"/>
    <x v="1"/>
    <x v="1"/>
    <s v="Toothbrush"/>
    <x v="10"/>
    <s v="Medium Toothbrush"/>
    <s v="B260814-L4A"/>
    <s v="R. Sharma"/>
    <x v="1"/>
    <x v="1"/>
    <x v="7"/>
    <n v="9110"/>
    <n v="8730"/>
    <n v="238"/>
    <n v="2.7262313860252005E-2"/>
    <n v="0.95828759604829861"/>
    <x v="0"/>
    <n v="0"/>
    <n v="0"/>
    <s v="None"/>
    <n v="17"/>
    <n v="4046"/>
    <n v="29802"/>
    <n v="8900"/>
    <n v="8900"/>
    <x v="1341"/>
    <n v="13500"/>
  </r>
  <r>
    <s v="PR-0907"/>
    <d v="2026-06-22T00:00:00"/>
    <x v="3"/>
    <x v="3"/>
    <s v="Monday"/>
    <x v="2"/>
    <x v="1"/>
    <x v="1"/>
    <s v="Toothbrush"/>
    <x v="10"/>
    <s v="Medium Toothbrush"/>
    <s v="B260622-L4C"/>
    <s v="A. Gupta"/>
    <x v="2"/>
    <x v="1"/>
    <x v="1"/>
    <n v="9230"/>
    <n v="8310"/>
    <n v="304"/>
    <n v="3.6582430806257518E-2"/>
    <n v="0.90032502708559048"/>
    <x v="3"/>
    <n v="0"/>
    <n v="0"/>
    <s v="None"/>
    <n v="17"/>
    <n v="5168"/>
    <n v="30411"/>
    <n v="9020"/>
    <n v="9020"/>
    <x v="1342"/>
    <n v="13500"/>
  </r>
  <r>
    <s v="PR-1375"/>
    <d v="2026-08-04T00:00:00"/>
    <x v="1"/>
    <x v="1"/>
    <s v="Tuesday"/>
    <x v="1"/>
    <x v="1"/>
    <x v="1"/>
    <s v="Toothbrush"/>
    <x v="10"/>
    <s v="Medium Toothbrush"/>
    <s v="B260804-L4B"/>
    <s v="S. Yadav"/>
    <x v="2"/>
    <x v="1"/>
    <x v="6"/>
    <n v="8790"/>
    <n v="8510"/>
    <n v="152"/>
    <n v="1.7861339600470035E-2"/>
    <n v="0.96814562002275317"/>
    <x v="3"/>
    <n v="42"/>
    <n v="0.7"/>
    <s v="Cleaning / Sanitation"/>
    <n v="17"/>
    <n v="2584"/>
    <n v="29510"/>
    <n v="8460"/>
    <n v="8460"/>
    <x v="1343"/>
    <n v="13500"/>
  </r>
  <r>
    <s v="PR-1311"/>
    <d v="2026-07-29T00:00:00"/>
    <x v="2"/>
    <x v="2"/>
    <s v="Wednesday"/>
    <x v="1"/>
    <x v="1"/>
    <x v="1"/>
    <s v="Toothbrush"/>
    <x v="10"/>
    <s v="Medium Toothbrush"/>
    <s v="B260729-L4B"/>
    <s v="S. Yadav"/>
    <x v="2"/>
    <x v="1"/>
    <x v="7"/>
    <n v="9290"/>
    <n v="8680"/>
    <n v="165"/>
    <n v="1.9009216589861752E-2"/>
    <n v="0.93433799784714744"/>
    <x v="5"/>
    <n v="0"/>
    <n v="0"/>
    <s v="None"/>
    <n v="17"/>
    <n v="2805"/>
    <n v="30409"/>
    <n v="9510"/>
    <n v="9510"/>
    <x v="1344"/>
    <n v="13500"/>
  </r>
  <r>
    <s v="PR-1766"/>
    <d v="2026-09-09T00:00:00"/>
    <x v="0"/>
    <x v="0"/>
    <s v="Wednesday"/>
    <x v="1"/>
    <x v="2"/>
    <x v="2"/>
    <s v="Dental Floss"/>
    <x v="9"/>
    <s v="Waxed Floss 50m"/>
    <s v="B260909-L3B"/>
    <s v="P. Singh"/>
    <x v="1"/>
    <x v="2"/>
    <x v="10"/>
    <n v="7940"/>
    <n v="7570"/>
    <n v="231"/>
    <n v="3.0515191545574638E-2"/>
    <n v="0.95340050377833752"/>
    <x v="4"/>
    <n v="0"/>
    <n v="0"/>
    <s v="None"/>
    <n v="24"/>
    <n v="5544"/>
    <n v="28580"/>
    <n v="6500"/>
    <n v="6500"/>
    <x v="1345"/>
    <n v="12000"/>
  </r>
  <r>
    <s v="PR-1647"/>
    <d v="2026-08-29T00:00:00"/>
    <x v="1"/>
    <x v="1"/>
    <s v="Saturday"/>
    <x v="0"/>
    <x v="2"/>
    <x v="2"/>
    <s v="Dental Floss"/>
    <x v="9"/>
    <s v="Waxed Floss 50m"/>
    <s v="B260829-L3A"/>
    <s v="R. Sharma"/>
    <x v="2"/>
    <x v="2"/>
    <x v="10"/>
    <n v="7920"/>
    <n v="7750"/>
    <n v="143"/>
    <n v="1.8451612903225806E-2"/>
    <n v="0.97853535353535348"/>
    <x v="2"/>
    <n v="30"/>
    <n v="0.5"/>
    <s v="Machine Breakdown"/>
    <n v="24"/>
    <n v="3432"/>
    <n v="29052"/>
    <n v="7210"/>
    <n v="7210"/>
    <x v="1346"/>
    <n v="12000"/>
  </r>
  <r>
    <s v="PR-1156"/>
    <d v="2026-07-15T00:00:00"/>
    <x v="2"/>
    <x v="2"/>
    <s v="Wednesday"/>
    <x v="1"/>
    <x v="2"/>
    <x v="2"/>
    <s v="Dental Floss"/>
    <x v="9"/>
    <s v="Waxed Floss 50m"/>
    <s v="B260715-L3B"/>
    <s v="S. Yadav"/>
    <x v="2"/>
    <x v="2"/>
    <x v="8"/>
    <n v="8300"/>
    <n v="7520"/>
    <n v="169"/>
    <n v="2.247340425531915E-2"/>
    <n v="0.90602409638554215"/>
    <x v="2"/>
    <n v="0"/>
    <n v="0"/>
    <s v="None"/>
    <n v="24"/>
    <n v="4056"/>
    <n v="30245"/>
    <n v="8110"/>
    <n v="8110"/>
    <x v="1347"/>
    <n v="12000"/>
  </r>
  <r>
    <s v="PR-0995"/>
    <d v="2026-06-30T00:00:00"/>
    <x v="3"/>
    <x v="3"/>
    <s v="Tuesday"/>
    <x v="2"/>
    <x v="2"/>
    <x v="2"/>
    <s v="Dental Floss"/>
    <x v="9"/>
    <s v="Waxed Floss 50m"/>
    <s v="B260630-L3C"/>
    <s v="A. Gupta"/>
    <x v="2"/>
    <x v="2"/>
    <x v="10"/>
    <n v="7820"/>
    <n v="7740"/>
    <n v="225"/>
    <n v="2.9069767441860465E-2"/>
    <n v="0.98976982097186705"/>
    <x v="2"/>
    <n v="46"/>
    <n v="0.76666666666666672"/>
    <s v="Changeover"/>
    <n v="24"/>
    <n v="5400"/>
    <n v="29897"/>
    <n v="7910"/>
    <n v="7910"/>
    <x v="1348"/>
    <n v="12000"/>
  </r>
  <r>
    <s v="PR-1371"/>
    <d v="2026-08-04T00:00:00"/>
    <x v="1"/>
    <x v="1"/>
    <s v="Tuesday"/>
    <x v="0"/>
    <x v="1"/>
    <x v="1"/>
    <s v="Toothbrush"/>
    <x v="10"/>
    <s v="Medium Toothbrush"/>
    <s v="B260804-L4A"/>
    <s v="K. Verma"/>
    <x v="1"/>
    <x v="1"/>
    <x v="7"/>
    <n v="9200"/>
    <n v="9060"/>
    <n v="150"/>
    <n v="1.6556291390728478E-2"/>
    <n v="0.98478260869565215"/>
    <x v="0"/>
    <n v="0"/>
    <n v="0"/>
    <s v="None"/>
    <n v="17"/>
    <n v="2550"/>
    <n v="28600"/>
    <n v="8000"/>
    <n v="8000"/>
    <x v="1349"/>
    <n v="13500"/>
  </r>
  <r>
    <s v="PR-0789"/>
    <d v="2026-06-12T00:00:00"/>
    <x v="3"/>
    <x v="3"/>
    <s v="Friday"/>
    <x v="0"/>
    <x v="0"/>
    <x v="0"/>
    <s v="Mouthwash"/>
    <x v="0"/>
    <s v="Mint Mouthwash 250ml"/>
    <s v="B260612-L2A"/>
    <s v="K. Verma"/>
    <x v="1"/>
    <x v="0"/>
    <x v="0"/>
    <n v="7020"/>
    <n v="6880"/>
    <n v="229"/>
    <n v="3.3284883720930233E-2"/>
    <n v="0.98005698005698005"/>
    <x v="3"/>
    <n v="0"/>
    <n v="0"/>
    <s v="None"/>
    <n v="46"/>
    <n v="10534"/>
    <n v="29177"/>
    <n v="6300"/>
    <n v="6300"/>
    <x v="1350"/>
    <n v="10500"/>
  </r>
  <r>
    <s v="PR-0689"/>
    <d v="2026-06-03T00:00:00"/>
    <x v="3"/>
    <x v="3"/>
    <s v="Wednesday"/>
    <x v="0"/>
    <x v="2"/>
    <x v="2"/>
    <s v="Dental Floss"/>
    <x v="9"/>
    <s v="Waxed Floss 50m"/>
    <s v="B260603-L3A"/>
    <s v="K. Verma"/>
    <x v="1"/>
    <x v="2"/>
    <x v="8"/>
    <n v="8430"/>
    <n v="7790"/>
    <n v="247"/>
    <n v="3.1707317073170732E-2"/>
    <n v="0.92408066429418745"/>
    <x v="2"/>
    <n v="0"/>
    <n v="0"/>
    <s v="None"/>
    <n v="24"/>
    <n v="5928"/>
    <n v="30276"/>
    <n v="8280"/>
    <n v="8280"/>
    <x v="1351"/>
    <n v="12000"/>
  </r>
  <r>
    <s v="PR-1344"/>
    <d v="2026-08-01T00:00:00"/>
    <x v="1"/>
    <x v="1"/>
    <s v="Saturday"/>
    <x v="1"/>
    <x v="3"/>
    <x v="3"/>
    <s v="Toothpaste"/>
    <x v="7"/>
    <s v="Sensitive Toothpaste 100g"/>
    <s v="B260801-L1B"/>
    <s v="S. Yadav"/>
    <x v="2"/>
    <x v="3"/>
    <x v="2"/>
    <n v="8030"/>
    <n v="7980"/>
    <n v="137"/>
    <n v="1.7167919799498745E-2"/>
    <n v="0.99377334993773347"/>
    <x v="4"/>
    <n v="0"/>
    <n v="0"/>
    <s v="None"/>
    <n v="42"/>
    <n v="5754"/>
    <n v="29125"/>
    <n v="7390"/>
    <n v="7390"/>
    <x v="1352"/>
    <n v="12000"/>
  </r>
  <r>
    <s v="PR-1077"/>
    <d v="2026-07-08T00:00:00"/>
    <x v="2"/>
    <x v="2"/>
    <s v="Wednesday"/>
    <x v="1"/>
    <x v="3"/>
    <x v="3"/>
    <s v="Toothpaste"/>
    <x v="7"/>
    <s v="Sensitive Toothpaste 100g"/>
    <s v="B260708-L1B"/>
    <s v="P. Singh"/>
    <x v="1"/>
    <x v="3"/>
    <x v="2"/>
    <n v="8460"/>
    <n v="8340"/>
    <n v="298"/>
    <n v="3.5731414868105514E-2"/>
    <n v="0.98581560283687941"/>
    <x v="5"/>
    <n v="0"/>
    <n v="0"/>
    <s v="None"/>
    <n v="42"/>
    <n v="12516"/>
    <n v="28418"/>
    <n v="6870"/>
    <n v="6870"/>
    <x v="1353"/>
    <n v="12000"/>
  </r>
  <r>
    <s v="PR-1028"/>
    <d v="2026-07-03T00:00:00"/>
    <x v="2"/>
    <x v="2"/>
    <s v="Friday"/>
    <x v="1"/>
    <x v="1"/>
    <x v="1"/>
    <s v="Toothbrush"/>
    <x v="10"/>
    <s v="Medium Toothbrush"/>
    <s v="B260703-L4B"/>
    <s v="P. Singh"/>
    <x v="1"/>
    <x v="1"/>
    <x v="6"/>
    <n v="9560"/>
    <n v="9100"/>
    <n v="194"/>
    <n v="2.131868131868132E-2"/>
    <n v="0.95188284518828448"/>
    <x v="2"/>
    <n v="0"/>
    <n v="0"/>
    <s v="None"/>
    <n v="17"/>
    <n v="3298"/>
    <n v="29693"/>
    <n v="9000"/>
    <n v="9000"/>
    <x v="1354"/>
    <n v="13500"/>
  </r>
  <r>
    <s v="PR-0593"/>
    <d v="2026-05-25T00:00:00"/>
    <x v="4"/>
    <x v="4"/>
    <s v="Monday"/>
    <x v="1"/>
    <x v="2"/>
    <x v="2"/>
    <s v="Dental Floss"/>
    <x v="9"/>
    <s v="Waxed Floss 50m"/>
    <s v="B260525-L3B"/>
    <s v="P. Singh"/>
    <x v="1"/>
    <x v="2"/>
    <x v="10"/>
    <n v="8150"/>
    <n v="8190"/>
    <n v="172"/>
    <n v="2.1001221001221003E-2"/>
    <n v="1.0049079754601227"/>
    <x v="3"/>
    <n v="0"/>
    <n v="0"/>
    <s v="None"/>
    <n v="24"/>
    <n v="4128"/>
    <n v="28492"/>
    <n v="6900"/>
    <n v="6900"/>
    <x v="1355"/>
    <n v="12000"/>
  </r>
  <r>
    <s v="PR-1267"/>
    <d v="2026-07-25T00:00:00"/>
    <x v="2"/>
    <x v="2"/>
    <s v="Saturday"/>
    <x v="0"/>
    <x v="1"/>
    <x v="1"/>
    <s v="Toothbrush"/>
    <x v="10"/>
    <s v="Medium Toothbrush"/>
    <s v="B260725-L4A"/>
    <s v="K. Verma"/>
    <x v="2"/>
    <x v="1"/>
    <x v="0"/>
    <n v="8630"/>
    <n v="7940"/>
    <n v="227"/>
    <n v="2.8589420654911837E-2"/>
    <n v="0.92004634994206258"/>
    <x v="0"/>
    <n v="0"/>
    <n v="0"/>
    <s v="None"/>
    <n v="17"/>
    <n v="3859"/>
    <n v="29672"/>
    <n v="7770"/>
    <n v="7770"/>
    <x v="1356"/>
    <n v="13500"/>
  </r>
  <r>
    <s v="PR-1348"/>
    <d v="2026-08-01T00:00:00"/>
    <x v="1"/>
    <x v="1"/>
    <s v="Saturday"/>
    <x v="2"/>
    <x v="3"/>
    <x v="3"/>
    <s v="Toothpaste"/>
    <x v="7"/>
    <s v="Sensitive Toothpaste 100g"/>
    <s v="B260801-L1C"/>
    <s v="M. Khan"/>
    <x v="1"/>
    <x v="3"/>
    <x v="3"/>
    <n v="7550"/>
    <n v="7050"/>
    <n v="153"/>
    <n v="2.170212765957447E-2"/>
    <n v="0.93377483443708609"/>
    <x v="5"/>
    <n v="0"/>
    <n v="0"/>
    <s v="None"/>
    <n v="42"/>
    <n v="6426"/>
    <n v="29578"/>
    <n v="6860"/>
    <n v="6860"/>
    <x v="1356"/>
    <n v="12000"/>
  </r>
  <r>
    <s v="PR-1236"/>
    <d v="2026-07-22T00:00:00"/>
    <x v="2"/>
    <x v="2"/>
    <s v="Wednesday"/>
    <x v="2"/>
    <x v="3"/>
    <x v="3"/>
    <s v="Toothpaste"/>
    <x v="7"/>
    <s v="Sensitive Toothpaste 100g"/>
    <s v="B260722-L1C"/>
    <s v="M. Khan"/>
    <x v="1"/>
    <x v="3"/>
    <x v="4"/>
    <n v="7910"/>
    <n v="7400"/>
    <n v="152"/>
    <n v="2.0540540540540539E-2"/>
    <n v="0.93552465233881166"/>
    <x v="3"/>
    <n v="0"/>
    <n v="0"/>
    <s v="None"/>
    <n v="42"/>
    <n v="6384"/>
    <n v="29899"/>
    <n v="7520"/>
    <n v="7520"/>
    <x v="1357"/>
    <n v="12000"/>
  </r>
  <r>
    <s v="PR-0984"/>
    <d v="2026-06-29T00:00:00"/>
    <x v="3"/>
    <x v="3"/>
    <s v="Monday"/>
    <x v="2"/>
    <x v="1"/>
    <x v="1"/>
    <s v="Toothbrush"/>
    <x v="10"/>
    <s v="Medium Toothbrush"/>
    <s v="B260629-L4C"/>
    <s v="M. Khan"/>
    <x v="2"/>
    <x v="1"/>
    <x v="0"/>
    <n v="8670"/>
    <n v="8050"/>
    <n v="228"/>
    <n v="2.8322981366459627E-2"/>
    <n v="0.92848904267589394"/>
    <x v="5"/>
    <n v="0"/>
    <n v="0"/>
    <s v="None"/>
    <n v="17"/>
    <n v="3876"/>
    <n v="29975"/>
    <n v="8150"/>
    <n v="8150"/>
    <x v="1358"/>
    <n v="13500"/>
  </r>
  <r>
    <s v="PR-1263"/>
    <d v="2026-07-24T00:00:00"/>
    <x v="2"/>
    <x v="2"/>
    <s v="Friday"/>
    <x v="2"/>
    <x v="1"/>
    <x v="1"/>
    <s v="Toothbrush"/>
    <x v="10"/>
    <s v="Medium Toothbrush"/>
    <s v="B260724-L4C"/>
    <s v="M. Khan"/>
    <x v="2"/>
    <x v="1"/>
    <x v="3"/>
    <n v="8600"/>
    <n v="7100"/>
    <n v="193"/>
    <n v="2.7183098591549295E-2"/>
    <n v="0.82558139534883723"/>
    <x v="3"/>
    <n v="58"/>
    <n v="0.96666666666666667"/>
    <s v="Cleaning / Sanitation"/>
    <n v="17"/>
    <n v="3281"/>
    <n v="31055"/>
    <n v="8290"/>
    <n v="8290"/>
    <x v="1359"/>
    <n v="13500"/>
  </r>
  <r>
    <s v="PR-1774"/>
    <d v="2026-09-10T00:00:00"/>
    <x v="0"/>
    <x v="0"/>
    <s v="Thursday"/>
    <x v="0"/>
    <x v="2"/>
    <x v="2"/>
    <s v="Dental Floss"/>
    <x v="9"/>
    <s v="Waxed Floss 50m"/>
    <s v="B260910-L3A"/>
    <s v="R. Sharma"/>
    <x v="1"/>
    <x v="2"/>
    <x v="10"/>
    <n v="7700"/>
    <n v="7360"/>
    <n v="131"/>
    <n v="1.7798913043478262E-2"/>
    <n v="0.95584415584415583"/>
    <x v="0"/>
    <n v="0"/>
    <n v="0"/>
    <s v="None"/>
    <n v="24"/>
    <n v="3144"/>
    <n v="29419"/>
    <n v="6970"/>
    <n v="6970"/>
    <x v="1360"/>
    <n v="12000"/>
  </r>
  <r>
    <s v="PR-0660"/>
    <d v="2026-05-31T00:00:00"/>
    <x v="4"/>
    <x v="4"/>
    <s v="Sunday"/>
    <x v="0"/>
    <x v="1"/>
    <x v="1"/>
    <s v="Toothbrush"/>
    <x v="10"/>
    <s v="Medium Toothbrush"/>
    <s v="B260531-L4A"/>
    <s v="R. Sharma"/>
    <x v="1"/>
    <x v="1"/>
    <x v="6"/>
    <n v="6340"/>
    <n v="6250"/>
    <n v="102"/>
    <n v="1.6320000000000001E-2"/>
    <n v="0.98580441640378547"/>
    <x v="3"/>
    <n v="22"/>
    <n v="0.36666666666666664"/>
    <s v="Material Shortage"/>
    <n v="17"/>
    <n v="1734"/>
    <n v="29192"/>
    <n v="5650"/>
    <n v="5650"/>
    <x v="1361"/>
    <n v="13500"/>
  </r>
  <r>
    <s v="PR-1008"/>
    <d v="2026-07-01T00:00:00"/>
    <x v="2"/>
    <x v="2"/>
    <s v="Wednesday"/>
    <x v="2"/>
    <x v="1"/>
    <x v="1"/>
    <s v="Toothbrush"/>
    <x v="10"/>
    <s v="Medium Toothbrush"/>
    <s v="B260701-L4C"/>
    <s v="M. Khan"/>
    <x v="1"/>
    <x v="1"/>
    <x v="1"/>
    <n v="8930"/>
    <n v="8030"/>
    <n v="190"/>
    <n v="2.3661270236612703E-2"/>
    <n v="0.89921612541993279"/>
    <x v="5"/>
    <n v="0"/>
    <n v="0"/>
    <s v="None"/>
    <n v="17"/>
    <n v="3230"/>
    <n v="30053"/>
    <n v="8200"/>
    <n v="8200"/>
    <x v="1362"/>
    <n v="13500"/>
  </r>
  <r>
    <s v="PR-1081"/>
    <d v="2026-07-08T00:00:00"/>
    <x v="2"/>
    <x v="2"/>
    <s v="Wednesday"/>
    <x v="2"/>
    <x v="3"/>
    <x v="3"/>
    <s v="Toothpaste"/>
    <x v="7"/>
    <s v="Sensitive Toothpaste 100g"/>
    <s v="B260708-L1C"/>
    <s v="A. Gupta"/>
    <x v="1"/>
    <x v="3"/>
    <x v="3"/>
    <n v="7740"/>
    <n v="7550"/>
    <n v="156"/>
    <n v="2.0662251655629141E-2"/>
    <n v="0.97545219638242897"/>
    <x v="5"/>
    <n v="23"/>
    <n v="0.38333333333333336"/>
    <s v="Power Interruption"/>
    <n v="42"/>
    <n v="6552"/>
    <n v="29590"/>
    <n v="7280"/>
    <n v="7280"/>
    <x v="1363"/>
    <n v="12000"/>
  </r>
  <r>
    <s v="PR-0881"/>
    <d v="2026-06-20T00:00:00"/>
    <x v="3"/>
    <x v="3"/>
    <s v="Saturday"/>
    <x v="0"/>
    <x v="1"/>
    <x v="1"/>
    <s v="Toothbrush"/>
    <x v="10"/>
    <s v="Medium Toothbrush"/>
    <s v="B260620-L4A"/>
    <s v="R. Sharma"/>
    <x v="1"/>
    <x v="1"/>
    <x v="6"/>
    <n v="9400"/>
    <n v="9010"/>
    <n v="223"/>
    <n v="2.4750277469478357E-2"/>
    <n v="0.95851063829787231"/>
    <x v="3"/>
    <n v="0"/>
    <n v="0"/>
    <s v="None"/>
    <n v="17"/>
    <n v="3791"/>
    <n v="28716"/>
    <n v="7780"/>
    <n v="7780"/>
    <x v="1364"/>
    <n v="13500"/>
  </r>
  <r>
    <s v="PR-1275"/>
    <d v="2026-07-25T00:00:00"/>
    <x v="2"/>
    <x v="2"/>
    <s v="Saturday"/>
    <x v="2"/>
    <x v="1"/>
    <x v="1"/>
    <s v="Toothbrush"/>
    <x v="10"/>
    <s v="Medium Toothbrush"/>
    <s v="B260725-L4C"/>
    <s v="M. Khan"/>
    <x v="1"/>
    <x v="1"/>
    <x v="0"/>
    <n v="9070"/>
    <n v="8100"/>
    <n v="48"/>
    <n v="5.9259259259259256E-3"/>
    <n v="0.89305402425578828"/>
    <x v="2"/>
    <n v="0"/>
    <n v="0"/>
    <s v="None"/>
    <n v="17"/>
    <n v="816"/>
    <n v="29333"/>
    <n v="7650"/>
    <n v="7650"/>
    <x v="1365"/>
    <n v="13500"/>
  </r>
  <r>
    <s v="PR-0829"/>
    <d v="2026-06-15T00:00:00"/>
    <x v="3"/>
    <x v="3"/>
    <s v="Monday"/>
    <x v="2"/>
    <x v="1"/>
    <x v="1"/>
    <s v="Toothbrush"/>
    <x v="10"/>
    <s v="Medium Toothbrush"/>
    <s v="B260615-L4C"/>
    <s v="A. Gupta"/>
    <x v="1"/>
    <x v="1"/>
    <x v="1"/>
    <n v="8480"/>
    <n v="7650"/>
    <n v="232"/>
    <n v="3.0326797385620916E-2"/>
    <n v="0.902122641509434"/>
    <x v="2"/>
    <n v="0"/>
    <n v="0"/>
    <s v="None"/>
    <n v="17"/>
    <n v="3944"/>
    <n v="30289"/>
    <n v="7950"/>
    <n v="7950"/>
    <x v="1366"/>
    <n v="13500"/>
  </r>
  <r>
    <s v="PR-0694"/>
    <d v="2026-06-03T00:00:00"/>
    <x v="3"/>
    <x v="3"/>
    <s v="Wednesday"/>
    <x v="1"/>
    <x v="1"/>
    <x v="1"/>
    <s v="Toothbrush"/>
    <x v="10"/>
    <s v="Medium Toothbrush"/>
    <s v="B260603-L4B"/>
    <s v="S. Yadav"/>
    <x v="1"/>
    <x v="1"/>
    <x v="6"/>
    <n v="9160"/>
    <n v="8480"/>
    <n v="355"/>
    <n v="4.1863207547169809E-2"/>
    <n v="0.92576419213973804"/>
    <x v="0"/>
    <n v="0"/>
    <n v="0"/>
    <s v="None"/>
    <n v="17"/>
    <n v="6035"/>
    <n v="29185"/>
    <n v="7530"/>
    <n v="7530"/>
    <x v="1367"/>
    <n v="13500"/>
  </r>
  <r>
    <s v="PR-0873"/>
    <d v="2026-06-19T00:00:00"/>
    <x v="3"/>
    <x v="3"/>
    <s v="Friday"/>
    <x v="1"/>
    <x v="1"/>
    <x v="1"/>
    <s v="Toothbrush"/>
    <x v="10"/>
    <s v="Medium Toothbrush"/>
    <s v="B260619-L4B"/>
    <s v="P. Singh"/>
    <x v="1"/>
    <x v="1"/>
    <x v="0"/>
    <n v="8470"/>
    <n v="7910"/>
    <n v="210"/>
    <n v="2.6548672566371681E-2"/>
    <n v="0.93388429752066116"/>
    <x v="2"/>
    <n v="0"/>
    <n v="0"/>
    <s v="None"/>
    <n v="17"/>
    <n v="3570"/>
    <n v="30252"/>
    <n v="8160"/>
    <n v="8160"/>
    <x v="1368"/>
    <n v="13500"/>
  </r>
  <r>
    <s v="PR-1482"/>
    <d v="2026-08-13T00:00:00"/>
    <x v="1"/>
    <x v="1"/>
    <s v="Thursday"/>
    <x v="2"/>
    <x v="1"/>
    <x v="1"/>
    <s v="Toothbrush"/>
    <x v="10"/>
    <s v="Medium Toothbrush"/>
    <s v="B260813-L4C"/>
    <s v="A. Gupta"/>
    <x v="1"/>
    <x v="1"/>
    <x v="6"/>
    <n v="8690"/>
    <n v="8130"/>
    <n v="217"/>
    <n v="2.6691266912669126E-2"/>
    <n v="0.9355581127733027"/>
    <x v="2"/>
    <n v="31"/>
    <n v="0.51666666666666672"/>
    <s v="Cleaning / Sanitation"/>
    <n v="17"/>
    <n v="3689"/>
    <n v="28779"/>
    <n v="6890"/>
    <n v="6890"/>
    <x v="1369"/>
    <n v="13500"/>
  </r>
  <r>
    <s v="PR-1094"/>
    <d v="2026-07-09T00:00:00"/>
    <x v="2"/>
    <x v="2"/>
    <s v="Thursday"/>
    <x v="2"/>
    <x v="0"/>
    <x v="0"/>
    <s v="Mouthwash"/>
    <x v="0"/>
    <s v="Mint Mouthwash 250ml"/>
    <s v="B260709-L2C"/>
    <s v="M. Khan"/>
    <x v="0"/>
    <x v="0"/>
    <x v="0"/>
    <n v="6290"/>
    <n v="6020"/>
    <n v="450"/>
    <n v="7.4750830564784057E-2"/>
    <n v="0.95707472178060415"/>
    <x v="1"/>
    <n v="0"/>
    <n v="0"/>
    <s v="None"/>
    <n v="46"/>
    <n v="20700"/>
    <n v="30118"/>
    <n v="5870"/>
    <n v="5870"/>
    <x v="1370"/>
    <n v="10500"/>
  </r>
  <r>
    <s v="PR-1316"/>
    <d v="2026-07-30T00:00:00"/>
    <x v="2"/>
    <x v="2"/>
    <s v="Thursday"/>
    <x v="0"/>
    <x v="3"/>
    <x v="3"/>
    <s v="Toothpaste"/>
    <x v="7"/>
    <s v="Sensitive Toothpaste 100g"/>
    <s v="B260730-L1A"/>
    <s v="K. Verma"/>
    <x v="2"/>
    <x v="3"/>
    <x v="3"/>
    <n v="7730"/>
    <n v="7170"/>
    <n v="200"/>
    <n v="2.7894002789400279E-2"/>
    <n v="0.92755498059508412"/>
    <x v="0"/>
    <n v="39"/>
    <n v="0.65"/>
    <s v="Machine Breakdown"/>
    <n v="42"/>
    <n v="8400"/>
    <n v="29986"/>
    <n v="7130"/>
    <n v="7130"/>
    <x v="1371"/>
    <n v="12000"/>
  </r>
  <r>
    <s v="PR-1272"/>
    <d v="2026-07-25T00:00:00"/>
    <x v="2"/>
    <x v="2"/>
    <s v="Saturday"/>
    <x v="2"/>
    <x v="3"/>
    <x v="3"/>
    <s v="Toothpaste"/>
    <x v="7"/>
    <s v="Sensitive Toothpaste 100g"/>
    <s v="B260725-L1C"/>
    <s v="A. Gupta"/>
    <x v="1"/>
    <x v="3"/>
    <x v="2"/>
    <n v="7690"/>
    <n v="7150"/>
    <n v="196"/>
    <n v="2.7412587412587414E-2"/>
    <n v="0.929778933680104"/>
    <x v="4"/>
    <n v="0"/>
    <n v="0"/>
    <s v="None"/>
    <n v="42"/>
    <n v="8232"/>
    <n v="29293"/>
    <n v="6390"/>
    <n v="6390"/>
    <x v="1372"/>
    <n v="12000"/>
  </r>
  <r>
    <s v="PR-0966"/>
    <d v="2026-06-27T00:00:00"/>
    <x v="3"/>
    <x v="3"/>
    <s v="Saturday"/>
    <x v="2"/>
    <x v="2"/>
    <x v="2"/>
    <s v="Dental Floss"/>
    <x v="9"/>
    <s v="Waxed Floss 50m"/>
    <s v="B260627-L3C"/>
    <s v="A. Gupta"/>
    <x v="2"/>
    <x v="2"/>
    <x v="11"/>
    <n v="7380"/>
    <n v="6160"/>
    <n v="105"/>
    <n v="1.7045454545454544E-2"/>
    <n v="0.83468834688346882"/>
    <x v="2"/>
    <n v="0"/>
    <n v="0"/>
    <s v="None"/>
    <n v="24"/>
    <n v="2520"/>
    <n v="30292"/>
    <n v="6450"/>
    <n v="6450"/>
    <x v="1373"/>
    <n v="12000"/>
  </r>
  <r>
    <s v="PR-1680"/>
    <d v="2026-09-01T00:00:00"/>
    <x v="0"/>
    <x v="0"/>
    <s v="Tuesday"/>
    <x v="1"/>
    <x v="1"/>
    <x v="1"/>
    <s v="Toothbrush"/>
    <x v="10"/>
    <s v="Medium Toothbrush"/>
    <s v="B260901-L4B"/>
    <s v="S. Yadav"/>
    <x v="1"/>
    <x v="1"/>
    <x v="0"/>
    <n v="8990"/>
    <n v="8490"/>
    <n v="187"/>
    <n v="2.2025912838633685E-2"/>
    <n v="0.94438264738598443"/>
    <x v="0"/>
    <n v="0"/>
    <n v="0"/>
    <s v="None"/>
    <n v="17"/>
    <n v="3179"/>
    <n v="30264"/>
    <n v="8670"/>
    <n v="8670"/>
    <x v="1373"/>
    <n v="13500"/>
  </r>
  <r>
    <s v="PR-1216"/>
    <d v="2026-07-21T00:00:00"/>
    <x v="2"/>
    <x v="2"/>
    <s v="Tuesday"/>
    <x v="0"/>
    <x v="3"/>
    <x v="3"/>
    <s v="Toothpaste"/>
    <x v="7"/>
    <s v="Sensitive Toothpaste 100g"/>
    <s v="B260721-L1A"/>
    <s v="R. Sharma"/>
    <x v="2"/>
    <x v="3"/>
    <x v="3"/>
    <n v="7830"/>
    <n v="7390"/>
    <n v="177"/>
    <n v="2.3951285520974291E-2"/>
    <n v="0.94380587484035761"/>
    <x v="3"/>
    <n v="0"/>
    <n v="0"/>
    <s v="None"/>
    <n v="42"/>
    <n v="7434"/>
    <n v="28816"/>
    <n v="6130"/>
    <n v="6130"/>
    <x v="1374"/>
    <n v="12000"/>
  </r>
  <r>
    <s v="PR-0846"/>
    <d v="2026-06-17T00:00:00"/>
    <x v="3"/>
    <x v="3"/>
    <s v="Wednesday"/>
    <x v="1"/>
    <x v="3"/>
    <x v="3"/>
    <s v="Toothpaste"/>
    <x v="8"/>
    <s v="Whitening Toothpaste 100g"/>
    <s v="B260617-L1B"/>
    <s v="P. Singh"/>
    <x v="1"/>
    <x v="3"/>
    <x v="2"/>
    <n v="9250"/>
    <n v="9230"/>
    <n v="365"/>
    <n v="3.954496208017335E-2"/>
    <n v="0.99783783783783786"/>
    <x v="3"/>
    <n v="0"/>
    <n v="0"/>
    <s v="None"/>
    <n v="38"/>
    <n v="13870"/>
    <n v="28539"/>
    <n v="7500"/>
    <n v="7500"/>
    <x v="1375"/>
    <n v="13500"/>
  </r>
  <r>
    <s v="PR-1354"/>
    <d v="2026-08-02T00:00:00"/>
    <x v="1"/>
    <x v="1"/>
    <s v="Sunday"/>
    <x v="1"/>
    <x v="3"/>
    <x v="3"/>
    <s v="Toothpaste"/>
    <x v="7"/>
    <s v="Sensitive Toothpaste 100g"/>
    <s v="B260802-L1B"/>
    <s v="S. Yadav"/>
    <x v="1"/>
    <x v="3"/>
    <x v="3"/>
    <n v="5870"/>
    <n v="5420"/>
    <n v="100"/>
    <n v="1.8450184501845018E-2"/>
    <n v="0.92333901192504264"/>
    <x v="2"/>
    <n v="0"/>
    <n v="0"/>
    <s v="None"/>
    <n v="42"/>
    <n v="4200"/>
    <n v="29615"/>
    <n v="5020"/>
    <n v="5020"/>
    <x v="1376"/>
    <n v="12000"/>
  </r>
  <r>
    <s v="PR-1011"/>
    <d v="2026-07-02T00:00:00"/>
    <x v="2"/>
    <x v="2"/>
    <s v="Thursday"/>
    <x v="0"/>
    <x v="2"/>
    <x v="2"/>
    <s v="Dental Floss"/>
    <x v="9"/>
    <s v="Waxed Floss 50m"/>
    <s v="B260702-L3A"/>
    <s v="R. Sharma"/>
    <x v="2"/>
    <x v="2"/>
    <x v="10"/>
    <n v="7500"/>
    <n v="7400"/>
    <n v="242"/>
    <n v="3.2702702702702702E-2"/>
    <n v="0.98666666666666669"/>
    <x v="2"/>
    <n v="0"/>
    <n v="0"/>
    <s v="None"/>
    <n v="24"/>
    <n v="5808"/>
    <n v="29502"/>
    <n v="6740"/>
    <n v="6740"/>
    <x v="1377"/>
    <n v="12000"/>
  </r>
  <r>
    <s v="PR-0906"/>
    <d v="2026-06-22T00:00:00"/>
    <x v="3"/>
    <x v="3"/>
    <s v="Monday"/>
    <x v="2"/>
    <x v="2"/>
    <x v="2"/>
    <s v="Dental Floss"/>
    <x v="6"/>
    <s v="Floss Picks (100 pcs)"/>
    <s v="B260622-L3C"/>
    <s v="A. Gupta"/>
    <x v="1"/>
    <x v="2"/>
    <x v="8"/>
    <n v="4970"/>
    <n v="4800"/>
    <n v="181"/>
    <n v="3.7708333333333337E-2"/>
    <n v="0.96579476861167002"/>
    <x v="2"/>
    <n v="0"/>
    <n v="0"/>
    <s v="None"/>
    <n v="33"/>
    <n v="5973"/>
    <n v="29272"/>
    <n v="3960"/>
    <n v="3960"/>
    <x v="1378"/>
    <n v="9750"/>
  </r>
  <r>
    <s v="PR-1684"/>
    <d v="2026-09-01T00:00:00"/>
    <x v="0"/>
    <x v="0"/>
    <s v="Tuesday"/>
    <x v="2"/>
    <x v="1"/>
    <x v="1"/>
    <s v="Toothbrush"/>
    <x v="10"/>
    <s v="Medium Toothbrush"/>
    <s v="B260901-L4C"/>
    <s v="A. Gupta"/>
    <x v="1"/>
    <x v="1"/>
    <x v="1"/>
    <n v="9120"/>
    <n v="8460"/>
    <n v="228"/>
    <n v="2.6950354609929079E-2"/>
    <n v="0.92763157894736847"/>
    <x v="5"/>
    <n v="0"/>
    <n v="0"/>
    <s v="None"/>
    <n v="17"/>
    <n v="3876"/>
    <n v="29897"/>
    <n v="8160"/>
    <n v="8160"/>
    <x v="1379"/>
    <n v="13500"/>
  </r>
  <r>
    <s v="PR-0980"/>
    <d v="2026-06-29T00:00:00"/>
    <x v="3"/>
    <x v="3"/>
    <s v="Monday"/>
    <x v="1"/>
    <x v="1"/>
    <x v="1"/>
    <s v="Toothbrush"/>
    <x v="10"/>
    <s v="Medium Toothbrush"/>
    <s v="B260629-L4B"/>
    <s v="S. Yadav"/>
    <x v="2"/>
    <x v="1"/>
    <x v="6"/>
    <n v="8820"/>
    <n v="8580"/>
    <n v="210"/>
    <n v="2.4475524475524476E-2"/>
    <n v="0.97278911564625847"/>
    <x v="4"/>
    <n v="0"/>
    <n v="0"/>
    <s v="None"/>
    <n v="17"/>
    <n v="3570"/>
    <n v="30135"/>
    <n v="8530"/>
    <n v="8530"/>
    <x v="1380"/>
    <n v="13500"/>
  </r>
  <r>
    <s v="PR-1244"/>
    <d v="2026-07-23T00:00:00"/>
    <x v="2"/>
    <x v="2"/>
    <s v="Thursday"/>
    <x v="1"/>
    <x v="3"/>
    <x v="3"/>
    <s v="Toothpaste"/>
    <x v="7"/>
    <s v="Sensitive Toothpaste 100g"/>
    <s v="B260723-L1B"/>
    <s v="S. Yadav"/>
    <x v="1"/>
    <x v="3"/>
    <x v="3"/>
    <n v="7630"/>
    <n v="7050"/>
    <n v="123"/>
    <n v="1.7446808510638297E-2"/>
    <n v="0.92398427260812577"/>
    <x v="5"/>
    <n v="0"/>
    <n v="0"/>
    <s v="None"/>
    <n v="42"/>
    <n v="5166"/>
    <n v="29627"/>
    <n v="6570"/>
    <n v="6570"/>
    <x v="1381"/>
    <n v="12000"/>
  </r>
  <r>
    <s v="PR-1312"/>
    <d v="2026-07-29T00:00:00"/>
    <x v="2"/>
    <x v="2"/>
    <s v="Wednesday"/>
    <x v="2"/>
    <x v="3"/>
    <x v="3"/>
    <s v="Toothpaste"/>
    <x v="7"/>
    <s v="Sensitive Toothpaste 100g"/>
    <s v="B260729-L1C"/>
    <s v="M. Khan"/>
    <x v="2"/>
    <x v="3"/>
    <x v="3"/>
    <n v="7050"/>
    <n v="6690"/>
    <n v="208"/>
    <n v="3.109118086696562E-2"/>
    <n v="0.94893617021276599"/>
    <x v="4"/>
    <n v="65"/>
    <n v="1.0833333333333333"/>
    <s v="Changeover"/>
    <n v="42"/>
    <n v="8736"/>
    <n v="29994"/>
    <n v="6490"/>
    <n v="6490"/>
    <x v="1382"/>
    <n v="12000"/>
  </r>
  <r>
    <s v="PR-1304"/>
    <d v="2026-07-29T00:00:00"/>
    <x v="2"/>
    <x v="2"/>
    <s v="Wednesday"/>
    <x v="0"/>
    <x v="3"/>
    <x v="3"/>
    <s v="Toothpaste"/>
    <x v="7"/>
    <s v="Sensitive Toothpaste 100g"/>
    <s v="B260729-L1A"/>
    <s v="K. Verma"/>
    <x v="2"/>
    <x v="3"/>
    <x v="2"/>
    <n v="7800"/>
    <n v="7250"/>
    <n v="213"/>
    <n v="2.9379310344827585E-2"/>
    <n v="0.92948717948717952"/>
    <x v="5"/>
    <n v="72"/>
    <n v="1.2"/>
    <s v="Changeover"/>
    <n v="42"/>
    <n v="8946"/>
    <n v="29857"/>
    <n v="6900"/>
    <n v="6900"/>
    <x v="1383"/>
    <n v="12000"/>
  </r>
  <r>
    <s v="PR-0892"/>
    <d v="2026-06-21T00:00:00"/>
    <x v="3"/>
    <x v="3"/>
    <s v="Sunday"/>
    <x v="0"/>
    <x v="1"/>
    <x v="1"/>
    <s v="Toothbrush"/>
    <x v="10"/>
    <s v="Medium Toothbrush"/>
    <s v="B260621-L4A"/>
    <s v="K. Verma"/>
    <x v="2"/>
    <x v="1"/>
    <x v="7"/>
    <n v="5910"/>
    <n v="5570"/>
    <n v="119"/>
    <n v="2.1364452423698384E-2"/>
    <n v="0.94247038917089676"/>
    <x v="5"/>
    <n v="28"/>
    <n v="0.46666666666666667"/>
    <s v="Machine Breakdown"/>
    <n v="17"/>
    <n v="2023"/>
    <n v="30168"/>
    <n v="5610"/>
    <n v="5610"/>
    <x v="1384"/>
    <n v="13500"/>
  </r>
  <r>
    <s v="PR-1109"/>
    <d v="2026-07-11T00:00:00"/>
    <x v="2"/>
    <x v="2"/>
    <s v="Saturday"/>
    <x v="0"/>
    <x v="3"/>
    <x v="3"/>
    <s v="Toothpaste"/>
    <x v="7"/>
    <s v="Sensitive Toothpaste 100g"/>
    <s v="B260711-L1A"/>
    <s v="R. Sharma"/>
    <x v="2"/>
    <x v="3"/>
    <x v="2"/>
    <n v="8230"/>
    <n v="7930"/>
    <n v="134"/>
    <n v="1.6897856242118536E-2"/>
    <n v="0.96354799513973266"/>
    <x v="2"/>
    <n v="0"/>
    <n v="0"/>
    <s v="None"/>
    <n v="42"/>
    <n v="5628"/>
    <n v="29704"/>
    <n v="7470"/>
    <n v="7470"/>
    <x v="1385"/>
    <n v="12000"/>
  </r>
  <r>
    <s v="PR-1412"/>
    <d v="2026-08-07T00:00:00"/>
    <x v="1"/>
    <x v="1"/>
    <s v="Friday"/>
    <x v="2"/>
    <x v="3"/>
    <x v="3"/>
    <s v="Toothpaste"/>
    <x v="7"/>
    <s v="Sensitive Toothpaste 100g"/>
    <s v="B260807-L1C"/>
    <s v="A. Gupta"/>
    <x v="2"/>
    <x v="3"/>
    <x v="5"/>
    <n v="7120"/>
    <n v="6080"/>
    <n v="86"/>
    <n v="1.4144736842105264E-2"/>
    <n v="0.8539325842696629"/>
    <x v="5"/>
    <n v="0"/>
    <n v="0"/>
    <s v="None"/>
    <n v="42"/>
    <n v="3612"/>
    <n v="30521"/>
    <n v="6470"/>
    <n v="6470"/>
    <x v="1386"/>
    <n v="12000"/>
  </r>
  <r>
    <s v="PR-0833"/>
    <d v="2026-06-16T00:00:00"/>
    <x v="3"/>
    <x v="3"/>
    <s v="Tuesday"/>
    <x v="0"/>
    <x v="1"/>
    <x v="1"/>
    <s v="Toothbrush"/>
    <x v="10"/>
    <s v="Medium Toothbrush"/>
    <s v="B260616-L4A"/>
    <s v="R. Sharma"/>
    <x v="1"/>
    <x v="1"/>
    <x v="6"/>
    <n v="9060"/>
    <n v="8590"/>
    <n v="155"/>
    <n v="1.8044237485448197E-2"/>
    <n v="0.94812362030905073"/>
    <x v="4"/>
    <n v="0"/>
    <n v="0"/>
    <s v="None"/>
    <n v="17"/>
    <n v="2635"/>
    <n v="29757"/>
    <n v="8140"/>
    <n v="8140"/>
    <x v="1387"/>
    <n v="13500"/>
  </r>
  <r>
    <s v="PR-0996"/>
    <d v="2026-06-30T00:00:00"/>
    <x v="3"/>
    <x v="3"/>
    <s v="Tuesday"/>
    <x v="2"/>
    <x v="1"/>
    <x v="1"/>
    <s v="Toothbrush"/>
    <x v="10"/>
    <s v="Medium Toothbrush"/>
    <s v="B260630-L4C"/>
    <s v="M. Khan"/>
    <x v="2"/>
    <x v="1"/>
    <x v="6"/>
    <n v="8540"/>
    <n v="8410"/>
    <n v="254"/>
    <n v="3.0202140309155766E-2"/>
    <n v="0.98477751756440279"/>
    <x v="0"/>
    <n v="29"/>
    <n v="0.48333333333333334"/>
    <s v="Machine Breakdown"/>
    <n v="17"/>
    <n v="4318"/>
    <n v="29647"/>
    <n v="7750"/>
    <n v="7750"/>
    <x v="1388"/>
    <n v="13500"/>
  </r>
  <r>
    <s v="PR-1145"/>
    <d v="2026-07-14T00:00:00"/>
    <x v="2"/>
    <x v="2"/>
    <s v="Tuesday"/>
    <x v="1"/>
    <x v="1"/>
    <x v="1"/>
    <s v="Toothbrush"/>
    <x v="10"/>
    <s v="Medium Toothbrush"/>
    <s v="B260714-L4B"/>
    <s v="P. Singh"/>
    <x v="1"/>
    <x v="1"/>
    <x v="7"/>
    <n v="9300"/>
    <n v="8770"/>
    <n v="257"/>
    <n v="2.9304446978335234E-2"/>
    <n v="0.94301075268817203"/>
    <x v="0"/>
    <n v="0"/>
    <n v="0"/>
    <s v="None"/>
    <n v="17"/>
    <n v="4369"/>
    <n v="29197"/>
    <n v="7630"/>
    <n v="7630"/>
    <x v="1389"/>
    <n v="13500"/>
  </r>
  <r>
    <s v="PR-0910"/>
    <d v="2026-06-23T00:00:00"/>
    <x v="3"/>
    <x v="3"/>
    <s v="Tuesday"/>
    <x v="0"/>
    <x v="2"/>
    <x v="2"/>
    <s v="Dental Floss"/>
    <x v="6"/>
    <s v="Floss Picks (100 pcs)"/>
    <s v="B260623-L3A"/>
    <s v="R. Sharma"/>
    <x v="2"/>
    <x v="2"/>
    <x v="10"/>
    <n v="5300"/>
    <n v="5140"/>
    <n v="190"/>
    <n v="3.6964980544747082E-2"/>
    <n v="0.96981132075471699"/>
    <x v="5"/>
    <n v="32"/>
    <n v="0.53333333333333333"/>
    <s v="Changeover"/>
    <n v="33"/>
    <n v="6270"/>
    <n v="29931"/>
    <n v="4790"/>
    <n v="4790"/>
    <x v="1390"/>
    <n v="9750"/>
  </r>
  <r>
    <s v="PR-1035"/>
    <d v="2026-07-04T00:00:00"/>
    <x v="2"/>
    <x v="2"/>
    <s v="Saturday"/>
    <x v="0"/>
    <x v="2"/>
    <x v="2"/>
    <s v="Dental Floss"/>
    <x v="9"/>
    <s v="Waxed Floss 50m"/>
    <s v="B260704-L3A"/>
    <s v="R. Sharma"/>
    <x v="1"/>
    <x v="2"/>
    <x v="10"/>
    <n v="7400"/>
    <n v="6800"/>
    <n v="82"/>
    <n v="1.2058823529411764E-2"/>
    <n v="0.91891891891891897"/>
    <x v="4"/>
    <n v="53"/>
    <n v="0.8833333333333333"/>
    <s v="Machine Breakdown"/>
    <n v="24"/>
    <n v="1968"/>
    <n v="30230"/>
    <n v="6850"/>
    <n v="6850"/>
    <x v="1391"/>
    <n v="12000"/>
  </r>
  <r>
    <s v="PR-1054"/>
    <d v="2026-07-06T00:00:00"/>
    <x v="2"/>
    <x v="2"/>
    <s v="Monday"/>
    <x v="1"/>
    <x v="0"/>
    <x v="0"/>
    <s v="Mouthwash"/>
    <x v="0"/>
    <s v="Mint Mouthwash 250ml"/>
    <s v="B260706-L2B"/>
    <s v="P. Singh"/>
    <x v="0"/>
    <x v="0"/>
    <x v="1"/>
    <n v="7370"/>
    <n v="6890"/>
    <n v="626"/>
    <n v="9.085631349782293E-2"/>
    <n v="0.93487109905020349"/>
    <x v="1"/>
    <n v="0"/>
    <n v="0"/>
    <s v="None"/>
    <n v="46"/>
    <n v="28796"/>
    <n v="30254"/>
    <n v="6400"/>
    <n v="6400"/>
    <x v="1392"/>
    <n v="10500"/>
  </r>
  <r>
    <s v="PR-1932"/>
    <d v="2026-09-24T00:00:00"/>
    <x v="0"/>
    <x v="0"/>
    <s v="Thursday"/>
    <x v="1"/>
    <x v="1"/>
    <x v="1"/>
    <s v="Toothbrush"/>
    <x v="10"/>
    <s v="Medium Toothbrush"/>
    <s v="B260924-L4B"/>
    <s v="P. Singh"/>
    <x v="2"/>
    <x v="1"/>
    <x v="7"/>
    <n v="9210"/>
    <n v="8950"/>
    <n v="279"/>
    <n v="3.1173184357541898E-2"/>
    <n v="0.97176981541802387"/>
    <x v="4"/>
    <n v="33"/>
    <n v="0.55000000000000004"/>
    <s v="Machine Breakdown"/>
    <n v="17"/>
    <n v="4743"/>
    <n v="28966"/>
    <n v="7510"/>
    <n v="7510"/>
    <x v="1393"/>
    <n v="13500"/>
  </r>
  <r>
    <s v="PR-0911"/>
    <d v="2026-06-23T00:00:00"/>
    <x v="3"/>
    <x v="3"/>
    <s v="Tuesday"/>
    <x v="0"/>
    <x v="1"/>
    <x v="1"/>
    <s v="Toothbrush"/>
    <x v="10"/>
    <s v="Medium Toothbrush"/>
    <s v="B260623-L4A"/>
    <s v="R. Sharma"/>
    <x v="2"/>
    <x v="1"/>
    <x v="7"/>
    <n v="8960"/>
    <n v="8670"/>
    <n v="214"/>
    <n v="2.4682814302191464E-2"/>
    <n v="0.9676339285714286"/>
    <x v="0"/>
    <n v="0"/>
    <n v="0"/>
    <s v="None"/>
    <n v="17"/>
    <n v="3638"/>
    <n v="29397"/>
    <n v="7720"/>
    <n v="7720"/>
    <x v="1394"/>
    <n v="13500"/>
  </r>
  <r>
    <s v="PR-0967"/>
    <d v="2026-06-27T00:00:00"/>
    <x v="3"/>
    <x v="3"/>
    <s v="Saturday"/>
    <x v="2"/>
    <x v="1"/>
    <x v="1"/>
    <s v="Toothbrush"/>
    <x v="10"/>
    <s v="Medium Toothbrush"/>
    <s v="B260627-L4C"/>
    <s v="M. Khan"/>
    <x v="2"/>
    <x v="1"/>
    <x v="7"/>
    <n v="9090"/>
    <n v="8910"/>
    <n v="166"/>
    <n v="1.8630751964085299E-2"/>
    <n v="0.98019801980198018"/>
    <x v="4"/>
    <n v="0"/>
    <n v="0"/>
    <s v="None"/>
    <n v="17"/>
    <n v="2822"/>
    <n v="30161"/>
    <n v="8770"/>
    <n v="8770"/>
    <x v="1395"/>
    <n v="13500"/>
  </r>
  <r>
    <s v="PR-0012"/>
    <d v="2026-04-01T00:00:00"/>
    <x v="5"/>
    <x v="5"/>
    <s v="Wednesday"/>
    <x v="2"/>
    <x v="1"/>
    <x v="1"/>
    <s v="Toothbrush"/>
    <x v="11"/>
    <s v="Soft Toothbrush"/>
    <s v="B260401-L4C"/>
    <s v="A. Gupta"/>
    <x v="2"/>
    <x v="1"/>
    <x v="7"/>
    <n v="9380"/>
    <n v="9290"/>
    <n v="199"/>
    <n v="2.1420882669537136E-2"/>
    <n v="0.99040511727078895"/>
    <x v="2"/>
    <n v="35"/>
    <n v="0.58333333333333337"/>
    <s v="Changeover"/>
    <n v="18"/>
    <n v="3582"/>
    <n v="30000"/>
    <n v="8930"/>
    <n v="8930"/>
    <x v="1396"/>
    <n v="15000"/>
  </r>
  <r>
    <s v="PR-0951"/>
    <d v="2026-06-26T00:00:00"/>
    <x v="3"/>
    <x v="3"/>
    <s v="Friday"/>
    <x v="1"/>
    <x v="1"/>
    <x v="1"/>
    <s v="Toothbrush"/>
    <x v="10"/>
    <s v="Medium Toothbrush"/>
    <s v="B260626-L4B"/>
    <s v="S. Yadav"/>
    <x v="1"/>
    <x v="1"/>
    <x v="7"/>
    <n v="9650"/>
    <n v="8920"/>
    <n v="248"/>
    <n v="2.780269058295964E-2"/>
    <n v="0.92435233160621766"/>
    <x v="5"/>
    <n v="0"/>
    <n v="0"/>
    <s v="None"/>
    <n v="17"/>
    <n v="4216"/>
    <n v="30589"/>
    <n v="9100"/>
    <n v="9100"/>
    <x v="1396"/>
    <n v="13500"/>
  </r>
  <r>
    <s v="PR-0889"/>
    <d v="2026-06-20T00:00:00"/>
    <x v="3"/>
    <x v="3"/>
    <s v="Saturday"/>
    <x v="2"/>
    <x v="1"/>
    <x v="1"/>
    <s v="Toothbrush"/>
    <x v="10"/>
    <s v="Medium Toothbrush"/>
    <s v="B260620-L4C"/>
    <s v="A. Gupta"/>
    <x v="1"/>
    <x v="1"/>
    <x v="0"/>
    <n v="8350"/>
    <n v="7830"/>
    <n v="145"/>
    <n v="1.8518518518518517E-2"/>
    <n v="0.93772455089820361"/>
    <x v="2"/>
    <n v="0"/>
    <n v="0"/>
    <s v="None"/>
    <n v="17"/>
    <n v="2465"/>
    <n v="29723"/>
    <n v="7240"/>
    <n v="7240"/>
    <x v="1397"/>
    <n v="13500"/>
  </r>
  <r>
    <s v="PR-1123"/>
    <d v="2026-07-12T00:00:00"/>
    <x v="2"/>
    <x v="2"/>
    <s v="Sunday"/>
    <x v="1"/>
    <x v="3"/>
    <x v="3"/>
    <s v="Toothpaste"/>
    <x v="7"/>
    <s v="Sensitive Toothpaste 100g"/>
    <s v="B260712-L1B"/>
    <s v="S. Yadav"/>
    <x v="2"/>
    <x v="3"/>
    <x v="3"/>
    <n v="5340"/>
    <n v="4910"/>
    <n v="109"/>
    <n v="2.2199592668024438E-2"/>
    <n v="0.91947565543071164"/>
    <x v="3"/>
    <n v="0"/>
    <n v="0"/>
    <s v="None"/>
    <n v="42"/>
    <n v="4578"/>
    <n v="30030"/>
    <n v="4650"/>
    <n v="4650"/>
    <x v="1398"/>
    <n v="12000"/>
  </r>
  <r>
    <s v="PR-1660"/>
    <d v="2026-08-30T00:00:00"/>
    <x v="1"/>
    <x v="1"/>
    <s v="Sunday"/>
    <x v="1"/>
    <x v="1"/>
    <x v="1"/>
    <s v="Toothbrush"/>
    <x v="10"/>
    <s v="Medium Toothbrush"/>
    <s v="B260830-L4B"/>
    <s v="S. Yadav"/>
    <x v="2"/>
    <x v="1"/>
    <x v="6"/>
    <n v="6220"/>
    <n v="5890"/>
    <n v="127"/>
    <n v="2.1561969439728355E-2"/>
    <n v="0.94694533762057875"/>
    <x v="3"/>
    <n v="60"/>
    <n v="1"/>
    <s v="Cleaning / Sanitation"/>
    <n v="17"/>
    <n v="2159"/>
    <n v="30436"/>
    <n v="5970"/>
    <n v="5970"/>
    <x v="1399"/>
    <n v="13500"/>
  </r>
  <r>
    <s v="PR-1031"/>
    <d v="2026-07-03T00:00:00"/>
    <x v="2"/>
    <x v="2"/>
    <s v="Friday"/>
    <x v="2"/>
    <x v="2"/>
    <x v="2"/>
    <s v="Dental Floss"/>
    <x v="9"/>
    <s v="Waxed Floss 50m"/>
    <s v="B260703-L3C"/>
    <s v="A. Gupta"/>
    <x v="2"/>
    <x v="2"/>
    <x v="10"/>
    <n v="7270"/>
    <n v="6760"/>
    <n v="148"/>
    <n v="2.1893491124260357E-2"/>
    <n v="0.92984869325997244"/>
    <x v="5"/>
    <n v="56"/>
    <n v="0.93333333333333335"/>
    <s v="Machine Breakdown"/>
    <n v="24"/>
    <n v="3552"/>
    <n v="30468"/>
    <n v="6850"/>
    <n v="6850"/>
    <x v="1400"/>
    <n v="12000"/>
  </r>
  <r>
    <s v="PR-1148"/>
    <d v="2026-07-14T00:00:00"/>
    <x v="2"/>
    <x v="2"/>
    <s v="Tuesday"/>
    <x v="2"/>
    <x v="2"/>
    <x v="2"/>
    <s v="Dental Floss"/>
    <x v="9"/>
    <s v="Waxed Floss 50m"/>
    <s v="B260714-L3C"/>
    <s v="A. Gupta"/>
    <x v="2"/>
    <x v="2"/>
    <x v="8"/>
    <n v="7930"/>
    <n v="7160"/>
    <n v="132"/>
    <n v="1.8435754189944135E-2"/>
    <n v="0.90290037831021441"/>
    <x v="4"/>
    <n v="0"/>
    <n v="0"/>
    <s v="None"/>
    <n v="24"/>
    <n v="3168"/>
    <n v="30547"/>
    <n v="7330"/>
    <n v="7330"/>
    <x v="1401"/>
    <n v="12000"/>
  </r>
  <r>
    <s v="PR-0861"/>
    <d v="2026-06-18T00:00:00"/>
    <x v="3"/>
    <x v="3"/>
    <s v="Thursday"/>
    <x v="1"/>
    <x v="1"/>
    <x v="1"/>
    <s v="Toothbrush"/>
    <x v="10"/>
    <s v="Medium Toothbrush"/>
    <s v="B260618-L4B"/>
    <s v="S. Yadav"/>
    <x v="2"/>
    <x v="1"/>
    <x v="1"/>
    <n v="8370"/>
    <n v="7720"/>
    <n v="170"/>
    <n v="2.2020725388601035E-2"/>
    <n v="0.92234169653524489"/>
    <x v="2"/>
    <n v="25"/>
    <n v="0.41666666666666669"/>
    <s v="Machine Breakdown"/>
    <n v="17"/>
    <n v="2890"/>
    <n v="30052"/>
    <n v="7350"/>
    <n v="7350"/>
    <x v="1402"/>
    <n v="13500"/>
  </r>
  <r>
    <s v="PR-1299"/>
    <d v="2026-07-28T00:00:00"/>
    <x v="2"/>
    <x v="2"/>
    <s v="Tuesday"/>
    <x v="1"/>
    <x v="1"/>
    <x v="1"/>
    <s v="Toothbrush"/>
    <x v="10"/>
    <s v="Medium Toothbrush"/>
    <s v="B260728-L4B"/>
    <s v="S. Yadav"/>
    <x v="2"/>
    <x v="1"/>
    <x v="1"/>
    <n v="9570"/>
    <n v="8780"/>
    <n v="185"/>
    <n v="2.1070615034168565E-2"/>
    <n v="0.91745036572622785"/>
    <x v="0"/>
    <n v="0"/>
    <n v="0"/>
    <s v="None"/>
    <n v="17"/>
    <n v="3145"/>
    <n v="29137"/>
    <n v="7480"/>
    <n v="7480"/>
    <x v="1402"/>
    <n v="13500"/>
  </r>
  <r>
    <s v="PR-1050"/>
    <d v="2026-07-06T00:00:00"/>
    <x v="2"/>
    <x v="2"/>
    <s v="Monday"/>
    <x v="0"/>
    <x v="0"/>
    <x v="0"/>
    <s v="Mouthwash"/>
    <x v="0"/>
    <s v="Mint Mouthwash 250ml"/>
    <s v="B260706-L2A"/>
    <s v="K. Verma"/>
    <x v="0"/>
    <x v="0"/>
    <x v="1"/>
    <n v="7070"/>
    <n v="6630"/>
    <n v="661"/>
    <n v="9.969834087481147E-2"/>
    <n v="0.93776520509193773"/>
    <x v="1"/>
    <n v="0"/>
    <n v="0"/>
    <s v="None"/>
    <n v="46"/>
    <n v="30406"/>
    <n v="30595"/>
    <n v="6310"/>
    <n v="6310"/>
    <x v="1403"/>
    <n v="10500"/>
  </r>
  <r>
    <s v="PR-1668"/>
    <d v="2026-08-31T00:00:00"/>
    <x v="1"/>
    <x v="1"/>
    <s v="Monday"/>
    <x v="1"/>
    <x v="1"/>
    <x v="1"/>
    <s v="Toothbrush"/>
    <x v="10"/>
    <s v="Medium Toothbrush"/>
    <s v="B260831-L4B"/>
    <s v="S. Yadav"/>
    <x v="2"/>
    <x v="1"/>
    <x v="7"/>
    <n v="8440"/>
    <n v="8500"/>
    <n v="185"/>
    <n v="2.1764705882352939E-2"/>
    <n v="1.0071090047393365"/>
    <x v="2"/>
    <n v="24"/>
    <n v="0.4"/>
    <s v="Changeover"/>
    <n v="17"/>
    <n v="3145"/>
    <n v="30229"/>
    <n v="8280"/>
    <n v="8280"/>
    <x v="1404"/>
    <n v="13500"/>
  </r>
  <r>
    <s v="PR-0685"/>
    <d v="2026-06-02T00:00:00"/>
    <x v="3"/>
    <x v="3"/>
    <s v="Tuesday"/>
    <x v="2"/>
    <x v="2"/>
    <x v="2"/>
    <s v="Dental Floss"/>
    <x v="9"/>
    <s v="Waxed Floss 50m"/>
    <s v="B260602-L3C"/>
    <s v="A. Gupta"/>
    <x v="1"/>
    <x v="2"/>
    <x v="8"/>
    <n v="7280"/>
    <n v="6990"/>
    <n v="128"/>
    <n v="1.8311874105865523E-2"/>
    <n v="0.9601648351648352"/>
    <x v="2"/>
    <n v="0"/>
    <n v="0"/>
    <s v="None"/>
    <n v="24"/>
    <n v="3072"/>
    <n v="28944"/>
    <n v="5530"/>
    <n v="5530"/>
    <x v="1405"/>
    <n v="12000"/>
  </r>
  <r>
    <s v="PR-0814"/>
    <d v="2026-06-14T00:00:00"/>
    <x v="3"/>
    <x v="3"/>
    <s v="Sunday"/>
    <x v="0"/>
    <x v="1"/>
    <x v="1"/>
    <s v="Toothbrush"/>
    <x v="10"/>
    <s v="Medium Toothbrush"/>
    <s v="B260614-L4A"/>
    <s v="R. Sharma"/>
    <x v="2"/>
    <x v="1"/>
    <x v="1"/>
    <n v="5980"/>
    <n v="5160"/>
    <n v="173"/>
    <n v="3.3527131782945738E-2"/>
    <n v="0.86287625418060199"/>
    <x v="4"/>
    <n v="0"/>
    <n v="0"/>
    <s v="None"/>
    <n v="17"/>
    <n v="2941"/>
    <n v="30952"/>
    <n v="5650"/>
    <n v="5650"/>
    <x v="1406"/>
    <n v="13500"/>
  </r>
  <r>
    <s v="PR-0962"/>
    <d v="2026-06-27T00:00:00"/>
    <x v="3"/>
    <x v="3"/>
    <s v="Saturday"/>
    <x v="1"/>
    <x v="2"/>
    <x v="2"/>
    <s v="Dental Floss"/>
    <x v="9"/>
    <s v="Waxed Floss 50m"/>
    <s v="B260627-L3B"/>
    <s v="S. Yadav"/>
    <x v="1"/>
    <x v="2"/>
    <x v="8"/>
    <n v="7980"/>
    <n v="7140"/>
    <n v="283"/>
    <n v="3.9635854341736693E-2"/>
    <n v="0.89473684210526316"/>
    <x v="3"/>
    <n v="0"/>
    <n v="0"/>
    <s v="None"/>
    <n v="24"/>
    <n v="6792"/>
    <n v="31695"/>
    <n v="8260"/>
    <n v="8260"/>
    <x v="1407"/>
    <n v="12000"/>
  </r>
  <r>
    <s v="PR-0693"/>
    <d v="2026-06-03T00:00:00"/>
    <x v="3"/>
    <x v="3"/>
    <s v="Wednesday"/>
    <x v="1"/>
    <x v="2"/>
    <x v="2"/>
    <s v="Dental Floss"/>
    <x v="9"/>
    <s v="Waxed Floss 50m"/>
    <s v="B260603-L3B"/>
    <s v="P. Singh"/>
    <x v="1"/>
    <x v="2"/>
    <x v="8"/>
    <n v="8360"/>
    <n v="8080"/>
    <n v="228"/>
    <n v="2.8217821782178219E-2"/>
    <n v="0.96650717703349287"/>
    <x v="5"/>
    <n v="0"/>
    <n v="0"/>
    <s v="None"/>
    <n v="24"/>
    <n v="5472"/>
    <n v="29539"/>
    <n v="7090"/>
    <n v="7090"/>
    <x v="1408"/>
    <n v="12000"/>
  </r>
  <r>
    <s v="PR-0169"/>
    <d v="2026-04-16T00:00:00"/>
    <x v="5"/>
    <x v="5"/>
    <s v="Thursday"/>
    <x v="0"/>
    <x v="1"/>
    <x v="1"/>
    <s v="Toothbrush"/>
    <x v="11"/>
    <s v="Soft Toothbrush"/>
    <s v="B260416-L4A"/>
    <s v="K. Verma"/>
    <x v="1"/>
    <x v="1"/>
    <x v="7"/>
    <n v="10440"/>
    <n v="9920"/>
    <n v="356"/>
    <n v="3.588709677419355E-2"/>
    <n v="0.95019157088122608"/>
    <x v="5"/>
    <n v="0"/>
    <n v="0"/>
    <s v="None"/>
    <n v="18"/>
    <n v="6408"/>
    <n v="30587"/>
    <n v="9830"/>
    <n v="9830"/>
    <x v="1409"/>
    <n v="15000"/>
  </r>
  <r>
    <s v="PR-1532"/>
    <d v="2026-08-18T00:00:00"/>
    <x v="1"/>
    <x v="1"/>
    <s v="Tuesday"/>
    <x v="2"/>
    <x v="1"/>
    <x v="1"/>
    <s v="Toothbrush"/>
    <x v="10"/>
    <s v="Medium Toothbrush"/>
    <s v="B260818-L4C"/>
    <s v="A. Gupta"/>
    <x v="1"/>
    <x v="1"/>
    <x v="1"/>
    <n v="7900"/>
    <n v="7080"/>
    <n v="187"/>
    <n v="2.6412429378531072E-2"/>
    <n v="0.89620253164556962"/>
    <x v="0"/>
    <n v="16"/>
    <n v="0.26666666666666666"/>
    <s v="Machine Breakdown"/>
    <n v="17"/>
    <n v="3179"/>
    <n v="30915"/>
    <n v="7450"/>
    <n v="7450"/>
    <x v="1410"/>
    <n v="13500"/>
  </r>
  <r>
    <s v="PR-0812"/>
    <d v="2026-06-14T00:00:00"/>
    <x v="3"/>
    <x v="3"/>
    <s v="Sunday"/>
    <x v="0"/>
    <x v="0"/>
    <x v="0"/>
    <s v="Mouthwash"/>
    <x v="0"/>
    <s v="Mint Mouthwash 250ml"/>
    <s v="B260614-L2A"/>
    <s v="K. Verma"/>
    <x v="2"/>
    <x v="0"/>
    <x v="1"/>
    <n v="5000"/>
    <n v="4680"/>
    <n v="130"/>
    <n v="2.7777777777777776E-2"/>
    <n v="0.93600000000000005"/>
    <x v="0"/>
    <n v="0"/>
    <n v="0"/>
    <s v="None"/>
    <n v="46"/>
    <n v="5980"/>
    <n v="30622"/>
    <n v="4800"/>
    <n v="4800"/>
    <x v="1411"/>
    <n v="10500"/>
  </r>
  <r>
    <s v="PR-1303"/>
    <d v="2026-07-28T00:00:00"/>
    <x v="2"/>
    <x v="2"/>
    <s v="Tuesday"/>
    <x v="2"/>
    <x v="1"/>
    <x v="1"/>
    <s v="Toothbrush"/>
    <x v="10"/>
    <s v="Medium Toothbrush"/>
    <s v="B260728-L4C"/>
    <s v="M. Khan"/>
    <x v="2"/>
    <x v="1"/>
    <x v="6"/>
    <n v="9050"/>
    <n v="8580"/>
    <n v="223"/>
    <n v="2.599067599067599E-2"/>
    <n v="0.94806629834254141"/>
    <x v="3"/>
    <n v="0"/>
    <n v="0"/>
    <s v="None"/>
    <n v="17"/>
    <n v="3791"/>
    <n v="30252"/>
    <n v="8200"/>
    <n v="8200"/>
    <x v="1412"/>
    <n v="13500"/>
  </r>
  <r>
    <s v="PR-0903"/>
    <d v="2026-06-22T00:00:00"/>
    <x v="3"/>
    <x v="3"/>
    <s v="Monday"/>
    <x v="1"/>
    <x v="1"/>
    <x v="1"/>
    <s v="Toothbrush"/>
    <x v="10"/>
    <s v="Medium Toothbrush"/>
    <s v="B260622-L4B"/>
    <s v="P. Singh"/>
    <x v="1"/>
    <x v="1"/>
    <x v="6"/>
    <n v="8680"/>
    <n v="7750"/>
    <n v="151"/>
    <n v="1.9483870967741936E-2"/>
    <n v="0.8928571428571429"/>
    <x v="4"/>
    <n v="47"/>
    <n v="0.78333333333333333"/>
    <s v="Changeover"/>
    <n v="17"/>
    <n v="2567"/>
    <n v="30762"/>
    <n v="7950"/>
    <n v="7950"/>
    <x v="1413"/>
    <n v="13500"/>
  </r>
  <r>
    <s v="PR-1596"/>
    <d v="2026-08-24T00:00:00"/>
    <x v="1"/>
    <x v="1"/>
    <s v="Monday"/>
    <x v="2"/>
    <x v="1"/>
    <x v="1"/>
    <s v="Toothbrush"/>
    <x v="10"/>
    <s v="Medium Toothbrush"/>
    <s v="B260824-L4C"/>
    <s v="A. Gupta"/>
    <x v="2"/>
    <x v="1"/>
    <x v="6"/>
    <n v="8640"/>
    <n v="7780"/>
    <n v="132"/>
    <n v="1.6966580976863752E-2"/>
    <n v="0.90046296296296291"/>
    <x v="4"/>
    <n v="25"/>
    <n v="0.41666666666666669"/>
    <s v="Machine Breakdown"/>
    <n v="17"/>
    <n v="2244"/>
    <n v="31373"/>
    <n v="8600"/>
    <n v="8600"/>
    <x v="1414"/>
    <n v="13500"/>
  </r>
  <r>
    <s v="PR-1149"/>
    <d v="2026-07-14T00:00:00"/>
    <x v="2"/>
    <x v="2"/>
    <s v="Tuesday"/>
    <x v="2"/>
    <x v="1"/>
    <x v="1"/>
    <s v="Toothbrush"/>
    <x v="10"/>
    <s v="Medium Toothbrush"/>
    <s v="B260714-L4C"/>
    <s v="A. Gupta"/>
    <x v="1"/>
    <x v="1"/>
    <x v="0"/>
    <n v="8640"/>
    <n v="7880"/>
    <n v="205"/>
    <n v="2.6015228426395941E-2"/>
    <n v="0.91203703703703709"/>
    <x v="2"/>
    <n v="49"/>
    <n v="0.81666666666666665"/>
    <s v="Power Interruption"/>
    <n v="17"/>
    <n v="3485"/>
    <n v="30080"/>
    <n v="7320"/>
    <n v="7320"/>
    <x v="1415"/>
    <n v="13500"/>
  </r>
  <r>
    <s v="PR-1659"/>
    <d v="2026-08-30T00:00:00"/>
    <x v="1"/>
    <x v="1"/>
    <s v="Sunday"/>
    <x v="0"/>
    <x v="1"/>
    <x v="1"/>
    <s v="Toothbrush"/>
    <x v="10"/>
    <s v="Medium Toothbrush"/>
    <s v="B260830-L4A"/>
    <s v="K. Verma"/>
    <x v="1"/>
    <x v="1"/>
    <x v="7"/>
    <n v="6220"/>
    <n v="5710"/>
    <n v="97"/>
    <n v="1.6987740805604203E-2"/>
    <n v="0.91800643086816724"/>
    <x v="3"/>
    <n v="0"/>
    <n v="0"/>
    <s v="None"/>
    <n v="17"/>
    <n v="1649"/>
    <n v="30713"/>
    <n v="5890"/>
    <n v="5890"/>
    <x v="1416"/>
    <n v="13500"/>
  </r>
  <r>
    <s v="PR-1731"/>
    <d v="2026-09-05T00:00:00"/>
    <x v="0"/>
    <x v="0"/>
    <s v="Saturday"/>
    <x v="2"/>
    <x v="2"/>
    <x v="2"/>
    <s v="Dental Floss"/>
    <x v="9"/>
    <s v="Waxed Floss 50m"/>
    <s v="B260905-L3C"/>
    <s v="M. Khan"/>
    <x v="1"/>
    <x v="2"/>
    <x v="9"/>
    <n v="7020"/>
    <n v="6110"/>
    <n v="139"/>
    <n v="2.2749590834697218E-2"/>
    <n v="0.87037037037037035"/>
    <x v="3"/>
    <n v="0"/>
    <n v="0"/>
    <s v="None"/>
    <n v="24"/>
    <n v="3336"/>
    <n v="30961"/>
    <n v="6470"/>
    <n v="6470"/>
    <x v="1417"/>
    <n v="12000"/>
  </r>
  <r>
    <s v="PR-1023"/>
    <d v="2026-07-03T00:00:00"/>
    <x v="2"/>
    <x v="2"/>
    <s v="Friday"/>
    <x v="0"/>
    <x v="2"/>
    <x v="2"/>
    <s v="Dental Floss"/>
    <x v="9"/>
    <s v="Waxed Floss 50m"/>
    <s v="B260703-L3A"/>
    <s v="R. Sharma"/>
    <x v="2"/>
    <x v="2"/>
    <x v="10"/>
    <n v="7500"/>
    <n v="7190"/>
    <n v="242"/>
    <n v="3.3657858136300414E-2"/>
    <n v="0.95866666666666667"/>
    <x v="5"/>
    <n v="0"/>
    <n v="0"/>
    <s v="None"/>
    <n v="24"/>
    <n v="5808"/>
    <n v="29920"/>
    <n v="6400"/>
    <n v="6400"/>
    <x v="1418"/>
    <n v="12000"/>
  </r>
  <r>
    <s v="PR-1494"/>
    <d v="2026-08-14T00:00:00"/>
    <x v="1"/>
    <x v="1"/>
    <s v="Friday"/>
    <x v="2"/>
    <x v="1"/>
    <x v="1"/>
    <s v="Toothbrush"/>
    <x v="10"/>
    <s v="Medium Toothbrush"/>
    <s v="B260814-L4C"/>
    <s v="A. Gupta"/>
    <x v="1"/>
    <x v="1"/>
    <x v="6"/>
    <n v="8260"/>
    <n v="8120"/>
    <n v="199"/>
    <n v="2.4507389162561576E-2"/>
    <n v="0.98305084745762716"/>
    <x v="2"/>
    <n v="0"/>
    <n v="0"/>
    <s v="None"/>
    <n v="17"/>
    <n v="3383"/>
    <n v="29394"/>
    <n v="6840"/>
    <n v="6840"/>
    <x v="1419"/>
    <n v="13500"/>
  </r>
  <r>
    <s v="PR-0870"/>
    <d v="2026-06-19T00:00:00"/>
    <x v="3"/>
    <x v="3"/>
    <s v="Friday"/>
    <x v="1"/>
    <x v="3"/>
    <x v="3"/>
    <s v="Toothpaste"/>
    <x v="8"/>
    <s v="Whitening Toothpaste 100g"/>
    <s v="B260619-L1B"/>
    <s v="S. Yadav"/>
    <x v="2"/>
    <x v="3"/>
    <x v="3"/>
    <n v="8440"/>
    <n v="7860"/>
    <n v="154"/>
    <n v="1.9592875318066159E-2"/>
    <n v="0.93127962085308058"/>
    <x v="5"/>
    <n v="0"/>
    <n v="0"/>
    <s v="None"/>
    <n v="38"/>
    <n v="5852"/>
    <n v="30818"/>
    <n v="8040"/>
    <n v="8040"/>
    <x v="1420"/>
    <n v="13500"/>
  </r>
  <r>
    <s v="PR-0073"/>
    <d v="2026-04-07T00:00:00"/>
    <x v="5"/>
    <x v="5"/>
    <s v="Tuesday"/>
    <x v="1"/>
    <x v="1"/>
    <x v="1"/>
    <s v="Toothbrush"/>
    <x v="11"/>
    <s v="Soft Toothbrush"/>
    <s v="B260407-L4B"/>
    <s v="P. Singh"/>
    <x v="1"/>
    <x v="1"/>
    <x v="6"/>
    <n v="9340"/>
    <n v="8600"/>
    <n v="164"/>
    <n v="1.9069767441860466E-2"/>
    <n v="0.92077087794432544"/>
    <x v="0"/>
    <n v="0"/>
    <n v="0"/>
    <s v="None"/>
    <n v="18"/>
    <n v="2952"/>
    <n v="31334"/>
    <n v="9280"/>
    <n v="9280"/>
    <x v="1421"/>
    <n v="15000"/>
  </r>
  <r>
    <s v="PR-1782"/>
    <d v="2026-09-10T00:00:00"/>
    <x v="0"/>
    <x v="0"/>
    <s v="Thursday"/>
    <x v="2"/>
    <x v="2"/>
    <x v="2"/>
    <s v="Dental Floss"/>
    <x v="9"/>
    <s v="Waxed Floss 50m"/>
    <s v="B260910-L3C"/>
    <s v="A. Gupta"/>
    <x v="2"/>
    <x v="2"/>
    <x v="10"/>
    <n v="7660"/>
    <n v="7720"/>
    <n v="148"/>
    <n v="1.9170984455958551E-2"/>
    <n v="1.0078328981723237"/>
    <x v="3"/>
    <n v="0"/>
    <n v="0"/>
    <s v="None"/>
    <n v="24"/>
    <n v="3552"/>
    <n v="29678"/>
    <n v="6730"/>
    <n v="6730"/>
    <x v="1422"/>
    <n v="12000"/>
  </r>
  <r>
    <s v="PR-1392"/>
    <d v="2026-08-06T00:00:00"/>
    <x v="1"/>
    <x v="1"/>
    <s v="Thursday"/>
    <x v="0"/>
    <x v="3"/>
    <x v="3"/>
    <s v="Toothpaste"/>
    <x v="7"/>
    <s v="Sensitive Toothpaste 100g"/>
    <s v="B260806-L1A"/>
    <s v="R. Sharma"/>
    <x v="1"/>
    <x v="3"/>
    <x v="2"/>
    <n v="7910"/>
    <n v="8230"/>
    <n v="250"/>
    <n v="3.0376670716889428E-2"/>
    <n v="1.0404551201011378"/>
    <x v="0"/>
    <n v="11"/>
    <n v="0.18333333333333332"/>
    <s v="Machine Breakdown"/>
    <n v="42"/>
    <n v="10500"/>
    <n v="29371"/>
    <n v="6830"/>
    <n v="6830"/>
    <x v="1423"/>
    <n v="12000"/>
  </r>
  <r>
    <s v="PR-1691"/>
    <d v="2026-09-02T00:00:00"/>
    <x v="0"/>
    <x v="0"/>
    <s v="Wednesday"/>
    <x v="1"/>
    <x v="2"/>
    <x v="2"/>
    <s v="Dental Floss"/>
    <x v="9"/>
    <s v="Waxed Floss 50m"/>
    <s v="B260902-L3B"/>
    <s v="S. Yadav"/>
    <x v="2"/>
    <x v="2"/>
    <x v="10"/>
    <n v="7750"/>
    <n v="7780"/>
    <n v="70"/>
    <n v="8.9974293059125968E-3"/>
    <n v="1.0038709677419355"/>
    <x v="4"/>
    <n v="0"/>
    <n v="0"/>
    <s v="None"/>
    <n v="24"/>
    <n v="1680"/>
    <n v="28954"/>
    <n v="6140"/>
    <n v="6140"/>
    <x v="1424"/>
    <n v="12000"/>
  </r>
  <r>
    <s v="PR-1144"/>
    <d v="2026-07-14T00:00:00"/>
    <x v="2"/>
    <x v="2"/>
    <s v="Tuesday"/>
    <x v="1"/>
    <x v="2"/>
    <x v="2"/>
    <s v="Dental Floss"/>
    <x v="9"/>
    <s v="Waxed Floss 50m"/>
    <s v="B260714-L3B"/>
    <s v="P. Singh"/>
    <x v="1"/>
    <x v="2"/>
    <x v="8"/>
    <n v="8540"/>
    <n v="7780"/>
    <n v="185"/>
    <n v="2.377892030848329E-2"/>
    <n v="0.91100702576112413"/>
    <x v="3"/>
    <n v="49"/>
    <n v="0.81666666666666665"/>
    <s v="Changeover"/>
    <n v="24"/>
    <n v="4440"/>
    <n v="31802"/>
    <n v="8850"/>
    <n v="8850"/>
    <x v="1425"/>
    <n v="12000"/>
  </r>
  <r>
    <s v="PR-0024"/>
    <d v="2026-04-02T00:00:00"/>
    <x v="5"/>
    <x v="5"/>
    <s v="Thursday"/>
    <x v="2"/>
    <x v="1"/>
    <x v="1"/>
    <s v="Toothbrush"/>
    <x v="11"/>
    <s v="Soft Toothbrush"/>
    <s v="B260402-L4C"/>
    <s v="A. Gupta"/>
    <x v="1"/>
    <x v="1"/>
    <x v="0"/>
    <n v="10020"/>
    <n v="9190"/>
    <n v="116"/>
    <n v="1.2622415669205658E-2"/>
    <n v="0.91716566866267468"/>
    <x v="2"/>
    <n v="0"/>
    <n v="0"/>
    <s v="None"/>
    <n v="18"/>
    <n v="2088"/>
    <n v="30161"/>
    <n v="8680"/>
    <n v="8680"/>
    <x v="1426"/>
    <n v="15000"/>
  </r>
  <r>
    <s v="PR-0161"/>
    <d v="2026-04-15T00:00:00"/>
    <x v="5"/>
    <x v="5"/>
    <s v="Wednesday"/>
    <x v="1"/>
    <x v="1"/>
    <x v="1"/>
    <s v="Toothbrush"/>
    <x v="11"/>
    <s v="Soft Toothbrush"/>
    <s v="B260415-L4B"/>
    <s v="S. Yadav"/>
    <x v="2"/>
    <x v="1"/>
    <x v="6"/>
    <n v="10440"/>
    <n v="9650"/>
    <n v="251"/>
    <n v="2.6010362694300519E-2"/>
    <n v="0.92432950191570884"/>
    <x v="3"/>
    <n v="0"/>
    <n v="0"/>
    <s v="None"/>
    <n v="18"/>
    <n v="4518"/>
    <n v="31078"/>
    <n v="9890"/>
    <n v="9890"/>
    <x v="1427"/>
    <n v="15000"/>
  </r>
  <r>
    <s v="PR-0947"/>
    <d v="2026-06-26T00:00:00"/>
    <x v="3"/>
    <x v="3"/>
    <s v="Friday"/>
    <x v="0"/>
    <x v="1"/>
    <x v="1"/>
    <s v="Toothbrush"/>
    <x v="10"/>
    <s v="Medium Toothbrush"/>
    <s v="B260626-L4A"/>
    <s v="R. Sharma"/>
    <x v="2"/>
    <x v="1"/>
    <x v="6"/>
    <n v="8970"/>
    <n v="7910"/>
    <n v="234"/>
    <n v="2.9582806573957017E-2"/>
    <n v="0.88182831661092531"/>
    <x v="5"/>
    <n v="0"/>
    <n v="0"/>
    <s v="None"/>
    <n v="17"/>
    <n v="3978"/>
    <n v="30133"/>
    <n v="7220"/>
    <n v="7220"/>
    <x v="1428"/>
    <n v="13500"/>
  </r>
  <r>
    <s v="PR-1420"/>
    <d v="2026-08-08T00:00:00"/>
    <x v="1"/>
    <x v="1"/>
    <s v="Saturday"/>
    <x v="1"/>
    <x v="3"/>
    <x v="3"/>
    <s v="Toothpaste"/>
    <x v="7"/>
    <s v="Sensitive Toothpaste 100g"/>
    <s v="B260808-L1B"/>
    <s v="P. Singh"/>
    <x v="1"/>
    <x v="3"/>
    <x v="2"/>
    <n v="7940"/>
    <n v="7810"/>
    <n v="226"/>
    <n v="2.8937259923175414E-2"/>
    <n v="0.98362720403022674"/>
    <x v="5"/>
    <n v="0"/>
    <n v="0"/>
    <s v="None"/>
    <n v="42"/>
    <n v="9492"/>
    <n v="30045"/>
    <n v="7040"/>
    <n v="7040"/>
    <x v="1428"/>
    <n v="12000"/>
  </r>
  <r>
    <s v="PR-1042"/>
    <d v="2026-07-04T00:00:00"/>
    <x v="2"/>
    <x v="2"/>
    <s v="Saturday"/>
    <x v="2"/>
    <x v="0"/>
    <x v="0"/>
    <s v="Mouthwash"/>
    <x v="0"/>
    <s v="Mint Mouthwash 250ml"/>
    <s v="B260704-L2C"/>
    <s v="A. Gupta"/>
    <x v="0"/>
    <x v="0"/>
    <x v="2"/>
    <n v="5210"/>
    <n v="4710"/>
    <n v="593"/>
    <n v="0.12590233545647558"/>
    <n v="0.90403071017274472"/>
    <x v="0"/>
    <n v="0"/>
    <n v="0"/>
    <s v="None"/>
    <n v="46"/>
    <n v="27278"/>
    <n v="31718"/>
    <n v="5240"/>
    <n v="5240"/>
    <x v="1429"/>
    <n v="10500"/>
  </r>
  <r>
    <s v="PR-1829"/>
    <d v="2026-09-15T00:00:00"/>
    <x v="0"/>
    <x v="0"/>
    <s v="Tuesday"/>
    <x v="1"/>
    <x v="2"/>
    <x v="2"/>
    <s v="Dental Floss"/>
    <x v="9"/>
    <s v="Waxed Floss 50m"/>
    <s v="B260915-L3B"/>
    <s v="S. Yadav"/>
    <x v="1"/>
    <x v="2"/>
    <x v="8"/>
    <n v="8440"/>
    <n v="7880"/>
    <n v="277"/>
    <n v="3.5152284263959388E-2"/>
    <n v="0.93364928909952605"/>
    <x v="0"/>
    <n v="0"/>
    <n v="0"/>
    <s v="None"/>
    <n v="24"/>
    <n v="6648"/>
    <n v="30893"/>
    <n v="7880"/>
    <n v="7880"/>
    <x v="1430"/>
    <n v="12000"/>
  </r>
  <r>
    <s v="PR-0809"/>
    <d v="2026-06-13T00:00:00"/>
    <x v="3"/>
    <x v="3"/>
    <s v="Saturday"/>
    <x v="2"/>
    <x v="0"/>
    <x v="0"/>
    <s v="Mouthwash"/>
    <x v="0"/>
    <s v="Mint Mouthwash 250ml"/>
    <s v="B260613-L2C"/>
    <s v="M. Khan"/>
    <x v="1"/>
    <x v="0"/>
    <x v="0"/>
    <n v="7060"/>
    <n v="6760"/>
    <n v="126"/>
    <n v="1.8639053254437869E-2"/>
    <n v="0.95750708215297453"/>
    <x v="2"/>
    <n v="0"/>
    <n v="0"/>
    <s v="None"/>
    <n v="46"/>
    <n v="5796"/>
    <n v="29528"/>
    <n v="5540"/>
    <n v="5540"/>
    <x v="1431"/>
    <n v="10500"/>
  </r>
  <r>
    <s v="PR-1360"/>
    <d v="2026-08-03T00:00:00"/>
    <x v="1"/>
    <x v="1"/>
    <s v="Monday"/>
    <x v="1"/>
    <x v="3"/>
    <x v="3"/>
    <s v="Toothpaste"/>
    <x v="7"/>
    <s v="Sensitive Toothpaste 100g"/>
    <s v="B260803-L1B"/>
    <s v="P. Singh"/>
    <x v="1"/>
    <x v="3"/>
    <x v="3"/>
    <n v="8280"/>
    <n v="8140"/>
    <n v="341"/>
    <n v="4.1891891891891894E-2"/>
    <n v="0.98309178743961356"/>
    <x v="4"/>
    <n v="0"/>
    <n v="0"/>
    <s v="None"/>
    <n v="42"/>
    <n v="14322"/>
    <n v="29915"/>
    <n v="7070"/>
    <n v="7070"/>
    <x v="1432"/>
    <n v="12000"/>
  </r>
  <r>
    <s v="PR-1652"/>
    <d v="2026-08-29T00:00:00"/>
    <x v="1"/>
    <x v="1"/>
    <s v="Saturday"/>
    <x v="1"/>
    <x v="1"/>
    <x v="1"/>
    <s v="Toothbrush"/>
    <x v="10"/>
    <s v="Medium Toothbrush"/>
    <s v="B260829-L4B"/>
    <s v="S. Yadav"/>
    <x v="2"/>
    <x v="1"/>
    <x v="6"/>
    <n v="9580"/>
    <n v="9380"/>
    <n v="218"/>
    <n v="2.3240938166311301E-2"/>
    <n v="0.97912317327766174"/>
    <x v="3"/>
    <n v="0"/>
    <n v="0"/>
    <s v="None"/>
    <n v="17"/>
    <n v="3706"/>
    <n v="30421"/>
    <n v="8870"/>
    <n v="8870"/>
    <x v="1433"/>
    <n v="13500"/>
  </r>
  <r>
    <s v="PR-1540"/>
    <d v="2026-08-19T00:00:00"/>
    <x v="1"/>
    <x v="1"/>
    <s v="Wednesday"/>
    <x v="1"/>
    <x v="1"/>
    <x v="1"/>
    <s v="Toothbrush"/>
    <x v="10"/>
    <s v="Medium Toothbrush"/>
    <s v="B260819-L4B"/>
    <s v="P. Singh"/>
    <x v="1"/>
    <x v="1"/>
    <x v="6"/>
    <n v="8680"/>
    <n v="8150"/>
    <n v="124"/>
    <n v="1.5214723926380368E-2"/>
    <n v="0.93894009216589858"/>
    <x v="0"/>
    <n v="25"/>
    <n v="0.41666666666666669"/>
    <s v="Material Shortage"/>
    <n v="17"/>
    <n v="2108"/>
    <n v="30358"/>
    <n v="7640"/>
    <n v="7640"/>
    <x v="1434"/>
    <n v="13500"/>
  </r>
  <r>
    <s v="PR-0193"/>
    <d v="2026-04-18T00:00:00"/>
    <x v="5"/>
    <x v="5"/>
    <s v="Saturday"/>
    <x v="0"/>
    <x v="1"/>
    <x v="1"/>
    <s v="Toothbrush"/>
    <x v="11"/>
    <s v="Soft Toothbrush"/>
    <s v="B260418-L4A"/>
    <s v="K. Verma"/>
    <x v="1"/>
    <x v="1"/>
    <x v="0"/>
    <n v="9210"/>
    <n v="8200"/>
    <n v="280"/>
    <n v="3.4146341463414637E-2"/>
    <n v="0.89033659066232351"/>
    <x v="5"/>
    <n v="0"/>
    <n v="0"/>
    <s v="None"/>
    <n v="18"/>
    <n v="5040"/>
    <n v="31227"/>
    <n v="8400"/>
    <n v="8400"/>
    <x v="1435"/>
    <n v="15000"/>
  </r>
  <r>
    <s v="PR-0445"/>
    <d v="2026-05-11T00:00:00"/>
    <x v="4"/>
    <x v="4"/>
    <s v="Monday"/>
    <x v="2"/>
    <x v="1"/>
    <x v="1"/>
    <s v="Toothbrush"/>
    <x v="11"/>
    <s v="Soft Toothbrush"/>
    <s v="B260511-L4C"/>
    <s v="A. Gupta"/>
    <x v="1"/>
    <x v="1"/>
    <x v="6"/>
    <n v="9390"/>
    <n v="8790"/>
    <n v="244"/>
    <n v="2.7758816837315133E-2"/>
    <n v="0.93610223642172519"/>
    <x v="0"/>
    <n v="0"/>
    <n v="0"/>
    <s v="None"/>
    <n v="18"/>
    <n v="4392"/>
    <n v="31192"/>
    <n v="8990"/>
    <n v="8990"/>
    <x v="1436"/>
    <n v="15000"/>
  </r>
  <r>
    <s v="PR-0899"/>
    <d v="2026-06-22T00:00:00"/>
    <x v="3"/>
    <x v="3"/>
    <s v="Monday"/>
    <x v="0"/>
    <x v="1"/>
    <x v="1"/>
    <s v="Toothbrush"/>
    <x v="10"/>
    <s v="Medium Toothbrush"/>
    <s v="B260622-L4A"/>
    <s v="R. Sharma"/>
    <x v="2"/>
    <x v="1"/>
    <x v="7"/>
    <n v="8320"/>
    <n v="8450"/>
    <n v="199"/>
    <n v="2.3550295857988165E-2"/>
    <n v="1.015625"/>
    <x v="2"/>
    <n v="0"/>
    <n v="0"/>
    <s v="None"/>
    <n v="17"/>
    <n v="3383"/>
    <n v="29331"/>
    <n v="6820"/>
    <n v="6820"/>
    <x v="1437"/>
    <n v="13500"/>
  </r>
  <r>
    <s v="PR-0824"/>
    <d v="2026-06-15T00:00:00"/>
    <x v="3"/>
    <x v="3"/>
    <s v="Monday"/>
    <x v="1"/>
    <x v="2"/>
    <x v="2"/>
    <s v="Dental Floss"/>
    <x v="9"/>
    <s v="Waxed Floss 50m"/>
    <s v="B260615-L3B"/>
    <s v="P. Singh"/>
    <x v="2"/>
    <x v="2"/>
    <x v="8"/>
    <n v="7530"/>
    <n v="6780"/>
    <n v="137"/>
    <n v="2.0206489675516224E-2"/>
    <n v="0.90039840637450197"/>
    <x v="3"/>
    <n v="46"/>
    <n v="0.76666666666666672"/>
    <s v="Changeover"/>
    <n v="24"/>
    <n v="3288"/>
    <n v="31196"/>
    <n v="7040"/>
    <n v="7040"/>
    <x v="1438"/>
    <n v="12000"/>
  </r>
  <r>
    <s v="PR-1051"/>
    <d v="2026-07-06T00:00:00"/>
    <x v="2"/>
    <x v="2"/>
    <s v="Monday"/>
    <x v="0"/>
    <x v="2"/>
    <x v="2"/>
    <s v="Dental Floss"/>
    <x v="9"/>
    <s v="Waxed Floss 50m"/>
    <s v="B260706-L3A"/>
    <s v="K. Verma"/>
    <x v="1"/>
    <x v="2"/>
    <x v="10"/>
    <n v="8270"/>
    <n v="7890"/>
    <n v="166"/>
    <n v="2.1039290240811154E-2"/>
    <n v="0.95405078597339787"/>
    <x v="2"/>
    <n v="0"/>
    <n v="0"/>
    <s v="None"/>
    <n v="24"/>
    <n v="3984"/>
    <n v="30098"/>
    <n v="7020"/>
    <n v="7020"/>
    <x v="1439"/>
    <n v="12000"/>
  </r>
  <r>
    <s v="PR-0866"/>
    <d v="2026-06-19T00:00:00"/>
    <x v="3"/>
    <x v="3"/>
    <s v="Friday"/>
    <x v="0"/>
    <x v="3"/>
    <x v="3"/>
    <s v="Toothpaste"/>
    <x v="8"/>
    <s v="Whitening Toothpaste 100g"/>
    <s v="B260619-L1A"/>
    <s v="K. Verma"/>
    <x v="2"/>
    <x v="3"/>
    <x v="2"/>
    <n v="9410"/>
    <n v="9040"/>
    <n v="96"/>
    <n v="1.0619469026548672E-2"/>
    <n v="0.96068012752391074"/>
    <x v="0"/>
    <n v="0"/>
    <n v="0"/>
    <s v="None"/>
    <n v="38"/>
    <n v="3648"/>
    <n v="29904"/>
    <n v="8030"/>
    <n v="8030"/>
    <x v="1440"/>
    <n v="13500"/>
  </r>
  <r>
    <s v="PR-1215"/>
    <d v="2026-07-20T00:00:00"/>
    <x v="2"/>
    <x v="2"/>
    <s v="Monday"/>
    <x v="2"/>
    <x v="1"/>
    <x v="1"/>
    <s v="Toothbrush"/>
    <x v="10"/>
    <s v="Medium Toothbrush"/>
    <s v="B260720-L4C"/>
    <s v="M. Khan"/>
    <x v="1"/>
    <x v="1"/>
    <x v="0"/>
    <n v="8660"/>
    <n v="7770"/>
    <n v="305"/>
    <n v="3.9253539253539256E-2"/>
    <n v="0.89722863741339487"/>
    <x v="5"/>
    <n v="0"/>
    <n v="0"/>
    <s v="None"/>
    <n v="17"/>
    <n v="5185"/>
    <n v="31108"/>
    <n v="7750"/>
    <n v="7750"/>
    <x v="1441"/>
    <n v="13500"/>
  </r>
  <r>
    <s v="PR-0145"/>
    <d v="2026-04-14T00:00:00"/>
    <x v="5"/>
    <x v="5"/>
    <s v="Tuesday"/>
    <x v="0"/>
    <x v="1"/>
    <x v="1"/>
    <s v="Toothbrush"/>
    <x v="11"/>
    <s v="Soft Toothbrush"/>
    <s v="B260414-L4A"/>
    <s v="K. Verma"/>
    <x v="1"/>
    <x v="1"/>
    <x v="7"/>
    <n v="9580"/>
    <n v="9010"/>
    <n v="227"/>
    <n v="2.5194228634850168E-2"/>
    <n v="0.94050104384133615"/>
    <x v="2"/>
    <n v="30"/>
    <n v="0.5"/>
    <s v="Changeover"/>
    <n v="18"/>
    <n v="4086"/>
    <n v="31778"/>
    <n v="9700"/>
    <n v="9700"/>
    <x v="1442"/>
    <n v="15000"/>
  </r>
  <r>
    <s v="PR-0133"/>
    <d v="2026-04-13T00:00:00"/>
    <x v="5"/>
    <x v="5"/>
    <s v="Monday"/>
    <x v="0"/>
    <x v="1"/>
    <x v="1"/>
    <s v="Toothbrush"/>
    <x v="11"/>
    <s v="Soft Toothbrush"/>
    <s v="B260413-L4A"/>
    <s v="K. Verma"/>
    <x v="2"/>
    <x v="1"/>
    <x v="6"/>
    <n v="9780"/>
    <n v="8940"/>
    <n v="119"/>
    <n v="1.3310961968680089E-2"/>
    <n v="0.91411042944785281"/>
    <x v="4"/>
    <n v="0"/>
    <n v="0"/>
    <s v="None"/>
    <n v="18"/>
    <n v="2142"/>
    <n v="30947"/>
    <n v="8880"/>
    <n v="8880"/>
    <x v="1443"/>
    <n v="15000"/>
  </r>
  <r>
    <s v="PR-1808"/>
    <d v="2026-09-13T00:00:00"/>
    <x v="0"/>
    <x v="0"/>
    <s v="Sunday"/>
    <x v="0"/>
    <x v="2"/>
    <x v="2"/>
    <s v="Dental Floss"/>
    <x v="9"/>
    <s v="Waxed Floss 50m"/>
    <s v="B260913-L3A"/>
    <s v="R. Sharma"/>
    <x v="1"/>
    <x v="2"/>
    <x v="10"/>
    <n v="5890"/>
    <n v="5510"/>
    <n v="177"/>
    <n v="3.2123411978221418E-2"/>
    <n v="0.93548387096774188"/>
    <x v="3"/>
    <n v="0"/>
    <n v="0"/>
    <s v="None"/>
    <n v="24"/>
    <n v="4248"/>
    <n v="30520"/>
    <n v="4960"/>
    <n v="4960"/>
    <x v="1444"/>
    <n v="12000"/>
  </r>
  <r>
    <s v="PR-1528"/>
    <d v="2026-08-18T00:00:00"/>
    <x v="1"/>
    <x v="1"/>
    <s v="Tuesday"/>
    <x v="1"/>
    <x v="1"/>
    <x v="1"/>
    <s v="Toothbrush"/>
    <x v="10"/>
    <s v="Medium Toothbrush"/>
    <s v="B260818-L4B"/>
    <s v="S. Yadav"/>
    <x v="1"/>
    <x v="1"/>
    <x v="0"/>
    <n v="9460"/>
    <n v="8440"/>
    <n v="290"/>
    <n v="3.4360189573459717E-2"/>
    <n v="0.89217758985200846"/>
    <x v="2"/>
    <n v="51"/>
    <n v="0.85"/>
    <s v="Changeover"/>
    <n v="17"/>
    <n v="4930"/>
    <n v="31195"/>
    <n v="8430"/>
    <n v="8430"/>
    <x v="1445"/>
    <n v="13500"/>
  </r>
  <r>
    <s v="PR-0097"/>
    <d v="2026-04-09T00:00:00"/>
    <x v="5"/>
    <x v="5"/>
    <s v="Thursday"/>
    <x v="1"/>
    <x v="1"/>
    <x v="1"/>
    <s v="Toothbrush"/>
    <x v="11"/>
    <s v="Soft Toothbrush"/>
    <s v="B260409-L4B"/>
    <s v="S. Yadav"/>
    <x v="1"/>
    <x v="1"/>
    <x v="7"/>
    <n v="10300"/>
    <n v="9770"/>
    <n v="305"/>
    <n v="3.1218014329580348E-2"/>
    <n v="0.94854368932038835"/>
    <x v="0"/>
    <n v="15"/>
    <n v="0.25"/>
    <s v="Machine Breakdown"/>
    <n v="18"/>
    <n v="5490"/>
    <n v="31032"/>
    <n v="9550"/>
    <n v="9550"/>
    <x v="1446"/>
    <n v="15000"/>
  </r>
  <r>
    <s v="PR-0722"/>
    <d v="2026-06-05T00:00:00"/>
    <x v="3"/>
    <x v="3"/>
    <s v="Friday"/>
    <x v="2"/>
    <x v="1"/>
    <x v="1"/>
    <s v="Toothbrush"/>
    <x v="10"/>
    <s v="Medium Toothbrush"/>
    <s v="B260605-L4C"/>
    <s v="M. Khan"/>
    <x v="2"/>
    <x v="1"/>
    <x v="6"/>
    <n v="7960"/>
    <n v="7780"/>
    <n v="175"/>
    <n v="2.2493573264781491E-2"/>
    <n v="0.97738693467336679"/>
    <x v="5"/>
    <n v="0"/>
    <n v="0"/>
    <s v="None"/>
    <n v="17"/>
    <n v="2975"/>
    <n v="30997"/>
    <n v="7650"/>
    <n v="7650"/>
    <x v="1447"/>
    <n v="13500"/>
  </r>
  <r>
    <s v="PR-1719"/>
    <d v="2026-09-04T00:00:00"/>
    <x v="0"/>
    <x v="0"/>
    <s v="Friday"/>
    <x v="2"/>
    <x v="2"/>
    <x v="2"/>
    <s v="Dental Floss"/>
    <x v="9"/>
    <s v="Waxed Floss 50m"/>
    <s v="B260904-L3C"/>
    <s v="M. Khan"/>
    <x v="2"/>
    <x v="2"/>
    <x v="8"/>
    <n v="7660"/>
    <n v="6960"/>
    <n v="179"/>
    <n v="2.5718390804597702E-2"/>
    <n v="0.90861618798955612"/>
    <x v="2"/>
    <n v="27"/>
    <n v="0.45"/>
    <s v="Cleaning / Sanitation"/>
    <n v="24"/>
    <n v="4296"/>
    <n v="31190"/>
    <n v="7010"/>
    <n v="7010"/>
    <x v="1448"/>
    <n v="12000"/>
  </r>
  <r>
    <s v="PR-1845"/>
    <d v="2026-09-16T00:00:00"/>
    <x v="0"/>
    <x v="0"/>
    <s v="Wednesday"/>
    <x v="2"/>
    <x v="2"/>
    <x v="2"/>
    <s v="Dental Floss"/>
    <x v="9"/>
    <s v="Waxed Floss 50m"/>
    <s v="B260916-L3C"/>
    <s v="M. Khan"/>
    <x v="2"/>
    <x v="2"/>
    <x v="10"/>
    <n v="7810"/>
    <n v="7460"/>
    <n v="279"/>
    <n v="3.7399463806970512E-2"/>
    <n v="0.95518565941101152"/>
    <x v="3"/>
    <n v="0"/>
    <n v="0"/>
    <s v="None"/>
    <n v="24"/>
    <n v="6696"/>
    <n v="30616"/>
    <n v="6820"/>
    <n v="6820"/>
    <x v="1449"/>
    <n v="12000"/>
  </r>
  <r>
    <s v="PR-0702"/>
    <d v="2026-06-04T00:00:00"/>
    <x v="3"/>
    <x v="3"/>
    <s v="Thursday"/>
    <x v="0"/>
    <x v="1"/>
    <x v="1"/>
    <s v="Toothbrush"/>
    <x v="10"/>
    <s v="Medium Toothbrush"/>
    <s v="B260604-L4A"/>
    <s v="K. Verma"/>
    <x v="2"/>
    <x v="1"/>
    <x v="0"/>
    <n v="8870"/>
    <n v="8250"/>
    <n v="223"/>
    <n v="2.7030303030303029E-2"/>
    <n v="0.93010146561443063"/>
    <x v="2"/>
    <n v="0"/>
    <n v="0"/>
    <s v="None"/>
    <n v="17"/>
    <n v="3791"/>
    <n v="29780"/>
    <n v="6810"/>
    <n v="6810"/>
    <x v="1450"/>
    <n v="13500"/>
  </r>
  <r>
    <s v="PR-1169"/>
    <d v="2026-07-16T00:00:00"/>
    <x v="2"/>
    <x v="2"/>
    <s v="Thursday"/>
    <x v="1"/>
    <x v="1"/>
    <x v="1"/>
    <s v="Toothbrush"/>
    <x v="10"/>
    <s v="Medium Toothbrush"/>
    <s v="B260716-L4B"/>
    <s v="P. Singh"/>
    <x v="2"/>
    <x v="1"/>
    <x v="0"/>
    <n v="8540"/>
    <n v="8150"/>
    <n v="266"/>
    <n v="3.2638036809815953E-2"/>
    <n v="0.95433255269320838"/>
    <x v="0"/>
    <n v="46"/>
    <n v="0.76666666666666672"/>
    <s v="Cleaning / Sanitation"/>
    <n v="17"/>
    <n v="4522"/>
    <n v="30435"/>
    <n v="7320"/>
    <n v="7320"/>
    <x v="1451"/>
    <n v="13500"/>
  </r>
  <r>
    <s v="PR-1699"/>
    <d v="2026-09-03T00:00:00"/>
    <x v="0"/>
    <x v="0"/>
    <s v="Thursday"/>
    <x v="0"/>
    <x v="2"/>
    <x v="2"/>
    <s v="Dental Floss"/>
    <x v="9"/>
    <s v="Waxed Floss 50m"/>
    <s v="B260903-L3A"/>
    <s v="R. Sharma"/>
    <x v="2"/>
    <x v="2"/>
    <x v="10"/>
    <n v="7730"/>
    <n v="7300"/>
    <n v="82"/>
    <n v="1.1232876712328766E-2"/>
    <n v="0.94437257438551103"/>
    <x v="3"/>
    <n v="0"/>
    <n v="0"/>
    <s v="None"/>
    <n v="24"/>
    <n v="1968"/>
    <n v="30524"/>
    <n v="6730"/>
    <n v="6730"/>
    <x v="1452"/>
    <n v="12000"/>
  </r>
  <r>
    <s v="PR-0085"/>
    <d v="2026-04-08T00:00:00"/>
    <x v="5"/>
    <x v="5"/>
    <s v="Wednesday"/>
    <x v="1"/>
    <x v="1"/>
    <x v="1"/>
    <s v="Toothbrush"/>
    <x v="11"/>
    <s v="Soft Toothbrush"/>
    <s v="B260408-L4B"/>
    <s v="S. Yadav"/>
    <x v="2"/>
    <x v="1"/>
    <x v="6"/>
    <n v="10310"/>
    <n v="9140"/>
    <n v="178"/>
    <n v="1.9474835886214441E-2"/>
    <n v="0.88651794374393789"/>
    <x v="2"/>
    <n v="0"/>
    <n v="0"/>
    <s v="None"/>
    <n v="18"/>
    <n v="3204"/>
    <n v="30490"/>
    <n v="8420"/>
    <n v="8420"/>
    <x v="1453"/>
    <n v="15000"/>
  </r>
  <r>
    <s v="PR-1936"/>
    <d v="2026-09-24T00:00:00"/>
    <x v="0"/>
    <x v="0"/>
    <s v="Thursday"/>
    <x v="2"/>
    <x v="1"/>
    <x v="1"/>
    <s v="Toothbrush"/>
    <x v="10"/>
    <s v="Medium Toothbrush"/>
    <s v="B260924-L4C"/>
    <s v="M. Khan"/>
    <x v="2"/>
    <x v="1"/>
    <x v="7"/>
    <n v="9050"/>
    <n v="8640"/>
    <n v="185"/>
    <n v="2.1412037037037038E-2"/>
    <n v="0.95469613259668507"/>
    <x v="3"/>
    <n v="20"/>
    <n v="0.33333333333333331"/>
    <s v="Machine Breakdown"/>
    <n v="17"/>
    <n v="3145"/>
    <n v="30127"/>
    <n v="7550"/>
    <n v="7550"/>
    <x v="1453"/>
    <n v="13500"/>
  </r>
  <r>
    <s v="PR-1019"/>
    <d v="2026-07-02T00:00:00"/>
    <x v="2"/>
    <x v="2"/>
    <s v="Thursday"/>
    <x v="2"/>
    <x v="2"/>
    <x v="2"/>
    <s v="Dental Floss"/>
    <x v="6"/>
    <s v="Floss Picks (100 pcs)"/>
    <s v="B260702-L3C"/>
    <s v="A. Gupta"/>
    <x v="1"/>
    <x v="2"/>
    <x v="8"/>
    <n v="5180"/>
    <n v="4910"/>
    <n v="130"/>
    <n v="2.6476578411405296E-2"/>
    <n v="0.94787644787644787"/>
    <x v="5"/>
    <n v="0"/>
    <n v="0"/>
    <s v="None"/>
    <n v="33"/>
    <n v="4290"/>
    <n v="31082"/>
    <n v="4820"/>
    <n v="4820"/>
    <x v="1454"/>
    <n v="9750"/>
  </r>
  <r>
    <s v="PR-1235"/>
    <d v="2026-07-22T00:00:00"/>
    <x v="2"/>
    <x v="2"/>
    <s v="Wednesday"/>
    <x v="1"/>
    <x v="1"/>
    <x v="1"/>
    <s v="Toothbrush"/>
    <x v="10"/>
    <s v="Medium Toothbrush"/>
    <s v="B260722-L4B"/>
    <s v="S. Yadav"/>
    <x v="2"/>
    <x v="1"/>
    <x v="6"/>
    <n v="9100"/>
    <n v="8240"/>
    <n v="279"/>
    <n v="3.3859223300970874E-2"/>
    <n v="0.9054945054945055"/>
    <x v="2"/>
    <n v="0"/>
    <n v="0"/>
    <s v="None"/>
    <n v="17"/>
    <n v="4743"/>
    <n v="32104"/>
    <n v="9010"/>
    <n v="9010"/>
    <x v="1455"/>
    <n v="13500"/>
  </r>
  <r>
    <s v="PR-1027"/>
    <d v="2026-07-03T00:00:00"/>
    <x v="2"/>
    <x v="2"/>
    <s v="Friday"/>
    <x v="1"/>
    <x v="2"/>
    <x v="2"/>
    <s v="Dental Floss"/>
    <x v="6"/>
    <s v="Floss Picks (100 pcs)"/>
    <s v="B260703-L3B"/>
    <s v="P. Singh"/>
    <x v="2"/>
    <x v="2"/>
    <x v="9"/>
    <n v="5910"/>
    <n v="5260"/>
    <n v="106"/>
    <n v="2.0152091254752851E-2"/>
    <n v="0.89001692047377323"/>
    <x v="0"/>
    <n v="0"/>
    <n v="0"/>
    <s v="None"/>
    <n v="33"/>
    <n v="3498"/>
    <n v="31042"/>
    <n v="5140"/>
    <n v="5140"/>
    <x v="1456"/>
    <n v="9750"/>
  </r>
  <r>
    <s v="PR-1095"/>
    <d v="2026-07-09T00:00:00"/>
    <x v="2"/>
    <x v="2"/>
    <s v="Thursday"/>
    <x v="2"/>
    <x v="2"/>
    <x v="2"/>
    <s v="Dental Floss"/>
    <x v="6"/>
    <s v="Floss Picks (100 pcs)"/>
    <s v="B260709-L3C"/>
    <s v="M. Khan"/>
    <x v="2"/>
    <x v="2"/>
    <x v="11"/>
    <n v="5650"/>
    <n v="4690"/>
    <n v="127"/>
    <n v="2.7078891257995737E-2"/>
    <n v="0.83008849557522124"/>
    <x v="4"/>
    <n v="0"/>
    <n v="0"/>
    <s v="None"/>
    <n v="33"/>
    <n v="4191"/>
    <n v="31206"/>
    <n v="4710"/>
    <n v="4710"/>
    <x v="1457"/>
    <n v="9750"/>
  </r>
  <r>
    <s v="PR-0914"/>
    <d v="2026-06-23T00:00:00"/>
    <x v="3"/>
    <x v="3"/>
    <s v="Tuesday"/>
    <x v="1"/>
    <x v="2"/>
    <x v="2"/>
    <s v="Dental Floss"/>
    <x v="6"/>
    <s v="Floss Picks (100 pcs)"/>
    <s v="B260623-L3B"/>
    <s v="P. Singh"/>
    <x v="2"/>
    <x v="2"/>
    <x v="10"/>
    <n v="5370"/>
    <n v="5270"/>
    <n v="97"/>
    <n v="1.8406072106261859E-2"/>
    <n v="0.98137802607076352"/>
    <x v="5"/>
    <n v="26"/>
    <n v="0.43333333333333335"/>
    <s v="Cleaning / Sanitation"/>
    <n v="33"/>
    <n v="3201"/>
    <n v="30091"/>
    <n v="4200"/>
    <n v="4200"/>
    <x v="1458"/>
    <n v="9750"/>
  </r>
  <r>
    <s v="PR-0153"/>
    <d v="2026-04-14T00:00:00"/>
    <x v="5"/>
    <x v="5"/>
    <s v="Tuesday"/>
    <x v="2"/>
    <x v="1"/>
    <x v="1"/>
    <s v="Toothbrush"/>
    <x v="11"/>
    <s v="Soft Toothbrush"/>
    <s v="B260414-L4C"/>
    <s v="M. Khan"/>
    <x v="2"/>
    <x v="1"/>
    <x v="2"/>
    <n v="9260"/>
    <n v="7960"/>
    <n v="163"/>
    <n v="2.0477386934673367E-2"/>
    <n v="0.85961123110151183"/>
    <x v="4"/>
    <n v="27"/>
    <n v="0.45"/>
    <s v="Machine Breakdown"/>
    <n v="18"/>
    <n v="2934"/>
    <n v="30861"/>
    <n v="7580"/>
    <n v="7580"/>
    <x v="1459"/>
    <n v="15000"/>
  </r>
  <r>
    <s v="PR-1015"/>
    <d v="2026-07-02T00:00:00"/>
    <x v="2"/>
    <x v="2"/>
    <s v="Thursday"/>
    <x v="1"/>
    <x v="2"/>
    <x v="2"/>
    <s v="Dental Floss"/>
    <x v="6"/>
    <s v="Floss Picks (100 pcs)"/>
    <s v="B260702-L3B"/>
    <s v="S. Yadav"/>
    <x v="1"/>
    <x v="2"/>
    <x v="9"/>
    <n v="5460"/>
    <n v="4680"/>
    <n v="90"/>
    <n v="1.9230769230769232E-2"/>
    <n v="0.8571428571428571"/>
    <x v="3"/>
    <n v="73"/>
    <n v="1.2166666666666666"/>
    <s v="Changeover"/>
    <n v="33"/>
    <n v="2970"/>
    <n v="32072"/>
    <n v="5580"/>
    <n v="5580"/>
    <x v="1460"/>
    <n v="9750"/>
  </r>
  <r>
    <s v="PR-0898"/>
    <d v="2026-06-22T00:00:00"/>
    <x v="3"/>
    <x v="3"/>
    <s v="Monday"/>
    <x v="0"/>
    <x v="2"/>
    <x v="2"/>
    <s v="Dental Floss"/>
    <x v="9"/>
    <s v="Waxed Floss 50m"/>
    <s v="B260622-L3A"/>
    <s v="K. Verma"/>
    <x v="1"/>
    <x v="2"/>
    <x v="8"/>
    <n v="7630"/>
    <n v="7470"/>
    <n v="159"/>
    <n v="2.1285140562248995E-2"/>
    <n v="0.9790301441677588"/>
    <x v="5"/>
    <n v="0"/>
    <n v="0"/>
    <s v="None"/>
    <n v="24"/>
    <n v="3816"/>
    <n v="31098"/>
    <n v="7320"/>
    <n v="7320"/>
    <x v="1461"/>
    <n v="12000"/>
  </r>
  <r>
    <s v="PR-0888"/>
    <d v="2026-06-20T00:00:00"/>
    <x v="3"/>
    <x v="3"/>
    <s v="Saturday"/>
    <x v="2"/>
    <x v="2"/>
    <x v="2"/>
    <s v="Dental Floss"/>
    <x v="9"/>
    <s v="Waxed Floss 50m"/>
    <s v="B260620-L3C"/>
    <s v="A. Gupta"/>
    <x v="2"/>
    <x v="2"/>
    <x v="11"/>
    <n v="7570"/>
    <n v="6060"/>
    <n v="102"/>
    <n v="1.6831683168316833E-2"/>
    <n v="0.80052840158520477"/>
    <x v="3"/>
    <n v="10"/>
    <n v="0.16666666666666666"/>
    <s v="Cleaning / Sanitation"/>
    <n v="24"/>
    <n v="2448"/>
    <n v="31290"/>
    <n v="6150"/>
    <n v="6150"/>
    <x v="1462"/>
    <n v="12000"/>
  </r>
  <r>
    <s v="PR-1211"/>
    <d v="2026-07-20T00:00:00"/>
    <x v="2"/>
    <x v="2"/>
    <s v="Monday"/>
    <x v="1"/>
    <x v="1"/>
    <x v="1"/>
    <s v="Toothbrush"/>
    <x v="10"/>
    <s v="Medium Toothbrush"/>
    <s v="B260720-L4B"/>
    <s v="P. Singh"/>
    <x v="2"/>
    <x v="1"/>
    <x v="6"/>
    <n v="9540"/>
    <n v="8930"/>
    <n v="242"/>
    <n v="2.7099664053751398E-2"/>
    <n v="0.93605870020964366"/>
    <x v="2"/>
    <n v="0"/>
    <n v="0"/>
    <s v="None"/>
    <n v="17"/>
    <n v="4114"/>
    <n v="31380"/>
    <n v="8960"/>
    <n v="8960"/>
    <x v="1463"/>
    <n v="13500"/>
  </r>
  <r>
    <s v="PR-0774"/>
    <d v="2026-06-10T00:00:00"/>
    <x v="3"/>
    <x v="3"/>
    <s v="Wednesday"/>
    <x v="2"/>
    <x v="2"/>
    <x v="2"/>
    <s v="Dental Floss"/>
    <x v="9"/>
    <s v="Waxed Floss 50m"/>
    <s v="B260610-L3C"/>
    <s v="A. Gupta"/>
    <x v="1"/>
    <x v="2"/>
    <x v="9"/>
    <n v="7390"/>
    <n v="6240"/>
    <n v="199"/>
    <n v="3.1891025641025639E-2"/>
    <n v="0.84438430311231394"/>
    <x v="2"/>
    <n v="0"/>
    <n v="0"/>
    <s v="None"/>
    <n v="24"/>
    <n v="4776"/>
    <n v="31894"/>
    <n v="6810"/>
    <n v="6810"/>
    <x v="1464"/>
    <n v="12000"/>
  </r>
  <r>
    <s v="PR-0429"/>
    <d v="2026-05-09T00:00:00"/>
    <x v="4"/>
    <x v="4"/>
    <s v="Saturday"/>
    <x v="2"/>
    <x v="1"/>
    <x v="1"/>
    <s v="Toothbrush"/>
    <x v="11"/>
    <s v="Soft Toothbrush"/>
    <s v="B260509-L4C"/>
    <s v="A. Gupta"/>
    <x v="2"/>
    <x v="1"/>
    <x v="2"/>
    <n v="10040"/>
    <n v="8620"/>
    <n v="219"/>
    <n v="2.5406032482598609E-2"/>
    <n v="0.85856573705179284"/>
    <x v="5"/>
    <n v="24"/>
    <n v="0.4"/>
    <s v="Cleaning / Sanitation"/>
    <n v="18"/>
    <n v="3942"/>
    <n v="32078"/>
    <n v="9340"/>
    <n v="9340"/>
    <x v="1465"/>
    <n v="15000"/>
  </r>
  <r>
    <s v="PR-0473"/>
    <d v="2026-05-14T00:00:00"/>
    <x v="4"/>
    <x v="4"/>
    <s v="Thursday"/>
    <x v="0"/>
    <x v="1"/>
    <x v="1"/>
    <s v="Toothbrush"/>
    <x v="11"/>
    <s v="Soft Toothbrush"/>
    <s v="B260514-L4A"/>
    <s v="K. Verma"/>
    <x v="1"/>
    <x v="1"/>
    <x v="6"/>
    <n v="10200"/>
    <n v="9530"/>
    <n v="234"/>
    <n v="2.4554039874081848E-2"/>
    <n v="0.93431372549019609"/>
    <x v="5"/>
    <n v="0"/>
    <n v="0"/>
    <s v="None"/>
    <n v="18"/>
    <n v="4212"/>
    <n v="31478"/>
    <n v="9630"/>
    <n v="9630"/>
    <x v="1466"/>
    <n v="15000"/>
  </r>
  <r>
    <s v="PR-0284"/>
    <d v="2026-04-27T00:00:00"/>
    <x v="5"/>
    <x v="5"/>
    <s v="Monday"/>
    <x v="0"/>
    <x v="1"/>
    <x v="1"/>
    <s v="Toothbrush"/>
    <x v="11"/>
    <s v="Soft Toothbrush"/>
    <s v="B260427-L4A"/>
    <s v="K. Verma"/>
    <x v="2"/>
    <x v="1"/>
    <x v="7"/>
    <n v="9670"/>
    <n v="9010"/>
    <n v="274"/>
    <n v="3.0410654827968925E-2"/>
    <n v="0.93174767321613239"/>
    <x v="4"/>
    <n v="57"/>
    <n v="0.95"/>
    <s v="Changeover"/>
    <n v="18"/>
    <n v="4932"/>
    <n v="31206"/>
    <n v="8770"/>
    <n v="8770"/>
    <x v="1467"/>
    <n v="15000"/>
  </r>
  <r>
    <s v="PR-0918"/>
    <d v="2026-06-23T00:00:00"/>
    <x v="3"/>
    <x v="3"/>
    <s v="Tuesday"/>
    <x v="2"/>
    <x v="2"/>
    <x v="2"/>
    <s v="Dental Floss"/>
    <x v="6"/>
    <s v="Floss Picks (100 pcs)"/>
    <s v="B260623-L3C"/>
    <s v="M. Khan"/>
    <x v="1"/>
    <x v="2"/>
    <x v="8"/>
    <n v="5600"/>
    <n v="5240"/>
    <n v="87"/>
    <n v="1.6603053435114503E-2"/>
    <n v="0.93571428571428572"/>
    <x v="5"/>
    <n v="60"/>
    <n v="1"/>
    <s v="Cleaning / Sanitation"/>
    <n v="33"/>
    <n v="2871"/>
    <n v="31064"/>
    <n v="5040"/>
    <n v="5040"/>
    <x v="1468"/>
    <n v="9750"/>
  </r>
  <r>
    <s v="PR-0489"/>
    <d v="2026-05-15T00:00:00"/>
    <x v="4"/>
    <x v="4"/>
    <s v="Friday"/>
    <x v="1"/>
    <x v="1"/>
    <x v="1"/>
    <s v="Toothbrush"/>
    <x v="11"/>
    <s v="Soft Toothbrush"/>
    <s v="B260515-L4B"/>
    <s v="P. Singh"/>
    <x v="1"/>
    <x v="1"/>
    <x v="6"/>
    <n v="10190"/>
    <n v="9460"/>
    <n v="263"/>
    <n v="2.7801268498942919E-2"/>
    <n v="0.92836113837095191"/>
    <x v="3"/>
    <n v="0"/>
    <n v="0"/>
    <s v="None"/>
    <n v="18"/>
    <n v="4734"/>
    <n v="31144"/>
    <n v="9160"/>
    <n v="9160"/>
    <x v="1469"/>
    <n v="15000"/>
  </r>
  <r>
    <s v="PR-1711"/>
    <d v="2026-09-04T00:00:00"/>
    <x v="0"/>
    <x v="0"/>
    <s v="Friday"/>
    <x v="0"/>
    <x v="2"/>
    <x v="2"/>
    <s v="Dental Floss"/>
    <x v="9"/>
    <s v="Waxed Floss 50m"/>
    <s v="B260904-L3A"/>
    <s v="R. Sharma"/>
    <x v="2"/>
    <x v="2"/>
    <x v="10"/>
    <n v="8590"/>
    <n v="7980"/>
    <n v="262"/>
    <n v="3.2832080200501254E-2"/>
    <n v="0.92898719441210709"/>
    <x v="0"/>
    <n v="0"/>
    <n v="0"/>
    <s v="None"/>
    <n v="24"/>
    <n v="6288"/>
    <n v="31012"/>
    <n v="7540"/>
    <n v="7540"/>
    <x v="1470"/>
    <n v="12000"/>
  </r>
  <r>
    <s v="PR-0441"/>
    <d v="2026-05-11T00:00:00"/>
    <x v="4"/>
    <x v="4"/>
    <s v="Monday"/>
    <x v="1"/>
    <x v="1"/>
    <x v="1"/>
    <s v="Toothbrush"/>
    <x v="11"/>
    <s v="Soft Toothbrush"/>
    <s v="B260511-L4B"/>
    <s v="S. Yadav"/>
    <x v="1"/>
    <x v="1"/>
    <x v="7"/>
    <n v="9500"/>
    <n v="9000"/>
    <n v="234"/>
    <n v="2.5999999999999999E-2"/>
    <n v="0.94736842105263153"/>
    <x v="3"/>
    <n v="0"/>
    <n v="0"/>
    <s v="None"/>
    <n v="18"/>
    <n v="4212"/>
    <n v="31556"/>
    <n v="9130"/>
    <n v="9130"/>
    <x v="1471"/>
    <n v="15000"/>
  </r>
  <r>
    <s v="PR-1516"/>
    <d v="2026-08-17T00:00:00"/>
    <x v="1"/>
    <x v="1"/>
    <s v="Monday"/>
    <x v="1"/>
    <x v="1"/>
    <x v="1"/>
    <s v="Toothbrush"/>
    <x v="10"/>
    <s v="Medium Toothbrush"/>
    <s v="B260817-L4B"/>
    <s v="S. Yadav"/>
    <x v="1"/>
    <x v="1"/>
    <x v="6"/>
    <n v="9030"/>
    <n v="8690"/>
    <n v="230"/>
    <n v="2.6467203682393557E-2"/>
    <n v="0.96234772978959027"/>
    <x v="3"/>
    <n v="0"/>
    <n v="0"/>
    <s v="None"/>
    <n v="17"/>
    <n v="3910"/>
    <n v="30475"/>
    <n v="7740"/>
    <n v="7740"/>
    <x v="1472"/>
    <n v="13500"/>
  </r>
  <r>
    <s v="PR-0820"/>
    <d v="2026-06-15T00:00:00"/>
    <x v="3"/>
    <x v="3"/>
    <s v="Monday"/>
    <x v="0"/>
    <x v="2"/>
    <x v="2"/>
    <s v="Dental Floss"/>
    <x v="9"/>
    <s v="Waxed Floss 50m"/>
    <s v="B260615-L3A"/>
    <s v="K. Verma"/>
    <x v="2"/>
    <x v="2"/>
    <x v="10"/>
    <n v="8530"/>
    <n v="8170"/>
    <n v="253"/>
    <n v="3.0966952264381883E-2"/>
    <n v="0.9577960140679953"/>
    <x v="3"/>
    <n v="0"/>
    <n v="0"/>
    <s v="None"/>
    <n v="24"/>
    <n v="6072"/>
    <n v="32229"/>
    <n v="8950"/>
    <n v="8950"/>
    <x v="1473"/>
    <n v="12000"/>
  </r>
  <r>
    <s v="PR-1177"/>
    <d v="2026-07-17T00:00:00"/>
    <x v="2"/>
    <x v="2"/>
    <s v="Friday"/>
    <x v="0"/>
    <x v="1"/>
    <x v="1"/>
    <s v="Toothbrush"/>
    <x v="10"/>
    <s v="Medium Toothbrush"/>
    <s v="B260717-L4A"/>
    <s v="R. Sharma"/>
    <x v="1"/>
    <x v="1"/>
    <x v="0"/>
    <n v="8690"/>
    <n v="7980"/>
    <n v="128"/>
    <n v="1.6040100250626566E-2"/>
    <n v="0.91829689298043726"/>
    <x v="2"/>
    <n v="57"/>
    <n v="0.95"/>
    <s v="Power Interruption"/>
    <n v="17"/>
    <n v="2176"/>
    <n v="30999"/>
    <n v="7650"/>
    <n v="7650"/>
    <x v="1474"/>
    <n v="13500"/>
  </r>
  <r>
    <s v="PR-0832"/>
    <d v="2026-06-16T00:00:00"/>
    <x v="3"/>
    <x v="3"/>
    <s v="Tuesday"/>
    <x v="0"/>
    <x v="2"/>
    <x v="2"/>
    <s v="Dental Floss"/>
    <x v="9"/>
    <s v="Waxed Floss 50m"/>
    <s v="B260616-L3A"/>
    <s v="R. Sharma"/>
    <x v="2"/>
    <x v="2"/>
    <x v="10"/>
    <n v="8550"/>
    <n v="8010"/>
    <n v="164"/>
    <n v="2.0474406991260925E-2"/>
    <n v="0.93684210526315792"/>
    <x v="4"/>
    <n v="0"/>
    <n v="0"/>
    <s v="None"/>
    <n v="24"/>
    <n v="3936"/>
    <n v="30799"/>
    <n v="7440"/>
    <n v="7440"/>
    <x v="1475"/>
    <n v="12000"/>
  </r>
  <r>
    <s v="PR-0278"/>
    <d v="2026-04-25T00:00:00"/>
    <x v="5"/>
    <x v="5"/>
    <s v="Saturday"/>
    <x v="2"/>
    <x v="1"/>
    <x v="1"/>
    <s v="Toothbrush"/>
    <x v="11"/>
    <s v="Soft Toothbrush"/>
    <s v="B260425-L4C"/>
    <s v="M. Khan"/>
    <x v="1"/>
    <x v="1"/>
    <x v="0"/>
    <n v="9040"/>
    <n v="8150"/>
    <n v="179"/>
    <n v="2.1963190184049079E-2"/>
    <n v="0.90154867256637172"/>
    <x v="0"/>
    <n v="0"/>
    <n v="0"/>
    <s v="None"/>
    <n v="18"/>
    <n v="3222"/>
    <n v="31295"/>
    <n v="8060"/>
    <n v="8060"/>
    <x v="1476"/>
    <n v="15000"/>
  </r>
  <r>
    <s v="PR-1083"/>
    <d v="2026-07-08T00:00:00"/>
    <x v="2"/>
    <x v="2"/>
    <s v="Wednesday"/>
    <x v="2"/>
    <x v="2"/>
    <x v="2"/>
    <s v="Dental Floss"/>
    <x v="6"/>
    <s v="Floss Picks (100 pcs)"/>
    <s v="B260708-L3C"/>
    <s v="A. Gupta"/>
    <x v="1"/>
    <x v="2"/>
    <x v="9"/>
    <n v="5470"/>
    <n v="4770"/>
    <n v="90"/>
    <n v="1.8867924528301886E-2"/>
    <n v="0.87202925045703839"/>
    <x v="5"/>
    <n v="0"/>
    <n v="0"/>
    <s v="None"/>
    <n v="33"/>
    <n v="2970"/>
    <n v="31056"/>
    <n v="4530"/>
    <n v="4530"/>
    <x v="1476"/>
    <n v="9750"/>
  </r>
  <r>
    <s v="PR-0181"/>
    <d v="2026-04-17T00:00:00"/>
    <x v="5"/>
    <x v="5"/>
    <s v="Friday"/>
    <x v="0"/>
    <x v="1"/>
    <x v="1"/>
    <s v="Toothbrush"/>
    <x v="11"/>
    <s v="Soft Toothbrush"/>
    <s v="B260417-L4A"/>
    <s v="K. Verma"/>
    <x v="1"/>
    <x v="1"/>
    <x v="7"/>
    <n v="10210"/>
    <n v="9880"/>
    <n v="174"/>
    <n v="1.7611336032388663E-2"/>
    <n v="0.96767874632713025"/>
    <x v="5"/>
    <n v="41"/>
    <n v="0.68333333333333335"/>
    <s v="Changeover"/>
    <n v="18"/>
    <n v="3132"/>
    <n v="30321"/>
    <n v="8800"/>
    <n v="8800"/>
    <x v="1477"/>
    <n v="15000"/>
  </r>
  <r>
    <s v="PR-0738"/>
    <d v="2026-06-07T00:00:00"/>
    <x v="3"/>
    <x v="3"/>
    <s v="Sunday"/>
    <x v="1"/>
    <x v="2"/>
    <x v="2"/>
    <s v="Dental Floss"/>
    <x v="9"/>
    <s v="Waxed Floss 50m"/>
    <s v="B260607-L3B"/>
    <s v="P. Singh"/>
    <x v="1"/>
    <x v="2"/>
    <x v="8"/>
    <n v="5450"/>
    <n v="4780"/>
    <n v="126"/>
    <n v="2.6359832635983262E-2"/>
    <n v="0.87706422018348629"/>
    <x v="2"/>
    <n v="0"/>
    <n v="0"/>
    <s v="None"/>
    <n v="24"/>
    <n v="3024"/>
    <n v="31864"/>
    <n v="5290"/>
    <n v="5290"/>
    <x v="1478"/>
    <n v="12000"/>
  </r>
  <r>
    <s v="PR-1181"/>
    <d v="2026-07-17T00:00:00"/>
    <x v="2"/>
    <x v="2"/>
    <s v="Friday"/>
    <x v="1"/>
    <x v="1"/>
    <x v="1"/>
    <s v="Toothbrush"/>
    <x v="10"/>
    <s v="Medium Toothbrush"/>
    <s v="B260717-L4B"/>
    <s v="S. Yadav"/>
    <x v="2"/>
    <x v="1"/>
    <x v="0"/>
    <n v="9540"/>
    <n v="8720"/>
    <n v="158"/>
    <n v="1.8119266055045873E-2"/>
    <n v="0.91404612159329135"/>
    <x v="2"/>
    <n v="0"/>
    <n v="0"/>
    <s v="None"/>
    <n v="17"/>
    <n v="2686"/>
    <n v="31201"/>
    <n v="8490"/>
    <n v="8490"/>
    <x v="1479"/>
    <n v="13500"/>
  </r>
  <r>
    <s v="PR-0934"/>
    <d v="2026-06-25T00:00:00"/>
    <x v="3"/>
    <x v="3"/>
    <s v="Thursday"/>
    <x v="0"/>
    <x v="2"/>
    <x v="2"/>
    <s v="Dental Floss"/>
    <x v="6"/>
    <s v="Floss Picks (100 pcs)"/>
    <s v="B260625-L3A"/>
    <s v="R. Sharma"/>
    <x v="1"/>
    <x v="2"/>
    <x v="11"/>
    <n v="5440"/>
    <n v="4440"/>
    <n v="137"/>
    <n v="3.0855855855855856E-2"/>
    <n v="0.81617647058823528"/>
    <x v="2"/>
    <n v="0"/>
    <n v="0"/>
    <s v="None"/>
    <n v="33"/>
    <n v="4521"/>
    <n v="31546"/>
    <n v="4560"/>
    <n v="4560"/>
    <x v="1480"/>
    <n v="9750"/>
  </r>
  <r>
    <s v="PR-0884"/>
    <d v="2026-06-20T00:00:00"/>
    <x v="3"/>
    <x v="3"/>
    <s v="Saturday"/>
    <x v="1"/>
    <x v="2"/>
    <x v="2"/>
    <s v="Dental Floss"/>
    <x v="9"/>
    <s v="Waxed Floss 50m"/>
    <s v="B260620-L3B"/>
    <s v="P. Singh"/>
    <x v="2"/>
    <x v="2"/>
    <x v="10"/>
    <n v="7750"/>
    <n v="7610"/>
    <n v="294"/>
    <n v="3.8633377135348229E-2"/>
    <n v="0.98193548387096774"/>
    <x v="2"/>
    <n v="0"/>
    <n v="0"/>
    <s v="None"/>
    <n v="24"/>
    <n v="7056"/>
    <n v="31864"/>
    <n v="7890"/>
    <n v="7890"/>
    <x v="1481"/>
    <n v="12000"/>
  </r>
  <r>
    <s v="PR-0274"/>
    <d v="2026-04-25T00:00:00"/>
    <x v="5"/>
    <x v="5"/>
    <s v="Saturday"/>
    <x v="1"/>
    <x v="1"/>
    <x v="1"/>
    <s v="Toothbrush"/>
    <x v="11"/>
    <s v="Soft Toothbrush"/>
    <s v="B260425-L4B"/>
    <s v="S. Yadav"/>
    <x v="2"/>
    <x v="1"/>
    <x v="6"/>
    <n v="9640"/>
    <n v="9040"/>
    <n v="290"/>
    <n v="3.2079646017699116E-2"/>
    <n v="0.93775933609958506"/>
    <x v="3"/>
    <n v="39"/>
    <n v="0.65"/>
    <s v="Material Shortage"/>
    <n v="18"/>
    <n v="5220"/>
    <n v="31685"/>
    <n v="9140"/>
    <n v="9140"/>
    <x v="1482"/>
    <n v="15000"/>
  </r>
  <r>
    <s v="PR-1853"/>
    <d v="2026-09-17T00:00:00"/>
    <x v="0"/>
    <x v="0"/>
    <s v="Thursday"/>
    <x v="1"/>
    <x v="2"/>
    <x v="2"/>
    <s v="Dental Floss"/>
    <x v="9"/>
    <s v="Waxed Floss 50m"/>
    <s v="B260917-L3B"/>
    <s v="P. Singh"/>
    <x v="2"/>
    <x v="2"/>
    <x v="8"/>
    <n v="8210"/>
    <n v="7330"/>
    <n v="286"/>
    <n v="3.901773533424284E-2"/>
    <n v="0.8928136419001218"/>
    <x v="2"/>
    <n v="54"/>
    <n v="0.9"/>
    <s v="Machine Breakdown"/>
    <n v="24"/>
    <n v="6864"/>
    <n v="30977"/>
    <n v="6720"/>
    <n v="6720"/>
    <x v="1483"/>
    <n v="12000"/>
  </r>
  <r>
    <s v="PR-0065"/>
    <d v="2026-04-06T00:00:00"/>
    <x v="5"/>
    <x v="5"/>
    <s v="Monday"/>
    <x v="2"/>
    <x v="1"/>
    <x v="1"/>
    <s v="Toothbrush"/>
    <x v="11"/>
    <s v="Soft Toothbrush"/>
    <s v="B260406-L4C"/>
    <s v="A. Gupta"/>
    <x v="2"/>
    <x v="1"/>
    <x v="0"/>
    <n v="9290"/>
    <n v="7770"/>
    <n v="204"/>
    <n v="2.6254826254826256E-2"/>
    <n v="0.83638320775026909"/>
    <x v="0"/>
    <n v="33"/>
    <n v="0.55000000000000004"/>
    <s v="Machine Breakdown"/>
    <n v="18"/>
    <n v="3672"/>
    <n v="32328"/>
    <n v="8560"/>
    <n v="8560"/>
    <x v="1484"/>
    <n v="15000"/>
  </r>
  <r>
    <s v="PR-0843"/>
    <d v="2026-06-17T00:00:00"/>
    <x v="3"/>
    <x v="3"/>
    <s v="Wednesday"/>
    <x v="0"/>
    <x v="0"/>
    <x v="0"/>
    <s v="Mouthwash"/>
    <x v="0"/>
    <s v="Mint Mouthwash 250ml"/>
    <s v="B260617-L2A"/>
    <s v="K. Verma"/>
    <x v="1"/>
    <x v="0"/>
    <x v="0"/>
    <n v="5810"/>
    <n v="5580"/>
    <n v="105"/>
    <n v="1.8817204301075269E-2"/>
    <n v="0.96041308089500865"/>
    <x v="4"/>
    <n v="63"/>
    <n v="1.05"/>
    <s v="Power Interruption"/>
    <n v="46"/>
    <n v="4830"/>
    <n v="31772"/>
    <n v="5910"/>
    <n v="5910"/>
    <x v="1485"/>
    <n v="10500"/>
  </r>
  <r>
    <s v="PR-0509"/>
    <d v="2026-05-17T00:00:00"/>
    <x v="4"/>
    <x v="4"/>
    <s v="Sunday"/>
    <x v="1"/>
    <x v="1"/>
    <x v="1"/>
    <s v="Toothbrush"/>
    <x v="11"/>
    <s v="Soft Toothbrush"/>
    <s v="B260517-L4B"/>
    <s v="S. Yadav"/>
    <x v="1"/>
    <x v="1"/>
    <x v="0"/>
    <n v="6820"/>
    <n v="6140"/>
    <n v="126"/>
    <n v="2.0521172638436481E-2"/>
    <n v="0.90029325513196479"/>
    <x v="4"/>
    <n v="73"/>
    <n v="1.2166666666666666"/>
    <s v="Machine Breakdown"/>
    <n v="18"/>
    <n v="2268"/>
    <n v="31395"/>
    <n v="6070"/>
    <n v="6070"/>
    <x v="1486"/>
    <n v="15000"/>
  </r>
  <r>
    <s v="PR-0210"/>
    <d v="2026-04-20T00:00:00"/>
    <x v="5"/>
    <x v="5"/>
    <s v="Monday"/>
    <x v="0"/>
    <x v="1"/>
    <x v="1"/>
    <s v="Toothbrush"/>
    <x v="11"/>
    <s v="Soft Toothbrush"/>
    <s v="B260420-L4A"/>
    <s v="R. Sharma"/>
    <x v="2"/>
    <x v="1"/>
    <x v="6"/>
    <n v="9810"/>
    <n v="9130"/>
    <n v="214"/>
    <n v="2.3439211391018618E-2"/>
    <n v="0.93068297655453613"/>
    <x v="5"/>
    <n v="0"/>
    <n v="0"/>
    <s v="None"/>
    <n v="18"/>
    <n v="3852"/>
    <n v="30747"/>
    <n v="8310"/>
    <n v="8310"/>
    <x v="1487"/>
    <n v="15000"/>
  </r>
  <r>
    <s v="PR-1010"/>
    <d v="2026-07-02T00:00:00"/>
    <x v="2"/>
    <x v="2"/>
    <s v="Thursday"/>
    <x v="0"/>
    <x v="0"/>
    <x v="0"/>
    <s v="Mouthwash"/>
    <x v="0"/>
    <s v="Mint Mouthwash 250ml"/>
    <s v="B260702-L2A"/>
    <s v="K. Verma"/>
    <x v="0"/>
    <x v="0"/>
    <x v="0"/>
    <n v="5990"/>
    <n v="5780"/>
    <n v="761"/>
    <n v="0.13166089965397923"/>
    <n v="0.96494156928213692"/>
    <x v="1"/>
    <n v="46"/>
    <n v="0.76666666666666672"/>
    <s v="Changeover"/>
    <n v="46"/>
    <n v="35006"/>
    <n v="32121"/>
    <n v="5770"/>
    <n v="5770"/>
    <x v="1488"/>
    <n v="10500"/>
  </r>
  <r>
    <s v="PR-1568"/>
    <d v="2026-08-21T00:00:00"/>
    <x v="1"/>
    <x v="1"/>
    <s v="Friday"/>
    <x v="2"/>
    <x v="1"/>
    <x v="1"/>
    <s v="Toothbrush"/>
    <x v="10"/>
    <s v="Medium Toothbrush"/>
    <s v="B260821-L4C"/>
    <s v="M. Khan"/>
    <x v="2"/>
    <x v="1"/>
    <x v="7"/>
    <n v="9210"/>
    <n v="8810"/>
    <n v="251"/>
    <n v="2.8490351872871737E-2"/>
    <n v="0.95656894679695981"/>
    <x v="5"/>
    <n v="0"/>
    <n v="0"/>
    <s v="None"/>
    <n v="17"/>
    <n v="4267"/>
    <n v="30744"/>
    <n v="7930"/>
    <n v="7930"/>
    <x v="1489"/>
    <n v="13500"/>
  </r>
  <r>
    <s v="PR-1189"/>
    <d v="2026-07-18T00:00:00"/>
    <x v="2"/>
    <x v="2"/>
    <s v="Saturday"/>
    <x v="0"/>
    <x v="1"/>
    <x v="1"/>
    <s v="Toothbrush"/>
    <x v="10"/>
    <s v="Medium Toothbrush"/>
    <s v="B260718-L4A"/>
    <s v="K. Verma"/>
    <x v="1"/>
    <x v="1"/>
    <x v="7"/>
    <n v="9430"/>
    <n v="9070"/>
    <n v="203"/>
    <n v="2.2381477398015437E-2"/>
    <n v="0.9618239660657476"/>
    <x v="2"/>
    <n v="0"/>
    <n v="0"/>
    <s v="None"/>
    <n v="17"/>
    <n v="3451"/>
    <n v="31273"/>
    <n v="8760"/>
    <n v="8760"/>
    <x v="1490"/>
    <n v="13500"/>
  </r>
  <r>
    <s v="PR-1099"/>
    <d v="2026-07-10T00:00:00"/>
    <x v="2"/>
    <x v="2"/>
    <s v="Friday"/>
    <x v="0"/>
    <x v="2"/>
    <x v="2"/>
    <s v="Dental Floss"/>
    <x v="6"/>
    <s v="Floss Picks (100 pcs)"/>
    <s v="B260710-L3A"/>
    <s v="R. Sharma"/>
    <x v="1"/>
    <x v="2"/>
    <x v="8"/>
    <n v="5290"/>
    <n v="5120"/>
    <n v="168"/>
    <n v="3.2812500000000001E-2"/>
    <n v="0.9678638941398866"/>
    <x v="3"/>
    <n v="13"/>
    <n v="0.21666666666666667"/>
    <s v="Changeover"/>
    <n v="33"/>
    <n v="5544"/>
    <n v="31059"/>
    <n v="4620"/>
    <n v="4620"/>
    <x v="1491"/>
    <n v="9750"/>
  </r>
  <r>
    <s v="PR-0497"/>
    <d v="2026-05-16T00:00:00"/>
    <x v="4"/>
    <x v="4"/>
    <s v="Saturday"/>
    <x v="0"/>
    <x v="1"/>
    <x v="1"/>
    <s v="Toothbrush"/>
    <x v="11"/>
    <s v="Soft Toothbrush"/>
    <s v="B260516-L4A"/>
    <s v="K. Verma"/>
    <x v="2"/>
    <x v="1"/>
    <x v="7"/>
    <n v="9740"/>
    <n v="9470"/>
    <n v="276"/>
    <n v="2.9144667370644139E-2"/>
    <n v="0.97227926078028748"/>
    <x v="2"/>
    <n v="0"/>
    <n v="0"/>
    <s v="None"/>
    <n v="18"/>
    <n v="4968"/>
    <n v="31181"/>
    <n v="8980"/>
    <n v="8980"/>
    <x v="1492"/>
    <n v="15000"/>
  </r>
  <r>
    <s v="PR-0316"/>
    <d v="2026-04-29T00:00:00"/>
    <x v="5"/>
    <x v="5"/>
    <s v="Wednesday"/>
    <x v="2"/>
    <x v="1"/>
    <x v="1"/>
    <s v="Toothbrush"/>
    <x v="11"/>
    <s v="Soft Toothbrush"/>
    <s v="B260429-L4C"/>
    <s v="M. Khan"/>
    <x v="2"/>
    <x v="1"/>
    <x v="3"/>
    <n v="9310"/>
    <n v="7720"/>
    <n v="139"/>
    <n v="1.8005181347150259E-2"/>
    <n v="0.8292158968850698"/>
    <x v="5"/>
    <n v="0"/>
    <n v="0"/>
    <s v="None"/>
    <n v="18"/>
    <n v="2502"/>
    <n v="32444"/>
    <n v="8620"/>
    <n v="8620"/>
    <x v="1493"/>
    <n v="15000"/>
  </r>
  <r>
    <s v="PR-0032"/>
    <d v="2026-04-03T00:00:00"/>
    <x v="5"/>
    <x v="5"/>
    <s v="Friday"/>
    <x v="1"/>
    <x v="1"/>
    <x v="1"/>
    <s v="Toothbrush"/>
    <x v="11"/>
    <s v="Soft Toothbrush"/>
    <s v="B260403-L4B"/>
    <s v="S. Yadav"/>
    <x v="1"/>
    <x v="1"/>
    <x v="7"/>
    <n v="10690"/>
    <n v="10910"/>
    <n v="342"/>
    <n v="3.1347387717690189E-2"/>
    <n v="1.0205799812909262"/>
    <x v="4"/>
    <n v="0"/>
    <n v="0"/>
    <s v="None"/>
    <n v="18"/>
    <n v="6156"/>
    <n v="30555"/>
    <n v="9690"/>
    <n v="9690"/>
    <x v="1494"/>
    <n v="15000"/>
  </r>
  <r>
    <s v="PR-0950"/>
    <d v="2026-06-26T00:00:00"/>
    <x v="3"/>
    <x v="3"/>
    <s v="Friday"/>
    <x v="1"/>
    <x v="2"/>
    <x v="2"/>
    <s v="Dental Floss"/>
    <x v="6"/>
    <s v="Floss Picks (100 pcs)"/>
    <s v="B260626-L3B"/>
    <s v="P. Singh"/>
    <x v="2"/>
    <x v="2"/>
    <x v="10"/>
    <n v="5250"/>
    <n v="4650"/>
    <n v="85"/>
    <n v="1.8279569892473119E-2"/>
    <n v="0.88571428571428568"/>
    <x v="2"/>
    <n v="15"/>
    <n v="0.25"/>
    <s v="Changeover"/>
    <n v="33"/>
    <n v="2805"/>
    <n v="31289"/>
    <n v="4410"/>
    <n v="4410"/>
    <x v="1495"/>
    <n v="9750"/>
  </r>
  <r>
    <s v="PR-0979"/>
    <d v="2026-06-29T00:00:00"/>
    <x v="3"/>
    <x v="3"/>
    <s v="Monday"/>
    <x v="1"/>
    <x v="2"/>
    <x v="2"/>
    <s v="Dental Floss"/>
    <x v="6"/>
    <s v="Floss Picks (100 pcs)"/>
    <s v="B260629-L3B"/>
    <s v="P. Singh"/>
    <x v="1"/>
    <x v="2"/>
    <x v="8"/>
    <n v="5440"/>
    <n v="4770"/>
    <n v="140"/>
    <n v="2.9350104821802937E-2"/>
    <n v="0.87683823529411764"/>
    <x v="5"/>
    <n v="0"/>
    <n v="0"/>
    <s v="None"/>
    <n v="33"/>
    <n v="4620"/>
    <n v="31599"/>
    <n v="4780"/>
    <n v="4780"/>
    <x v="1496"/>
    <n v="9750"/>
  </r>
  <r>
    <s v="PR-0705"/>
    <d v="2026-06-04T00:00:00"/>
    <x v="3"/>
    <x v="3"/>
    <s v="Thursday"/>
    <x v="1"/>
    <x v="2"/>
    <x v="2"/>
    <s v="Dental Floss"/>
    <x v="9"/>
    <s v="Waxed Floss 50m"/>
    <s v="B260604-L3B"/>
    <s v="S. Yadav"/>
    <x v="1"/>
    <x v="2"/>
    <x v="10"/>
    <n v="7810"/>
    <n v="7930"/>
    <n v="176"/>
    <n v="2.2194199243379571E-2"/>
    <n v="1.0153649167733674"/>
    <x v="5"/>
    <n v="43"/>
    <n v="0.71666666666666667"/>
    <s v="Material Shortage"/>
    <n v="24"/>
    <n v="4224"/>
    <n v="30301"/>
    <n v="6590"/>
    <n v="6590"/>
    <x v="1497"/>
    <n v="12000"/>
  </r>
  <r>
    <s v="PR-0465"/>
    <d v="2026-05-13T00:00:00"/>
    <x v="4"/>
    <x v="4"/>
    <s v="Wednesday"/>
    <x v="1"/>
    <x v="1"/>
    <x v="1"/>
    <s v="Toothbrush"/>
    <x v="11"/>
    <s v="Soft Toothbrush"/>
    <s v="B260513-L4B"/>
    <s v="P. Singh"/>
    <x v="2"/>
    <x v="1"/>
    <x v="6"/>
    <n v="9930"/>
    <n v="9460"/>
    <n v="180"/>
    <n v="1.9027484143763214E-2"/>
    <n v="0.95266868076535749"/>
    <x v="0"/>
    <n v="0"/>
    <n v="0"/>
    <s v="None"/>
    <n v="18"/>
    <n v="3240"/>
    <n v="30748"/>
    <n v="8550"/>
    <n v="8550"/>
    <x v="1498"/>
    <n v="15000"/>
  </r>
  <r>
    <s v="PR-0288"/>
    <d v="2026-04-27T00:00:00"/>
    <x v="5"/>
    <x v="5"/>
    <s v="Monday"/>
    <x v="1"/>
    <x v="1"/>
    <x v="1"/>
    <s v="Toothbrush"/>
    <x v="11"/>
    <s v="Soft Toothbrush"/>
    <s v="B260427-L4B"/>
    <s v="P. Singh"/>
    <x v="1"/>
    <x v="1"/>
    <x v="7"/>
    <n v="9850"/>
    <n v="9760"/>
    <n v="295"/>
    <n v="3.0225409836065573E-2"/>
    <n v="0.99086294416243659"/>
    <x v="2"/>
    <n v="49"/>
    <n v="0.81666666666666665"/>
    <s v="Machine Breakdown"/>
    <n v="18"/>
    <n v="5310"/>
    <n v="31172"/>
    <n v="9150"/>
    <n v="9150"/>
    <x v="1499"/>
    <n v="15000"/>
  </r>
  <r>
    <s v="PR-0336"/>
    <d v="2026-05-01T00:00:00"/>
    <x v="4"/>
    <x v="4"/>
    <s v="Friday"/>
    <x v="1"/>
    <x v="1"/>
    <x v="1"/>
    <s v="Toothbrush"/>
    <x v="11"/>
    <s v="Soft Toothbrush"/>
    <s v="B260501-L4B"/>
    <s v="S. Yadav"/>
    <x v="2"/>
    <x v="1"/>
    <x v="6"/>
    <n v="9570"/>
    <n v="9140"/>
    <n v="257"/>
    <n v="2.8118161925601751E-2"/>
    <n v="0.95506792058516199"/>
    <x v="3"/>
    <n v="33"/>
    <n v="0.55000000000000004"/>
    <s v="Machine Breakdown"/>
    <n v="18"/>
    <n v="4626"/>
    <n v="31707"/>
    <n v="9060"/>
    <n v="9060"/>
    <x v="1500"/>
    <n v="15000"/>
  </r>
  <r>
    <s v="PR-0922"/>
    <d v="2026-06-24T00:00:00"/>
    <x v="3"/>
    <x v="3"/>
    <s v="Wednesday"/>
    <x v="0"/>
    <x v="2"/>
    <x v="2"/>
    <s v="Dental Floss"/>
    <x v="6"/>
    <s v="Floss Picks (100 pcs)"/>
    <s v="B260624-L3A"/>
    <s v="K. Verma"/>
    <x v="1"/>
    <x v="2"/>
    <x v="8"/>
    <n v="5500"/>
    <n v="5120"/>
    <n v="141"/>
    <n v="2.7539062499999999E-2"/>
    <n v="0.93090909090909091"/>
    <x v="5"/>
    <n v="58"/>
    <n v="0.96666666666666667"/>
    <s v="Changeover"/>
    <n v="33"/>
    <n v="4653"/>
    <n v="31177"/>
    <n v="4610"/>
    <n v="4610"/>
    <x v="1501"/>
    <n v="9750"/>
  </r>
  <r>
    <s v="PR-0430"/>
    <d v="2026-05-10T00:00:00"/>
    <x v="4"/>
    <x v="4"/>
    <s v="Sunday"/>
    <x v="0"/>
    <x v="1"/>
    <x v="1"/>
    <s v="Toothbrush"/>
    <x v="11"/>
    <s v="Soft Toothbrush"/>
    <s v="B260510-L4A"/>
    <s v="K. Verma"/>
    <x v="2"/>
    <x v="1"/>
    <x v="0"/>
    <n v="6870"/>
    <n v="6590"/>
    <n v="213"/>
    <n v="3.2321699544764798E-2"/>
    <n v="0.95924308588064044"/>
    <x v="4"/>
    <n v="48"/>
    <n v="0.8"/>
    <s v="Machine Breakdown"/>
    <n v="18"/>
    <n v="3834"/>
    <n v="31139"/>
    <n v="5960"/>
    <n v="5960"/>
    <x v="1502"/>
    <n v="15000"/>
  </r>
  <r>
    <s v="PR-0874"/>
    <d v="2026-06-19T00:00:00"/>
    <x v="3"/>
    <x v="3"/>
    <s v="Friday"/>
    <x v="2"/>
    <x v="3"/>
    <x v="3"/>
    <s v="Toothpaste"/>
    <x v="8"/>
    <s v="Whitening Toothpaste 100g"/>
    <s v="B260619-L1C"/>
    <s v="M. Khan"/>
    <x v="1"/>
    <x v="3"/>
    <x v="2"/>
    <n v="9170"/>
    <n v="8970"/>
    <n v="258"/>
    <n v="2.8762541806020066E-2"/>
    <n v="0.97818974918211554"/>
    <x v="0"/>
    <n v="0"/>
    <n v="0"/>
    <s v="None"/>
    <n v="38"/>
    <n v="9804"/>
    <n v="30484"/>
    <n v="7610"/>
    <n v="7610"/>
    <x v="1503"/>
    <n v="13500"/>
  </r>
  <r>
    <s v="PR-1451"/>
    <d v="2026-08-11T00:00:00"/>
    <x v="1"/>
    <x v="1"/>
    <s v="Tuesday"/>
    <x v="1"/>
    <x v="3"/>
    <x v="3"/>
    <s v="Toothpaste"/>
    <x v="7"/>
    <s v="Sensitive Toothpaste 100g"/>
    <s v="B260811-L1B"/>
    <s v="S. Yadav"/>
    <x v="1"/>
    <x v="3"/>
    <x v="3"/>
    <n v="8430"/>
    <n v="7820"/>
    <n v="77"/>
    <n v="9.8465473145780049E-3"/>
    <n v="0.9276393831553974"/>
    <x v="5"/>
    <n v="0"/>
    <n v="0"/>
    <s v="None"/>
    <n v="42"/>
    <n v="3234"/>
    <n v="30589"/>
    <n v="6740"/>
    <n v="6740"/>
    <x v="1504"/>
    <n v="12000"/>
  </r>
  <r>
    <s v="PR-1022"/>
    <d v="2026-07-03T00:00:00"/>
    <x v="2"/>
    <x v="2"/>
    <s v="Friday"/>
    <x v="0"/>
    <x v="0"/>
    <x v="0"/>
    <s v="Mouthwash"/>
    <x v="0"/>
    <s v="Mint Mouthwash 250ml"/>
    <s v="B260703-L2A"/>
    <s v="R. Sharma"/>
    <x v="2"/>
    <x v="0"/>
    <x v="1"/>
    <n v="6800"/>
    <n v="6190"/>
    <n v="92"/>
    <n v="1.4862681744749596E-2"/>
    <n v="0.91029411764705881"/>
    <x v="0"/>
    <n v="0"/>
    <n v="0"/>
    <s v="None"/>
    <n v="46"/>
    <n v="4232"/>
    <n v="31370"/>
    <n v="5870"/>
    <n v="5870"/>
    <x v="1505"/>
    <n v="10500"/>
  </r>
  <r>
    <s v="PR-0975"/>
    <d v="2026-06-29T00:00:00"/>
    <x v="3"/>
    <x v="3"/>
    <s v="Monday"/>
    <x v="0"/>
    <x v="2"/>
    <x v="2"/>
    <s v="Dental Floss"/>
    <x v="6"/>
    <s v="Floss Picks (100 pcs)"/>
    <s v="B260629-L3A"/>
    <s v="R. Sharma"/>
    <x v="2"/>
    <x v="2"/>
    <x v="8"/>
    <n v="5230"/>
    <n v="4690"/>
    <n v="125"/>
    <n v="2.6652452025586353E-2"/>
    <n v="0.89674952198852775"/>
    <x v="3"/>
    <n v="64"/>
    <n v="1.0666666666666667"/>
    <s v="Changeover"/>
    <n v="33"/>
    <n v="4125"/>
    <n v="31444"/>
    <n v="4410"/>
    <n v="4410"/>
    <x v="1506"/>
    <n v="9750"/>
  </r>
  <r>
    <s v="PR-0254"/>
    <d v="2026-04-23T00:00:00"/>
    <x v="5"/>
    <x v="5"/>
    <s v="Thursday"/>
    <x v="2"/>
    <x v="1"/>
    <x v="1"/>
    <s v="Toothbrush"/>
    <x v="11"/>
    <s v="Soft Toothbrush"/>
    <s v="B260423-L4C"/>
    <s v="M. Khan"/>
    <x v="2"/>
    <x v="1"/>
    <x v="6"/>
    <n v="9720"/>
    <n v="8540"/>
    <n v="133"/>
    <n v="1.5573770491803279E-2"/>
    <n v="0.87860082304526754"/>
    <x v="2"/>
    <n v="41"/>
    <n v="0.68333333333333335"/>
    <s v="Changeover"/>
    <n v="18"/>
    <n v="2394"/>
    <n v="32058"/>
    <n v="8780"/>
    <n v="8780"/>
    <x v="1507"/>
    <n v="15000"/>
  </r>
  <r>
    <s v="PR-0529"/>
    <d v="2026-05-19T00:00:00"/>
    <x v="4"/>
    <x v="4"/>
    <s v="Tuesday"/>
    <x v="1"/>
    <x v="1"/>
    <x v="1"/>
    <s v="Toothbrush"/>
    <x v="11"/>
    <s v="Soft Toothbrush"/>
    <s v="B260519-L4B"/>
    <s v="S. Yadav"/>
    <x v="1"/>
    <x v="1"/>
    <x v="7"/>
    <n v="9350"/>
    <n v="9160"/>
    <n v="228"/>
    <n v="2.4890829694323144E-2"/>
    <n v="0.97967914438502679"/>
    <x v="3"/>
    <n v="0"/>
    <n v="0"/>
    <s v="None"/>
    <n v="18"/>
    <n v="4104"/>
    <n v="31339"/>
    <n v="8580"/>
    <n v="8580"/>
    <x v="1508"/>
    <n v="15000"/>
  </r>
  <r>
    <s v="PR-0954"/>
    <d v="2026-06-26T00:00:00"/>
    <x v="3"/>
    <x v="3"/>
    <s v="Friday"/>
    <x v="2"/>
    <x v="2"/>
    <x v="2"/>
    <s v="Dental Floss"/>
    <x v="9"/>
    <s v="Waxed Floss 50m"/>
    <s v="B260626-L3C"/>
    <s v="M. Khan"/>
    <x v="2"/>
    <x v="2"/>
    <x v="9"/>
    <n v="7950"/>
    <n v="6810"/>
    <n v="202"/>
    <n v="2.9662261380323053E-2"/>
    <n v="0.85660377358490569"/>
    <x v="5"/>
    <n v="0"/>
    <n v="0"/>
    <s v="None"/>
    <n v="24"/>
    <n v="4848"/>
    <n v="32427"/>
    <n v="7340"/>
    <n v="7340"/>
    <x v="1509"/>
    <n v="12000"/>
  </r>
  <r>
    <s v="PR-0847"/>
    <d v="2026-06-17T00:00:00"/>
    <x v="3"/>
    <x v="3"/>
    <s v="Wednesday"/>
    <x v="1"/>
    <x v="0"/>
    <x v="0"/>
    <s v="Mouthwash"/>
    <x v="0"/>
    <s v="Mint Mouthwash 250ml"/>
    <s v="B260617-L2B"/>
    <s v="P. Singh"/>
    <x v="1"/>
    <x v="0"/>
    <x v="1"/>
    <n v="7270"/>
    <n v="6920"/>
    <n v="175"/>
    <n v="2.5289017341040464E-2"/>
    <n v="0.95185694635488305"/>
    <x v="4"/>
    <n v="0"/>
    <n v="0"/>
    <s v="None"/>
    <n v="46"/>
    <n v="8050"/>
    <n v="31337"/>
    <n v="6380"/>
    <n v="6380"/>
    <x v="1510"/>
    <n v="10500"/>
  </r>
  <r>
    <s v="PR-0320"/>
    <d v="2026-04-30T00:00:00"/>
    <x v="5"/>
    <x v="5"/>
    <s v="Thursday"/>
    <x v="0"/>
    <x v="1"/>
    <x v="1"/>
    <s v="Toothbrush"/>
    <x v="11"/>
    <s v="Soft Toothbrush"/>
    <s v="B260430-L4A"/>
    <s v="R. Sharma"/>
    <x v="2"/>
    <x v="1"/>
    <x v="6"/>
    <n v="9870"/>
    <n v="10090"/>
    <n v="308"/>
    <n v="3.0525272547076314E-2"/>
    <n v="1.0222897669706181"/>
    <x v="0"/>
    <n v="19"/>
    <n v="0.31666666666666665"/>
    <s v="Changeover"/>
    <n v="18"/>
    <n v="5544"/>
    <n v="31405"/>
    <n v="9480"/>
    <n v="9480"/>
    <x v="1511"/>
    <n v="15000"/>
  </r>
  <r>
    <s v="PR-1107"/>
    <d v="2026-07-10T00:00:00"/>
    <x v="2"/>
    <x v="2"/>
    <s v="Friday"/>
    <x v="2"/>
    <x v="2"/>
    <x v="2"/>
    <s v="Dental Floss"/>
    <x v="6"/>
    <s v="Floss Picks (100 pcs)"/>
    <s v="B260710-L3C"/>
    <s v="A. Gupta"/>
    <x v="1"/>
    <x v="2"/>
    <x v="10"/>
    <n v="5150"/>
    <n v="4980"/>
    <n v="87"/>
    <n v="1.7469879518072291E-2"/>
    <n v="0.96699029126213587"/>
    <x v="3"/>
    <n v="0"/>
    <n v="0"/>
    <s v="None"/>
    <n v="33"/>
    <n v="2871"/>
    <n v="31391"/>
    <n v="4570"/>
    <n v="4570"/>
    <x v="1512"/>
    <n v="9750"/>
  </r>
  <r>
    <s v="PR-1026"/>
    <d v="2026-07-03T00:00:00"/>
    <x v="2"/>
    <x v="2"/>
    <s v="Friday"/>
    <x v="1"/>
    <x v="0"/>
    <x v="0"/>
    <s v="Mouthwash"/>
    <x v="0"/>
    <s v="Mint Mouthwash 250ml"/>
    <s v="B260703-L2B"/>
    <s v="P. Singh"/>
    <x v="1"/>
    <x v="0"/>
    <x v="1"/>
    <n v="6290"/>
    <n v="6060"/>
    <n v="160"/>
    <n v="2.6402640264026403E-2"/>
    <n v="0.9634340222575517"/>
    <x v="0"/>
    <n v="0"/>
    <n v="0"/>
    <s v="None"/>
    <n v="46"/>
    <n v="7360"/>
    <n v="31598"/>
    <n v="5780"/>
    <n v="5780"/>
    <x v="1513"/>
    <n v="10500"/>
  </r>
  <r>
    <s v="PR-1132"/>
    <d v="2026-07-13T00:00:00"/>
    <x v="2"/>
    <x v="2"/>
    <s v="Monday"/>
    <x v="1"/>
    <x v="2"/>
    <x v="2"/>
    <s v="Dental Floss"/>
    <x v="6"/>
    <s v="Floss Picks (100 pcs)"/>
    <s v="B260713-L3B"/>
    <s v="P. Singh"/>
    <x v="1"/>
    <x v="2"/>
    <x v="10"/>
    <n v="5890"/>
    <n v="5660"/>
    <n v="159"/>
    <n v="2.8091872791519434E-2"/>
    <n v="0.96095076400679114"/>
    <x v="3"/>
    <n v="73"/>
    <n v="1.2166666666666666"/>
    <s v="Changeover"/>
    <n v="33"/>
    <n v="5247"/>
    <n v="32034"/>
    <n v="5770"/>
    <n v="5770"/>
    <x v="1514"/>
    <n v="9750"/>
  </r>
  <r>
    <s v="PR-0839"/>
    <d v="2026-06-16T00:00:00"/>
    <x v="3"/>
    <x v="3"/>
    <s v="Tuesday"/>
    <x v="2"/>
    <x v="0"/>
    <x v="0"/>
    <s v="Mouthwash"/>
    <x v="0"/>
    <s v="Mint Mouthwash 250ml"/>
    <s v="B260616-L2C"/>
    <s v="M. Khan"/>
    <x v="2"/>
    <x v="0"/>
    <x v="2"/>
    <n v="5410"/>
    <n v="4960"/>
    <n v="139"/>
    <n v="2.8024193548387095E-2"/>
    <n v="0.91682070240295743"/>
    <x v="2"/>
    <n v="0"/>
    <n v="0"/>
    <s v="None"/>
    <n v="46"/>
    <n v="6394"/>
    <n v="32251"/>
    <n v="5300"/>
    <n v="5300"/>
    <x v="1515"/>
    <n v="10500"/>
  </r>
  <r>
    <s v="PR-0137"/>
    <d v="2026-04-13T00:00:00"/>
    <x v="5"/>
    <x v="5"/>
    <s v="Monday"/>
    <x v="1"/>
    <x v="1"/>
    <x v="1"/>
    <s v="Toothbrush"/>
    <x v="11"/>
    <s v="Soft Toothbrush"/>
    <s v="B260413-L4B"/>
    <s v="S. Yadav"/>
    <x v="1"/>
    <x v="1"/>
    <x v="6"/>
    <n v="10720"/>
    <n v="10140"/>
    <n v="280"/>
    <n v="2.7613412228796843E-2"/>
    <n v="0.94589552238805974"/>
    <x v="4"/>
    <n v="0"/>
    <n v="0"/>
    <s v="None"/>
    <n v="18"/>
    <n v="5040"/>
    <n v="30888"/>
    <n v="8970"/>
    <n v="8970"/>
    <x v="1516"/>
    <n v="15000"/>
  </r>
  <r>
    <s v="PR-0709"/>
    <d v="2026-06-04T00:00:00"/>
    <x v="3"/>
    <x v="3"/>
    <s v="Thursday"/>
    <x v="2"/>
    <x v="2"/>
    <x v="2"/>
    <s v="Dental Floss"/>
    <x v="9"/>
    <s v="Waxed Floss 50m"/>
    <s v="B260604-L3C"/>
    <s v="A. Gupta"/>
    <x v="2"/>
    <x v="2"/>
    <x v="8"/>
    <n v="8070"/>
    <n v="7630"/>
    <n v="194"/>
    <n v="2.5425950196592398E-2"/>
    <n v="0.94547707558859972"/>
    <x v="2"/>
    <n v="51"/>
    <n v="0.85"/>
    <s v="Machine Breakdown"/>
    <n v="24"/>
    <n v="4656"/>
    <n v="31465"/>
    <n v="7110"/>
    <n v="7110"/>
    <x v="1517"/>
    <n v="12000"/>
  </r>
  <r>
    <s v="PR-1055"/>
    <d v="2026-07-06T00:00:00"/>
    <x v="2"/>
    <x v="2"/>
    <s v="Monday"/>
    <x v="1"/>
    <x v="2"/>
    <x v="2"/>
    <s v="Dental Floss"/>
    <x v="9"/>
    <s v="Waxed Floss 50m"/>
    <s v="B260706-L3B"/>
    <s v="S. Yadav"/>
    <x v="2"/>
    <x v="2"/>
    <x v="10"/>
    <n v="7700"/>
    <n v="7490"/>
    <n v="261"/>
    <n v="3.4846461949265689E-2"/>
    <n v="0.97272727272727277"/>
    <x v="5"/>
    <n v="0"/>
    <n v="0"/>
    <s v="None"/>
    <n v="24"/>
    <n v="6264"/>
    <n v="30802"/>
    <n v="6240"/>
    <n v="6240"/>
    <x v="1517"/>
    <n v="12000"/>
  </r>
  <r>
    <s v="PR-0836"/>
    <d v="2026-06-16T00:00:00"/>
    <x v="3"/>
    <x v="3"/>
    <s v="Tuesday"/>
    <x v="1"/>
    <x v="2"/>
    <x v="2"/>
    <s v="Dental Floss"/>
    <x v="9"/>
    <s v="Waxed Floss 50m"/>
    <s v="B260616-L3B"/>
    <s v="P. Singh"/>
    <x v="2"/>
    <x v="2"/>
    <x v="10"/>
    <n v="7920"/>
    <n v="7920"/>
    <n v="285"/>
    <n v="3.5984848484848488E-2"/>
    <n v="1"/>
    <x v="0"/>
    <n v="0"/>
    <n v="0"/>
    <s v="None"/>
    <n v="24"/>
    <n v="6840"/>
    <n v="31205"/>
    <n v="7040"/>
    <n v="7040"/>
    <x v="1518"/>
    <n v="12000"/>
  </r>
  <r>
    <s v="PR-1125"/>
    <d v="2026-07-12T00:00:00"/>
    <x v="2"/>
    <x v="2"/>
    <s v="Sunday"/>
    <x v="1"/>
    <x v="2"/>
    <x v="2"/>
    <s v="Dental Floss"/>
    <x v="9"/>
    <s v="Waxed Floss 50m"/>
    <s v="B260712-L3B"/>
    <s v="S. Yadav"/>
    <x v="2"/>
    <x v="2"/>
    <x v="8"/>
    <n v="5840"/>
    <n v="5420"/>
    <n v="159"/>
    <n v="2.9335793357933581E-2"/>
    <n v="0.92808219178082196"/>
    <x v="4"/>
    <n v="49"/>
    <n v="0.81666666666666665"/>
    <s v="Changeover"/>
    <n v="24"/>
    <n v="3816"/>
    <n v="31991"/>
    <n v="5450"/>
    <n v="5450"/>
    <x v="1519"/>
    <n v="12000"/>
  </r>
  <r>
    <s v="PR-0222"/>
    <d v="2026-04-21T00:00:00"/>
    <x v="5"/>
    <x v="5"/>
    <s v="Tuesday"/>
    <x v="0"/>
    <x v="1"/>
    <x v="1"/>
    <s v="Toothbrush"/>
    <x v="11"/>
    <s v="Soft Toothbrush"/>
    <s v="B260421-L4A"/>
    <s v="K. Verma"/>
    <x v="1"/>
    <x v="1"/>
    <x v="7"/>
    <n v="9670"/>
    <n v="9470"/>
    <n v="199"/>
    <n v="2.1013727560718058E-2"/>
    <n v="0.9793174767321613"/>
    <x v="5"/>
    <n v="37"/>
    <n v="0.6166666666666667"/>
    <s v="Power Interruption"/>
    <n v="18"/>
    <n v="3582"/>
    <n v="31353"/>
    <n v="8820"/>
    <n v="8820"/>
    <x v="1520"/>
    <n v="15000"/>
  </r>
  <r>
    <s v="PR-0965"/>
    <d v="2026-06-27T00:00:00"/>
    <x v="3"/>
    <x v="3"/>
    <s v="Saturday"/>
    <x v="2"/>
    <x v="0"/>
    <x v="0"/>
    <s v="Mouthwash"/>
    <x v="0"/>
    <s v="Mint Mouthwash 250ml"/>
    <s v="B260627-L2C"/>
    <s v="M. Khan"/>
    <x v="2"/>
    <x v="0"/>
    <x v="2"/>
    <n v="5350"/>
    <n v="4840"/>
    <n v="131"/>
    <n v="2.706611570247934E-2"/>
    <n v="0.90467289719626165"/>
    <x v="4"/>
    <n v="0"/>
    <n v="0"/>
    <s v="None"/>
    <n v="46"/>
    <n v="6026"/>
    <n v="32179"/>
    <n v="5070"/>
    <n v="5070"/>
    <x v="1521"/>
    <n v="10500"/>
  </r>
  <r>
    <s v="PR-1479"/>
    <d v="2026-08-13T00:00:00"/>
    <x v="1"/>
    <x v="1"/>
    <s v="Thursday"/>
    <x v="2"/>
    <x v="3"/>
    <x v="3"/>
    <s v="Toothpaste"/>
    <x v="7"/>
    <s v="Sensitive Toothpaste 100g"/>
    <s v="B260813-L1C"/>
    <s v="A. Gupta"/>
    <x v="2"/>
    <x v="3"/>
    <x v="3"/>
    <n v="7540"/>
    <n v="7030"/>
    <n v="195"/>
    <n v="2.7738264580369845E-2"/>
    <n v="0.93236074270557034"/>
    <x v="0"/>
    <n v="55"/>
    <n v="0.91666666666666663"/>
    <s v="Changeover"/>
    <n v="42"/>
    <n v="8190"/>
    <n v="32599"/>
    <n v="7610"/>
    <n v="7610"/>
    <x v="1522"/>
    <n v="12000"/>
  </r>
  <r>
    <s v="PR-0733"/>
    <d v="2026-06-06T00:00:00"/>
    <x v="3"/>
    <x v="3"/>
    <s v="Saturday"/>
    <x v="2"/>
    <x v="2"/>
    <x v="2"/>
    <s v="Dental Floss"/>
    <x v="9"/>
    <s v="Waxed Floss 50m"/>
    <s v="B260606-L3C"/>
    <s v="A. Gupta"/>
    <x v="1"/>
    <x v="2"/>
    <x v="10"/>
    <n v="7890"/>
    <n v="7790"/>
    <n v="222"/>
    <n v="2.8498074454428753E-2"/>
    <n v="0.98732572877059566"/>
    <x v="5"/>
    <n v="33"/>
    <n v="0.55000000000000004"/>
    <s v="Material Shortage"/>
    <n v="24"/>
    <n v="5328"/>
    <n v="31866"/>
    <n v="7570"/>
    <n v="7570"/>
    <x v="1523"/>
    <n v="12000"/>
  </r>
  <r>
    <s v="PR-0872"/>
    <d v="2026-06-19T00:00:00"/>
    <x v="3"/>
    <x v="3"/>
    <s v="Friday"/>
    <x v="1"/>
    <x v="2"/>
    <x v="2"/>
    <s v="Dental Floss"/>
    <x v="9"/>
    <s v="Waxed Floss 50m"/>
    <s v="B260619-L3B"/>
    <s v="P. Singh"/>
    <x v="2"/>
    <x v="2"/>
    <x v="10"/>
    <n v="8600"/>
    <n v="8110"/>
    <n v="160"/>
    <n v="1.9728729963008632E-2"/>
    <n v="0.94302325581395352"/>
    <x v="5"/>
    <n v="0"/>
    <n v="0"/>
    <s v="None"/>
    <n v="24"/>
    <n v="3840"/>
    <n v="31974"/>
    <n v="8060"/>
    <n v="8060"/>
    <x v="1523"/>
    <n v="12000"/>
  </r>
  <r>
    <s v="PR-0725"/>
    <d v="2026-06-06T00:00:00"/>
    <x v="3"/>
    <x v="3"/>
    <s v="Saturday"/>
    <x v="0"/>
    <x v="2"/>
    <x v="2"/>
    <s v="Dental Floss"/>
    <x v="9"/>
    <s v="Waxed Floss 50m"/>
    <s v="B260606-L3A"/>
    <s v="R. Sharma"/>
    <x v="1"/>
    <x v="2"/>
    <x v="10"/>
    <n v="8280"/>
    <n v="8000"/>
    <n v="125"/>
    <n v="1.5625E-2"/>
    <n v="0.96618357487922701"/>
    <x v="5"/>
    <n v="0"/>
    <n v="0"/>
    <s v="None"/>
    <n v="24"/>
    <n v="3000"/>
    <n v="31791"/>
    <n v="7800"/>
    <n v="7800"/>
    <x v="1524"/>
    <n v="12000"/>
  </r>
  <r>
    <s v="PR-0766"/>
    <d v="2026-06-10T00:00:00"/>
    <x v="3"/>
    <x v="3"/>
    <s v="Wednesday"/>
    <x v="0"/>
    <x v="2"/>
    <x v="2"/>
    <s v="Dental Floss"/>
    <x v="9"/>
    <s v="Waxed Floss 50m"/>
    <s v="B260610-L3A"/>
    <s v="K. Verma"/>
    <x v="1"/>
    <x v="2"/>
    <x v="10"/>
    <n v="8140"/>
    <n v="8100"/>
    <n v="274"/>
    <n v="3.3827160493827162E-2"/>
    <n v="0.99508599508599505"/>
    <x v="0"/>
    <n v="0"/>
    <n v="0"/>
    <s v="None"/>
    <n v="24"/>
    <n v="6576"/>
    <n v="31228"/>
    <n v="7160"/>
    <n v="7160"/>
    <x v="1525"/>
    <n v="12000"/>
  </r>
  <r>
    <s v="PR-0409"/>
    <d v="2026-05-08T00:00:00"/>
    <x v="4"/>
    <x v="4"/>
    <s v="Friday"/>
    <x v="0"/>
    <x v="1"/>
    <x v="1"/>
    <s v="Toothbrush"/>
    <x v="11"/>
    <s v="Soft Toothbrush"/>
    <s v="B260508-L4A"/>
    <s v="R. Sharma"/>
    <x v="1"/>
    <x v="1"/>
    <x v="6"/>
    <n v="9910"/>
    <n v="9560"/>
    <n v="317"/>
    <n v="3.3158995815899581E-2"/>
    <n v="0.9646821392532795"/>
    <x v="5"/>
    <n v="0"/>
    <n v="0"/>
    <s v="None"/>
    <n v="18"/>
    <n v="5706"/>
    <n v="32030"/>
    <n v="9350"/>
    <n v="9350"/>
    <x v="1526"/>
    <n v="15000"/>
  </r>
  <r>
    <s v="PR-1136"/>
    <d v="2026-07-13T00:00:00"/>
    <x v="2"/>
    <x v="2"/>
    <s v="Monday"/>
    <x v="2"/>
    <x v="2"/>
    <x v="2"/>
    <s v="Dental Floss"/>
    <x v="6"/>
    <s v="Floss Picks (100 pcs)"/>
    <s v="B260713-L3C"/>
    <s v="A. Gupta"/>
    <x v="2"/>
    <x v="2"/>
    <x v="8"/>
    <n v="4860"/>
    <n v="4750"/>
    <n v="124"/>
    <n v="2.6105263157894736E-2"/>
    <n v="0.97736625514403297"/>
    <x v="2"/>
    <n v="0"/>
    <n v="0"/>
    <s v="None"/>
    <n v="33"/>
    <n v="4092"/>
    <n v="31765"/>
    <n v="4440"/>
    <n v="4440"/>
    <x v="1527"/>
    <n v="9750"/>
  </r>
  <r>
    <s v="PR-1857"/>
    <d v="2026-09-17T00:00:00"/>
    <x v="0"/>
    <x v="0"/>
    <s v="Thursday"/>
    <x v="2"/>
    <x v="2"/>
    <x v="2"/>
    <s v="Dental Floss"/>
    <x v="9"/>
    <s v="Waxed Floss 50m"/>
    <s v="B260917-L3C"/>
    <s v="A. Gupta"/>
    <x v="2"/>
    <x v="2"/>
    <x v="8"/>
    <n v="7010"/>
    <n v="6290"/>
    <n v="142"/>
    <n v="2.2575516693163752E-2"/>
    <n v="0.89728958630527822"/>
    <x v="4"/>
    <n v="19"/>
    <n v="0.31666666666666665"/>
    <s v="Machine Breakdown"/>
    <n v="24"/>
    <n v="3408"/>
    <n v="31301"/>
    <n v="5490"/>
    <n v="5490"/>
    <x v="1528"/>
    <n v="12000"/>
  </r>
  <r>
    <s v="PR-0840"/>
    <d v="2026-06-16T00:00:00"/>
    <x v="3"/>
    <x v="3"/>
    <s v="Tuesday"/>
    <x v="2"/>
    <x v="2"/>
    <x v="2"/>
    <s v="Dental Floss"/>
    <x v="9"/>
    <s v="Waxed Floss 50m"/>
    <s v="B260616-L3C"/>
    <s v="M. Khan"/>
    <x v="2"/>
    <x v="2"/>
    <x v="10"/>
    <n v="7560"/>
    <n v="7190"/>
    <n v="226"/>
    <n v="3.1432545201668986E-2"/>
    <n v="0.95105820105820105"/>
    <x v="3"/>
    <n v="0"/>
    <n v="0"/>
    <s v="None"/>
    <n v="24"/>
    <n v="5424"/>
    <n v="31800"/>
    <n v="6790"/>
    <n v="6790"/>
    <x v="1529"/>
    <n v="12000"/>
  </r>
  <r>
    <s v="PR-0823"/>
    <d v="2026-06-15T00:00:00"/>
    <x v="3"/>
    <x v="3"/>
    <s v="Monday"/>
    <x v="1"/>
    <x v="0"/>
    <x v="0"/>
    <s v="Mouthwash"/>
    <x v="0"/>
    <s v="Mint Mouthwash 250ml"/>
    <s v="B260615-L2B"/>
    <s v="S. Yadav"/>
    <x v="2"/>
    <x v="0"/>
    <x v="1"/>
    <n v="7400"/>
    <n v="6800"/>
    <n v="262"/>
    <n v="3.8529411764705881E-2"/>
    <n v="0.91891891891891897"/>
    <x v="3"/>
    <n v="31"/>
    <n v="0.51666666666666672"/>
    <s v="Material Shortage"/>
    <n v="46"/>
    <n v="12052"/>
    <n v="30372"/>
    <n v="4930"/>
    <n v="4930"/>
    <x v="1530"/>
    <n v="10500"/>
  </r>
  <r>
    <s v="PR-1119"/>
    <d v="2026-07-11T00:00:00"/>
    <x v="2"/>
    <x v="2"/>
    <s v="Saturday"/>
    <x v="2"/>
    <x v="2"/>
    <x v="2"/>
    <s v="Dental Floss"/>
    <x v="9"/>
    <s v="Waxed Floss 50m"/>
    <s v="B260711-L3C"/>
    <s v="A. Gupta"/>
    <x v="1"/>
    <x v="2"/>
    <x v="8"/>
    <n v="8060"/>
    <n v="7790"/>
    <n v="152"/>
    <n v="1.9512195121951219E-2"/>
    <n v="0.96650124069478904"/>
    <x v="2"/>
    <n v="0"/>
    <n v="0"/>
    <s v="None"/>
    <n v="24"/>
    <n v="3648"/>
    <n v="32203"/>
    <n v="7850"/>
    <n v="7850"/>
    <x v="1531"/>
    <n v="12000"/>
  </r>
  <r>
    <s v="PR-0943"/>
    <d v="2026-06-25T00:00:00"/>
    <x v="3"/>
    <x v="3"/>
    <s v="Thursday"/>
    <x v="2"/>
    <x v="1"/>
    <x v="1"/>
    <s v="Toothbrush"/>
    <x v="11"/>
    <s v="Soft Toothbrush"/>
    <s v="B260625-L4C"/>
    <s v="A. Gupta"/>
    <x v="1"/>
    <x v="1"/>
    <x v="1"/>
    <n v="9030"/>
    <n v="7960"/>
    <n v="257"/>
    <n v="3.228643216080402E-2"/>
    <n v="0.88150609080841635"/>
    <x v="0"/>
    <n v="0"/>
    <n v="0"/>
    <s v="None"/>
    <n v="18"/>
    <n v="4626"/>
    <n v="32834"/>
    <n v="8540"/>
    <n v="8540"/>
    <x v="1532"/>
    <n v="15000"/>
  </r>
  <r>
    <s v="PR-1140"/>
    <d v="2026-07-14T00:00:00"/>
    <x v="2"/>
    <x v="2"/>
    <s v="Tuesday"/>
    <x v="0"/>
    <x v="2"/>
    <x v="2"/>
    <s v="Dental Floss"/>
    <x v="6"/>
    <s v="Floss Picks (100 pcs)"/>
    <s v="B260714-L3A"/>
    <s v="R. Sharma"/>
    <x v="1"/>
    <x v="2"/>
    <x v="10"/>
    <n v="5870"/>
    <n v="5380"/>
    <n v="146"/>
    <n v="2.7137546468401486E-2"/>
    <n v="0.91652470187393531"/>
    <x v="5"/>
    <n v="53"/>
    <n v="0.8833333333333333"/>
    <s v="Power Interruption"/>
    <n v="33"/>
    <n v="4818"/>
    <n v="31951"/>
    <n v="5160"/>
    <n v="5160"/>
    <x v="1533"/>
    <n v="9750"/>
  </r>
  <r>
    <s v="PR-0405"/>
    <d v="2026-05-07T00:00:00"/>
    <x v="4"/>
    <x v="4"/>
    <s v="Thursday"/>
    <x v="2"/>
    <x v="1"/>
    <x v="1"/>
    <s v="Toothbrush"/>
    <x v="11"/>
    <s v="Soft Toothbrush"/>
    <s v="B260507-L4C"/>
    <s v="A. Gupta"/>
    <x v="2"/>
    <x v="1"/>
    <x v="6"/>
    <n v="9530"/>
    <n v="8870"/>
    <n v="208"/>
    <n v="2.3449830890642617E-2"/>
    <n v="0.9307450157397692"/>
    <x v="3"/>
    <n v="69"/>
    <n v="1.1499999999999999"/>
    <s v="Material Shortage"/>
    <n v="18"/>
    <n v="3744"/>
    <n v="32318"/>
    <n v="8950"/>
    <n v="8950"/>
    <x v="1534"/>
    <n v="15000"/>
  </r>
  <r>
    <s v="PR-0978"/>
    <d v="2026-06-29T00:00:00"/>
    <x v="3"/>
    <x v="3"/>
    <s v="Monday"/>
    <x v="1"/>
    <x v="0"/>
    <x v="0"/>
    <s v="Mouthwash"/>
    <x v="0"/>
    <s v="Mint Mouthwash 250ml"/>
    <s v="B260629-L2B"/>
    <s v="P. Singh"/>
    <x v="1"/>
    <x v="0"/>
    <x v="0"/>
    <n v="5470"/>
    <n v="5380"/>
    <n v="135"/>
    <n v="2.5092936802973979E-2"/>
    <n v="0.98354661791590492"/>
    <x v="3"/>
    <n v="60"/>
    <n v="1"/>
    <s v="Changeover"/>
    <n v="46"/>
    <n v="6210"/>
    <n v="31818"/>
    <n v="5030"/>
    <n v="5030"/>
    <x v="1535"/>
    <n v="10500"/>
  </r>
  <r>
    <s v="PR-0987"/>
    <d v="2026-06-30T00:00:00"/>
    <x v="3"/>
    <x v="3"/>
    <s v="Tuesday"/>
    <x v="0"/>
    <x v="2"/>
    <x v="2"/>
    <s v="Dental Floss"/>
    <x v="6"/>
    <s v="Floss Picks (100 pcs)"/>
    <s v="B260630-L3A"/>
    <s v="R. Sharma"/>
    <x v="2"/>
    <x v="2"/>
    <x v="10"/>
    <n v="5450"/>
    <n v="5250"/>
    <n v="166"/>
    <n v="3.1619047619047616E-2"/>
    <n v="0.96330275229357798"/>
    <x v="0"/>
    <n v="64"/>
    <n v="1.0666666666666667"/>
    <s v="Material Shortage"/>
    <n v="33"/>
    <n v="5478"/>
    <n v="31449"/>
    <n v="4500"/>
    <n v="4500"/>
    <x v="1535"/>
    <n v="9750"/>
  </r>
  <r>
    <s v="PR-1115"/>
    <d v="2026-07-11T00:00:00"/>
    <x v="2"/>
    <x v="2"/>
    <s v="Saturday"/>
    <x v="1"/>
    <x v="2"/>
    <x v="2"/>
    <s v="Dental Floss"/>
    <x v="6"/>
    <s v="Floss Picks (100 pcs)"/>
    <s v="B260711-L3B"/>
    <s v="P. Singh"/>
    <x v="1"/>
    <x v="2"/>
    <x v="10"/>
    <n v="5220"/>
    <n v="5030"/>
    <n v="120"/>
    <n v="2.3856858846918488E-2"/>
    <n v="0.96360153256704983"/>
    <x v="0"/>
    <n v="0"/>
    <n v="0"/>
    <s v="None"/>
    <n v="33"/>
    <n v="3960"/>
    <n v="31714"/>
    <n v="4590"/>
    <n v="4590"/>
    <x v="1536"/>
    <n v="9750"/>
  </r>
  <r>
    <s v="PR-0999"/>
    <d v="2026-07-01T00:00:00"/>
    <x v="2"/>
    <x v="2"/>
    <s v="Wednesday"/>
    <x v="0"/>
    <x v="2"/>
    <x v="2"/>
    <s v="Dental Floss"/>
    <x v="6"/>
    <s v="Floss Picks (100 pcs)"/>
    <s v="B260701-L3A"/>
    <s v="R. Sharma"/>
    <x v="2"/>
    <x v="2"/>
    <x v="8"/>
    <n v="5340"/>
    <n v="5080"/>
    <n v="95"/>
    <n v="1.8700787401574805E-2"/>
    <n v="0.95131086142322097"/>
    <x v="4"/>
    <n v="0"/>
    <n v="0"/>
    <s v="None"/>
    <n v="33"/>
    <n v="3135"/>
    <n v="32033"/>
    <n v="4980"/>
    <n v="4980"/>
    <x v="1537"/>
    <n v="9750"/>
  </r>
  <r>
    <s v="PR-0246"/>
    <d v="2026-04-23T00:00:00"/>
    <x v="5"/>
    <x v="5"/>
    <s v="Thursday"/>
    <x v="0"/>
    <x v="1"/>
    <x v="1"/>
    <s v="Toothbrush"/>
    <x v="11"/>
    <s v="Soft Toothbrush"/>
    <s v="B260423-L4A"/>
    <s v="R. Sharma"/>
    <x v="2"/>
    <x v="1"/>
    <x v="7"/>
    <n v="10670"/>
    <n v="10150"/>
    <n v="172"/>
    <n v="1.6945812807881773E-2"/>
    <n v="0.95126522961574511"/>
    <x v="2"/>
    <n v="70"/>
    <n v="1.1666666666666667"/>
    <s v="Changeover"/>
    <n v="18"/>
    <n v="3096"/>
    <n v="32650"/>
    <n v="10570"/>
    <n v="10570"/>
    <x v="1538"/>
    <n v="15000"/>
  </r>
  <r>
    <s v="PR-1003"/>
    <d v="2026-07-01T00:00:00"/>
    <x v="2"/>
    <x v="2"/>
    <s v="Wednesday"/>
    <x v="1"/>
    <x v="2"/>
    <x v="2"/>
    <s v="Dental Floss"/>
    <x v="6"/>
    <s v="Floss Picks (100 pcs)"/>
    <s v="B260701-L3B"/>
    <s v="S. Yadav"/>
    <x v="2"/>
    <x v="2"/>
    <x v="10"/>
    <n v="5120"/>
    <n v="5030"/>
    <n v="76"/>
    <n v="1.5109343936381709E-2"/>
    <n v="0.982421875"/>
    <x v="2"/>
    <n v="0"/>
    <n v="0"/>
    <s v="None"/>
    <n v="33"/>
    <n v="2508"/>
    <n v="32038"/>
    <n v="4920"/>
    <n v="4920"/>
    <x v="1539"/>
    <n v="9750"/>
  </r>
  <r>
    <s v="PR-0417"/>
    <d v="2026-05-08T00:00:00"/>
    <x v="4"/>
    <x v="4"/>
    <s v="Friday"/>
    <x v="2"/>
    <x v="1"/>
    <x v="1"/>
    <s v="Toothbrush"/>
    <x v="11"/>
    <s v="Soft Toothbrush"/>
    <s v="B260508-L4C"/>
    <s v="A. Gupta"/>
    <x v="1"/>
    <x v="1"/>
    <x v="0"/>
    <n v="9380"/>
    <n v="8670"/>
    <n v="265"/>
    <n v="3.0565167243367934E-2"/>
    <n v="0.92430703624733479"/>
    <x v="3"/>
    <n v="0"/>
    <n v="0"/>
    <s v="None"/>
    <n v="18"/>
    <n v="4770"/>
    <n v="31923"/>
    <n v="8250"/>
    <n v="8250"/>
    <x v="1540"/>
    <n v="15000"/>
  </r>
  <r>
    <s v="PR-0859"/>
    <d v="2026-06-18T00:00:00"/>
    <x v="3"/>
    <x v="3"/>
    <s v="Thursday"/>
    <x v="1"/>
    <x v="0"/>
    <x v="0"/>
    <s v="Mouthwash"/>
    <x v="0"/>
    <s v="Mint Mouthwash 250ml"/>
    <s v="B260618-L2B"/>
    <s v="P. Singh"/>
    <x v="2"/>
    <x v="0"/>
    <x v="0"/>
    <n v="5790"/>
    <n v="5580"/>
    <n v="174"/>
    <n v="3.118279569892473E-2"/>
    <n v="0.96373056994818651"/>
    <x v="3"/>
    <n v="0"/>
    <n v="0"/>
    <s v="None"/>
    <n v="46"/>
    <n v="8004"/>
    <n v="32118"/>
    <n v="5420"/>
    <n v="5420"/>
    <x v="1541"/>
    <n v="10500"/>
  </r>
  <r>
    <s v="PR-1227"/>
    <d v="2026-07-21T00:00:00"/>
    <x v="2"/>
    <x v="2"/>
    <s v="Tuesday"/>
    <x v="2"/>
    <x v="1"/>
    <x v="1"/>
    <s v="Toothbrush"/>
    <x v="10"/>
    <s v="Medium Toothbrush"/>
    <s v="B260721-L4C"/>
    <s v="A. Gupta"/>
    <x v="2"/>
    <x v="1"/>
    <x v="6"/>
    <n v="9160"/>
    <n v="8880"/>
    <n v="199"/>
    <n v="2.240990990990991E-2"/>
    <n v="0.96943231441048039"/>
    <x v="2"/>
    <n v="48"/>
    <n v="0.8"/>
    <s v="Material Shortage"/>
    <n v="17"/>
    <n v="3383"/>
    <n v="30823"/>
    <n v="7400"/>
    <n v="7400"/>
    <x v="1541"/>
    <n v="13500"/>
  </r>
  <r>
    <s v="PR-1075"/>
    <d v="2026-07-08T00:00:00"/>
    <x v="2"/>
    <x v="2"/>
    <s v="Wednesday"/>
    <x v="0"/>
    <x v="2"/>
    <x v="2"/>
    <s v="Dental Floss"/>
    <x v="9"/>
    <s v="Waxed Floss 50m"/>
    <s v="B260708-L3A"/>
    <s v="R. Sharma"/>
    <x v="1"/>
    <x v="2"/>
    <x v="10"/>
    <n v="7540"/>
    <n v="7300"/>
    <n v="199"/>
    <n v="2.7260273972602739E-2"/>
    <n v="0.96816976127320953"/>
    <x v="4"/>
    <n v="0"/>
    <n v="0"/>
    <s v="None"/>
    <n v="24"/>
    <n v="4776"/>
    <n v="31791"/>
    <n v="6780"/>
    <n v="6780"/>
    <x v="1542"/>
    <n v="12000"/>
  </r>
  <r>
    <s v="PR-1851"/>
    <d v="2026-09-17T00:00:00"/>
    <x v="0"/>
    <x v="0"/>
    <s v="Thursday"/>
    <x v="1"/>
    <x v="3"/>
    <x v="3"/>
    <s v="Toothpaste"/>
    <x v="7"/>
    <s v="Sensitive Toothpaste 100g"/>
    <s v="B260917-L1B"/>
    <s v="P. Singh"/>
    <x v="2"/>
    <x v="3"/>
    <x v="5"/>
    <n v="8320"/>
    <n v="7210"/>
    <n v="206"/>
    <n v="2.8571428571428571E-2"/>
    <n v="0.86658653846153844"/>
    <x v="3"/>
    <n v="24"/>
    <n v="0.4"/>
    <s v="Cleaning / Sanitation"/>
    <n v="42"/>
    <n v="8652"/>
    <n v="32920"/>
    <n v="7810"/>
    <n v="7810"/>
    <x v="1543"/>
    <n v="12000"/>
  </r>
  <r>
    <s v="PR-0855"/>
    <d v="2026-06-18T00:00:00"/>
    <x v="3"/>
    <x v="3"/>
    <s v="Thursday"/>
    <x v="0"/>
    <x v="0"/>
    <x v="0"/>
    <s v="Mouthwash"/>
    <x v="0"/>
    <s v="Mint Mouthwash 250ml"/>
    <s v="B260618-L2A"/>
    <s v="K. Verma"/>
    <x v="2"/>
    <x v="0"/>
    <x v="0"/>
    <n v="6150"/>
    <n v="5910"/>
    <n v="174"/>
    <n v="2.9441624365482234E-2"/>
    <n v="0.96097560975609753"/>
    <x v="5"/>
    <n v="32"/>
    <n v="0.53333333333333333"/>
    <s v="Changeover"/>
    <n v="46"/>
    <n v="8004"/>
    <n v="31702"/>
    <n v="5320"/>
    <n v="5320"/>
    <x v="1544"/>
    <n v="10500"/>
  </r>
  <r>
    <s v="PR-0986"/>
    <d v="2026-06-30T00:00:00"/>
    <x v="3"/>
    <x v="3"/>
    <s v="Tuesday"/>
    <x v="0"/>
    <x v="0"/>
    <x v="0"/>
    <s v="Mouthwash"/>
    <x v="0"/>
    <s v="Mint Mouthwash 250ml"/>
    <s v="B260630-L2A"/>
    <s v="K. Verma"/>
    <x v="2"/>
    <x v="0"/>
    <x v="0"/>
    <n v="5540"/>
    <n v="5610"/>
    <n v="182"/>
    <n v="3.2442067736185382E-2"/>
    <n v="1.0126353790613718"/>
    <x v="0"/>
    <n v="0"/>
    <n v="0"/>
    <s v="None"/>
    <n v="46"/>
    <n v="8372"/>
    <n v="32033"/>
    <n v="5340"/>
    <n v="5340"/>
    <x v="1545"/>
    <n v="10500"/>
  </r>
  <r>
    <s v="PR-0941"/>
    <d v="2026-06-25T00:00:00"/>
    <x v="3"/>
    <x v="3"/>
    <s v="Thursday"/>
    <x v="2"/>
    <x v="0"/>
    <x v="0"/>
    <s v="Mouthwash"/>
    <x v="0"/>
    <s v="Mint Mouthwash 250ml"/>
    <s v="B260625-L2C"/>
    <s v="M. Khan"/>
    <x v="1"/>
    <x v="0"/>
    <x v="5"/>
    <n v="5500"/>
    <n v="4560"/>
    <n v="115"/>
    <n v="2.5219298245614034E-2"/>
    <n v="0.8290909090909091"/>
    <x v="4"/>
    <n v="0"/>
    <n v="0"/>
    <s v="None"/>
    <n v="46"/>
    <n v="5290"/>
    <n v="33284"/>
    <n v="5550"/>
    <n v="5550"/>
    <x v="1546"/>
    <n v="10500"/>
  </r>
  <r>
    <s v="PR-1940"/>
    <d v="2026-09-25T00:00:00"/>
    <x v="0"/>
    <x v="0"/>
    <s v="Friday"/>
    <x v="0"/>
    <x v="1"/>
    <x v="1"/>
    <s v="Toothbrush"/>
    <x v="10"/>
    <s v="Medium Toothbrush"/>
    <s v="B260925-L4A"/>
    <s v="K. Verma"/>
    <x v="2"/>
    <x v="1"/>
    <x v="7"/>
    <n v="9420"/>
    <n v="9200"/>
    <n v="173"/>
    <n v="1.8804347826086955E-2"/>
    <n v="0.97664543524416136"/>
    <x v="5"/>
    <n v="0"/>
    <n v="0"/>
    <s v="None"/>
    <n v="17"/>
    <n v="2941"/>
    <n v="31032"/>
    <n v="7880"/>
    <n v="7880"/>
    <x v="1546"/>
    <n v="13500"/>
  </r>
  <r>
    <s v="PR-0926"/>
    <d v="2026-06-24T00:00:00"/>
    <x v="3"/>
    <x v="3"/>
    <s v="Wednesday"/>
    <x v="1"/>
    <x v="2"/>
    <x v="2"/>
    <s v="Dental Floss"/>
    <x v="9"/>
    <s v="Waxed Floss 50m"/>
    <s v="B260624-L3B"/>
    <s v="P. Singh"/>
    <x v="2"/>
    <x v="2"/>
    <x v="10"/>
    <n v="8210"/>
    <n v="7520"/>
    <n v="128"/>
    <n v="1.7021276595744681E-2"/>
    <n v="0.9159561510353228"/>
    <x v="5"/>
    <n v="0"/>
    <n v="0"/>
    <s v="None"/>
    <n v="24"/>
    <n v="3072"/>
    <n v="31089"/>
    <n v="6300"/>
    <n v="6300"/>
    <x v="1547"/>
    <n v="12000"/>
  </r>
  <r>
    <s v="PR-1087"/>
    <d v="2026-07-09T00:00:00"/>
    <x v="2"/>
    <x v="2"/>
    <s v="Thursday"/>
    <x v="0"/>
    <x v="2"/>
    <x v="2"/>
    <s v="Dental Floss"/>
    <x v="9"/>
    <s v="Waxed Floss 50m"/>
    <s v="B260709-L3A"/>
    <s v="K. Verma"/>
    <x v="1"/>
    <x v="2"/>
    <x v="10"/>
    <n v="8140"/>
    <n v="7660"/>
    <n v="109"/>
    <n v="1.422976501305483E-2"/>
    <n v="0.94103194103194099"/>
    <x v="3"/>
    <n v="69"/>
    <n v="1.1499999999999999"/>
    <s v="Machine Breakdown"/>
    <n v="24"/>
    <n v="2616"/>
    <n v="32112"/>
    <n v="7460"/>
    <n v="7460"/>
    <x v="1548"/>
    <n v="12000"/>
  </r>
  <r>
    <s v="PR-1869"/>
    <d v="2026-09-18T00:00:00"/>
    <x v="0"/>
    <x v="0"/>
    <s v="Friday"/>
    <x v="2"/>
    <x v="2"/>
    <x v="2"/>
    <s v="Dental Floss"/>
    <x v="9"/>
    <s v="Waxed Floss 50m"/>
    <s v="B260918-L3C"/>
    <s v="M. Khan"/>
    <x v="1"/>
    <x v="2"/>
    <x v="9"/>
    <n v="7400"/>
    <n v="6580"/>
    <n v="164"/>
    <n v="2.4924012158054711E-2"/>
    <n v="0.88918918918918921"/>
    <x v="4"/>
    <n v="0"/>
    <n v="0"/>
    <s v="None"/>
    <n v="24"/>
    <n v="3936"/>
    <n v="31959"/>
    <n v="6150"/>
    <n v="6150"/>
    <x v="1549"/>
    <n v="12000"/>
  </r>
  <r>
    <s v="PR-0813"/>
    <d v="2026-06-14T00:00:00"/>
    <x v="3"/>
    <x v="3"/>
    <s v="Sunday"/>
    <x v="0"/>
    <x v="2"/>
    <x v="2"/>
    <s v="Dental Floss"/>
    <x v="9"/>
    <s v="Waxed Floss 50m"/>
    <s v="B260614-L3A"/>
    <s v="R. Sharma"/>
    <x v="1"/>
    <x v="2"/>
    <x v="8"/>
    <n v="5790"/>
    <n v="5250"/>
    <n v="160"/>
    <n v="3.0476190476190476E-2"/>
    <n v="0.90673575129533679"/>
    <x v="5"/>
    <n v="47"/>
    <n v="0.78333333333333333"/>
    <s v="Cleaning / Sanitation"/>
    <n v="24"/>
    <n v="3840"/>
    <n v="32379"/>
    <n v="5240"/>
    <n v="5240"/>
    <x v="1550"/>
    <n v="12000"/>
  </r>
  <r>
    <s v="PR-0226"/>
    <d v="2026-04-21T00:00:00"/>
    <x v="5"/>
    <x v="5"/>
    <s v="Tuesday"/>
    <x v="1"/>
    <x v="1"/>
    <x v="1"/>
    <s v="Toothbrush"/>
    <x v="11"/>
    <s v="Soft Toothbrush"/>
    <s v="B260421-L4B"/>
    <s v="S. Yadav"/>
    <x v="1"/>
    <x v="1"/>
    <x v="6"/>
    <n v="9390"/>
    <n v="9130"/>
    <n v="202"/>
    <n v="2.212486308871851E-2"/>
    <n v="0.97231096911608095"/>
    <x v="4"/>
    <n v="0"/>
    <n v="0"/>
    <s v="None"/>
    <n v="18"/>
    <n v="3636"/>
    <n v="31804"/>
    <n v="8490"/>
    <n v="8490"/>
    <x v="1551"/>
    <n v="15000"/>
  </r>
  <r>
    <s v="PR-1992"/>
    <d v="2026-09-30T00:00:00"/>
    <x v="0"/>
    <x v="0"/>
    <s v="Wednesday"/>
    <x v="0"/>
    <x v="1"/>
    <x v="1"/>
    <s v="Toothbrush"/>
    <x v="10"/>
    <s v="Medium Toothbrush"/>
    <s v="B260930-L4A"/>
    <s v="K. Verma"/>
    <x v="1"/>
    <x v="1"/>
    <x v="7"/>
    <n v="9620"/>
    <n v="9040"/>
    <n v="156"/>
    <n v="1.7256637168141593E-2"/>
    <n v="0.93970893970893976"/>
    <x v="0"/>
    <n v="0"/>
    <n v="0"/>
    <s v="None"/>
    <n v="17"/>
    <n v="2652"/>
    <n v="32261"/>
    <n v="8900"/>
    <n v="8900"/>
    <x v="1552"/>
    <n v="13500"/>
  </r>
  <r>
    <s v="PR-0794"/>
    <d v="2026-06-12T00:00:00"/>
    <x v="3"/>
    <x v="3"/>
    <s v="Friday"/>
    <x v="1"/>
    <x v="2"/>
    <x v="2"/>
    <s v="Dental Floss"/>
    <x v="9"/>
    <s v="Waxed Floss 50m"/>
    <s v="B260612-L3B"/>
    <s v="P. Singh"/>
    <x v="2"/>
    <x v="2"/>
    <x v="10"/>
    <n v="7950"/>
    <n v="7800"/>
    <n v="159"/>
    <n v="2.0384615384615383E-2"/>
    <n v="0.98113207547169812"/>
    <x v="3"/>
    <n v="0"/>
    <n v="0"/>
    <s v="None"/>
    <n v="24"/>
    <n v="3816"/>
    <n v="31125"/>
    <n v="6520"/>
    <n v="6520"/>
    <x v="1553"/>
    <n v="12000"/>
  </r>
  <r>
    <s v="PR-0827"/>
    <d v="2026-06-15T00:00:00"/>
    <x v="3"/>
    <x v="3"/>
    <s v="Monday"/>
    <x v="2"/>
    <x v="0"/>
    <x v="0"/>
    <s v="Mouthwash"/>
    <x v="0"/>
    <s v="Mint Mouthwash 250ml"/>
    <s v="B260615-L2C"/>
    <s v="A. Gupta"/>
    <x v="1"/>
    <x v="0"/>
    <x v="1"/>
    <n v="5340"/>
    <n v="4900"/>
    <n v="149"/>
    <n v="3.0408163265306123E-2"/>
    <n v="0.91760299625468167"/>
    <x v="4"/>
    <n v="0"/>
    <n v="0"/>
    <s v="None"/>
    <n v="46"/>
    <n v="6854"/>
    <n v="31980"/>
    <n v="4480"/>
    <n v="4480"/>
    <x v="1554"/>
    <n v="10500"/>
  </r>
  <r>
    <s v="PR-1980"/>
    <d v="2026-09-29T00:00:00"/>
    <x v="0"/>
    <x v="0"/>
    <s v="Tuesday"/>
    <x v="0"/>
    <x v="1"/>
    <x v="1"/>
    <s v="Toothbrush"/>
    <x v="10"/>
    <s v="Medium Toothbrush"/>
    <s v="B260929-L4A"/>
    <s v="R. Sharma"/>
    <x v="1"/>
    <x v="1"/>
    <x v="1"/>
    <n v="9320"/>
    <n v="8120"/>
    <n v="208"/>
    <n v="2.561576354679803E-2"/>
    <n v="0.871244635193133"/>
    <x v="3"/>
    <n v="41"/>
    <n v="0.68333333333333335"/>
    <s v="Power Interruption"/>
    <n v="17"/>
    <n v="3536"/>
    <n v="32179"/>
    <n v="7830"/>
    <n v="7830"/>
    <x v="1555"/>
    <n v="13500"/>
  </r>
  <r>
    <s v="PR-1467"/>
    <d v="2026-08-12T00:00:00"/>
    <x v="1"/>
    <x v="1"/>
    <s v="Wednesday"/>
    <x v="2"/>
    <x v="3"/>
    <x v="3"/>
    <s v="Toothpaste"/>
    <x v="7"/>
    <s v="Sensitive Toothpaste 100g"/>
    <s v="B260812-L1C"/>
    <s v="M. Khan"/>
    <x v="2"/>
    <x v="3"/>
    <x v="4"/>
    <n v="7570"/>
    <n v="7000"/>
    <n v="115"/>
    <n v="1.6428571428571428E-2"/>
    <n v="0.92470277410832236"/>
    <x v="2"/>
    <n v="0"/>
    <n v="0"/>
    <s v="None"/>
    <n v="42"/>
    <n v="4830"/>
    <n v="31592"/>
    <n v="6170"/>
    <n v="6170"/>
    <x v="1556"/>
    <n v="12000"/>
  </r>
  <r>
    <s v="PR-0389"/>
    <d v="2026-05-06T00:00:00"/>
    <x v="4"/>
    <x v="4"/>
    <s v="Wednesday"/>
    <x v="1"/>
    <x v="1"/>
    <x v="1"/>
    <s v="Toothbrush"/>
    <x v="11"/>
    <s v="Soft Toothbrush"/>
    <s v="B260506-L4B"/>
    <s v="P. Singh"/>
    <x v="2"/>
    <x v="1"/>
    <x v="0"/>
    <n v="9390"/>
    <n v="8670"/>
    <n v="287"/>
    <n v="3.3102652825836215E-2"/>
    <n v="0.92332268370607029"/>
    <x v="4"/>
    <n v="0"/>
    <n v="0"/>
    <s v="None"/>
    <n v="18"/>
    <n v="5166"/>
    <n v="33775"/>
    <n v="9840"/>
    <n v="9840"/>
    <x v="1557"/>
    <n v="15000"/>
  </r>
  <r>
    <s v="PR-1152"/>
    <d v="2026-07-15T00:00:00"/>
    <x v="2"/>
    <x v="2"/>
    <s v="Wednesday"/>
    <x v="0"/>
    <x v="2"/>
    <x v="2"/>
    <s v="Dental Floss"/>
    <x v="6"/>
    <s v="Floss Picks (100 pcs)"/>
    <s v="B260715-L3A"/>
    <s v="K. Verma"/>
    <x v="1"/>
    <x v="2"/>
    <x v="8"/>
    <n v="5160"/>
    <n v="4940"/>
    <n v="176"/>
    <n v="3.5627530364372467E-2"/>
    <n v="0.95736434108527135"/>
    <x v="0"/>
    <n v="0"/>
    <n v="0"/>
    <s v="None"/>
    <n v="33"/>
    <n v="5808"/>
    <n v="32025"/>
    <n v="4470"/>
    <n v="4470"/>
    <x v="1558"/>
    <n v="9750"/>
  </r>
  <r>
    <s v="PR-0044"/>
    <d v="2026-04-04T00:00:00"/>
    <x v="5"/>
    <x v="5"/>
    <s v="Saturday"/>
    <x v="1"/>
    <x v="1"/>
    <x v="1"/>
    <s v="Toothbrush"/>
    <x v="11"/>
    <s v="Soft Toothbrush"/>
    <s v="B260404-L4B"/>
    <s v="P. Singh"/>
    <x v="1"/>
    <x v="1"/>
    <x v="0"/>
    <n v="10050"/>
    <n v="9610"/>
    <n v="195"/>
    <n v="2.029136316337149E-2"/>
    <n v="0.95621890547263677"/>
    <x v="3"/>
    <n v="0"/>
    <n v="0"/>
    <s v="None"/>
    <n v="18"/>
    <n v="3510"/>
    <n v="31433"/>
    <n v="8520"/>
    <n v="8520"/>
    <x v="1559"/>
    <n v="15000"/>
  </r>
  <r>
    <s v="PR-0806"/>
    <d v="2026-06-13T00:00:00"/>
    <x v="3"/>
    <x v="3"/>
    <s v="Saturday"/>
    <x v="1"/>
    <x v="2"/>
    <x v="2"/>
    <s v="Dental Floss"/>
    <x v="9"/>
    <s v="Waxed Floss 50m"/>
    <s v="B260613-L3B"/>
    <s v="S. Yadav"/>
    <x v="2"/>
    <x v="2"/>
    <x v="10"/>
    <n v="7550"/>
    <n v="6860"/>
    <n v="147"/>
    <n v="2.1428571428571429E-2"/>
    <n v="0.90860927152317883"/>
    <x v="0"/>
    <n v="0"/>
    <n v="0"/>
    <s v="None"/>
    <n v="24"/>
    <n v="3528"/>
    <n v="32246"/>
    <n v="6580"/>
    <n v="6580"/>
    <x v="1560"/>
    <n v="12000"/>
  </r>
  <r>
    <s v="PR-0361"/>
    <d v="2026-05-04T00:00:00"/>
    <x v="4"/>
    <x v="4"/>
    <s v="Monday"/>
    <x v="0"/>
    <x v="1"/>
    <x v="1"/>
    <s v="Toothbrush"/>
    <x v="11"/>
    <s v="Soft Toothbrush"/>
    <s v="B260504-L4A"/>
    <s v="R. Sharma"/>
    <x v="1"/>
    <x v="1"/>
    <x v="6"/>
    <n v="10620"/>
    <n v="9740"/>
    <n v="205"/>
    <n v="2.1047227926078028E-2"/>
    <n v="0.91713747645951038"/>
    <x v="4"/>
    <n v="70"/>
    <n v="1.1666666666666667"/>
    <s v="Cleaning / Sanitation"/>
    <n v="18"/>
    <n v="3690"/>
    <n v="32516"/>
    <n v="9660"/>
    <n v="9660"/>
    <x v="1561"/>
    <n v="15000"/>
  </r>
  <r>
    <s v="PR-0955"/>
    <d v="2026-06-26T00:00:00"/>
    <x v="3"/>
    <x v="3"/>
    <s v="Friday"/>
    <x v="2"/>
    <x v="1"/>
    <x v="1"/>
    <s v="Toothbrush"/>
    <x v="11"/>
    <s v="Soft Toothbrush"/>
    <s v="B260626-L4C"/>
    <s v="M. Khan"/>
    <x v="2"/>
    <x v="1"/>
    <x v="7"/>
    <n v="9290"/>
    <n v="8860"/>
    <n v="190"/>
    <n v="2.144469525959368E-2"/>
    <n v="0.95371367061356294"/>
    <x v="4"/>
    <n v="32"/>
    <n v="0.53333333333333333"/>
    <s v="Machine Breakdown"/>
    <n v="18"/>
    <n v="3420"/>
    <n v="31997"/>
    <n v="8270"/>
    <n v="8270"/>
    <x v="1562"/>
    <n v="15000"/>
  </r>
  <r>
    <s v="PR-0946"/>
    <d v="2026-06-26T00:00:00"/>
    <x v="3"/>
    <x v="3"/>
    <s v="Friday"/>
    <x v="0"/>
    <x v="2"/>
    <x v="2"/>
    <s v="Dental Floss"/>
    <x v="9"/>
    <s v="Waxed Floss 50m"/>
    <s v="B260626-L3A"/>
    <s v="R. Sharma"/>
    <x v="2"/>
    <x v="2"/>
    <x v="8"/>
    <n v="8430"/>
    <n v="7680"/>
    <n v="173"/>
    <n v="2.2526041666666666E-2"/>
    <n v="0.91103202846975084"/>
    <x v="4"/>
    <n v="0"/>
    <n v="0"/>
    <s v="None"/>
    <n v="24"/>
    <n v="4152"/>
    <n v="32820"/>
    <n v="7900"/>
    <n v="7900"/>
    <x v="1563"/>
    <n v="12000"/>
  </r>
  <r>
    <s v="PR-0308"/>
    <d v="2026-04-29T00:00:00"/>
    <x v="5"/>
    <x v="5"/>
    <s v="Wednesday"/>
    <x v="0"/>
    <x v="1"/>
    <x v="1"/>
    <s v="Toothbrush"/>
    <x v="11"/>
    <s v="Soft Toothbrush"/>
    <s v="B260429-L4A"/>
    <s v="R. Sharma"/>
    <x v="2"/>
    <x v="1"/>
    <x v="0"/>
    <n v="10000"/>
    <n v="9400"/>
    <n v="203"/>
    <n v="2.1595744680851063E-2"/>
    <n v="0.94"/>
    <x v="0"/>
    <n v="65"/>
    <n v="1.0833333333333333"/>
    <s v="Machine Breakdown"/>
    <n v="18"/>
    <n v="3654"/>
    <n v="31487"/>
    <n v="8240"/>
    <n v="8240"/>
    <x v="1564"/>
    <n v="15000"/>
  </r>
  <r>
    <s v="PR-0344"/>
    <d v="2026-05-02T00:00:00"/>
    <x v="4"/>
    <x v="4"/>
    <s v="Saturday"/>
    <x v="0"/>
    <x v="1"/>
    <x v="1"/>
    <s v="Toothbrush"/>
    <x v="11"/>
    <s v="Soft Toothbrush"/>
    <s v="B260502-L4A"/>
    <s v="R. Sharma"/>
    <x v="1"/>
    <x v="1"/>
    <x v="7"/>
    <n v="10640"/>
    <n v="10240"/>
    <n v="224"/>
    <n v="2.1874999999999999E-2"/>
    <n v="0.96240601503759393"/>
    <x v="3"/>
    <n v="0"/>
    <n v="0"/>
    <s v="None"/>
    <n v="18"/>
    <n v="4032"/>
    <n v="31530"/>
    <n v="9030"/>
    <n v="9030"/>
    <x v="1565"/>
    <n v="15000"/>
  </r>
  <r>
    <s v="PR-0230"/>
    <d v="2026-04-21T00:00:00"/>
    <x v="5"/>
    <x v="5"/>
    <s v="Tuesday"/>
    <x v="2"/>
    <x v="1"/>
    <x v="1"/>
    <s v="Toothbrush"/>
    <x v="11"/>
    <s v="Soft Toothbrush"/>
    <s v="B260421-L4C"/>
    <s v="M. Khan"/>
    <x v="1"/>
    <x v="1"/>
    <x v="0"/>
    <n v="8780"/>
    <n v="8540"/>
    <n v="202"/>
    <n v="2.3653395784543327E-2"/>
    <n v="0.97266514806378135"/>
    <x v="4"/>
    <n v="0"/>
    <n v="0"/>
    <s v="None"/>
    <n v="18"/>
    <n v="3636"/>
    <n v="32242"/>
    <n v="8040"/>
    <n v="8040"/>
    <x v="1566"/>
    <n v="15000"/>
  </r>
  <r>
    <s v="PR-1471"/>
    <d v="2026-08-13T00:00:00"/>
    <x v="1"/>
    <x v="1"/>
    <s v="Thursday"/>
    <x v="0"/>
    <x v="3"/>
    <x v="3"/>
    <s v="Toothpaste"/>
    <x v="7"/>
    <s v="Sensitive Toothpaste 100g"/>
    <s v="B260813-L1A"/>
    <s v="R. Sharma"/>
    <x v="2"/>
    <x v="3"/>
    <x v="2"/>
    <n v="8100"/>
    <n v="7840"/>
    <n v="128"/>
    <n v="1.6326530612244899E-2"/>
    <n v="0.96790123456790123"/>
    <x v="5"/>
    <n v="0"/>
    <n v="0"/>
    <s v="None"/>
    <n v="42"/>
    <n v="5376"/>
    <n v="32307"/>
    <n v="7420"/>
    <n v="7420"/>
    <x v="1567"/>
    <n v="12000"/>
  </r>
  <r>
    <s v="PR-0238"/>
    <d v="2026-04-22T00:00:00"/>
    <x v="5"/>
    <x v="5"/>
    <s v="Wednesday"/>
    <x v="1"/>
    <x v="1"/>
    <x v="1"/>
    <s v="Toothbrush"/>
    <x v="11"/>
    <s v="Soft Toothbrush"/>
    <s v="B260422-L4B"/>
    <s v="S. Yadav"/>
    <x v="2"/>
    <x v="1"/>
    <x v="7"/>
    <n v="9710"/>
    <n v="9480"/>
    <n v="250"/>
    <n v="2.6371308016877638E-2"/>
    <n v="0.97631307929969102"/>
    <x v="4"/>
    <n v="0"/>
    <n v="0"/>
    <s v="None"/>
    <n v="18"/>
    <n v="4500"/>
    <n v="32540"/>
    <n v="9120"/>
    <n v="9120"/>
    <x v="1568"/>
    <n v="15000"/>
  </r>
  <r>
    <s v="PR-0970"/>
    <d v="2026-06-28T00:00:00"/>
    <x v="3"/>
    <x v="3"/>
    <s v="Sunday"/>
    <x v="0"/>
    <x v="1"/>
    <x v="1"/>
    <s v="Toothbrush"/>
    <x v="11"/>
    <s v="Soft Toothbrush"/>
    <s v="B260628-L4A"/>
    <s v="K. Verma"/>
    <x v="1"/>
    <x v="1"/>
    <x v="6"/>
    <n v="7180"/>
    <n v="7310"/>
    <n v="89"/>
    <n v="1.2175102599179206E-2"/>
    <n v="1.0181058495821727"/>
    <x v="0"/>
    <n v="24"/>
    <n v="0.4"/>
    <s v="Changeover"/>
    <n v="18"/>
    <n v="1602"/>
    <n v="32930"/>
    <n v="7430"/>
    <n v="7430"/>
    <x v="1569"/>
    <n v="15000"/>
  </r>
  <r>
    <s v="PR-0908"/>
    <d v="2026-06-23T00:00:00"/>
    <x v="3"/>
    <x v="3"/>
    <s v="Tuesday"/>
    <x v="0"/>
    <x v="3"/>
    <x v="3"/>
    <s v="Toothpaste"/>
    <x v="8"/>
    <s v="Whitening Toothpaste 100g"/>
    <s v="B260623-L1A"/>
    <s v="K. Verma"/>
    <x v="2"/>
    <x v="3"/>
    <x v="2"/>
    <n v="8840"/>
    <n v="8860"/>
    <n v="195"/>
    <n v="2.2009029345372459E-2"/>
    <n v="1.002262443438914"/>
    <x v="3"/>
    <n v="35"/>
    <n v="0.58333333333333337"/>
    <s v="Material Shortage"/>
    <n v="38"/>
    <n v="7410"/>
    <n v="32798"/>
    <n v="8680"/>
    <n v="8680"/>
    <x v="1570"/>
    <n v="13500"/>
  </r>
  <r>
    <s v="PR-0878"/>
    <d v="2026-06-20T00:00:00"/>
    <x v="3"/>
    <x v="3"/>
    <s v="Saturday"/>
    <x v="0"/>
    <x v="3"/>
    <x v="3"/>
    <s v="Toothpaste"/>
    <x v="8"/>
    <s v="Whitening Toothpaste 100g"/>
    <s v="B260620-L1A"/>
    <s v="K. Verma"/>
    <x v="1"/>
    <x v="3"/>
    <x v="2"/>
    <n v="8710"/>
    <n v="8540"/>
    <n v="68"/>
    <n v="7.9625292740046847E-3"/>
    <n v="0.98048220436280142"/>
    <x v="4"/>
    <n v="0"/>
    <n v="0"/>
    <s v="None"/>
    <n v="38"/>
    <n v="2584"/>
    <n v="31586"/>
    <n v="7260"/>
    <n v="7260"/>
    <x v="1571"/>
    <n v="13500"/>
  </r>
  <r>
    <s v="PR-1509"/>
    <d v="2026-08-17T00:00:00"/>
    <x v="1"/>
    <x v="1"/>
    <s v="Monday"/>
    <x v="0"/>
    <x v="3"/>
    <x v="3"/>
    <s v="Toothpaste"/>
    <x v="7"/>
    <s v="Sensitive Toothpaste 100g"/>
    <s v="B260817-L1A"/>
    <s v="R. Sharma"/>
    <x v="1"/>
    <x v="3"/>
    <x v="2"/>
    <n v="8270"/>
    <n v="7810"/>
    <n v="200"/>
    <n v="2.5608194622279128E-2"/>
    <n v="0.94437726723095528"/>
    <x v="3"/>
    <n v="71"/>
    <n v="1.1833333333333333"/>
    <s v="Machine Breakdown"/>
    <n v="42"/>
    <n v="8400"/>
    <n v="33185"/>
    <n v="7990"/>
    <n v="7990"/>
    <x v="1572"/>
    <n v="12000"/>
  </r>
  <r>
    <s v="PR-0930"/>
    <d v="2026-06-24T00:00:00"/>
    <x v="3"/>
    <x v="3"/>
    <s v="Wednesday"/>
    <x v="2"/>
    <x v="2"/>
    <x v="2"/>
    <s v="Dental Floss"/>
    <x v="9"/>
    <s v="Waxed Floss 50m"/>
    <s v="B260624-L3C"/>
    <s v="M. Khan"/>
    <x v="2"/>
    <x v="2"/>
    <x v="10"/>
    <n v="7140"/>
    <n v="7410"/>
    <n v="161"/>
    <n v="2.1727395411605937E-2"/>
    <n v="1.0378151260504203"/>
    <x v="4"/>
    <n v="32"/>
    <n v="0.53333333333333333"/>
    <s v="Changeover"/>
    <n v="24"/>
    <n v="3864"/>
    <n v="32181"/>
    <n v="6610"/>
    <n v="6610"/>
    <x v="1573"/>
    <n v="12000"/>
  </r>
  <r>
    <s v="PR-1160"/>
    <d v="2026-07-15T00:00:00"/>
    <x v="2"/>
    <x v="2"/>
    <s v="Wednesday"/>
    <x v="2"/>
    <x v="2"/>
    <x v="2"/>
    <s v="Dental Floss"/>
    <x v="6"/>
    <s v="Floss Picks (100 pcs)"/>
    <s v="B260715-L3C"/>
    <s v="M. Khan"/>
    <x v="1"/>
    <x v="2"/>
    <x v="8"/>
    <n v="5470"/>
    <n v="5190"/>
    <n v="119"/>
    <n v="2.2928709055876687E-2"/>
    <n v="0.94881170018281535"/>
    <x v="5"/>
    <n v="10"/>
    <n v="0.16666666666666666"/>
    <s v="Machine Breakdown"/>
    <n v="33"/>
    <n v="3927"/>
    <n v="32319"/>
    <n v="4570"/>
    <n v="4570"/>
    <x v="1573"/>
    <n v="9750"/>
  </r>
  <r>
    <s v="PR-1557"/>
    <d v="2026-08-21T00:00:00"/>
    <x v="1"/>
    <x v="1"/>
    <s v="Friday"/>
    <x v="0"/>
    <x v="3"/>
    <x v="3"/>
    <s v="Toothpaste"/>
    <x v="7"/>
    <s v="Sensitive Toothpaste 100g"/>
    <s v="B260821-L1A"/>
    <s v="K. Verma"/>
    <x v="1"/>
    <x v="3"/>
    <x v="3"/>
    <n v="7610"/>
    <n v="7130"/>
    <n v="93"/>
    <n v="1.3043478260869565E-2"/>
    <n v="0.93692509855453354"/>
    <x v="3"/>
    <n v="37"/>
    <n v="0.6166666666666667"/>
    <s v="Material Shortage"/>
    <n v="42"/>
    <n v="3906"/>
    <n v="33478"/>
    <n v="7690"/>
    <n v="7690"/>
    <x v="1574"/>
    <n v="12000"/>
  </r>
  <r>
    <s v="PR-0935"/>
    <d v="2026-06-25T00:00:00"/>
    <x v="3"/>
    <x v="3"/>
    <s v="Thursday"/>
    <x v="0"/>
    <x v="1"/>
    <x v="1"/>
    <s v="Toothbrush"/>
    <x v="11"/>
    <s v="Soft Toothbrush"/>
    <s v="B260625-L4A"/>
    <s v="K. Verma"/>
    <x v="2"/>
    <x v="1"/>
    <x v="6"/>
    <n v="10590"/>
    <n v="9440"/>
    <n v="225"/>
    <n v="2.3834745762711863E-2"/>
    <n v="0.89140698772426818"/>
    <x v="3"/>
    <n v="0"/>
    <n v="0"/>
    <s v="None"/>
    <n v="18"/>
    <n v="4050"/>
    <n v="33329"/>
    <n v="9710"/>
    <n v="9710"/>
    <x v="1575"/>
    <n v="15000"/>
  </r>
  <r>
    <s v="PR-0879"/>
    <d v="2026-06-20T00:00:00"/>
    <x v="3"/>
    <x v="3"/>
    <s v="Saturday"/>
    <x v="0"/>
    <x v="0"/>
    <x v="0"/>
    <s v="Mouthwash"/>
    <x v="0"/>
    <s v="Mint Mouthwash 250ml"/>
    <s v="B260620-L2A"/>
    <s v="K. Verma"/>
    <x v="1"/>
    <x v="0"/>
    <x v="0"/>
    <n v="5960"/>
    <n v="5690"/>
    <n v="195"/>
    <n v="3.4270650263620389E-2"/>
    <n v="0.95469798657718119"/>
    <x v="5"/>
    <n v="0"/>
    <n v="0"/>
    <s v="None"/>
    <n v="46"/>
    <n v="8970"/>
    <n v="32104"/>
    <n v="4740"/>
    <n v="4740"/>
    <x v="1576"/>
    <n v="10500"/>
  </r>
  <r>
    <s v="PR-1491"/>
    <d v="2026-08-14T00:00:00"/>
    <x v="1"/>
    <x v="1"/>
    <s v="Friday"/>
    <x v="2"/>
    <x v="3"/>
    <x v="3"/>
    <s v="Toothpaste"/>
    <x v="7"/>
    <s v="Sensitive Toothpaste 100g"/>
    <s v="B260814-L1C"/>
    <s v="A. Gupta"/>
    <x v="1"/>
    <x v="3"/>
    <x v="3"/>
    <n v="7250"/>
    <n v="6950"/>
    <n v="141"/>
    <n v="2.0287769784172661E-2"/>
    <n v="0.95862068965517244"/>
    <x v="5"/>
    <n v="0"/>
    <n v="0"/>
    <s v="None"/>
    <n v="42"/>
    <n v="5922"/>
    <n v="31824"/>
    <n v="5770"/>
    <n v="5770"/>
    <x v="1577"/>
    <n v="12000"/>
  </r>
  <r>
    <s v="PR-1903"/>
    <d v="2026-09-22T00:00:00"/>
    <x v="0"/>
    <x v="0"/>
    <s v="Tuesday"/>
    <x v="0"/>
    <x v="2"/>
    <x v="2"/>
    <s v="Dental Floss"/>
    <x v="9"/>
    <s v="Waxed Floss 50m"/>
    <s v="B260922-L3A"/>
    <s v="K. Verma"/>
    <x v="2"/>
    <x v="2"/>
    <x v="8"/>
    <n v="7710"/>
    <n v="7130"/>
    <n v="154"/>
    <n v="2.1598877980364656E-2"/>
    <n v="0.92477302204928669"/>
    <x v="5"/>
    <n v="16"/>
    <n v="0.26666666666666666"/>
    <s v="Power Interruption"/>
    <n v="24"/>
    <n v="3696"/>
    <n v="33237"/>
    <n v="7350"/>
    <n v="7350"/>
    <x v="1577"/>
    <n v="12000"/>
  </r>
  <r>
    <s v="PR-0533"/>
    <d v="2026-05-19T00:00:00"/>
    <x v="4"/>
    <x v="4"/>
    <s v="Tuesday"/>
    <x v="2"/>
    <x v="1"/>
    <x v="1"/>
    <s v="Toothbrush"/>
    <x v="11"/>
    <s v="Soft Toothbrush"/>
    <s v="B260519-L4C"/>
    <s v="A. Gupta"/>
    <x v="1"/>
    <x v="1"/>
    <x v="1"/>
    <n v="9780"/>
    <n v="8900"/>
    <n v="313"/>
    <n v="3.5168539325842699E-2"/>
    <n v="0.91002044989775055"/>
    <x v="2"/>
    <n v="54"/>
    <n v="0.9"/>
    <s v="Machine Breakdown"/>
    <n v="18"/>
    <n v="5634"/>
    <n v="31691"/>
    <n v="7400"/>
    <n v="7400"/>
    <x v="1578"/>
    <n v="15000"/>
  </r>
  <r>
    <s v="PR-1843"/>
    <d v="2026-09-16T00:00:00"/>
    <x v="0"/>
    <x v="0"/>
    <s v="Wednesday"/>
    <x v="2"/>
    <x v="3"/>
    <x v="3"/>
    <s v="Toothpaste"/>
    <x v="7"/>
    <s v="Sensitive Toothpaste 100g"/>
    <s v="B260916-L1C"/>
    <s v="A. Gupta"/>
    <x v="2"/>
    <x v="3"/>
    <x v="4"/>
    <n v="7360"/>
    <n v="6950"/>
    <n v="94"/>
    <n v="1.3525179856115108E-2"/>
    <n v="0.94429347826086951"/>
    <x v="3"/>
    <n v="0"/>
    <n v="0"/>
    <s v="None"/>
    <n v="42"/>
    <n v="3948"/>
    <n v="33494"/>
    <n v="7430"/>
    <n v="7430"/>
    <x v="1579"/>
    <n v="12000"/>
  </r>
  <r>
    <s v="PR-0963"/>
    <d v="2026-06-27T00:00:00"/>
    <x v="3"/>
    <x v="3"/>
    <s v="Saturday"/>
    <x v="1"/>
    <x v="1"/>
    <x v="1"/>
    <s v="Toothbrush"/>
    <x v="11"/>
    <s v="Soft Toothbrush"/>
    <s v="B260627-L4B"/>
    <s v="P. Singh"/>
    <x v="2"/>
    <x v="1"/>
    <x v="6"/>
    <n v="10430"/>
    <n v="10210"/>
    <n v="202"/>
    <n v="1.9784524975514202E-2"/>
    <n v="0.97890699904122724"/>
    <x v="2"/>
    <n v="36"/>
    <n v="0.6"/>
    <s v="Cleaning / Sanitation"/>
    <n v="18"/>
    <n v="3636"/>
    <n v="33182"/>
    <n v="10260"/>
    <n v="10260"/>
    <x v="1580"/>
    <n v="15000"/>
  </r>
  <r>
    <s v="PR-0622"/>
    <d v="2026-05-27T00:00:00"/>
    <x v="4"/>
    <x v="4"/>
    <s v="Wednesday"/>
    <x v="2"/>
    <x v="1"/>
    <x v="1"/>
    <s v="Toothbrush"/>
    <x v="11"/>
    <s v="Soft Toothbrush"/>
    <s v="B260527-L4C"/>
    <s v="A. Gupta"/>
    <x v="1"/>
    <x v="1"/>
    <x v="2"/>
    <n v="9980"/>
    <n v="8700"/>
    <n v="162"/>
    <n v="1.8620689655172412E-2"/>
    <n v="0.87174348697394788"/>
    <x v="5"/>
    <n v="0"/>
    <n v="0"/>
    <s v="None"/>
    <n v="18"/>
    <n v="2916"/>
    <n v="34018"/>
    <n v="9550"/>
    <n v="9550"/>
    <x v="1581"/>
    <n v="15000"/>
  </r>
  <r>
    <s v="PR-0920"/>
    <d v="2026-06-24T00:00:00"/>
    <x v="3"/>
    <x v="3"/>
    <s v="Wednesday"/>
    <x v="0"/>
    <x v="3"/>
    <x v="3"/>
    <s v="Toothpaste"/>
    <x v="8"/>
    <s v="Whitening Toothpaste 100g"/>
    <s v="B260624-L1A"/>
    <s v="K. Verma"/>
    <x v="1"/>
    <x v="3"/>
    <x v="2"/>
    <n v="9390"/>
    <n v="9320"/>
    <n v="181"/>
    <n v="1.9420600858369098E-2"/>
    <n v="0.99254526091586792"/>
    <x v="0"/>
    <n v="0"/>
    <n v="0"/>
    <s v="None"/>
    <n v="38"/>
    <n v="6878"/>
    <n v="32783"/>
    <n v="8910"/>
    <n v="8910"/>
    <x v="1582"/>
    <n v="13500"/>
  </r>
  <r>
    <s v="PR-0883"/>
    <d v="2026-06-20T00:00:00"/>
    <x v="3"/>
    <x v="3"/>
    <s v="Saturday"/>
    <x v="1"/>
    <x v="0"/>
    <x v="0"/>
    <s v="Mouthwash"/>
    <x v="0"/>
    <s v="Mint Mouthwash 250ml"/>
    <s v="B260620-L2B"/>
    <s v="S. Yadav"/>
    <x v="1"/>
    <x v="0"/>
    <x v="0"/>
    <n v="5810"/>
    <n v="5500"/>
    <n v="128"/>
    <n v="2.3272727272727271E-2"/>
    <n v="0.94664371772805511"/>
    <x v="4"/>
    <n v="17"/>
    <n v="0.28333333333333333"/>
    <s v="Cleaning / Sanitation"/>
    <n v="46"/>
    <n v="5888"/>
    <n v="32859"/>
    <n v="5190"/>
    <n v="5190"/>
    <x v="1583"/>
    <n v="10500"/>
  </r>
  <r>
    <s v="PR-1885"/>
    <d v="2026-09-20T00:00:00"/>
    <x v="0"/>
    <x v="0"/>
    <s v="Sunday"/>
    <x v="0"/>
    <x v="2"/>
    <x v="2"/>
    <s v="Dental Floss"/>
    <x v="9"/>
    <s v="Waxed Floss 50m"/>
    <s v="B260920-L3A"/>
    <s v="K. Verma"/>
    <x v="1"/>
    <x v="2"/>
    <x v="8"/>
    <n v="5170"/>
    <n v="5240"/>
    <n v="149"/>
    <n v="2.8435114503816795E-2"/>
    <n v="1.0135396518375241"/>
    <x v="5"/>
    <n v="0"/>
    <n v="0"/>
    <s v="None"/>
    <n v="24"/>
    <n v="3576"/>
    <n v="32225"/>
    <n v="4190"/>
    <n v="4190"/>
    <x v="1584"/>
    <n v="12000"/>
  </r>
  <r>
    <s v="PR-0887"/>
    <d v="2026-06-20T00:00:00"/>
    <x v="3"/>
    <x v="3"/>
    <s v="Saturday"/>
    <x v="2"/>
    <x v="0"/>
    <x v="0"/>
    <s v="Mouthwash"/>
    <x v="0"/>
    <s v="Mint Mouthwash 250ml"/>
    <s v="B260620-L2C"/>
    <s v="M. Khan"/>
    <x v="2"/>
    <x v="0"/>
    <x v="1"/>
    <n v="5580"/>
    <n v="5440"/>
    <n v="96"/>
    <n v="1.7647058823529412E-2"/>
    <n v="0.97491039426523296"/>
    <x v="2"/>
    <n v="0"/>
    <n v="0"/>
    <s v="None"/>
    <n v="46"/>
    <n v="4416"/>
    <n v="33041"/>
    <n v="5250"/>
    <n v="5250"/>
    <x v="1585"/>
    <n v="10500"/>
  </r>
  <r>
    <s v="PR-1736"/>
    <d v="2026-09-07T00:00:00"/>
    <x v="0"/>
    <x v="0"/>
    <s v="Monday"/>
    <x v="0"/>
    <x v="3"/>
    <x v="3"/>
    <s v="Toothpaste"/>
    <x v="7"/>
    <s v="Sensitive Toothpaste 100g"/>
    <s v="B260907-L1A"/>
    <s v="R. Sharma"/>
    <x v="1"/>
    <x v="3"/>
    <x v="5"/>
    <n v="7520"/>
    <n v="6320"/>
    <n v="174"/>
    <n v="2.7531645569620254E-2"/>
    <n v="0.84042553191489366"/>
    <x v="0"/>
    <n v="0"/>
    <n v="0"/>
    <s v="None"/>
    <n v="42"/>
    <n v="7308"/>
    <n v="34247"/>
    <n v="7250"/>
    <n v="7250"/>
    <x v="1586"/>
    <n v="12000"/>
  </r>
  <r>
    <s v="PR-0959"/>
    <d v="2026-06-27T00:00:00"/>
    <x v="3"/>
    <x v="3"/>
    <s v="Saturday"/>
    <x v="0"/>
    <x v="1"/>
    <x v="1"/>
    <s v="Toothbrush"/>
    <x v="11"/>
    <s v="Soft Toothbrush"/>
    <s v="B260627-L4A"/>
    <s v="K. Verma"/>
    <x v="1"/>
    <x v="1"/>
    <x v="6"/>
    <n v="10050"/>
    <n v="9810"/>
    <n v="235"/>
    <n v="2.3955147808358817E-2"/>
    <n v="0.9761194029850746"/>
    <x v="3"/>
    <n v="0"/>
    <n v="0"/>
    <s v="None"/>
    <n v="18"/>
    <n v="4230"/>
    <n v="32397"/>
    <n v="8790"/>
    <n v="8790"/>
    <x v="1587"/>
    <n v="15000"/>
  </r>
  <r>
    <s v="PR-1499"/>
    <d v="2026-08-15T00:00:00"/>
    <x v="1"/>
    <x v="1"/>
    <s v="Saturday"/>
    <x v="1"/>
    <x v="3"/>
    <x v="3"/>
    <s v="Toothpaste"/>
    <x v="7"/>
    <s v="Sensitive Toothpaste 100g"/>
    <s v="B260815-L1B"/>
    <s v="S. Yadav"/>
    <x v="1"/>
    <x v="3"/>
    <x v="2"/>
    <n v="7690"/>
    <n v="7530"/>
    <n v="228"/>
    <n v="3.0278884462151396E-2"/>
    <n v="0.97919375812743825"/>
    <x v="3"/>
    <n v="0"/>
    <n v="0"/>
    <s v="None"/>
    <n v="42"/>
    <n v="9576"/>
    <n v="32863"/>
    <n v="6980"/>
    <n v="6980"/>
    <x v="1588"/>
    <n v="12000"/>
  </r>
  <r>
    <s v="PR-1887"/>
    <d v="2026-09-20T00:00:00"/>
    <x v="0"/>
    <x v="0"/>
    <s v="Sunday"/>
    <x v="1"/>
    <x v="2"/>
    <x v="2"/>
    <s v="Dental Floss"/>
    <x v="9"/>
    <s v="Waxed Floss 50m"/>
    <s v="B260920-L3B"/>
    <s v="S. Yadav"/>
    <x v="1"/>
    <x v="2"/>
    <x v="8"/>
    <n v="5520"/>
    <n v="4970"/>
    <n v="139"/>
    <n v="2.7967806841046279E-2"/>
    <n v="0.90036231884057971"/>
    <x v="5"/>
    <n v="51"/>
    <n v="0.85"/>
    <s v="Material Shortage"/>
    <n v="24"/>
    <n v="3336"/>
    <n v="33126"/>
    <n v="4720"/>
    <n v="4720"/>
    <x v="1589"/>
    <n v="12000"/>
  </r>
  <r>
    <s v="PR-0925"/>
    <d v="2026-06-24T00:00:00"/>
    <x v="3"/>
    <x v="3"/>
    <s v="Wednesday"/>
    <x v="1"/>
    <x v="0"/>
    <x v="0"/>
    <s v="Mouthwash"/>
    <x v="0"/>
    <s v="Mint Mouthwash 250ml"/>
    <s v="B260624-L2B"/>
    <s v="P. Singh"/>
    <x v="2"/>
    <x v="0"/>
    <x v="1"/>
    <n v="5660"/>
    <n v="5310"/>
    <n v="91"/>
    <n v="1.7137476459510359E-2"/>
    <n v="0.93816254416961131"/>
    <x v="5"/>
    <n v="0"/>
    <n v="0"/>
    <s v="None"/>
    <n v="46"/>
    <n v="4186"/>
    <n v="33299"/>
    <n v="5270"/>
    <n v="5270"/>
    <x v="1590"/>
    <n v="10500"/>
  </r>
  <r>
    <s v="PR-0937"/>
    <d v="2026-06-25T00:00:00"/>
    <x v="3"/>
    <x v="3"/>
    <s v="Thursday"/>
    <x v="1"/>
    <x v="0"/>
    <x v="0"/>
    <s v="Mouthwash"/>
    <x v="0"/>
    <s v="Mint Mouthwash 250ml"/>
    <s v="B260625-L2B"/>
    <s v="P. Singh"/>
    <x v="1"/>
    <x v="0"/>
    <x v="1"/>
    <n v="6060"/>
    <n v="5650"/>
    <n v="171"/>
    <n v="3.0265486725663718E-2"/>
    <n v="0.93234323432343236"/>
    <x v="5"/>
    <n v="34"/>
    <n v="0.56666666666666665"/>
    <s v="Cleaning / Sanitation"/>
    <n v="46"/>
    <n v="7866"/>
    <n v="33505"/>
    <n v="5700"/>
    <n v="5700"/>
    <x v="1591"/>
    <n v="10500"/>
  </r>
  <r>
    <s v="PR-1963"/>
    <d v="2026-09-27T00:00:00"/>
    <x v="0"/>
    <x v="0"/>
    <s v="Sunday"/>
    <x v="0"/>
    <x v="2"/>
    <x v="2"/>
    <s v="Dental Floss"/>
    <x v="9"/>
    <s v="Waxed Floss 50m"/>
    <s v="B260927-L3A"/>
    <s v="K. Verma"/>
    <x v="2"/>
    <x v="2"/>
    <x v="11"/>
    <n v="5610"/>
    <n v="5080"/>
    <n v="136"/>
    <n v="2.6771653543307086E-2"/>
    <n v="0.90552584670231728"/>
    <x v="5"/>
    <n v="30"/>
    <n v="0.5"/>
    <s v="Changeover"/>
    <n v="24"/>
    <n v="3264"/>
    <n v="33499"/>
    <n v="5150"/>
    <n v="5150"/>
    <x v="1592"/>
    <n v="12000"/>
  </r>
  <r>
    <s v="PR-0913"/>
    <d v="2026-06-23T00:00:00"/>
    <x v="3"/>
    <x v="3"/>
    <s v="Tuesday"/>
    <x v="1"/>
    <x v="0"/>
    <x v="0"/>
    <s v="Mouthwash"/>
    <x v="0"/>
    <s v="Mint Mouthwash 250ml"/>
    <s v="B260623-L2B"/>
    <s v="S. Yadav"/>
    <x v="2"/>
    <x v="0"/>
    <x v="1"/>
    <n v="5580"/>
    <n v="5200"/>
    <n v="114"/>
    <n v="2.1923076923076924E-2"/>
    <n v="0.93189964157706096"/>
    <x v="2"/>
    <n v="0"/>
    <n v="0"/>
    <s v="None"/>
    <n v="46"/>
    <n v="5244"/>
    <n v="33493"/>
    <n v="5280"/>
    <n v="5280"/>
    <x v="1593"/>
    <n v="10500"/>
  </r>
  <r>
    <s v="PR-0919"/>
    <d v="2026-06-23T00:00:00"/>
    <x v="3"/>
    <x v="3"/>
    <s v="Tuesday"/>
    <x v="2"/>
    <x v="1"/>
    <x v="1"/>
    <s v="Toothbrush"/>
    <x v="11"/>
    <s v="Soft Toothbrush"/>
    <s v="B260623-L4C"/>
    <s v="M. Khan"/>
    <x v="2"/>
    <x v="1"/>
    <x v="1"/>
    <n v="9960"/>
    <n v="8680"/>
    <n v="261"/>
    <n v="3.0069124423963135E-2"/>
    <n v="0.87148594377510036"/>
    <x v="0"/>
    <n v="46"/>
    <n v="0.76666666666666672"/>
    <s v="Machine Breakdown"/>
    <n v="18"/>
    <n v="4698"/>
    <n v="33770"/>
    <n v="8860"/>
    <n v="8860"/>
    <x v="1594"/>
    <n v="15000"/>
  </r>
  <r>
    <s v="PR-1879"/>
    <d v="2026-09-19T00:00:00"/>
    <x v="0"/>
    <x v="0"/>
    <s v="Saturday"/>
    <x v="2"/>
    <x v="3"/>
    <x v="3"/>
    <s v="Toothpaste"/>
    <x v="7"/>
    <s v="Sensitive Toothpaste 100g"/>
    <s v="B260919-L1C"/>
    <s v="A. Gupta"/>
    <x v="2"/>
    <x v="3"/>
    <x v="2"/>
    <n v="7460"/>
    <n v="7560"/>
    <n v="210"/>
    <n v="2.7777777777777776E-2"/>
    <n v="1.0134048257372654"/>
    <x v="5"/>
    <n v="0"/>
    <n v="0"/>
    <s v="None"/>
    <n v="42"/>
    <n v="8820"/>
    <n v="32114"/>
    <n v="6130"/>
    <n v="6130"/>
    <x v="1595"/>
    <n v="12000"/>
  </r>
  <r>
    <s v="PR-1949"/>
    <d v="2026-09-26T00:00:00"/>
    <x v="0"/>
    <x v="0"/>
    <s v="Saturday"/>
    <x v="0"/>
    <x v="3"/>
    <x v="3"/>
    <s v="Toothpaste"/>
    <x v="7"/>
    <s v="Sensitive Toothpaste 100g"/>
    <s v="B260926-L1A"/>
    <s v="R. Sharma"/>
    <x v="1"/>
    <x v="3"/>
    <x v="2"/>
    <n v="8530"/>
    <n v="7740"/>
    <n v="175"/>
    <n v="2.2609819121447029E-2"/>
    <n v="0.90738569753810083"/>
    <x v="3"/>
    <n v="0"/>
    <n v="0"/>
    <s v="None"/>
    <n v="42"/>
    <n v="7350"/>
    <n v="33601"/>
    <n v="7830"/>
    <n v="7830"/>
    <x v="1596"/>
    <n v="12000"/>
  </r>
  <r>
    <s v="PR-1796"/>
    <d v="2026-09-12T00:00:00"/>
    <x v="0"/>
    <x v="0"/>
    <s v="Saturday"/>
    <x v="0"/>
    <x v="3"/>
    <x v="3"/>
    <s v="Toothpaste"/>
    <x v="7"/>
    <s v="Sensitive Toothpaste 100g"/>
    <s v="B260912-L1A"/>
    <s v="R. Sharma"/>
    <x v="2"/>
    <x v="3"/>
    <x v="3"/>
    <n v="7600"/>
    <n v="7120"/>
    <n v="121"/>
    <n v="1.6994382022471909E-2"/>
    <n v="0.93684210526315792"/>
    <x v="2"/>
    <n v="24"/>
    <n v="0.4"/>
    <s v="Changeover"/>
    <n v="42"/>
    <n v="5082"/>
    <n v="33839"/>
    <n v="7470"/>
    <n v="7470"/>
    <x v="1597"/>
    <n v="12000"/>
  </r>
  <r>
    <s v="PR-0893"/>
    <d v="2026-06-21T00:00:00"/>
    <x v="3"/>
    <x v="3"/>
    <s v="Sunday"/>
    <x v="1"/>
    <x v="0"/>
    <x v="0"/>
    <s v="Mouthwash"/>
    <x v="0"/>
    <s v="Mint Mouthwash 250ml"/>
    <s v="B260621-L2B"/>
    <s v="P. Singh"/>
    <x v="2"/>
    <x v="0"/>
    <x v="2"/>
    <n v="4250"/>
    <n v="4160"/>
    <n v="46"/>
    <n v="1.1057692307692308E-2"/>
    <n v="0.97882352941176476"/>
    <x v="5"/>
    <n v="19"/>
    <n v="0.31666666666666665"/>
    <s v="Material Shortage"/>
    <n v="46"/>
    <n v="2116"/>
    <n v="33135"/>
    <n v="3880"/>
    <n v="3880"/>
    <x v="1598"/>
    <n v="10500"/>
  </r>
  <r>
    <s v="PR-0584"/>
    <d v="2026-05-24T00:00:00"/>
    <x v="4"/>
    <x v="4"/>
    <s v="Sunday"/>
    <x v="0"/>
    <x v="1"/>
    <x v="1"/>
    <s v="Toothbrush"/>
    <x v="11"/>
    <s v="Soft Toothbrush"/>
    <s v="B260524-L4A"/>
    <s v="K. Verma"/>
    <x v="2"/>
    <x v="1"/>
    <x v="7"/>
    <n v="7210"/>
    <n v="6740"/>
    <n v="151"/>
    <n v="2.2403560830860533E-2"/>
    <n v="0.93481276005547853"/>
    <x v="0"/>
    <n v="73"/>
    <n v="1.2166666666666666"/>
    <s v="Changeover"/>
    <n v="18"/>
    <n v="2718"/>
    <n v="33757"/>
    <n v="6960"/>
    <n v="6960"/>
    <x v="1599"/>
    <n v="15000"/>
  </r>
  <r>
    <s v="PR-0626"/>
    <d v="2026-05-28T00:00:00"/>
    <x v="4"/>
    <x v="4"/>
    <s v="Thursday"/>
    <x v="0"/>
    <x v="1"/>
    <x v="1"/>
    <s v="Toothbrush"/>
    <x v="11"/>
    <s v="Soft Toothbrush"/>
    <s v="B260528-L4A"/>
    <s v="K. Verma"/>
    <x v="2"/>
    <x v="1"/>
    <x v="6"/>
    <n v="10490"/>
    <n v="9450"/>
    <n v="308"/>
    <n v="3.259259259259259E-2"/>
    <n v="0.90085795996186846"/>
    <x v="5"/>
    <n v="0"/>
    <n v="0"/>
    <s v="None"/>
    <n v="18"/>
    <n v="5544"/>
    <n v="33006"/>
    <n v="8720"/>
    <n v="8720"/>
    <x v="1600"/>
    <n v="15000"/>
  </r>
  <r>
    <s v="PR-0924"/>
    <d v="2026-06-24T00:00:00"/>
    <x v="3"/>
    <x v="3"/>
    <s v="Wednesday"/>
    <x v="1"/>
    <x v="3"/>
    <x v="3"/>
    <s v="Toothpaste"/>
    <x v="8"/>
    <s v="Whitening Toothpaste 100g"/>
    <s v="B260624-L1B"/>
    <s v="S. Yadav"/>
    <x v="1"/>
    <x v="3"/>
    <x v="3"/>
    <n v="9460"/>
    <n v="9110"/>
    <n v="218"/>
    <n v="2.3929747530186608E-2"/>
    <n v="0.96300211416490489"/>
    <x v="2"/>
    <n v="52"/>
    <n v="0.8666666666666667"/>
    <s v="Material Shortage"/>
    <n v="38"/>
    <n v="8284"/>
    <n v="33012"/>
    <n v="8450"/>
    <n v="8450"/>
    <x v="1601"/>
    <n v="13500"/>
  </r>
  <r>
    <s v="PR-1517"/>
    <d v="2026-08-17T00:00:00"/>
    <x v="1"/>
    <x v="1"/>
    <s v="Monday"/>
    <x v="2"/>
    <x v="3"/>
    <x v="3"/>
    <s v="Toothpaste"/>
    <x v="7"/>
    <s v="Sensitive Toothpaste 100g"/>
    <s v="B260817-L1C"/>
    <s v="M. Khan"/>
    <x v="2"/>
    <x v="3"/>
    <x v="3"/>
    <n v="8120"/>
    <n v="7530"/>
    <n v="177"/>
    <n v="2.3505976095617529E-2"/>
    <n v="0.92733990147783252"/>
    <x v="0"/>
    <n v="0"/>
    <n v="0"/>
    <s v="None"/>
    <n v="42"/>
    <n v="7434"/>
    <n v="32805"/>
    <n v="6680"/>
    <n v="6680"/>
    <x v="1602"/>
    <n v="12000"/>
  </r>
  <r>
    <s v="PR-0909"/>
    <d v="2026-06-23T00:00:00"/>
    <x v="3"/>
    <x v="3"/>
    <s v="Tuesday"/>
    <x v="0"/>
    <x v="0"/>
    <x v="0"/>
    <s v="Mouthwash"/>
    <x v="0"/>
    <s v="Mint Mouthwash 250ml"/>
    <s v="B260623-L2A"/>
    <s v="R. Sharma"/>
    <x v="1"/>
    <x v="0"/>
    <x v="1"/>
    <n v="5640"/>
    <n v="5450"/>
    <n v="156"/>
    <n v="2.8623853211009173E-2"/>
    <n v="0.96631205673758869"/>
    <x v="5"/>
    <n v="0"/>
    <n v="0"/>
    <s v="None"/>
    <n v="46"/>
    <n v="7176"/>
    <n v="33369"/>
    <n v="5170"/>
    <n v="5170"/>
    <x v="1603"/>
    <n v="10500"/>
  </r>
  <r>
    <s v="PR-1835"/>
    <d v="2026-09-16T00:00:00"/>
    <x v="0"/>
    <x v="0"/>
    <s v="Wednesday"/>
    <x v="0"/>
    <x v="3"/>
    <x v="3"/>
    <s v="Toothpaste"/>
    <x v="7"/>
    <s v="Sensitive Toothpaste 100g"/>
    <s v="B260916-L1A"/>
    <s v="R. Sharma"/>
    <x v="2"/>
    <x v="3"/>
    <x v="3"/>
    <n v="7910"/>
    <n v="7630"/>
    <n v="194"/>
    <n v="2.5425950196592398E-2"/>
    <n v="0.96460176991150437"/>
    <x v="2"/>
    <n v="60"/>
    <n v="1"/>
    <s v="Cleaning / Sanitation"/>
    <n v="42"/>
    <n v="8148"/>
    <n v="33628"/>
    <n v="7570"/>
    <n v="7570"/>
    <x v="1604"/>
    <n v="12000"/>
  </r>
  <r>
    <s v="PR-1951"/>
    <d v="2026-09-26T00:00:00"/>
    <x v="0"/>
    <x v="0"/>
    <s v="Saturday"/>
    <x v="0"/>
    <x v="2"/>
    <x v="2"/>
    <s v="Dental Floss"/>
    <x v="9"/>
    <s v="Waxed Floss 50m"/>
    <s v="B260926-L3A"/>
    <s v="R. Sharma"/>
    <x v="1"/>
    <x v="2"/>
    <x v="10"/>
    <n v="7690"/>
    <n v="7330"/>
    <n v="204"/>
    <n v="2.7830832196452934E-2"/>
    <n v="0.95318595578673604"/>
    <x v="4"/>
    <n v="49"/>
    <n v="0.81666666666666665"/>
    <s v="Changeover"/>
    <n v="24"/>
    <n v="4896"/>
    <n v="32863"/>
    <n v="6490"/>
    <n v="6490"/>
    <x v="1605"/>
    <n v="12000"/>
  </r>
  <r>
    <s v="PR-1593"/>
    <d v="2026-08-24T00:00:00"/>
    <x v="1"/>
    <x v="1"/>
    <s v="Monday"/>
    <x v="2"/>
    <x v="3"/>
    <x v="3"/>
    <s v="Toothpaste"/>
    <x v="7"/>
    <s v="Sensitive Toothpaste 100g"/>
    <s v="B260824-L1C"/>
    <s v="A. Gupta"/>
    <x v="1"/>
    <x v="3"/>
    <x v="3"/>
    <n v="7300"/>
    <n v="7090"/>
    <n v="169"/>
    <n v="2.3836389280677009E-2"/>
    <n v="0.97123287671232872"/>
    <x v="2"/>
    <n v="31"/>
    <n v="0.51666666666666672"/>
    <s v="Material Shortage"/>
    <n v="42"/>
    <n v="7098"/>
    <n v="33590"/>
    <n v="7010"/>
    <n v="7010"/>
    <x v="1606"/>
    <n v="12000"/>
  </r>
  <r>
    <s v="PR-0933"/>
    <d v="2026-06-25T00:00:00"/>
    <x v="3"/>
    <x v="3"/>
    <s v="Thursday"/>
    <x v="0"/>
    <x v="0"/>
    <x v="0"/>
    <s v="Mouthwash"/>
    <x v="0"/>
    <s v="Mint Mouthwash 250ml"/>
    <s v="B260625-L2A"/>
    <s v="K. Verma"/>
    <x v="2"/>
    <x v="0"/>
    <x v="0"/>
    <n v="5860"/>
    <n v="5510"/>
    <n v="173"/>
    <n v="3.1397459165154268E-2"/>
    <n v="0.94027303754266212"/>
    <x v="2"/>
    <n v="0"/>
    <n v="0"/>
    <s v="None"/>
    <n v="46"/>
    <n v="7958"/>
    <n v="33248"/>
    <n v="5080"/>
    <n v="5080"/>
    <x v="1607"/>
    <n v="10500"/>
  </r>
  <r>
    <s v="PR-1760"/>
    <d v="2026-09-09T00:00:00"/>
    <x v="0"/>
    <x v="0"/>
    <s v="Wednesday"/>
    <x v="0"/>
    <x v="3"/>
    <x v="3"/>
    <s v="Toothpaste"/>
    <x v="7"/>
    <s v="Sensitive Toothpaste 100g"/>
    <s v="B260909-L1A"/>
    <s v="K. Verma"/>
    <x v="1"/>
    <x v="3"/>
    <x v="2"/>
    <n v="7840"/>
    <n v="7570"/>
    <n v="92"/>
    <n v="1.2153236459709379E-2"/>
    <n v="0.96556122448979587"/>
    <x v="3"/>
    <n v="58"/>
    <n v="0.96666666666666667"/>
    <s v="Power Interruption"/>
    <n v="42"/>
    <n v="3864"/>
    <n v="33143"/>
    <n v="7110"/>
    <n v="7110"/>
    <x v="1608"/>
    <n v="12000"/>
  </r>
  <r>
    <s v="PR-1164"/>
    <d v="2026-07-16T00:00:00"/>
    <x v="2"/>
    <x v="2"/>
    <s v="Thursday"/>
    <x v="0"/>
    <x v="2"/>
    <x v="2"/>
    <s v="Dental Floss"/>
    <x v="6"/>
    <s v="Floss Picks (100 pcs)"/>
    <s v="B260716-L3A"/>
    <s v="R. Sharma"/>
    <x v="1"/>
    <x v="2"/>
    <x v="10"/>
    <n v="5970"/>
    <n v="5920"/>
    <n v="164"/>
    <n v="2.7702702702702704E-2"/>
    <n v="0.99162479061976549"/>
    <x v="2"/>
    <n v="24"/>
    <n v="0.4"/>
    <s v="Material Shortage"/>
    <n v="33"/>
    <n v="5412"/>
    <n v="32820"/>
    <n v="5040"/>
    <n v="5040"/>
    <x v="1609"/>
    <n v="9750"/>
  </r>
  <r>
    <s v="PR-0670"/>
    <d v="2026-06-01T00:00:00"/>
    <x v="3"/>
    <x v="3"/>
    <s v="Monday"/>
    <x v="1"/>
    <x v="1"/>
    <x v="1"/>
    <s v="Toothbrush"/>
    <x v="11"/>
    <s v="Soft Toothbrush"/>
    <s v="B260601-L4B"/>
    <s v="S. Yadav"/>
    <x v="2"/>
    <x v="1"/>
    <x v="1"/>
    <n v="10170"/>
    <n v="8990"/>
    <n v="222"/>
    <n v="2.4694104560622914E-2"/>
    <n v="0.88397246804326446"/>
    <x v="5"/>
    <n v="0"/>
    <n v="0"/>
    <s v="None"/>
    <n v="18"/>
    <n v="3996"/>
    <n v="33908"/>
    <n v="9100"/>
    <n v="9100"/>
    <x v="1610"/>
    <n v="15000"/>
  </r>
  <r>
    <s v="PR-1809"/>
    <d v="2026-09-13T00:00:00"/>
    <x v="0"/>
    <x v="0"/>
    <s v="Sunday"/>
    <x v="1"/>
    <x v="3"/>
    <x v="3"/>
    <s v="Toothpaste"/>
    <x v="7"/>
    <s v="Sensitive Toothpaste 100g"/>
    <s v="B260913-L1B"/>
    <s v="S. Yadav"/>
    <x v="2"/>
    <x v="3"/>
    <x v="2"/>
    <n v="5630"/>
    <n v="5360"/>
    <n v="148"/>
    <n v="2.7611940298507463E-2"/>
    <n v="0.95204262877442269"/>
    <x v="3"/>
    <n v="49"/>
    <n v="0.81666666666666665"/>
    <s v="Changeover"/>
    <n v="42"/>
    <n v="6216"/>
    <n v="33368"/>
    <n v="5000"/>
    <n v="5000"/>
    <x v="1611"/>
    <n v="12000"/>
  </r>
  <r>
    <s v="PR-1589"/>
    <d v="2026-08-24T00:00:00"/>
    <x v="1"/>
    <x v="1"/>
    <s v="Monday"/>
    <x v="1"/>
    <x v="3"/>
    <x v="3"/>
    <s v="Toothpaste"/>
    <x v="7"/>
    <s v="Sensitive Toothpaste 100g"/>
    <s v="B260824-L1B"/>
    <s v="P. Singh"/>
    <x v="2"/>
    <x v="3"/>
    <x v="2"/>
    <n v="8490"/>
    <n v="8770"/>
    <n v="215"/>
    <n v="2.4515393386545039E-2"/>
    <n v="1.032979976442874"/>
    <x v="4"/>
    <n v="0"/>
    <n v="0"/>
    <s v="None"/>
    <n v="42"/>
    <n v="9030"/>
    <n v="32825"/>
    <n v="7790"/>
    <n v="7790"/>
    <x v="1612"/>
    <n v="12000"/>
  </r>
  <r>
    <s v="PR-1929"/>
    <d v="2026-09-24T00:00:00"/>
    <x v="0"/>
    <x v="0"/>
    <s v="Thursday"/>
    <x v="1"/>
    <x v="3"/>
    <x v="3"/>
    <s v="Toothpaste"/>
    <x v="7"/>
    <s v="Sensitive Toothpaste 100g"/>
    <s v="B260924-L1B"/>
    <s v="S. Yadav"/>
    <x v="2"/>
    <x v="3"/>
    <x v="10"/>
    <n v="7770"/>
    <n v="6220"/>
    <n v="89"/>
    <n v="1.4308681672025723E-2"/>
    <n v="0.80051480051480051"/>
    <x v="4"/>
    <n v="46"/>
    <n v="0.76666666666666672"/>
    <s v="Manpower Shortage"/>
    <n v="42"/>
    <n v="3738"/>
    <n v="34310"/>
    <n v="6840"/>
    <n v="6840"/>
    <x v="1613"/>
    <n v="12000"/>
  </r>
  <r>
    <s v="PR-1819"/>
    <d v="2026-09-14T00:00:00"/>
    <x v="0"/>
    <x v="0"/>
    <s v="Monday"/>
    <x v="2"/>
    <x v="3"/>
    <x v="3"/>
    <s v="Toothpaste"/>
    <x v="7"/>
    <s v="Sensitive Toothpaste 100g"/>
    <s v="B260914-L1C"/>
    <s v="M. Khan"/>
    <x v="2"/>
    <x v="3"/>
    <x v="3"/>
    <n v="7910"/>
    <n v="7550"/>
    <n v="146"/>
    <n v="1.933774834437086E-2"/>
    <n v="0.95448798988621997"/>
    <x v="5"/>
    <n v="18"/>
    <n v="0.3"/>
    <s v="Machine Breakdown"/>
    <n v="42"/>
    <n v="6132"/>
    <n v="33864"/>
    <n v="7640"/>
    <n v="7640"/>
    <x v="1614"/>
    <n v="12000"/>
  </r>
  <r>
    <s v="PR-1322"/>
    <d v="2026-07-30T00:00:00"/>
    <x v="2"/>
    <x v="2"/>
    <s v="Thursday"/>
    <x v="1"/>
    <x v="2"/>
    <x v="2"/>
    <s v="Dental Floss"/>
    <x v="6"/>
    <s v="Floss Picks (100 pcs)"/>
    <s v="B260730-L3B"/>
    <s v="P. Singh"/>
    <x v="2"/>
    <x v="2"/>
    <x v="10"/>
    <n v="5180"/>
    <n v="4830"/>
    <n v="136"/>
    <n v="2.8157349896480333E-2"/>
    <n v="0.93243243243243246"/>
    <x v="3"/>
    <n v="0"/>
    <n v="0"/>
    <s v="None"/>
    <n v="33"/>
    <n v="4488"/>
    <n v="34029"/>
    <n v="5070"/>
    <n v="5070"/>
    <x v="1615"/>
    <n v="9750"/>
  </r>
  <r>
    <s v="PR-1422"/>
    <d v="2026-08-08T00:00:00"/>
    <x v="1"/>
    <x v="1"/>
    <s v="Saturday"/>
    <x v="1"/>
    <x v="2"/>
    <x v="2"/>
    <s v="Dental Floss"/>
    <x v="6"/>
    <s v="Floss Picks (100 pcs)"/>
    <s v="B260808-L3B"/>
    <s v="S. Yadav"/>
    <x v="1"/>
    <x v="2"/>
    <x v="8"/>
    <n v="5170"/>
    <n v="4820"/>
    <n v="59"/>
    <n v="1.2240663900414938E-2"/>
    <n v="0.93230174081237915"/>
    <x v="5"/>
    <n v="60"/>
    <n v="1"/>
    <s v="Material Shortage"/>
    <n v="33"/>
    <n v="1947"/>
    <n v="33681"/>
    <n v="4780"/>
    <n v="4780"/>
    <x v="1616"/>
    <n v="9750"/>
  </r>
  <r>
    <s v="PR-1398"/>
    <d v="2026-08-06T00:00:00"/>
    <x v="1"/>
    <x v="1"/>
    <s v="Thursday"/>
    <x v="1"/>
    <x v="2"/>
    <x v="2"/>
    <s v="Dental Floss"/>
    <x v="6"/>
    <s v="Floss Picks (100 pcs)"/>
    <s v="B260806-L3B"/>
    <s v="P. Singh"/>
    <x v="2"/>
    <x v="2"/>
    <x v="10"/>
    <n v="5150"/>
    <n v="4680"/>
    <n v="122"/>
    <n v="2.6068376068376069E-2"/>
    <n v="0.90873786407766988"/>
    <x v="2"/>
    <n v="21"/>
    <n v="0.35"/>
    <s v="Cleaning / Sanitation"/>
    <n v="33"/>
    <n v="4026"/>
    <n v="34233"/>
    <n v="5110"/>
    <n v="5110"/>
    <x v="1617"/>
    <n v="9750"/>
  </r>
  <r>
    <s v="PR-0569"/>
    <d v="2026-05-22T00:00:00"/>
    <x v="4"/>
    <x v="4"/>
    <s v="Friday"/>
    <x v="2"/>
    <x v="1"/>
    <x v="1"/>
    <s v="Toothbrush"/>
    <x v="11"/>
    <s v="Soft Toothbrush"/>
    <s v="B260522-L4C"/>
    <s v="A. Gupta"/>
    <x v="2"/>
    <x v="1"/>
    <x v="6"/>
    <n v="9040"/>
    <n v="8410"/>
    <n v="198"/>
    <n v="2.3543400713436385E-2"/>
    <n v="0.93030973451327437"/>
    <x v="5"/>
    <n v="0"/>
    <n v="0"/>
    <s v="None"/>
    <n v="18"/>
    <n v="3564"/>
    <n v="33945"/>
    <n v="8400"/>
    <n v="8400"/>
    <x v="1618"/>
    <n v="15000"/>
  </r>
  <r>
    <s v="PR-0885"/>
    <d v="2026-06-20T00:00:00"/>
    <x v="3"/>
    <x v="3"/>
    <s v="Saturday"/>
    <x v="1"/>
    <x v="1"/>
    <x v="1"/>
    <s v="Toothbrush"/>
    <x v="11"/>
    <s v="Soft Toothbrush"/>
    <s v="B260620-L4B"/>
    <s v="S. Yadav"/>
    <x v="2"/>
    <x v="1"/>
    <x v="6"/>
    <n v="9500"/>
    <n v="8790"/>
    <n v="222"/>
    <n v="2.5255972696245733E-2"/>
    <n v="0.92526315789473679"/>
    <x v="4"/>
    <n v="71"/>
    <n v="1.1833333333333333"/>
    <s v="Material Shortage"/>
    <n v="18"/>
    <n v="3996"/>
    <n v="34412"/>
    <n v="9210"/>
    <n v="9210"/>
    <x v="1619"/>
    <n v="15000"/>
  </r>
  <r>
    <s v="PR-0369"/>
    <d v="2026-05-04T00:00:00"/>
    <x v="4"/>
    <x v="4"/>
    <s v="Monday"/>
    <x v="2"/>
    <x v="1"/>
    <x v="1"/>
    <s v="Toothbrush"/>
    <x v="11"/>
    <s v="Soft Toothbrush"/>
    <s v="B260504-L4C"/>
    <s v="M. Khan"/>
    <x v="1"/>
    <x v="1"/>
    <x v="6"/>
    <n v="9260"/>
    <n v="9030"/>
    <n v="246"/>
    <n v="2.7242524916943522E-2"/>
    <n v="0.97516198704103674"/>
    <x v="5"/>
    <n v="0"/>
    <n v="0"/>
    <s v="None"/>
    <n v="18"/>
    <n v="4428"/>
    <n v="32391"/>
    <n v="7400"/>
    <n v="7400"/>
    <x v="1620"/>
    <n v="15000"/>
  </r>
  <r>
    <s v="PR-0553"/>
    <d v="2026-05-21T00:00:00"/>
    <x v="4"/>
    <x v="4"/>
    <s v="Thursday"/>
    <x v="1"/>
    <x v="1"/>
    <x v="1"/>
    <s v="Toothbrush"/>
    <x v="11"/>
    <s v="Soft Toothbrush"/>
    <s v="B260521-L4B"/>
    <s v="S. Yadav"/>
    <x v="1"/>
    <x v="1"/>
    <x v="7"/>
    <n v="10690"/>
    <n v="10180"/>
    <n v="199"/>
    <n v="1.9548133595284872E-2"/>
    <n v="0.95229186155285317"/>
    <x v="2"/>
    <n v="0"/>
    <n v="0"/>
    <s v="None"/>
    <n v="18"/>
    <n v="3582"/>
    <n v="32878"/>
    <n v="9060"/>
    <n v="9060"/>
    <x v="1621"/>
    <n v="15000"/>
  </r>
  <r>
    <s v="PR-1597"/>
    <d v="2026-08-25T00:00:00"/>
    <x v="1"/>
    <x v="1"/>
    <s v="Tuesday"/>
    <x v="0"/>
    <x v="3"/>
    <x v="3"/>
    <s v="Toothpaste"/>
    <x v="7"/>
    <s v="Sensitive Toothpaste 100g"/>
    <s v="B260825-L1A"/>
    <s v="K. Verma"/>
    <x v="1"/>
    <x v="3"/>
    <x v="2"/>
    <n v="7890"/>
    <n v="7540"/>
    <n v="159"/>
    <n v="2.1087533156498674E-2"/>
    <n v="0.95564005069708491"/>
    <x v="4"/>
    <n v="39"/>
    <n v="0.65"/>
    <s v="Material Shortage"/>
    <n v="42"/>
    <n v="6678"/>
    <n v="33501"/>
    <n v="7070"/>
    <n v="7070"/>
    <x v="1622"/>
    <n v="12000"/>
  </r>
  <r>
    <s v="PR-1370"/>
    <d v="2026-08-04T00:00:00"/>
    <x v="1"/>
    <x v="1"/>
    <s v="Tuesday"/>
    <x v="0"/>
    <x v="2"/>
    <x v="2"/>
    <s v="Dental Floss"/>
    <x v="6"/>
    <s v="Floss Picks (100 pcs)"/>
    <s v="B260804-L3A"/>
    <s v="K. Verma"/>
    <x v="2"/>
    <x v="2"/>
    <x v="9"/>
    <n v="5570"/>
    <n v="4560"/>
    <n v="127"/>
    <n v="2.7850877192982456E-2"/>
    <n v="0.81867145421903054"/>
    <x v="5"/>
    <n v="0"/>
    <n v="0"/>
    <s v="None"/>
    <n v="33"/>
    <n v="4191"/>
    <n v="34645"/>
    <n v="5240"/>
    <n v="5240"/>
    <x v="1623"/>
    <n v="9750"/>
  </r>
  <r>
    <s v="PR-1764"/>
    <d v="2026-09-09T00:00:00"/>
    <x v="0"/>
    <x v="0"/>
    <s v="Wednesday"/>
    <x v="1"/>
    <x v="3"/>
    <x v="3"/>
    <s v="Toothpaste"/>
    <x v="7"/>
    <s v="Sensitive Toothpaste 100g"/>
    <s v="B260909-L1B"/>
    <s v="S. Yadav"/>
    <x v="2"/>
    <x v="3"/>
    <x v="2"/>
    <n v="8210"/>
    <n v="8050"/>
    <n v="262"/>
    <n v="3.2546583850931676E-2"/>
    <n v="0.98051157125456756"/>
    <x v="4"/>
    <n v="30"/>
    <n v="0.5"/>
    <s v="Machine Breakdown"/>
    <n v="42"/>
    <n v="11004"/>
    <n v="33511"/>
    <n v="7460"/>
    <n v="7460"/>
    <x v="1624"/>
    <n v="12000"/>
  </r>
  <r>
    <s v="PR-1811"/>
    <d v="2026-09-14T00:00:00"/>
    <x v="0"/>
    <x v="0"/>
    <s v="Monday"/>
    <x v="0"/>
    <x v="3"/>
    <x v="3"/>
    <s v="Toothpaste"/>
    <x v="7"/>
    <s v="Sensitive Toothpaste 100g"/>
    <s v="B260914-L1A"/>
    <s v="R. Sharma"/>
    <x v="1"/>
    <x v="3"/>
    <x v="4"/>
    <n v="7490"/>
    <n v="7030"/>
    <n v="226"/>
    <n v="3.2147937411095305E-2"/>
    <n v="0.93858477970627507"/>
    <x v="2"/>
    <n v="0"/>
    <n v="0"/>
    <s v="None"/>
    <n v="42"/>
    <n v="9492"/>
    <n v="33580"/>
    <n v="6520"/>
    <n v="6520"/>
    <x v="1625"/>
    <n v="12000"/>
  </r>
  <r>
    <s v="PR-0976"/>
    <d v="2026-06-29T00:00:00"/>
    <x v="3"/>
    <x v="3"/>
    <s v="Monday"/>
    <x v="0"/>
    <x v="1"/>
    <x v="1"/>
    <s v="Toothbrush"/>
    <x v="11"/>
    <s v="Soft Toothbrush"/>
    <s v="B260629-L4A"/>
    <s v="K. Verma"/>
    <x v="2"/>
    <x v="1"/>
    <x v="7"/>
    <n v="10230"/>
    <n v="9970"/>
    <n v="280"/>
    <n v="2.8084252758274825E-2"/>
    <n v="0.97458455522971654"/>
    <x v="3"/>
    <n v="0"/>
    <n v="0"/>
    <s v="None"/>
    <n v="18"/>
    <n v="5040"/>
    <n v="32721"/>
    <n v="8530"/>
    <n v="8530"/>
    <x v="1626"/>
    <n v="15000"/>
  </r>
  <r>
    <s v="PR-0662"/>
    <d v="2026-05-31T00:00:00"/>
    <x v="4"/>
    <x v="4"/>
    <s v="Sunday"/>
    <x v="1"/>
    <x v="1"/>
    <x v="1"/>
    <s v="Toothbrush"/>
    <x v="11"/>
    <s v="Soft Toothbrush"/>
    <s v="B260531-L4B"/>
    <s v="S. Yadav"/>
    <x v="2"/>
    <x v="1"/>
    <x v="0"/>
    <n v="6820"/>
    <n v="6480"/>
    <n v="240"/>
    <n v="3.7037037037037035E-2"/>
    <n v="0.95014662756598245"/>
    <x v="4"/>
    <n v="60"/>
    <n v="1"/>
    <s v="Machine Breakdown"/>
    <n v="18"/>
    <n v="4320"/>
    <n v="34338"/>
    <n v="6670"/>
    <n v="6670"/>
    <x v="1627"/>
    <n v="15000"/>
  </r>
  <r>
    <s v="PR-1893"/>
    <d v="2026-09-21T00:00:00"/>
    <x v="0"/>
    <x v="0"/>
    <s v="Monday"/>
    <x v="1"/>
    <x v="3"/>
    <x v="3"/>
    <s v="Toothpaste"/>
    <x v="7"/>
    <s v="Sensitive Toothpaste 100g"/>
    <s v="B260921-L1B"/>
    <s v="S. Yadav"/>
    <x v="1"/>
    <x v="3"/>
    <x v="3"/>
    <n v="8630"/>
    <n v="7910"/>
    <n v="231"/>
    <n v="2.9203539823008849E-2"/>
    <n v="0.91657010428736962"/>
    <x v="3"/>
    <n v="0"/>
    <n v="0"/>
    <s v="None"/>
    <n v="42"/>
    <n v="9702"/>
    <n v="33334"/>
    <n v="7100"/>
    <n v="7100"/>
    <x v="1628"/>
    <n v="12000"/>
  </r>
  <r>
    <s v="PR-1897"/>
    <d v="2026-09-21T00:00:00"/>
    <x v="0"/>
    <x v="0"/>
    <s v="Monday"/>
    <x v="2"/>
    <x v="3"/>
    <x v="3"/>
    <s v="Toothpaste"/>
    <x v="7"/>
    <s v="Sensitive Toothpaste 100g"/>
    <s v="B260921-L1C"/>
    <s v="M. Khan"/>
    <x v="1"/>
    <x v="3"/>
    <x v="3"/>
    <n v="7550"/>
    <n v="6930"/>
    <n v="237"/>
    <n v="3.4199134199134201E-2"/>
    <n v="0.9178807947019868"/>
    <x v="3"/>
    <n v="47"/>
    <n v="0.78333333333333333"/>
    <s v="Changeover"/>
    <n v="42"/>
    <n v="9954"/>
    <n v="33913"/>
    <n v="6690"/>
    <n v="6690"/>
    <x v="1629"/>
    <n v="12000"/>
  </r>
  <r>
    <s v="PR-0557"/>
    <d v="2026-05-21T00:00:00"/>
    <x v="4"/>
    <x v="4"/>
    <s v="Thursday"/>
    <x v="2"/>
    <x v="1"/>
    <x v="1"/>
    <s v="Toothbrush"/>
    <x v="11"/>
    <s v="Soft Toothbrush"/>
    <s v="B260521-L4C"/>
    <s v="M. Khan"/>
    <x v="1"/>
    <x v="1"/>
    <x v="0"/>
    <n v="9760"/>
    <n v="9020"/>
    <n v="174"/>
    <n v="1.9290465631929047E-2"/>
    <n v="0.92418032786885251"/>
    <x v="3"/>
    <n v="19"/>
    <n v="0.31666666666666665"/>
    <s v="Material Shortage"/>
    <n v="18"/>
    <n v="3132"/>
    <n v="33799"/>
    <n v="8700"/>
    <n v="8700"/>
    <x v="1630"/>
    <n v="15000"/>
  </r>
  <r>
    <s v="PR-1909"/>
    <d v="2026-09-22T00:00:00"/>
    <x v="0"/>
    <x v="0"/>
    <s v="Tuesday"/>
    <x v="2"/>
    <x v="3"/>
    <x v="3"/>
    <s v="Toothpaste"/>
    <x v="7"/>
    <s v="Sensitive Toothpaste 100g"/>
    <s v="B260922-L1C"/>
    <s v="M. Khan"/>
    <x v="2"/>
    <x v="3"/>
    <x v="3"/>
    <n v="7470"/>
    <n v="6650"/>
    <n v="113"/>
    <n v="1.6992481203007517E-2"/>
    <n v="0.89022757697456489"/>
    <x v="0"/>
    <n v="63"/>
    <n v="1.05"/>
    <s v="Changeover"/>
    <n v="42"/>
    <n v="4746"/>
    <n v="34195"/>
    <n v="6740"/>
    <n v="6740"/>
    <x v="1631"/>
    <n v="12000"/>
  </r>
  <r>
    <s v="PR-0590"/>
    <d v="2026-05-25T00:00:00"/>
    <x v="4"/>
    <x v="4"/>
    <s v="Monday"/>
    <x v="0"/>
    <x v="1"/>
    <x v="1"/>
    <s v="Toothbrush"/>
    <x v="11"/>
    <s v="Soft Toothbrush"/>
    <s v="B260525-L4A"/>
    <s v="R. Sharma"/>
    <x v="1"/>
    <x v="1"/>
    <x v="6"/>
    <n v="10480"/>
    <n v="9790"/>
    <n v="308"/>
    <n v="3.1460674157303373E-2"/>
    <n v="0.93416030534351147"/>
    <x v="0"/>
    <n v="0"/>
    <n v="0"/>
    <s v="None"/>
    <n v="18"/>
    <n v="5544"/>
    <n v="33386"/>
    <n v="8850"/>
    <n v="8850"/>
    <x v="1632"/>
    <n v="15000"/>
  </r>
  <r>
    <s v="PR-1314"/>
    <d v="2026-07-29T00:00:00"/>
    <x v="2"/>
    <x v="2"/>
    <s v="Wednesday"/>
    <x v="2"/>
    <x v="2"/>
    <x v="2"/>
    <s v="Dental Floss"/>
    <x v="6"/>
    <s v="Floss Picks (100 pcs)"/>
    <s v="B260729-L3C"/>
    <s v="M. Khan"/>
    <x v="1"/>
    <x v="2"/>
    <x v="8"/>
    <n v="5120"/>
    <n v="4650"/>
    <n v="181"/>
    <n v="3.8924731182795699E-2"/>
    <n v="0.908203125"/>
    <x v="4"/>
    <n v="0"/>
    <n v="0"/>
    <s v="None"/>
    <n v="33"/>
    <n v="5973"/>
    <n v="34240"/>
    <n v="4680"/>
    <n v="4680"/>
    <x v="1633"/>
    <n v="9750"/>
  </r>
  <r>
    <s v="PR-1386"/>
    <d v="2026-08-05T00:00:00"/>
    <x v="1"/>
    <x v="1"/>
    <s v="Wednesday"/>
    <x v="1"/>
    <x v="2"/>
    <x v="2"/>
    <s v="Dental Floss"/>
    <x v="6"/>
    <s v="Floss Picks (100 pcs)"/>
    <s v="B260805-L3B"/>
    <s v="S. Yadav"/>
    <x v="1"/>
    <x v="2"/>
    <x v="10"/>
    <n v="5740"/>
    <n v="5750"/>
    <n v="156"/>
    <n v="2.7130434782608695E-2"/>
    <n v="1.0017421602787457"/>
    <x v="5"/>
    <n v="0"/>
    <n v="0"/>
    <s v="None"/>
    <n v="33"/>
    <n v="5148"/>
    <n v="33838"/>
    <n v="5390"/>
    <n v="5390"/>
    <x v="1634"/>
    <n v="9750"/>
  </r>
  <r>
    <s v="PR-0734"/>
    <d v="2026-06-06T00:00:00"/>
    <x v="3"/>
    <x v="3"/>
    <s v="Saturday"/>
    <x v="2"/>
    <x v="1"/>
    <x v="1"/>
    <s v="Toothbrush"/>
    <x v="11"/>
    <s v="Soft Toothbrush"/>
    <s v="B260606-L4C"/>
    <s v="M. Khan"/>
    <x v="2"/>
    <x v="1"/>
    <x v="6"/>
    <n v="8740"/>
    <n v="8340"/>
    <n v="236"/>
    <n v="2.8297362110311752E-2"/>
    <n v="0.95423340961098402"/>
    <x v="3"/>
    <n v="46"/>
    <n v="0.76666666666666672"/>
    <s v="Power Interruption"/>
    <n v="18"/>
    <n v="4248"/>
    <n v="34639"/>
    <n v="8650"/>
    <n v="8650"/>
    <x v="1635"/>
    <n v="15000"/>
  </r>
  <r>
    <s v="PR-1457"/>
    <d v="2026-08-11T00:00:00"/>
    <x v="1"/>
    <x v="1"/>
    <s v="Tuesday"/>
    <x v="2"/>
    <x v="2"/>
    <x v="2"/>
    <s v="Dental Floss"/>
    <x v="6"/>
    <s v="Floss Picks (100 pcs)"/>
    <s v="B260811-L3C"/>
    <s v="A. Gupta"/>
    <x v="2"/>
    <x v="2"/>
    <x v="9"/>
    <n v="5440"/>
    <n v="5170"/>
    <n v="111"/>
    <n v="2.1470019342359769E-2"/>
    <n v="0.95036764705882348"/>
    <x v="2"/>
    <n v="73"/>
    <n v="1.2166666666666666"/>
    <s v="Cleaning / Sanitation"/>
    <n v="33"/>
    <n v="3663"/>
    <n v="34579"/>
    <n v="5500"/>
    <n v="5500"/>
    <x v="1636"/>
    <n v="9750"/>
  </r>
  <r>
    <s v="PR-1905"/>
    <d v="2026-09-22T00:00:00"/>
    <x v="0"/>
    <x v="0"/>
    <s v="Tuesday"/>
    <x v="1"/>
    <x v="3"/>
    <x v="3"/>
    <s v="Toothpaste"/>
    <x v="7"/>
    <s v="Sensitive Toothpaste 100g"/>
    <s v="B260922-L1B"/>
    <s v="P. Singh"/>
    <x v="2"/>
    <x v="3"/>
    <x v="2"/>
    <n v="7410"/>
    <n v="7380"/>
    <n v="191"/>
    <n v="2.5880758807588077E-2"/>
    <n v="0.99595141700404854"/>
    <x v="3"/>
    <n v="0"/>
    <n v="0"/>
    <s v="None"/>
    <n v="42"/>
    <n v="8022"/>
    <n v="33916"/>
    <n v="6910"/>
    <n v="6910"/>
    <x v="1637"/>
    <n v="12000"/>
  </r>
  <r>
    <s v="PR-1355"/>
    <d v="2026-08-02T00:00:00"/>
    <x v="1"/>
    <x v="1"/>
    <s v="Sunday"/>
    <x v="1"/>
    <x v="2"/>
    <x v="2"/>
    <s v="Dental Floss"/>
    <x v="6"/>
    <s v="Floss Picks (100 pcs)"/>
    <s v="B260802-L3B"/>
    <s v="S. Yadav"/>
    <x v="2"/>
    <x v="2"/>
    <x v="10"/>
    <n v="3920"/>
    <n v="3730"/>
    <n v="115"/>
    <n v="3.0831099195710455E-2"/>
    <n v="0.95153061224489799"/>
    <x v="5"/>
    <n v="0"/>
    <n v="0"/>
    <s v="None"/>
    <n v="33"/>
    <n v="3795"/>
    <n v="33653"/>
    <n v="3070"/>
    <n v="3070"/>
    <x v="1638"/>
    <n v="9750"/>
  </r>
  <r>
    <s v="PR-0992"/>
    <d v="2026-06-30T00:00:00"/>
    <x v="3"/>
    <x v="3"/>
    <s v="Tuesday"/>
    <x v="1"/>
    <x v="1"/>
    <x v="1"/>
    <s v="Toothbrush"/>
    <x v="11"/>
    <s v="Soft Toothbrush"/>
    <s v="B260630-L4B"/>
    <s v="S. Yadav"/>
    <x v="2"/>
    <x v="1"/>
    <x v="1"/>
    <n v="9950"/>
    <n v="9170"/>
    <n v="311"/>
    <n v="3.3914940021810253E-2"/>
    <n v="0.92160804020100506"/>
    <x v="3"/>
    <n v="28"/>
    <n v="0.46666666666666667"/>
    <s v="Changeover"/>
    <n v="18"/>
    <n v="5598"/>
    <n v="33881"/>
    <n v="8530"/>
    <n v="8530"/>
    <x v="1639"/>
    <n v="15000"/>
  </r>
  <r>
    <s v="PR-1176"/>
    <d v="2026-07-17T00:00:00"/>
    <x v="2"/>
    <x v="2"/>
    <s v="Friday"/>
    <x v="0"/>
    <x v="2"/>
    <x v="2"/>
    <s v="Dental Floss"/>
    <x v="6"/>
    <s v="Floss Picks (100 pcs)"/>
    <s v="B260717-L3A"/>
    <s v="R. Sharma"/>
    <x v="1"/>
    <x v="2"/>
    <x v="10"/>
    <n v="5900"/>
    <n v="5710"/>
    <n v="215"/>
    <n v="3.7653239929947457E-2"/>
    <n v="0.96779661016949148"/>
    <x v="0"/>
    <n v="0"/>
    <n v="0"/>
    <s v="None"/>
    <n v="33"/>
    <n v="7095"/>
    <n v="34249"/>
    <n v="5530"/>
    <n v="5530"/>
    <x v="1640"/>
    <n v="9750"/>
  </r>
  <r>
    <s v="PR-1979"/>
    <d v="2026-09-29T00:00:00"/>
    <x v="0"/>
    <x v="0"/>
    <s v="Tuesday"/>
    <x v="0"/>
    <x v="2"/>
    <x v="2"/>
    <s v="Dental Floss"/>
    <x v="9"/>
    <s v="Waxed Floss 50m"/>
    <s v="B260929-L3A"/>
    <s v="R. Sharma"/>
    <x v="2"/>
    <x v="2"/>
    <x v="8"/>
    <n v="8190"/>
    <n v="7570"/>
    <n v="154"/>
    <n v="2.0343461030383092E-2"/>
    <n v="0.92429792429792434"/>
    <x v="2"/>
    <n v="0"/>
    <n v="0"/>
    <s v="None"/>
    <n v="24"/>
    <n v="3696"/>
    <n v="34324"/>
    <n v="7520"/>
    <n v="7520"/>
    <x v="1641"/>
    <n v="12000"/>
  </r>
  <r>
    <s v="PR-1390"/>
    <d v="2026-08-05T00:00:00"/>
    <x v="1"/>
    <x v="1"/>
    <s v="Wednesday"/>
    <x v="2"/>
    <x v="2"/>
    <x v="2"/>
    <s v="Dental Floss"/>
    <x v="6"/>
    <s v="Floss Picks (100 pcs)"/>
    <s v="B260805-L3C"/>
    <s v="A. Gupta"/>
    <x v="2"/>
    <x v="2"/>
    <x v="10"/>
    <n v="5380"/>
    <n v="5040"/>
    <n v="159"/>
    <n v="3.1547619047619047E-2"/>
    <n v="0.93680297397769519"/>
    <x v="2"/>
    <n v="0"/>
    <n v="0"/>
    <s v="None"/>
    <n v="33"/>
    <n v="5247"/>
    <n v="34042"/>
    <n v="4690"/>
    <n v="4690"/>
    <x v="1642"/>
    <n v="9750"/>
  </r>
  <r>
    <s v="PR-1669"/>
    <d v="2026-08-31T00:00:00"/>
    <x v="1"/>
    <x v="1"/>
    <s v="Monday"/>
    <x v="2"/>
    <x v="3"/>
    <x v="3"/>
    <s v="Toothpaste"/>
    <x v="7"/>
    <s v="Sensitive Toothpaste 100g"/>
    <s v="B260831-L1C"/>
    <s v="M. Khan"/>
    <x v="1"/>
    <x v="3"/>
    <x v="4"/>
    <n v="8180"/>
    <n v="7450"/>
    <n v="157"/>
    <n v="2.1073825503355705E-2"/>
    <n v="0.91075794621026895"/>
    <x v="0"/>
    <n v="33"/>
    <n v="0.55000000000000004"/>
    <s v="Cleaning / Sanitation"/>
    <n v="42"/>
    <n v="6594"/>
    <n v="34401"/>
    <n v="7460"/>
    <n v="7460"/>
    <x v="1643"/>
    <n v="12000"/>
  </r>
  <r>
    <s v="PR-1298"/>
    <d v="2026-07-28T00:00:00"/>
    <x v="2"/>
    <x v="2"/>
    <s v="Tuesday"/>
    <x v="1"/>
    <x v="2"/>
    <x v="2"/>
    <s v="Dental Floss"/>
    <x v="6"/>
    <s v="Floss Picks (100 pcs)"/>
    <s v="B260728-L3B"/>
    <s v="P. Singh"/>
    <x v="2"/>
    <x v="2"/>
    <x v="8"/>
    <n v="5760"/>
    <n v="5300"/>
    <n v="138"/>
    <n v="2.6037735849056602E-2"/>
    <n v="0.92013888888888884"/>
    <x v="2"/>
    <n v="0"/>
    <n v="0"/>
    <s v="None"/>
    <n v="33"/>
    <n v="4554"/>
    <n v="34728"/>
    <n v="5650"/>
    <n v="5650"/>
    <x v="1644"/>
    <n v="9750"/>
  </r>
  <r>
    <s v="PR-1729"/>
    <d v="2026-09-05T00:00:00"/>
    <x v="0"/>
    <x v="0"/>
    <s v="Saturday"/>
    <x v="2"/>
    <x v="3"/>
    <x v="3"/>
    <s v="Toothpaste"/>
    <x v="7"/>
    <s v="Sensitive Toothpaste 100g"/>
    <s v="B260905-L1C"/>
    <s v="M. Khan"/>
    <x v="2"/>
    <x v="3"/>
    <x v="2"/>
    <n v="7290"/>
    <n v="7140"/>
    <n v="187"/>
    <n v="2.6190476190476191E-2"/>
    <n v="0.97942386831275718"/>
    <x v="0"/>
    <n v="36"/>
    <n v="0.6"/>
    <s v="Material Shortage"/>
    <n v="42"/>
    <n v="7854"/>
    <n v="34674"/>
    <n v="7380"/>
    <n v="7380"/>
    <x v="1645"/>
    <n v="12000"/>
  </r>
  <r>
    <s v="PR-1168"/>
    <d v="2026-07-16T00:00:00"/>
    <x v="2"/>
    <x v="2"/>
    <s v="Thursday"/>
    <x v="1"/>
    <x v="2"/>
    <x v="2"/>
    <s v="Dental Floss"/>
    <x v="6"/>
    <s v="Floss Picks (100 pcs)"/>
    <s v="B260716-L3B"/>
    <s v="P. Singh"/>
    <x v="2"/>
    <x v="2"/>
    <x v="10"/>
    <n v="5350"/>
    <n v="5300"/>
    <n v="127"/>
    <n v="2.3962264150943397E-2"/>
    <n v="0.99065420560747663"/>
    <x v="0"/>
    <n v="0"/>
    <n v="0"/>
    <s v="None"/>
    <n v="33"/>
    <n v="4191"/>
    <n v="33536"/>
    <n v="4460"/>
    <n v="4460"/>
    <x v="1646"/>
    <n v="9750"/>
  </r>
  <r>
    <s v="PR-1995"/>
    <d v="2026-09-30T00:00:00"/>
    <x v="0"/>
    <x v="0"/>
    <s v="Wednesday"/>
    <x v="1"/>
    <x v="2"/>
    <x v="2"/>
    <s v="Dental Floss"/>
    <x v="9"/>
    <s v="Waxed Floss 50m"/>
    <s v="B260930-L3B"/>
    <s v="P. Singh"/>
    <x v="1"/>
    <x v="2"/>
    <x v="10"/>
    <n v="7630"/>
    <n v="7420"/>
    <n v="202"/>
    <n v="2.7223719676549865E-2"/>
    <n v="0.97247706422018354"/>
    <x v="5"/>
    <n v="0"/>
    <n v="0"/>
    <s v="None"/>
    <n v="24"/>
    <n v="4848"/>
    <n v="34711"/>
    <n v="7680"/>
    <n v="7680"/>
    <x v="1646"/>
    <n v="12000"/>
  </r>
  <r>
    <s v="PR-0718"/>
    <d v="2026-06-05T00:00:00"/>
    <x v="3"/>
    <x v="3"/>
    <s v="Friday"/>
    <x v="1"/>
    <x v="1"/>
    <x v="1"/>
    <s v="Toothbrush"/>
    <x v="11"/>
    <s v="Soft Toothbrush"/>
    <s v="B260605-L4B"/>
    <s v="S. Yadav"/>
    <x v="2"/>
    <x v="1"/>
    <x v="7"/>
    <n v="9930"/>
    <n v="9380"/>
    <n v="313"/>
    <n v="3.3368869936034114E-2"/>
    <n v="0.94461228600201408"/>
    <x v="5"/>
    <n v="0"/>
    <n v="0"/>
    <s v="None"/>
    <n v="18"/>
    <n v="5634"/>
    <n v="34872"/>
    <n v="9660"/>
    <n v="9660"/>
    <x v="1647"/>
    <n v="15000"/>
  </r>
  <r>
    <s v="PR-1274"/>
    <d v="2026-07-25T00:00:00"/>
    <x v="2"/>
    <x v="2"/>
    <s v="Saturday"/>
    <x v="2"/>
    <x v="2"/>
    <x v="2"/>
    <s v="Dental Floss"/>
    <x v="6"/>
    <s v="Floss Picks (100 pcs)"/>
    <s v="B260725-L3C"/>
    <s v="M. Khan"/>
    <x v="1"/>
    <x v="2"/>
    <x v="11"/>
    <n v="5090"/>
    <n v="4120"/>
    <n v="131"/>
    <n v="3.1796116504854366E-2"/>
    <n v="0.80943025540275049"/>
    <x v="5"/>
    <n v="10"/>
    <n v="0.16666666666666666"/>
    <s v="Manpower Shortage"/>
    <n v="33"/>
    <n v="4323"/>
    <n v="34335"/>
    <n v="4020"/>
    <n v="4020"/>
    <x v="1648"/>
    <n v="9750"/>
  </r>
  <r>
    <s v="PR-1921"/>
    <d v="2026-09-23T00:00:00"/>
    <x v="0"/>
    <x v="0"/>
    <s v="Wednesday"/>
    <x v="2"/>
    <x v="3"/>
    <x v="3"/>
    <s v="Toothpaste"/>
    <x v="7"/>
    <s v="Sensitive Toothpaste 100g"/>
    <s v="B260923-L1C"/>
    <s v="M. Khan"/>
    <x v="1"/>
    <x v="3"/>
    <x v="3"/>
    <n v="7140"/>
    <n v="6820"/>
    <n v="168"/>
    <n v="2.463343108504399E-2"/>
    <n v="0.9551820728291317"/>
    <x v="0"/>
    <n v="57"/>
    <n v="0.95"/>
    <s v="Machine Breakdown"/>
    <n v="42"/>
    <n v="7056"/>
    <n v="34428"/>
    <n v="6770"/>
    <n v="6770"/>
    <x v="1649"/>
    <n v="12000"/>
  </r>
  <r>
    <s v="PR-1445"/>
    <d v="2026-08-10T00:00:00"/>
    <x v="1"/>
    <x v="1"/>
    <s v="Monday"/>
    <x v="2"/>
    <x v="2"/>
    <x v="2"/>
    <s v="Dental Floss"/>
    <x v="6"/>
    <s v="Floss Picks (100 pcs)"/>
    <s v="B260810-L3C"/>
    <s v="M. Khan"/>
    <x v="2"/>
    <x v="2"/>
    <x v="10"/>
    <n v="5210"/>
    <n v="5140"/>
    <n v="80"/>
    <n v="1.556420233463035E-2"/>
    <n v="0.98656429942418422"/>
    <x v="0"/>
    <n v="0"/>
    <n v="0"/>
    <s v="None"/>
    <n v="33"/>
    <n v="2640"/>
    <n v="33662"/>
    <n v="4410"/>
    <n v="4410"/>
    <x v="1650"/>
    <n v="9750"/>
  </r>
  <r>
    <s v="PR-1975"/>
    <d v="2026-09-28T00:00:00"/>
    <x v="0"/>
    <x v="0"/>
    <s v="Monday"/>
    <x v="2"/>
    <x v="2"/>
    <x v="2"/>
    <s v="Dental Floss"/>
    <x v="9"/>
    <s v="Waxed Floss 50m"/>
    <s v="B260928-L3C"/>
    <s v="M. Khan"/>
    <x v="1"/>
    <x v="2"/>
    <x v="8"/>
    <n v="7970"/>
    <n v="7730"/>
    <n v="239"/>
    <n v="3.0918499353169468E-2"/>
    <n v="0.96988707653701378"/>
    <x v="0"/>
    <n v="0"/>
    <n v="0"/>
    <s v="None"/>
    <n v="24"/>
    <n v="5736"/>
    <n v="33293"/>
    <n v="6460"/>
    <n v="6460"/>
    <x v="1651"/>
    <n v="12000"/>
  </r>
  <r>
    <s v="PR-1262"/>
    <d v="2026-07-24T00:00:00"/>
    <x v="2"/>
    <x v="2"/>
    <s v="Friday"/>
    <x v="2"/>
    <x v="2"/>
    <x v="2"/>
    <s v="Dental Floss"/>
    <x v="6"/>
    <s v="Floss Picks (100 pcs)"/>
    <s v="B260724-L3C"/>
    <s v="M. Khan"/>
    <x v="1"/>
    <x v="2"/>
    <x v="8"/>
    <n v="5430"/>
    <n v="4900"/>
    <n v="98"/>
    <n v="0.02"/>
    <n v="0.90239410681399634"/>
    <x v="4"/>
    <n v="59"/>
    <n v="0.98333333333333328"/>
    <s v="Cleaning / Sanitation"/>
    <n v="33"/>
    <n v="3234"/>
    <n v="34533"/>
    <n v="5000"/>
    <n v="5000"/>
    <x v="1652"/>
    <n v="9750"/>
  </r>
  <r>
    <s v="PR-0642"/>
    <d v="2026-05-29T00:00:00"/>
    <x v="4"/>
    <x v="4"/>
    <s v="Friday"/>
    <x v="1"/>
    <x v="1"/>
    <x v="1"/>
    <s v="Toothbrush"/>
    <x v="11"/>
    <s v="Soft Toothbrush"/>
    <s v="B260529-L4B"/>
    <s v="P. Singh"/>
    <x v="2"/>
    <x v="1"/>
    <x v="6"/>
    <n v="10620"/>
    <n v="10180"/>
    <n v="270"/>
    <n v="2.6522593320235755E-2"/>
    <n v="0.95856873822975519"/>
    <x v="5"/>
    <n v="0"/>
    <n v="0"/>
    <s v="None"/>
    <n v="18"/>
    <n v="4860"/>
    <n v="33428"/>
    <n v="9000"/>
    <n v="9000"/>
    <x v="1653"/>
    <n v="15000"/>
  </r>
  <r>
    <s v="PR-1637"/>
    <d v="2026-08-28T00:00:00"/>
    <x v="1"/>
    <x v="1"/>
    <s v="Friday"/>
    <x v="1"/>
    <x v="3"/>
    <x v="3"/>
    <s v="Toothpaste"/>
    <x v="7"/>
    <s v="Sensitive Toothpaste 100g"/>
    <s v="B260828-L1B"/>
    <s v="S. Yadav"/>
    <x v="2"/>
    <x v="3"/>
    <x v="3"/>
    <n v="7600"/>
    <n v="7300"/>
    <n v="221"/>
    <n v="3.0273972602739726E-2"/>
    <n v="0.96052631578947367"/>
    <x v="0"/>
    <n v="27"/>
    <n v="0.45"/>
    <s v="Machine Breakdown"/>
    <n v="42"/>
    <n v="9282"/>
    <n v="34752"/>
    <n v="7430"/>
    <n v="7430"/>
    <x v="1654"/>
    <n v="12000"/>
  </r>
  <r>
    <s v="PR-0869"/>
    <d v="2026-06-19T00:00:00"/>
    <x v="3"/>
    <x v="3"/>
    <s v="Friday"/>
    <x v="0"/>
    <x v="1"/>
    <x v="1"/>
    <s v="Toothbrush"/>
    <x v="11"/>
    <s v="Soft Toothbrush"/>
    <s v="B260619-L4A"/>
    <s v="K. Verma"/>
    <x v="2"/>
    <x v="1"/>
    <x v="6"/>
    <n v="9390"/>
    <n v="8230"/>
    <n v="164"/>
    <n v="1.9927095990279465E-2"/>
    <n v="0.87646432374866878"/>
    <x v="4"/>
    <n v="45"/>
    <n v="0.75"/>
    <s v="Machine Breakdown"/>
    <n v="18"/>
    <n v="2952"/>
    <n v="35156"/>
    <n v="8810"/>
    <n v="8810"/>
    <x v="1655"/>
    <n v="15000"/>
  </r>
  <r>
    <s v="PR-1721"/>
    <d v="2026-09-05T00:00:00"/>
    <x v="0"/>
    <x v="0"/>
    <s v="Saturday"/>
    <x v="0"/>
    <x v="3"/>
    <x v="3"/>
    <s v="Toothpaste"/>
    <x v="7"/>
    <s v="Sensitive Toothpaste 100g"/>
    <s v="B260905-L1A"/>
    <s v="K. Verma"/>
    <x v="2"/>
    <x v="3"/>
    <x v="2"/>
    <n v="8140"/>
    <n v="7490"/>
    <n v="174"/>
    <n v="2.3230974632843793E-2"/>
    <n v="0.92014742014742013"/>
    <x v="5"/>
    <n v="12"/>
    <n v="0.2"/>
    <s v="Power Interruption"/>
    <n v="42"/>
    <n v="7308"/>
    <n v="34478"/>
    <n v="7370"/>
    <n v="7370"/>
    <x v="1656"/>
    <n v="12000"/>
  </r>
  <r>
    <s v="PR-1917"/>
    <d v="2026-09-23T00:00:00"/>
    <x v="0"/>
    <x v="0"/>
    <s v="Wednesday"/>
    <x v="1"/>
    <x v="3"/>
    <x v="3"/>
    <s v="Toothpaste"/>
    <x v="7"/>
    <s v="Sensitive Toothpaste 100g"/>
    <s v="B260923-L1B"/>
    <s v="P. Singh"/>
    <x v="1"/>
    <x v="3"/>
    <x v="3"/>
    <n v="8090"/>
    <n v="7730"/>
    <n v="144"/>
    <n v="1.8628719275549807E-2"/>
    <n v="0.95550061804697162"/>
    <x v="4"/>
    <n v="0"/>
    <n v="0"/>
    <s v="None"/>
    <n v="42"/>
    <n v="6048"/>
    <n v="33992"/>
    <n v="7150"/>
    <n v="7150"/>
    <x v="1657"/>
    <n v="12000"/>
  </r>
  <r>
    <s v="PR-1957"/>
    <d v="2026-09-26T00:00:00"/>
    <x v="0"/>
    <x v="0"/>
    <s v="Saturday"/>
    <x v="2"/>
    <x v="3"/>
    <x v="3"/>
    <s v="Toothpaste"/>
    <x v="7"/>
    <s v="Sensitive Toothpaste 100g"/>
    <s v="B260926-L1C"/>
    <s v="A. Gupta"/>
    <x v="2"/>
    <x v="3"/>
    <x v="2"/>
    <n v="7990"/>
    <n v="7980"/>
    <n v="194"/>
    <n v="2.431077694235589E-2"/>
    <n v="0.99874843554443049"/>
    <x v="4"/>
    <n v="13"/>
    <n v="0.21666666666666667"/>
    <s v="Machine Breakdown"/>
    <n v="42"/>
    <n v="8148"/>
    <n v="33336"/>
    <n v="6650"/>
    <n v="6650"/>
    <x v="1658"/>
    <n v="12000"/>
  </r>
  <r>
    <s v="PR-1681"/>
    <d v="2026-09-01T00:00:00"/>
    <x v="0"/>
    <x v="0"/>
    <s v="Tuesday"/>
    <x v="2"/>
    <x v="3"/>
    <x v="3"/>
    <s v="Toothpaste"/>
    <x v="7"/>
    <s v="Sensitive Toothpaste 100g"/>
    <s v="B260901-L1C"/>
    <s v="M. Khan"/>
    <x v="2"/>
    <x v="3"/>
    <x v="3"/>
    <n v="7080"/>
    <n v="6410"/>
    <n v="176"/>
    <n v="2.7457098283931357E-2"/>
    <n v="0.90536723163841804"/>
    <x v="0"/>
    <n v="0"/>
    <n v="0"/>
    <s v="None"/>
    <n v="42"/>
    <n v="7392"/>
    <n v="34234"/>
    <n v="5990"/>
    <n v="5990"/>
    <x v="1659"/>
    <n v="12000"/>
  </r>
  <r>
    <s v="PR-1250"/>
    <d v="2026-07-23T00:00:00"/>
    <x v="2"/>
    <x v="2"/>
    <s v="Thursday"/>
    <x v="2"/>
    <x v="2"/>
    <x v="2"/>
    <s v="Dental Floss"/>
    <x v="6"/>
    <s v="Floss Picks (100 pcs)"/>
    <s v="B260723-L3C"/>
    <s v="A. Gupta"/>
    <x v="2"/>
    <x v="2"/>
    <x v="12"/>
    <n v="5100"/>
    <n v="3820"/>
    <n v="49"/>
    <n v="1.2827225130890052E-2"/>
    <n v="0.74901960784313726"/>
    <x v="0"/>
    <n v="0"/>
    <n v="0"/>
    <s v="None"/>
    <n v="33"/>
    <n v="1617"/>
    <n v="35532"/>
    <n v="4770"/>
    <n v="4770"/>
    <x v="1660"/>
    <n v="9750"/>
  </r>
  <r>
    <s v="PR-1184"/>
    <d v="2026-07-17T00:00:00"/>
    <x v="2"/>
    <x v="2"/>
    <s v="Friday"/>
    <x v="2"/>
    <x v="2"/>
    <x v="2"/>
    <s v="Dental Floss"/>
    <x v="6"/>
    <s v="Floss Picks (100 pcs)"/>
    <s v="B260717-L3C"/>
    <s v="M. Khan"/>
    <x v="1"/>
    <x v="2"/>
    <x v="9"/>
    <n v="5500"/>
    <n v="4950"/>
    <n v="148"/>
    <n v="2.9898989898989901E-2"/>
    <n v="0.9"/>
    <x v="3"/>
    <n v="0"/>
    <n v="0"/>
    <s v="None"/>
    <n v="33"/>
    <n v="4884"/>
    <n v="34214"/>
    <n v="4440"/>
    <n v="4440"/>
    <x v="1661"/>
    <n v="9750"/>
  </r>
  <r>
    <s v="PR-1453"/>
    <d v="2026-08-11T00:00:00"/>
    <x v="1"/>
    <x v="1"/>
    <s v="Tuesday"/>
    <x v="1"/>
    <x v="2"/>
    <x v="2"/>
    <s v="Dental Floss"/>
    <x v="6"/>
    <s v="Floss Picks (100 pcs)"/>
    <s v="B260811-L3B"/>
    <s v="P. Singh"/>
    <x v="2"/>
    <x v="2"/>
    <x v="10"/>
    <n v="5250"/>
    <n v="4950"/>
    <n v="123"/>
    <n v="2.4848484848484849E-2"/>
    <n v="0.94285714285714284"/>
    <x v="4"/>
    <n v="0"/>
    <n v="0"/>
    <s v="None"/>
    <n v="33"/>
    <n v="4059"/>
    <n v="34312"/>
    <n v="4560"/>
    <n v="4560"/>
    <x v="1662"/>
    <n v="9750"/>
  </r>
  <r>
    <s v="PR-0726"/>
    <d v="2026-06-06T00:00:00"/>
    <x v="3"/>
    <x v="3"/>
    <s v="Saturday"/>
    <x v="0"/>
    <x v="1"/>
    <x v="1"/>
    <s v="Toothbrush"/>
    <x v="11"/>
    <s v="Soft Toothbrush"/>
    <s v="B260606-L4A"/>
    <s v="R. Sharma"/>
    <x v="2"/>
    <x v="1"/>
    <x v="7"/>
    <n v="10680"/>
    <n v="10250"/>
    <n v="210"/>
    <n v="2.0487804878048781E-2"/>
    <n v="0.95973782771535576"/>
    <x v="0"/>
    <n v="0"/>
    <n v="0"/>
    <s v="None"/>
    <n v="18"/>
    <n v="3780"/>
    <n v="34279"/>
    <n v="9680"/>
    <n v="9680"/>
    <x v="1663"/>
    <n v="15000"/>
  </r>
  <r>
    <s v="PR-1358"/>
    <d v="2026-08-03T00:00:00"/>
    <x v="1"/>
    <x v="1"/>
    <s v="Monday"/>
    <x v="0"/>
    <x v="2"/>
    <x v="2"/>
    <s v="Dental Floss"/>
    <x v="6"/>
    <s v="Floss Picks (100 pcs)"/>
    <s v="B260803-L3A"/>
    <s v="K. Verma"/>
    <x v="2"/>
    <x v="2"/>
    <x v="10"/>
    <n v="5740"/>
    <n v="5480"/>
    <n v="183"/>
    <n v="3.3394160583941603E-2"/>
    <n v="0.95470383275261328"/>
    <x v="4"/>
    <n v="59"/>
    <n v="0.98333333333333328"/>
    <s v="Changeover"/>
    <n v="33"/>
    <n v="6039"/>
    <n v="34198"/>
    <n v="4850"/>
    <n v="4850"/>
    <x v="1664"/>
    <n v="9750"/>
  </r>
  <r>
    <s v="PR-1461"/>
    <d v="2026-08-12T00:00:00"/>
    <x v="1"/>
    <x v="1"/>
    <s v="Wednesday"/>
    <x v="0"/>
    <x v="2"/>
    <x v="2"/>
    <s v="Dental Floss"/>
    <x v="6"/>
    <s v="Floss Picks (100 pcs)"/>
    <s v="B260812-L3A"/>
    <s v="R. Sharma"/>
    <x v="2"/>
    <x v="2"/>
    <x v="10"/>
    <n v="5290"/>
    <n v="5290"/>
    <n v="95"/>
    <n v="1.7958412098298678E-2"/>
    <n v="1"/>
    <x v="2"/>
    <n v="0"/>
    <n v="0"/>
    <s v="None"/>
    <n v="33"/>
    <n v="3135"/>
    <n v="34138"/>
    <n v="4680"/>
    <n v="4680"/>
    <x v="1665"/>
    <n v="9750"/>
  </r>
  <r>
    <s v="PR-1725"/>
    <d v="2026-09-05T00:00:00"/>
    <x v="0"/>
    <x v="0"/>
    <s v="Saturday"/>
    <x v="1"/>
    <x v="3"/>
    <x v="3"/>
    <s v="Toothpaste"/>
    <x v="7"/>
    <s v="Sensitive Toothpaste 100g"/>
    <s v="B260905-L1B"/>
    <s v="P. Singh"/>
    <x v="1"/>
    <x v="3"/>
    <x v="3"/>
    <n v="8450"/>
    <n v="8190"/>
    <n v="190"/>
    <n v="2.31990231990232E-2"/>
    <n v="0.96923076923076923"/>
    <x v="0"/>
    <n v="0"/>
    <n v="0"/>
    <s v="None"/>
    <n v="42"/>
    <n v="7980"/>
    <n v="34424"/>
    <n v="7750"/>
    <n v="7750"/>
    <x v="1666"/>
    <n v="12000"/>
  </r>
  <r>
    <s v="PR-0932"/>
    <d v="2026-06-25T00:00:00"/>
    <x v="3"/>
    <x v="3"/>
    <s v="Thursday"/>
    <x v="0"/>
    <x v="3"/>
    <x v="3"/>
    <s v="Toothpaste"/>
    <x v="8"/>
    <s v="Whitening Toothpaste 100g"/>
    <s v="B260625-L1A"/>
    <s v="K. Verma"/>
    <x v="1"/>
    <x v="3"/>
    <x v="2"/>
    <n v="8580"/>
    <n v="8410"/>
    <n v="167"/>
    <n v="1.9857312722948869E-2"/>
    <n v="0.98018648018648014"/>
    <x v="5"/>
    <n v="0"/>
    <n v="0"/>
    <s v="None"/>
    <n v="38"/>
    <n v="6346"/>
    <n v="33454"/>
    <n v="7000"/>
    <n v="7000"/>
    <x v="1667"/>
    <n v="13500"/>
  </r>
  <r>
    <s v="PR-1991"/>
    <d v="2026-09-30T00:00:00"/>
    <x v="0"/>
    <x v="0"/>
    <s v="Wednesday"/>
    <x v="0"/>
    <x v="2"/>
    <x v="2"/>
    <s v="Dental Floss"/>
    <x v="9"/>
    <s v="Waxed Floss 50m"/>
    <s v="B260930-L3A"/>
    <s v="R. Sharma"/>
    <x v="2"/>
    <x v="2"/>
    <x v="8"/>
    <n v="8130"/>
    <n v="7910"/>
    <n v="199"/>
    <n v="2.515802781289507E-2"/>
    <n v="0.97293972939729401"/>
    <x v="0"/>
    <n v="0"/>
    <n v="0"/>
    <s v="None"/>
    <n v="24"/>
    <n v="4776"/>
    <n v="34220"/>
    <n v="7220"/>
    <n v="7220"/>
    <x v="1668"/>
    <n v="12000"/>
  </r>
  <r>
    <s v="PR-0944"/>
    <d v="2026-06-26T00:00:00"/>
    <x v="3"/>
    <x v="3"/>
    <s v="Friday"/>
    <x v="0"/>
    <x v="3"/>
    <x v="3"/>
    <s v="Toothpaste"/>
    <x v="8"/>
    <s v="Whitening Toothpaste 100g"/>
    <s v="B260626-L1A"/>
    <s v="R. Sharma"/>
    <x v="2"/>
    <x v="3"/>
    <x v="2"/>
    <n v="8290"/>
    <n v="8140"/>
    <n v="99"/>
    <n v="1.2162162162162163E-2"/>
    <n v="0.98190591073582634"/>
    <x v="2"/>
    <n v="0"/>
    <n v="0"/>
    <s v="None"/>
    <n v="38"/>
    <n v="3762"/>
    <n v="34697"/>
    <n v="8020"/>
    <n v="8020"/>
    <x v="1669"/>
    <n v="13500"/>
  </r>
  <r>
    <s v="PR-1290"/>
    <d v="2026-07-27T00:00:00"/>
    <x v="2"/>
    <x v="2"/>
    <s v="Monday"/>
    <x v="2"/>
    <x v="2"/>
    <x v="2"/>
    <s v="Dental Floss"/>
    <x v="6"/>
    <s v="Floss Picks (100 pcs)"/>
    <s v="B260727-L3C"/>
    <s v="M. Khan"/>
    <x v="1"/>
    <x v="2"/>
    <x v="10"/>
    <n v="5040"/>
    <n v="4950"/>
    <n v="96"/>
    <n v="1.9393939393939394E-2"/>
    <n v="0.9821428571428571"/>
    <x v="3"/>
    <n v="50"/>
    <n v="0.83333333333333337"/>
    <s v="Cleaning / Sanitation"/>
    <n v="33"/>
    <n v="3168"/>
    <n v="34304"/>
    <n v="4430"/>
    <n v="4430"/>
    <x v="1670"/>
    <n v="9750"/>
  </r>
  <r>
    <s v="PR-1625"/>
    <d v="2026-08-27T00:00:00"/>
    <x v="1"/>
    <x v="1"/>
    <s v="Thursday"/>
    <x v="1"/>
    <x v="3"/>
    <x v="3"/>
    <s v="Toothpaste"/>
    <x v="7"/>
    <s v="Sensitive Toothpaste 100g"/>
    <s v="B260827-L1B"/>
    <s v="S. Yadav"/>
    <x v="1"/>
    <x v="3"/>
    <x v="2"/>
    <n v="8030"/>
    <n v="7790"/>
    <n v="180"/>
    <n v="2.3106546854942234E-2"/>
    <n v="0.97011207970112079"/>
    <x v="5"/>
    <n v="53"/>
    <n v="0.8833333333333333"/>
    <s v="Machine Breakdown"/>
    <n v="42"/>
    <n v="7560"/>
    <n v="33812"/>
    <n v="6670"/>
    <n v="6670"/>
    <x v="1671"/>
    <n v="12000"/>
  </r>
  <r>
    <s v="PR-0743"/>
    <d v="2026-06-08T00:00:00"/>
    <x v="3"/>
    <x v="3"/>
    <s v="Monday"/>
    <x v="0"/>
    <x v="1"/>
    <x v="1"/>
    <s v="Toothbrush"/>
    <x v="11"/>
    <s v="Soft Toothbrush"/>
    <s v="B260608-L4A"/>
    <s v="R. Sharma"/>
    <x v="2"/>
    <x v="1"/>
    <x v="7"/>
    <n v="10710"/>
    <n v="10050"/>
    <n v="318"/>
    <n v="3.1641791044776123E-2"/>
    <n v="0.93837535014005602"/>
    <x v="2"/>
    <n v="0"/>
    <n v="0"/>
    <s v="None"/>
    <n v="18"/>
    <n v="5724"/>
    <n v="34093"/>
    <n v="9070"/>
    <n v="9070"/>
    <x v="1672"/>
    <n v="15000"/>
  </r>
  <r>
    <s v="PR-0690"/>
    <d v="2026-06-03T00:00:00"/>
    <x v="3"/>
    <x v="3"/>
    <s v="Wednesday"/>
    <x v="0"/>
    <x v="1"/>
    <x v="1"/>
    <s v="Toothbrush"/>
    <x v="11"/>
    <s v="Soft Toothbrush"/>
    <s v="B260603-L4A"/>
    <s v="K. Verma"/>
    <x v="2"/>
    <x v="1"/>
    <x v="6"/>
    <n v="10380"/>
    <n v="10330"/>
    <n v="344"/>
    <n v="3.3301064859632142E-2"/>
    <n v="0.99518304431599225"/>
    <x v="4"/>
    <n v="0"/>
    <n v="0"/>
    <s v="None"/>
    <n v="18"/>
    <n v="6192"/>
    <n v="33576"/>
    <n v="8690"/>
    <n v="8690"/>
    <x v="1673"/>
    <n v="15000"/>
  </r>
  <r>
    <s v="PR-1473"/>
    <d v="2026-08-13T00:00:00"/>
    <x v="1"/>
    <x v="1"/>
    <s v="Thursday"/>
    <x v="0"/>
    <x v="2"/>
    <x v="2"/>
    <s v="Dental Floss"/>
    <x v="6"/>
    <s v="Floss Picks (100 pcs)"/>
    <s v="B260813-L3A"/>
    <s v="K. Verma"/>
    <x v="2"/>
    <x v="2"/>
    <x v="10"/>
    <n v="5580"/>
    <n v="5350"/>
    <n v="101"/>
    <n v="1.8878504672897197E-2"/>
    <n v="0.95878136200716846"/>
    <x v="3"/>
    <n v="0"/>
    <n v="0"/>
    <s v="None"/>
    <n v="33"/>
    <n v="3333"/>
    <n v="34653"/>
    <n v="4920"/>
    <n v="4920"/>
    <x v="1674"/>
    <n v="9750"/>
  </r>
  <r>
    <s v="PR-1384"/>
    <d v="2026-08-05T00:00:00"/>
    <x v="1"/>
    <x v="1"/>
    <s v="Wednesday"/>
    <x v="1"/>
    <x v="3"/>
    <x v="3"/>
    <s v="Toothpaste"/>
    <x v="8"/>
    <s v="Whitening Toothpaste 100g"/>
    <s v="B260805-L1B"/>
    <s v="S. Yadav"/>
    <x v="2"/>
    <x v="3"/>
    <x v="2"/>
    <n v="8550"/>
    <n v="8190"/>
    <n v="267"/>
    <n v="3.2600732600732603E-2"/>
    <n v="0.95789473684210524"/>
    <x v="0"/>
    <n v="0"/>
    <n v="0"/>
    <s v="None"/>
    <n v="38"/>
    <n v="10146"/>
    <n v="35166"/>
    <n v="8060"/>
    <n v="8060"/>
    <x v="1675"/>
    <n v="13500"/>
  </r>
  <r>
    <s v="PR-1000"/>
    <d v="2026-07-01T00:00:00"/>
    <x v="2"/>
    <x v="2"/>
    <s v="Wednesday"/>
    <x v="0"/>
    <x v="1"/>
    <x v="1"/>
    <s v="Toothbrush"/>
    <x v="11"/>
    <s v="Soft Toothbrush"/>
    <s v="B260701-L4A"/>
    <s v="R. Sharma"/>
    <x v="2"/>
    <x v="1"/>
    <x v="6"/>
    <n v="10520"/>
    <n v="10180"/>
    <n v="158"/>
    <n v="1.5520628683693517E-2"/>
    <n v="0.96768060836501901"/>
    <x v="0"/>
    <n v="34"/>
    <n v="0.56666666666666665"/>
    <s v="Machine Breakdown"/>
    <n v="18"/>
    <n v="2844"/>
    <n v="34210"/>
    <n v="9190"/>
    <n v="9190"/>
    <x v="1676"/>
    <n v="15000"/>
  </r>
  <r>
    <s v="PR-0845"/>
    <d v="2026-06-17T00:00:00"/>
    <x v="3"/>
    <x v="3"/>
    <s v="Wednesday"/>
    <x v="0"/>
    <x v="1"/>
    <x v="1"/>
    <s v="Toothbrush"/>
    <x v="11"/>
    <s v="Soft Toothbrush"/>
    <s v="B260617-L4A"/>
    <s v="R. Sharma"/>
    <x v="2"/>
    <x v="1"/>
    <x v="7"/>
    <n v="9940"/>
    <n v="9050"/>
    <n v="336"/>
    <n v="3.7127071823204419E-2"/>
    <n v="0.91046277665995978"/>
    <x v="3"/>
    <n v="49"/>
    <n v="0.81666666666666665"/>
    <s v="Cleaning / Sanitation"/>
    <n v="18"/>
    <n v="6048"/>
    <n v="35772"/>
    <n v="9330"/>
    <n v="9330"/>
    <x v="1677"/>
    <n v="15000"/>
  </r>
  <r>
    <s v="PR-1380"/>
    <d v="2026-08-05T00:00:00"/>
    <x v="1"/>
    <x v="1"/>
    <s v="Wednesday"/>
    <x v="0"/>
    <x v="3"/>
    <x v="3"/>
    <s v="Toothpaste"/>
    <x v="8"/>
    <s v="Whitening Toothpaste 100g"/>
    <s v="B260805-L1A"/>
    <s v="K. Verma"/>
    <x v="2"/>
    <x v="3"/>
    <x v="5"/>
    <n v="9340"/>
    <n v="8000"/>
    <n v="183"/>
    <n v="2.2875E-2"/>
    <n v="0.85653104925053536"/>
    <x v="2"/>
    <n v="0"/>
    <n v="0"/>
    <s v="None"/>
    <n v="38"/>
    <n v="6954"/>
    <n v="35999"/>
    <n v="8650"/>
    <n v="8650"/>
    <x v="1678"/>
    <n v="13500"/>
  </r>
  <r>
    <s v="PR-1485"/>
    <d v="2026-08-14T00:00:00"/>
    <x v="1"/>
    <x v="1"/>
    <s v="Friday"/>
    <x v="0"/>
    <x v="2"/>
    <x v="2"/>
    <s v="Dental Floss"/>
    <x v="6"/>
    <s v="Floss Picks (100 pcs)"/>
    <s v="B260814-L3A"/>
    <s v="R. Sharma"/>
    <x v="2"/>
    <x v="2"/>
    <x v="10"/>
    <n v="5440"/>
    <n v="5500"/>
    <n v="52"/>
    <n v="9.4545454545454551E-3"/>
    <n v="1.0110294117647058"/>
    <x v="3"/>
    <n v="0"/>
    <n v="0"/>
    <s v="None"/>
    <n v="33"/>
    <n v="1716"/>
    <n v="34982"/>
    <n v="5210"/>
    <n v="5210"/>
    <x v="1679"/>
    <n v="9750"/>
  </r>
  <r>
    <s v="PR-1214"/>
    <d v="2026-07-20T00:00:00"/>
    <x v="2"/>
    <x v="2"/>
    <s v="Monday"/>
    <x v="2"/>
    <x v="2"/>
    <x v="2"/>
    <s v="Dental Floss"/>
    <x v="6"/>
    <s v="Floss Picks (100 pcs)"/>
    <s v="B260720-L3C"/>
    <s v="A. Gupta"/>
    <x v="2"/>
    <x v="2"/>
    <x v="10"/>
    <n v="5270"/>
    <n v="5280"/>
    <n v="133"/>
    <n v="2.5189393939393939E-2"/>
    <n v="1.0018975332068312"/>
    <x v="3"/>
    <n v="0"/>
    <n v="0"/>
    <s v="None"/>
    <n v="33"/>
    <n v="4389"/>
    <n v="34576"/>
    <n v="4430"/>
    <n v="4430"/>
    <x v="1680"/>
    <n v="9750"/>
  </r>
  <r>
    <s v="PR-1985"/>
    <d v="2026-09-29T00:00:00"/>
    <x v="0"/>
    <x v="0"/>
    <s v="Tuesday"/>
    <x v="2"/>
    <x v="3"/>
    <x v="3"/>
    <s v="Toothpaste"/>
    <x v="7"/>
    <s v="Sensitive Toothpaste 100g"/>
    <s v="B260929-L1C"/>
    <s v="A. Gupta"/>
    <x v="2"/>
    <x v="3"/>
    <x v="3"/>
    <n v="8100"/>
    <n v="7610"/>
    <n v="167"/>
    <n v="2.1944809461235216E-2"/>
    <n v="0.93950617283950622"/>
    <x v="5"/>
    <n v="0"/>
    <n v="0"/>
    <s v="None"/>
    <n v="42"/>
    <n v="7014"/>
    <n v="35583"/>
    <n v="7560"/>
    <n v="7560"/>
    <x v="1681"/>
    <n v="12000"/>
  </r>
  <r>
    <s v="PR-1242"/>
    <d v="2026-07-23T00:00:00"/>
    <x v="2"/>
    <x v="2"/>
    <s v="Thursday"/>
    <x v="0"/>
    <x v="2"/>
    <x v="2"/>
    <s v="Dental Floss"/>
    <x v="6"/>
    <s v="Floss Picks (100 pcs)"/>
    <s v="B260723-L3A"/>
    <s v="R. Sharma"/>
    <x v="2"/>
    <x v="2"/>
    <x v="8"/>
    <n v="5640"/>
    <n v="5530"/>
    <n v="87"/>
    <n v="1.573236889692586E-2"/>
    <n v="0.98049645390070927"/>
    <x v="2"/>
    <n v="0"/>
    <n v="0"/>
    <s v="None"/>
    <n v="33"/>
    <n v="2871"/>
    <n v="35559"/>
    <n v="5470"/>
    <n v="5470"/>
    <x v="1682"/>
    <n v="9750"/>
  </r>
  <r>
    <s v="PR-1218"/>
    <d v="2026-07-21T00:00:00"/>
    <x v="2"/>
    <x v="2"/>
    <s v="Tuesday"/>
    <x v="0"/>
    <x v="2"/>
    <x v="2"/>
    <s v="Dental Floss"/>
    <x v="6"/>
    <s v="Floss Picks (100 pcs)"/>
    <s v="B260721-L3A"/>
    <s v="R. Sharma"/>
    <x v="1"/>
    <x v="2"/>
    <x v="10"/>
    <n v="5190"/>
    <n v="5050"/>
    <n v="104"/>
    <n v="2.0594059405940595E-2"/>
    <n v="0.97302504816955682"/>
    <x v="5"/>
    <n v="0"/>
    <n v="0"/>
    <s v="None"/>
    <n v="33"/>
    <n v="3432"/>
    <n v="35293"/>
    <n v="4680"/>
    <n v="4680"/>
    <x v="1683"/>
    <n v="9750"/>
  </r>
  <r>
    <s v="PR-1396"/>
    <d v="2026-08-06T00:00:00"/>
    <x v="1"/>
    <x v="1"/>
    <s v="Thursday"/>
    <x v="1"/>
    <x v="3"/>
    <x v="3"/>
    <s v="Toothpaste"/>
    <x v="8"/>
    <s v="Whitening Toothpaste 100g"/>
    <s v="B260806-L1B"/>
    <s v="P. Singh"/>
    <x v="1"/>
    <x v="3"/>
    <x v="2"/>
    <n v="9650"/>
    <n v="9330"/>
    <n v="163"/>
    <n v="1.7470525187566987E-2"/>
    <n v="0.96683937823834198"/>
    <x v="2"/>
    <n v="0"/>
    <n v="0"/>
    <s v="None"/>
    <n v="38"/>
    <n v="6194"/>
    <n v="35029"/>
    <n v="8620"/>
    <n v="8620"/>
    <x v="1684"/>
    <n v="13500"/>
  </r>
  <r>
    <s v="PR-1969"/>
    <d v="2026-09-28T00:00:00"/>
    <x v="0"/>
    <x v="0"/>
    <s v="Monday"/>
    <x v="1"/>
    <x v="3"/>
    <x v="3"/>
    <s v="Toothpaste"/>
    <x v="7"/>
    <s v="Sensitive Toothpaste 100g"/>
    <s v="B260928-L1B"/>
    <s v="S. Yadav"/>
    <x v="1"/>
    <x v="3"/>
    <x v="2"/>
    <n v="7550"/>
    <n v="7570"/>
    <n v="119"/>
    <n v="1.5719947159841478E-2"/>
    <n v="1.0026490066225167"/>
    <x v="0"/>
    <n v="0"/>
    <n v="0"/>
    <s v="None"/>
    <n v="42"/>
    <n v="4998"/>
    <n v="34472"/>
    <n v="6340"/>
    <n v="6340"/>
    <x v="1685"/>
    <n v="12000"/>
  </r>
  <r>
    <s v="PR-1493"/>
    <d v="2026-08-14T00:00:00"/>
    <x v="1"/>
    <x v="1"/>
    <s v="Friday"/>
    <x v="2"/>
    <x v="2"/>
    <x v="2"/>
    <s v="Dental Floss"/>
    <x v="6"/>
    <s v="Floss Picks (100 pcs)"/>
    <s v="B260814-L3C"/>
    <s v="A. Gupta"/>
    <x v="1"/>
    <x v="2"/>
    <x v="10"/>
    <n v="5420"/>
    <n v="5170"/>
    <n v="113"/>
    <n v="2.1856866537717602E-2"/>
    <n v="0.95387453874538741"/>
    <x v="2"/>
    <n v="0"/>
    <n v="0"/>
    <s v="None"/>
    <n v="33"/>
    <n v="3729"/>
    <n v="35220"/>
    <n v="4590"/>
    <n v="4590"/>
    <x v="1686"/>
    <n v="9750"/>
  </r>
  <r>
    <s v="PR-1989"/>
    <d v="2026-09-30T00:00:00"/>
    <x v="0"/>
    <x v="0"/>
    <s v="Wednesday"/>
    <x v="0"/>
    <x v="3"/>
    <x v="3"/>
    <s v="Toothpaste"/>
    <x v="7"/>
    <s v="Sensitive Toothpaste 100g"/>
    <s v="B260930-L1A"/>
    <s v="K. Verma"/>
    <x v="1"/>
    <x v="3"/>
    <x v="4"/>
    <n v="8150"/>
    <n v="7750"/>
    <n v="319"/>
    <n v="4.1161290322580646E-2"/>
    <n v="0.95092024539877296"/>
    <x v="0"/>
    <n v="54"/>
    <n v="0.9"/>
    <s v="Changeover"/>
    <n v="42"/>
    <n v="13398"/>
    <n v="35466"/>
    <n v="7210"/>
    <n v="7210"/>
    <x v="1686"/>
    <n v="12000"/>
  </r>
  <r>
    <s v="PR-0841"/>
    <d v="2026-06-16T00:00:00"/>
    <x v="3"/>
    <x v="3"/>
    <s v="Tuesday"/>
    <x v="2"/>
    <x v="1"/>
    <x v="1"/>
    <s v="Toothbrush"/>
    <x v="11"/>
    <s v="Soft Toothbrush"/>
    <s v="B260616-L4C"/>
    <s v="M. Khan"/>
    <x v="1"/>
    <x v="1"/>
    <x v="0"/>
    <n v="9070"/>
    <n v="8180"/>
    <n v="269"/>
    <n v="3.2885085574572127E-2"/>
    <n v="0.90187431091510473"/>
    <x v="2"/>
    <n v="0"/>
    <n v="0"/>
    <s v="None"/>
    <n v="18"/>
    <n v="4842"/>
    <n v="36451"/>
    <n v="8590"/>
    <n v="8590"/>
    <x v="1687"/>
    <n v="15000"/>
  </r>
  <r>
    <s v="PR-1004"/>
    <d v="2026-07-01T00:00:00"/>
    <x v="2"/>
    <x v="2"/>
    <s v="Wednesday"/>
    <x v="1"/>
    <x v="1"/>
    <x v="1"/>
    <s v="Toothbrush"/>
    <x v="11"/>
    <s v="Soft Toothbrush"/>
    <s v="B260701-L4B"/>
    <s v="S. Yadav"/>
    <x v="1"/>
    <x v="1"/>
    <x v="0"/>
    <n v="9900"/>
    <n v="9210"/>
    <n v="169"/>
    <n v="1.8349619978284472E-2"/>
    <n v="0.9303030303030303"/>
    <x v="5"/>
    <n v="0"/>
    <n v="0"/>
    <s v="None"/>
    <n v="18"/>
    <n v="3042"/>
    <n v="35042"/>
    <n v="8310"/>
    <n v="8310"/>
    <x v="1688"/>
    <n v="15000"/>
  </r>
  <r>
    <s v="PR-1539"/>
    <d v="2026-08-19T00:00:00"/>
    <x v="1"/>
    <x v="1"/>
    <s v="Wednesday"/>
    <x v="1"/>
    <x v="2"/>
    <x v="2"/>
    <s v="Dental Floss"/>
    <x v="6"/>
    <s v="Floss Picks (100 pcs)"/>
    <s v="B260819-L3B"/>
    <s v="S. Yadav"/>
    <x v="1"/>
    <x v="2"/>
    <x v="10"/>
    <n v="5900"/>
    <n v="5480"/>
    <n v="89"/>
    <n v="1.6240875912408758E-2"/>
    <n v="0.92881355932203391"/>
    <x v="4"/>
    <n v="0"/>
    <n v="0"/>
    <s v="None"/>
    <n v="33"/>
    <n v="2937"/>
    <n v="35687"/>
    <n v="5250"/>
    <n v="5250"/>
    <x v="1689"/>
    <n v="9750"/>
  </r>
  <r>
    <s v="PR-1017"/>
    <d v="2026-07-02T00:00:00"/>
    <x v="2"/>
    <x v="2"/>
    <s v="Thursday"/>
    <x v="2"/>
    <x v="3"/>
    <x v="3"/>
    <s v="Toothpaste"/>
    <x v="8"/>
    <s v="Whitening Toothpaste 100g"/>
    <s v="B260702-L1C"/>
    <s v="M. Khan"/>
    <x v="2"/>
    <x v="3"/>
    <x v="8"/>
    <n v="8950"/>
    <n v="7300"/>
    <n v="221"/>
    <n v="3.0273972602739726E-2"/>
    <n v="0.81564245810055869"/>
    <x v="0"/>
    <n v="0"/>
    <n v="0"/>
    <s v="None"/>
    <n v="38"/>
    <n v="8398"/>
    <n v="36225"/>
    <n v="7360"/>
    <n v="7360"/>
    <x v="1690"/>
    <n v="13500"/>
  </r>
  <r>
    <s v="PR-1993"/>
    <d v="2026-09-30T00:00:00"/>
    <x v="0"/>
    <x v="0"/>
    <s v="Wednesday"/>
    <x v="1"/>
    <x v="3"/>
    <x v="3"/>
    <s v="Toothpaste"/>
    <x v="7"/>
    <s v="Sensitive Toothpaste 100g"/>
    <s v="B260930-L1B"/>
    <s v="P. Singh"/>
    <x v="2"/>
    <x v="3"/>
    <x v="2"/>
    <n v="7840"/>
    <n v="7660"/>
    <n v="244"/>
    <n v="3.1853785900783291E-2"/>
    <n v="0.97704081632653061"/>
    <x v="3"/>
    <n v="0"/>
    <n v="0"/>
    <s v="None"/>
    <n v="42"/>
    <n v="10248"/>
    <n v="35687"/>
    <n v="7120"/>
    <n v="7120"/>
    <x v="1691"/>
    <n v="12000"/>
  </r>
  <r>
    <s v="PR-1368"/>
    <d v="2026-08-04T00:00:00"/>
    <x v="1"/>
    <x v="1"/>
    <s v="Tuesday"/>
    <x v="0"/>
    <x v="3"/>
    <x v="3"/>
    <s v="Toothpaste"/>
    <x v="8"/>
    <s v="Whitening Toothpaste 100g"/>
    <s v="B260804-L1A"/>
    <s v="K. Verma"/>
    <x v="1"/>
    <x v="3"/>
    <x v="3"/>
    <n v="9260"/>
    <n v="8770"/>
    <n v="324"/>
    <n v="3.6944127708095784E-2"/>
    <n v="0.94708423326133906"/>
    <x v="2"/>
    <n v="42"/>
    <n v="0.7"/>
    <s v="Changeover"/>
    <n v="38"/>
    <n v="12312"/>
    <n v="36214"/>
    <n v="8670"/>
    <n v="8670"/>
    <x v="1692"/>
    <n v="13500"/>
  </r>
  <r>
    <s v="PR-1372"/>
    <d v="2026-08-04T00:00:00"/>
    <x v="1"/>
    <x v="1"/>
    <s v="Tuesday"/>
    <x v="1"/>
    <x v="3"/>
    <x v="3"/>
    <s v="Toothpaste"/>
    <x v="8"/>
    <s v="Whitening Toothpaste 100g"/>
    <s v="B260804-L1B"/>
    <s v="S. Yadav"/>
    <x v="2"/>
    <x v="3"/>
    <x v="3"/>
    <n v="9170"/>
    <n v="8450"/>
    <n v="161"/>
    <n v="1.9053254437869822E-2"/>
    <n v="0.92148309705561615"/>
    <x v="2"/>
    <n v="0"/>
    <n v="0"/>
    <s v="None"/>
    <n v="38"/>
    <n v="6118"/>
    <n v="35990"/>
    <n v="8280"/>
    <n v="8280"/>
    <x v="1693"/>
    <n v="13500"/>
  </r>
  <r>
    <s v="PR-0795"/>
    <d v="2026-06-12T00:00:00"/>
    <x v="3"/>
    <x v="3"/>
    <s v="Friday"/>
    <x v="1"/>
    <x v="1"/>
    <x v="1"/>
    <s v="Toothbrush"/>
    <x v="11"/>
    <s v="Soft Toothbrush"/>
    <s v="B260612-L4B"/>
    <s v="P. Singh"/>
    <x v="2"/>
    <x v="1"/>
    <x v="1"/>
    <n v="9340"/>
    <n v="8530"/>
    <n v="303"/>
    <n v="3.5521688159437279E-2"/>
    <n v="0.91327623126338331"/>
    <x v="5"/>
    <n v="35"/>
    <n v="0.58333333333333337"/>
    <s v="Manpower Shortage"/>
    <n v="18"/>
    <n v="5454"/>
    <n v="36952"/>
    <n v="9140"/>
    <n v="9140"/>
    <x v="1694"/>
    <n v="15000"/>
  </r>
  <r>
    <s v="PR-1404"/>
    <d v="2026-08-07T00:00:00"/>
    <x v="1"/>
    <x v="1"/>
    <s v="Friday"/>
    <x v="0"/>
    <x v="3"/>
    <x v="3"/>
    <s v="Toothpaste"/>
    <x v="8"/>
    <s v="Whitening Toothpaste 100g"/>
    <s v="B260807-L1A"/>
    <s v="R. Sharma"/>
    <x v="1"/>
    <x v="3"/>
    <x v="2"/>
    <n v="9340"/>
    <n v="8530"/>
    <n v="237"/>
    <n v="2.7784290738569754E-2"/>
    <n v="0.91327623126338331"/>
    <x v="4"/>
    <n v="48"/>
    <n v="0.8"/>
    <s v="Changeover"/>
    <n v="38"/>
    <n v="9006"/>
    <n v="35576"/>
    <n v="7820"/>
    <n v="7820"/>
    <x v="1695"/>
    <n v="13500"/>
  </r>
  <r>
    <s v="PR-0751"/>
    <d v="2026-06-08T00:00:00"/>
    <x v="3"/>
    <x v="3"/>
    <s v="Monday"/>
    <x v="2"/>
    <x v="1"/>
    <x v="1"/>
    <s v="Toothbrush"/>
    <x v="11"/>
    <s v="Soft Toothbrush"/>
    <s v="B260608-L4C"/>
    <s v="A. Gupta"/>
    <x v="2"/>
    <x v="1"/>
    <x v="6"/>
    <n v="10010"/>
    <n v="8940"/>
    <n v="181"/>
    <n v="2.0246085011185681E-2"/>
    <n v="0.89310689310689306"/>
    <x v="3"/>
    <n v="0"/>
    <n v="0"/>
    <s v="None"/>
    <n v="18"/>
    <n v="3258"/>
    <n v="36411"/>
    <n v="9120"/>
    <n v="9120"/>
    <x v="1696"/>
    <n v="15000"/>
  </r>
  <r>
    <s v="PR-1563"/>
    <d v="2026-08-21T00:00:00"/>
    <x v="1"/>
    <x v="1"/>
    <s v="Friday"/>
    <x v="1"/>
    <x v="2"/>
    <x v="2"/>
    <s v="Dental Floss"/>
    <x v="6"/>
    <s v="Floss Picks (100 pcs)"/>
    <s v="B260821-L3B"/>
    <s v="S. Yadav"/>
    <x v="2"/>
    <x v="2"/>
    <x v="10"/>
    <n v="5700"/>
    <n v="5510"/>
    <n v="60"/>
    <n v="1.0889292196007259E-2"/>
    <n v="0.96666666666666667"/>
    <x v="2"/>
    <n v="0"/>
    <n v="0"/>
    <s v="None"/>
    <n v="33"/>
    <n v="1980"/>
    <n v="35828"/>
    <n v="5210"/>
    <n v="5210"/>
    <x v="1697"/>
    <n v="9750"/>
  </r>
  <r>
    <s v="PR-0787"/>
    <d v="2026-06-11T00:00:00"/>
    <x v="3"/>
    <x v="3"/>
    <s v="Thursday"/>
    <x v="2"/>
    <x v="1"/>
    <x v="1"/>
    <s v="Toothbrush"/>
    <x v="11"/>
    <s v="Soft Toothbrush"/>
    <s v="B260611-L4C"/>
    <s v="M. Khan"/>
    <x v="1"/>
    <x v="1"/>
    <x v="1"/>
    <n v="9990"/>
    <n v="8640"/>
    <n v="204"/>
    <n v="2.361111111111111E-2"/>
    <n v="0.86486486486486491"/>
    <x v="0"/>
    <n v="0"/>
    <n v="0"/>
    <s v="None"/>
    <n v="18"/>
    <n v="3672"/>
    <n v="37734"/>
    <n v="10080"/>
    <n v="10080"/>
    <x v="1698"/>
    <n v="15000"/>
  </r>
  <r>
    <s v="PR-1571"/>
    <d v="2026-08-22T00:00:00"/>
    <x v="1"/>
    <x v="1"/>
    <s v="Saturday"/>
    <x v="0"/>
    <x v="2"/>
    <x v="2"/>
    <s v="Dental Floss"/>
    <x v="6"/>
    <s v="Floss Picks (100 pcs)"/>
    <s v="B260822-L3A"/>
    <s v="K. Verma"/>
    <x v="1"/>
    <x v="2"/>
    <x v="8"/>
    <n v="5830"/>
    <n v="5310"/>
    <n v="94"/>
    <n v="1.7702448210922789E-2"/>
    <n v="0.91080617495711835"/>
    <x v="5"/>
    <n v="0"/>
    <n v="0"/>
    <s v="None"/>
    <n v="33"/>
    <n v="3102"/>
    <n v="36068"/>
    <n v="5120"/>
    <n v="5120"/>
    <x v="1699"/>
    <n v="9750"/>
  </r>
  <r>
    <s v="PR-0973"/>
    <d v="2026-06-29T00:00:00"/>
    <x v="3"/>
    <x v="3"/>
    <s v="Monday"/>
    <x v="0"/>
    <x v="3"/>
    <x v="3"/>
    <s v="Toothpaste"/>
    <x v="8"/>
    <s v="Whitening Toothpaste 100g"/>
    <s v="B260629-L1A"/>
    <s v="K. Verma"/>
    <x v="1"/>
    <x v="3"/>
    <x v="2"/>
    <n v="8350"/>
    <n v="7690"/>
    <n v="148"/>
    <n v="1.9245773732119636E-2"/>
    <n v="0.92095808383233535"/>
    <x v="2"/>
    <n v="0"/>
    <n v="0"/>
    <s v="None"/>
    <n v="38"/>
    <n v="5624"/>
    <n v="36580"/>
    <n v="7920"/>
    <n v="7920"/>
    <x v="1700"/>
    <n v="13500"/>
  </r>
  <r>
    <s v="PR-0803"/>
    <d v="2026-06-13T00:00:00"/>
    <x v="3"/>
    <x v="3"/>
    <s v="Saturday"/>
    <x v="0"/>
    <x v="1"/>
    <x v="1"/>
    <s v="Toothbrush"/>
    <x v="11"/>
    <s v="Soft Toothbrush"/>
    <s v="B260613-L4A"/>
    <s v="K. Verma"/>
    <x v="1"/>
    <x v="1"/>
    <x v="7"/>
    <n v="9760"/>
    <n v="9560"/>
    <n v="202"/>
    <n v="2.112970711297071E-2"/>
    <n v="0.97950819672131151"/>
    <x v="0"/>
    <n v="72"/>
    <n v="1.2"/>
    <s v="Material Shortage"/>
    <n v="18"/>
    <n v="3636"/>
    <n v="36039"/>
    <n v="9190"/>
    <n v="9190"/>
    <x v="1701"/>
    <n v="15000"/>
  </r>
  <r>
    <s v="PR-1364"/>
    <d v="2026-08-03T00:00:00"/>
    <x v="1"/>
    <x v="1"/>
    <s v="Monday"/>
    <x v="2"/>
    <x v="3"/>
    <x v="3"/>
    <s v="Toothpaste"/>
    <x v="8"/>
    <s v="Whitening Toothpaste 100g"/>
    <s v="B260803-L1C"/>
    <s v="A. Gupta"/>
    <x v="1"/>
    <x v="3"/>
    <x v="3"/>
    <n v="9130"/>
    <n v="8290"/>
    <n v="207"/>
    <n v="2.496984318455971E-2"/>
    <n v="0.90799561883899238"/>
    <x v="4"/>
    <n v="0"/>
    <n v="0"/>
    <s v="None"/>
    <n v="38"/>
    <n v="7866"/>
    <n v="36401"/>
    <n v="8270"/>
    <n v="8270"/>
    <x v="1702"/>
    <n v="13500"/>
  </r>
  <r>
    <s v="PR-0977"/>
    <d v="2026-06-29T00:00:00"/>
    <x v="3"/>
    <x v="3"/>
    <s v="Monday"/>
    <x v="1"/>
    <x v="3"/>
    <x v="3"/>
    <s v="Toothpaste"/>
    <x v="8"/>
    <s v="Whitening Toothpaste 100g"/>
    <s v="B260629-L1B"/>
    <s v="S. Yadav"/>
    <x v="1"/>
    <x v="3"/>
    <x v="2"/>
    <n v="9000"/>
    <n v="8210"/>
    <n v="177"/>
    <n v="2.1559074299634592E-2"/>
    <n v="0.91222222222222227"/>
    <x v="3"/>
    <n v="0"/>
    <n v="0"/>
    <s v="None"/>
    <n v="38"/>
    <n v="6726"/>
    <n v="36202"/>
    <n v="8010"/>
    <n v="8010"/>
    <x v="1703"/>
    <n v="13500"/>
  </r>
  <r>
    <s v="PR-0811"/>
    <d v="2026-06-13T00:00:00"/>
    <x v="3"/>
    <x v="3"/>
    <s v="Saturday"/>
    <x v="2"/>
    <x v="1"/>
    <x v="1"/>
    <s v="Toothbrush"/>
    <x v="11"/>
    <s v="Soft Toothbrush"/>
    <s v="B260613-L4C"/>
    <s v="A. Gupta"/>
    <x v="1"/>
    <x v="1"/>
    <x v="1"/>
    <n v="8860"/>
    <n v="7680"/>
    <n v="195"/>
    <n v="2.5390625E-2"/>
    <n v="0.86681715575620766"/>
    <x v="0"/>
    <n v="41"/>
    <n v="0.68333333333333335"/>
    <s v="Changeover"/>
    <n v="18"/>
    <n v="3510"/>
    <n v="36207"/>
    <n v="7440"/>
    <n v="7440"/>
    <x v="1704"/>
    <n v="15000"/>
  </r>
  <r>
    <s v="PR-0779"/>
    <d v="2026-06-11T00:00:00"/>
    <x v="3"/>
    <x v="3"/>
    <s v="Thursday"/>
    <x v="0"/>
    <x v="1"/>
    <x v="1"/>
    <s v="Toothbrush"/>
    <x v="11"/>
    <s v="Soft Toothbrush"/>
    <s v="B260611-L4A"/>
    <s v="K. Verma"/>
    <x v="2"/>
    <x v="1"/>
    <x v="7"/>
    <n v="9530"/>
    <n v="9690"/>
    <n v="109"/>
    <n v="1.1248710010319917E-2"/>
    <n v="1.0167890870933893"/>
    <x v="0"/>
    <n v="0"/>
    <n v="0"/>
    <s v="None"/>
    <n v="18"/>
    <n v="1962"/>
    <n v="36448"/>
    <n v="9690"/>
    <n v="9690"/>
    <x v="1705"/>
    <n v="15000"/>
  </r>
  <r>
    <s v="PR-1579"/>
    <d v="2026-08-22T00:00:00"/>
    <x v="1"/>
    <x v="1"/>
    <s v="Saturday"/>
    <x v="2"/>
    <x v="2"/>
    <x v="2"/>
    <s v="Dental Floss"/>
    <x v="6"/>
    <s v="Floss Picks (100 pcs)"/>
    <s v="B260822-L3C"/>
    <s v="M. Khan"/>
    <x v="2"/>
    <x v="2"/>
    <x v="8"/>
    <n v="5290"/>
    <n v="4610"/>
    <n v="113"/>
    <n v="2.4511930585683298E-2"/>
    <n v="0.87145557655954631"/>
    <x v="0"/>
    <n v="0"/>
    <n v="0"/>
    <s v="None"/>
    <n v="33"/>
    <n v="3729"/>
    <n v="36437"/>
    <n v="4560"/>
    <n v="4560"/>
    <x v="1706"/>
    <n v="9750"/>
  </r>
  <r>
    <s v="PR-1356"/>
    <d v="2026-08-03T00:00:00"/>
    <x v="1"/>
    <x v="1"/>
    <s v="Monday"/>
    <x v="0"/>
    <x v="3"/>
    <x v="3"/>
    <s v="Toothpaste"/>
    <x v="8"/>
    <s v="Whitening Toothpaste 100g"/>
    <s v="B260803-L1A"/>
    <s v="R. Sharma"/>
    <x v="1"/>
    <x v="3"/>
    <x v="5"/>
    <n v="9650"/>
    <n v="8560"/>
    <n v="95"/>
    <n v="1.1098130841121495E-2"/>
    <n v="0.88704663212435231"/>
    <x v="2"/>
    <n v="74"/>
    <n v="1.2333333333333334"/>
    <s v="Changeover"/>
    <n v="38"/>
    <n v="3610"/>
    <n v="36876"/>
    <n v="8940"/>
    <n v="8940"/>
    <x v="1707"/>
    <n v="13500"/>
  </r>
  <r>
    <s v="PR-0747"/>
    <d v="2026-06-08T00:00:00"/>
    <x v="3"/>
    <x v="3"/>
    <s v="Monday"/>
    <x v="1"/>
    <x v="1"/>
    <x v="1"/>
    <s v="Toothbrush"/>
    <x v="11"/>
    <s v="Soft Toothbrush"/>
    <s v="B260608-L4B"/>
    <s v="P. Singh"/>
    <x v="2"/>
    <x v="1"/>
    <x v="6"/>
    <n v="9460"/>
    <n v="8730"/>
    <n v="124"/>
    <n v="1.420389461626575E-2"/>
    <n v="0.92283298097251587"/>
    <x v="4"/>
    <n v="27"/>
    <n v="0.45"/>
    <s v="Cleaning / Sanitation"/>
    <n v="18"/>
    <n v="2232"/>
    <n v="34755"/>
    <n v="6950"/>
    <n v="6950"/>
    <x v="1708"/>
    <n v="15000"/>
  </r>
  <r>
    <s v="PR-0755"/>
    <d v="2026-06-09T00:00:00"/>
    <x v="3"/>
    <x v="3"/>
    <s v="Tuesday"/>
    <x v="0"/>
    <x v="1"/>
    <x v="1"/>
    <s v="Toothbrush"/>
    <x v="11"/>
    <s v="Soft Toothbrush"/>
    <s v="B260609-L4A"/>
    <s v="R. Sharma"/>
    <x v="2"/>
    <x v="1"/>
    <x v="0"/>
    <n v="10050"/>
    <n v="9590"/>
    <n v="194"/>
    <n v="2.0229405630865484E-2"/>
    <n v="0.95422885572139304"/>
    <x v="5"/>
    <n v="0"/>
    <n v="0"/>
    <s v="None"/>
    <n v="18"/>
    <n v="3492"/>
    <n v="36050"/>
    <n v="9020"/>
    <n v="9020"/>
    <x v="1709"/>
    <n v="15000"/>
  </r>
  <r>
    <s v="PR-1575"/>
    <d v="2026-08-22T00:00:00"/>
    <x v="1"/>
    <x v="1"/>
    <s v="Saturday"/>
    <x v="1"/>
    <x v="2"/>
    <x v="2"/>
    <s v="Dental Floss"/>
    <x v="6"/>
    <s v="Floss Picks (100 pcs)"/>
    <s v="B260822-L3B"/>
    <s v="P. Singh"/>
    <x v="2"/>
    <x v="2"/>
    <x v="10"/>
    <n v="5640"/>
    <n v="5280"/>
    <n v="187"/>
    <n v="3.5416666666666666E-2"/>
    <n v="0.93617021276595747"/>
    <x v="0"/>
    <n v="0"/>
    <n v="0"/>
    <s v="None"/>
    <n v="33"/>
    <n v="6171"/>
    <n v="36164"/>
    <n v="4820"/>
    <n v="4820"/>
    <x v="1710"/>
    <n v="9750"/>
  </r>
  <r>
    <s v="PR-0767"/>
    <d v="2026-06-10T00:00:00"/>
    <x v="3"/>
    <x v="3"/>
    <s v="Wednesday"/>
    <x v="0"/>
    <x v="1"/>
    <x v="1"/>
    <s v="Toothbrush"/>
    <x v="11"/>
    <s v="Soft Toothbrush"/>
    <s v="B260610-L4A"/>
    <s v="K. Verma"/>
    <x v="1"/>
    <x v="1"/>
    <x v="0"/>
    <n v="10330"/>
    <n v="9730"/>
    <n v="371"/>
    <n v="3.8129496402877695E-2"/>
    <n v="0.94191674733785091"/>
    <x v="2"/>
    <n v="44"/>
    <n v="0.73333333333333328"/>
    <s v="Power Interruption"/>
    <n v="18"/>
    <n v="6678"/>
    <n v="36579"/>
    <n v="9490"/>
    <n v="9490"/>
    <x v="1711"/>
    <n v="15000"/>
  </r>
  <r>
    <s v="PR-0821"/>
    <d v="2026-06-15T00:00:00"/>
    <x v="3"/>
    <x v="3"/>
    <s v="Monday"/>
    <x v="0"/>
    <x v="1"/>
    <x v="1"/>
    <s v="Toothbrush"/>
    <x v="11"/>
    <s v="Soft Toothbrush"/>
    <s v="B260615-L4A"/>
    <s v="K. Verma"/>
    <x v="2"/>
    <x v="1"/>
    <x v="6"/>
    <n v="10610"/>
    <n v="9610"/>
    <n v="221"/>
    <n v="2.2996878251821021E-2"/>
    <n v="0.90574929311969843"/>
    <x v="2"/>
    <n v="32"/>
    <n v="0.53333333333333333"/>
    <s v="Machine Breakdown"/>
    <n v="18"/>
    <n v="3978"/>
    <n v="36252"/>
    <n v="9190"/>
    <n v="9190"/>
    <x v="1712"/>
    <n v="15000"/>
  </r>
  <r>
    <s v="PR-1308"/>
    <d v="2026-07-29T00:00:00"/>
    <x v="2"/>
    <x v="2"/>
    <s v="Wednesday"/>
    <x v="1"/>
    <x v="3"/>
    <x v="3"/>
    <s v="Toothpaste"/>
    <x v="8"/>
    <s v="Whitening Toothpaste 100g"/>
    <s v="B260729-L1B"/>
    <s v="P. Singh"/>
    <x v="2"/>
    <x v="3"/>
    <x v="2"/>
    <n v="8420"/>
    <n v="8260"/>
    <n v="216"/>
    <n v="2.6150121065375304E-2"/>
    <n v="0.98099762470308793"/>
    <x v="3"/>
    <n v="0"/>
    <n v="0"/>
    <s v="None"/>
    <n v="38"/>
    <n v="8208"/>
    <n v="36475"/>
    <n v="8050"/>
    <n v="8050"/>
    <x v="1713"/>
    <n v="13500"/>
  </r>
  <r>
    <s v="PR-1296"/>
    <d v="2026-07-28T00:00:00"/>
    <x v="2"/>
    <x v="2"/>
    <s v="Tuesday"/>
    <x v="1"/>
    <x v="3"/>
    <x v="3"/>
    <s v="Toothpaste"/>
    <x v="8"/>
    <s v="Whitening Toothpaste 100g"/>
    <s v="B260728-L1B"/>
    <s v="S. Yadav"/>
    <x v="2"/>
    <x v="3"/>
    <x v="4"/>
    <n v="8580"/>
    <n v="7530"/>
    <n v="156"/>
    <n v="2.0717131474103586E-2"/>
    <n v="0.8776223776223776"/>
    <x v="4"/>
    <n v="47"/>
    <n v="0.78333333333333333"/>
    <s v="Machine Breakdown"/>
    <n v="38"/>
    <n v="5928"/>
    <n v="36851"/>
    <n v="7750"/>
    <n v="7750"/>
    <x v="1714"/>
    <n v="13500"/>
  </r>
  <r>
    <s v="PR-1599"/>
    <d v="2026-08-25T00:00:00"/>
    <x v="1"/>
    <x v="1"/>
    <s v="Tuesday"/>
    <x v="0"/>
    <x v="2"/>
    <x v="2"/>
    <s v="Dental Floss"/>
    <x v="6"/>
    <s v="Floss Picks (100 pcs)"/>
    <s v="B260825-L3A"/>
    <s v="R. Sharma"/>
    <x v="2"/>
    <x v="2"/>
    <x v="10"/>
    <n v="5450"/>
    <n v="5270"/>
    <n v="148"/>
    <n v="2.808349146110057E-2"/>
    <n v="0.96697247706422018"/>
    <x v="2"/>
    <n v="0"/>
    <n v="0"/>
    <s v="None"/>
    <n v="33"/>
    <n v="4884"/>
    <n v="36374"/>
    <n v="4990"/>
    <n v="4990"/>
    <x v="1715"/>
    <n v="9750"/>
  </r>
  <r>
    <s v="PR-1036"/>
    <d v="2026-07-04T00:00:00"/>
    <x v="2"/>
    <x v="2"/>
    <s v="Saturday"/>
    <x v="0"/>
    <x v="1"/>
    <x v="1"/>
    <s v="Toothbrush"/>
    <x v="11"/>
    <s v="Soft Toothbrush"/>
    <s v="B260704-L4A"/>
    <s v="K. Verma"/>
    <x v="1"/>
    <x v="1"/>
    <x v="7"/>
    <n v="10430"/>
    <n v="10200"/>
    <n v="177"/>
    <n v="1.7352941176470588E-2"/>
    <n v="0.97794822627037392"/>
    <x v="2"/>
    <n v="0"/>
    <n v="0"/>
    <s v="None"/>
    <n v="18"/>
    <n v="3186"/>
    <n v="35773"/>
    <n v="9270"/>
    <n v="9270"/>
    <x v="1716"/>
    <n v="15000"/>
  </r>
  <r>
    <s v="PR-1029"/>
    <d v="2026-07-03T00:00:00"/>
    <x v="2"/>
    <x v="2"/>
    <s v="Friday"/>
    <x v="2"/>
    <x v="3"/>
    <x v="3"/>
    <s v="Toothpaste"/>
    <x v="8"/>
    <s v="Whitening Toothpaste 100g"/>
    <s v="B260703-L1C"/>
    <s v="A. Gupta"/>
    <x v="2"/>
    <x v="3"/>
    <x v="4"/>
    <n v="8390"/>
    <n v="7720"/>
    <n v="163"/>
    <n v="2.1113989637305701E-2"/>
    <n v="0.92014302741358756"/>
    <x v="3"/>
    <n v="0"/>
    <n v="0"/>
    <s v="None"/>
    <n v="38"/>
    <n v="6194"/>
    <n v="35944"/>
    <n v="6960"/>
    <n v="6960"/>
    <x v="1717"/>
    <n v="13500"/>
  </r>
  <r>
    <s v="PR-0763"/>
    <d v="2026-06-09T00:00:00"/>
    <x v="3"/>
    <x v="3"/>
    <s v="Tuesday"/>
    <x v="2"/>
    <x v="1"/>
    <x v="1"/>
    <s v="Toothbrush"/>
    <x v="11"/>
    <s v="Soft Toothbrush"/>
    <s v="B260609-L4C"/>
    <s v="A. Gupta"/>
    <x v="2"/>
    <x v="1"/>
    <x v="0"/>
    <n v="9300"/>
    <n v="8740"/>
    <n v="258"/>
    <n v="2.9519450800915333E-2"/>
    <n v="0.93978494623655917"/>
    <x v="5"/>
    <n v="0"/>
    <n v="0"/>
    <s v="None"/>
    <n v="18"/>
    <n v="4644"/>
    <n v="36607"/>
    <n v="8510"/>
    <n v="8510"/>
    <x v="1718"/>
    <n v="15000"/>
  </r>
  <r>
    <s v="PR-0956"/>
    <d v="2026-06-27T00:00:00"/>
    <x v="3"/>
    <x v="3"/>
    <s v="Saturday"/>
    <x v="0"/>
    <x v="3"/>
    <x v="3"/>
    <s v="Toothpaste"/>
    <x v="8"/>
    <s v="Whitening Toothpaste 100g"/>
    <s v="B260627-L1A"/>
    <s v="K. Verma"/>
    <x v="1"/>
    <x v="3"/>
    <x v="2"/>
    <n v="9590"/>
    <n v="9310"/>
    <n v="138"/>
    <n v="1.4822771213748658E-2"/>
    <n v="0.97080291970802923"/>
    <x v="0"/>
    <n v="0"/>
    <n v="0"/>
    <s v="None"/>
    <n v="38"/>
    <n v="5244"/>
    <n v="34718"/>
    <n v="7310"/>
    <n v="7310"/>
    <x v="1719"/>
    <n v="13500"/>
  </r>
  <r>
    <s v="PR-0759"/>
    <d v="2026-06-09T00:00:00"/>
    <x v="3"/>
    <x v="3"/>
    <s v="Tuesday"/>
    <x v="1"/>
    <x v="1"/>
    <x v="1"/>
    <s v="Toothbrush"/>
    <x v="11"/>
    <s v="Soft Toothbrush"/>
    <s v="B260609-L4B"/>
    <s v="S. Yadav"/>
    <x v="2"/>
    <x v="1"/>
    <x v="7"/>
    <n v="9290"/>
    <n v="9190"/>
    <n v="289"/>
    <n v="3.1447225244831338E-2"/>
    <n v="0.98923573735199144"/>
    <x v="2"/>
    <n v="0"/>
    <n v="0"/>
    <s v="None"/>
    <n v="18"/>
    <n v="5202"/>
    <n v="36426"/>
    <n v="8720"/>
    <n v="8720"/>
    <x v="1720"/>
    <n v="15000"/>
  </r>
  <r>
    <s v="PR-1047"/>
    <d v="2026-07-05T00:00:00"/>
    <x v="2"/>
    <x v="2"/>
    <s v="Sunday"/>
    <x v="1"/>
    <x v="3"/>
    <x v="3"/>
    <s v="Toothpaste"/>
    <x v="8"/>
    <s v="Whitening Toothpaste 100g"/>
    <s v="B260705-L1B"/>
    <s v="S. Yadav"/>
    <x v="2"/>
    <x v="3"/>
    <x v="10"/>
    <n v="6380"/>
    <n v="5540"/>
    <n v="117"/>
    <n v="2.1119133574007218E-2"/>
    <n v="0.86833855799373039"/>
    <x v="0"/>
    <n v="0"/>
    <n v="0"/>
    <s v="None"/>
    <n v="38"/>
    <n v="4446"/>
    <n v="36541"/>
    <n v="5300"/>
    <n v="5300"/>
    <x v="1721"/>
    <n v="13500"/>
  </r>
  <r>
    <s v="PR-1603"/>
    <d v="2026-08-25T00:00:00"/>
    <x v="1"/>
    <x v="1"/>
    <s v="Tuesday"/>
    <x v="1"/>
    <x v="2"/>
    <x v="2"/>
    <s v="Dental Floss"/>
    <x v="6"/>
    <s v="Floss Picks (100 pcs)"/>
    <s v="B260825-L3B"/>
    <s v="P. Singh"/>
    <x v="2"/>
    <x v="2"/>
    <x v="8"/>
    <n v="5930"/>
    <n v="5560"/>
    <n v="173"/>
    <n v="3.1115107913669064E-2"/>
    <n v="0.93760539629005057"/>
    <x v="0"/>
    <n v="0"/>
    <n v="0"/>
    <s v="None"/>
    <n v="33"/>
    <n v="5709"/>
    <n v="36506"/>
    <n v="5150"/>
    <n v="5150"/>
    <x v="1722"/>
    <n v="9750"/>
  </r>
  <r>
    <s v="PR-1057"/>
    <d v="2026-07-06T00:00:00"/>
    <x v="2"/>
    <x v="2"/>
    <s v="Monday"/>
    <x v="2"/>
    <x v="3"/>
    <x v="3"/>
    <s v="Toothpaste"/>
    <x v="8"/>
    <s v="Whitening Toothpaste 100g"/>
    <s v="B260706-L1C"/>
    <s v="M. Khan"/>
    <x v="1"/>
    <x v="3"/>
    <x v="3"/>
    <n v="8160"/>
    <n v="7510"/>
    <n v="186"/>
    <n v="2.4766977363515314E-2"/>
    <n v="0.92034313725490191"/>
    <x v="2"/>
    <n v="12"/>
    <n v="0.2"/>
    <s v="Changeover"/>
    <n v="38"/>
    <n v="7068"/>
    <n v="36664"/>
    <n v="7230"/>
    <n v="7230"/>
    <x v="1723"/>
    <n v="13500"/>
  </r>
  <r>
    <s v="PR-1288"/>
    <d v="2026-07-27T00:00:00"/>
    <x v="2"/>
    <x v="2"/>
    <s v="Monday"/>
    <x v="2"/>
    <x v="3"/>
    <x v="3"/>
    <s v="Toothpaste"/>
    <x v="8"/>
    <s v="Whitening Toothpaste 100g"/>
    <s v="B260727-L1C"/>
    <s v="A. Gupta"/>
    <x v="1"/>
    <x v="3"/>
    <x v="5"/>
    <n v="9150"/>
    <n v="7900"/>
    <n v="157"/>
    <n v="1.9873417721518988E-2"/>
    <n v="0.86338797814207646"/>
    <x v="4"/>
    <n v="0"/>
    <n v="0"/>
    <s v="None"/>
    <n v="38"/>
    <n v="5966"/>
    <n v="37398"/>
    <n v="8290"/>
    <n v="8290"/>
    <x v="1724"/>
    <n v="13500"/>
  </r>
  <r>
    <s v="PR-1324"/>
    <d v="2026-07-30T00:00:00"/>
    <x v="2"/>
    <x v="2"/>
    <s v="Thursday"/>
    <x v="2"/>
    <x v="3"/>
    <x v="3"/>
    <s v="Toothpaste"/>
    <x v="8"/>
    <s v="Whitening Toothpaste 100g"/>
    <s v="B260730-L1C"/>
    <s v="A. Gupta"/>
    <x v="2"/>
    <x v="3"/>
    <x v="3"/>
    <n v="7880"/>
    <n v="7340"/>
    <n v="283"/>
    <n v="3.8555858310626703E-2"/>
    <n v="0.93147208121827407"/>
    <x v="2"/>
    <n v="0"/>
    <n v="0"/>
    <s v="None"/>
    <n v="38"/>
    <n v="10754"/>
    <n v="36469"/>
    <n v="6650"/>
    <n v="6650"/>
    <x v="1725"/>
    <n v="13500"/>
  </r>
  <r>
    <s v="PR-1611"/>
    <d v="2026-08-26T00:00:00"/>
    <x v="1"/>
    <x v="1"/>
    <s v="Wednesday"/>
    <x v="0"/>
    <x v="2"/>
    <x v="2"/>
    <s v="Dental Floss"/>
    <x v="6"/>
    <s v="Floss Picks (100 pcs)"/>
    <s v="B260826-L3A"/>
    <s v="R. Sharma"/>
    <x v="2"/>
    <x v="2"/>
    <x v="10"/>
    <n v="5640"/>
    <n v="5330"/>
    <n v="137"/>
    <n v="2.5703564727954972E-2"/>
    <n v="0.94503546099290781"/>
    <x v="4"/>
    <n v="17"/>
    <n v="0.28333333333333333"/>
    <s v="Machine Breakdown"/>
    <n v="33"/>
    <n v="4521"/>
    <n v="36743"/>
    <n v="5060"/>
    <n v="5060"/>
    <x v="1725"/>
    <n v="9750"/>
  </r>
  <r>
    <s v="PR-0791"/>
    <d v="2026-06-12T00:00:00"/>
    <x v="3"/>
    <x v="3"/>
    <s v="Friday"/>
    <x v="0"/>
    <x v="1"/>
    <x v="1"/>
    <s v="Toothbrush"/>
    <x v="11"/>
    <s v="Soft Toothbrush"/>
    <s v="B260612-L4A"/>
    <s v="K. Verma"/>
    <x v="2"/>
    <x v="1"/>
    <x v="6"/>
    <n v="10020"/>
    <n v="9390"/>
    <n v="188"/>
    <n v="2.0021299254526091E-2"/>
    <n v="0.93712574850299402"/>
    <x v="4"/>
    <n v="0"/>
    <n v="0"/>
    <s v="None"/>
    <n v="18"/>
    <n v="3384"/>
    <n v="36090"/>
    <n v="8340"/>
    <n v="8340"/>
    <x v="1726"/>
    <n v="15000"/>
  </r>
  <r>
    <s v="PR-1627"/>
    <d v="2026-08-27T00:00:00"/>
    <x v="1"/>
    <x v="1"/>
    <s v="Thursday"/>
    <x v="1"/>
    <x v="2"/>
    <x v="2"/>
    <s v="Dental Floss"/>
    <x v="6"/>
    <s v="Floss Picks (100 pcs)"/>
    <s v="B260827-L3B"/>
    <s v="P. Singh"/>
    <x v="2"/>
    <x v="2"/>
    <x v="8"/>
    <n v="5300"/>
    <n v="4750"/>
    <n v="105"/>
    <n v="2.2105263157894735E-2"/>
    <n v="0.89622641509433965"/>
    <x v="5"/>
    <n v="0"/>
    <n v="0"/>
    <s v="None"/>
    <n v="33"/>
    <n v="3465"/>
    <n v="36876"/>
    <n v="4500"/>
    <n v="4500"/>
    <x v="1727"/>
    <n v="9750"/>
  </r>
  <r>
    <s v="PR-1416"/>
    <d v="2026-08-08T00:00:00"/>
    <x v="1"/>
    <x v="1"/>
    <s v="Saturday"/>
    <x v="0"/>
    <x v="3"/>
    <x v="3"/>
    <s v="Toothpaste"/>
    <x v="8"/>
    <s v="Whitening Toothpaste 100g"/>
    <s v="B260808-L1A"/>
    <s v="K. Verma"/>
    <x v="2"/>
    <x v="3"/>
    <x v="3"/>
    <n v="9630"/>
    <n v="9260"/>
    <n v="185"/>
    <n v="1.9978401727861771E-2"/>
    <n v="0.96157840083073731"/>
    <x v="0"/>
    <n v="0"/>
    <n v="0"/>
    <s v="None"/>
    <n v="38"/>
    <n v="7030"/>
    <n v="36049"/>
    <n v="8040"/>
    <n v="8040"/>
    <x v="1728"/>
    <n v="13500"/>
  </r>
  <r>
    <s v="PR-1727"/>
    <d v="2026-09-05T00:00:00"/>
    <x v="0"/>
    <x v="0"/>
    <s v="Saturday"/>
    <x v="1"/>
    <x v="2"/>
    <x v="2"/>
    <s v="Dental Floss"/>
    <x v="6"/>
    <s v="Floss Picks (100 pcs)"/>
    <s v="B260905-L3B"/>
    <s v="P. Singh"/>
    <x v="2"/>
    <x v="2"/>
    <x v="10"/>
    <n v="5870"/>
    <n v="5270"/>
    <n v="114"/>
    <n v="2.1631878557874764E-2"/>
    <n v="0.89778534923339015"/>
    <x v="2"/>
    <n v="49"/>
    <n v="0.81666666666666665"/>
    <s v="Power Interruption"/>
    <n v="33"/>
    <n v="3762"/>
    <n v="37775"/>
    <n v="5710"/>
    <n v="5710"/>
    <x v="1729"/>
    <n v="9750"/>
  </r>
  <r>
    <s v="PR-1443"/>
    <d v="2026-08-10T00:00:00"/>
    <x v="1"/>
    <x v="1"/>
    <s v="Monday"/>
    <x v="2"/>
    <x v="3"/>
    <x v="3"/>
    <s v="Toothpaste"/>
    <x v="8"/>
    <s v="Whitening Toothpaste 100g"/>
    <s v="B260810-L1C"/>
    <s v="A. Gupta"/>
    <x v="1"/>
    <x v="3"/>
    <x v="4"/>
    <n v="8540"/>
    <n v="7790"/>
    <n v="237"/>
    <n v="3.0423620025673941E-2"/>
    <n v="0.91217798594847777"/>
    <x v="0"/>
    <n v="0"/>
    <n v="0"/>
    <s v="None"/>
    <n v="38"/>
    <n v="9006"/>
    <n v="37277"/>
    <n v="7590"/>
    <n v="7590"/>
    <x v="1730"/>
    <n v="13500"/>
  </r>
  <r>
    <s v="PR-1435"/>
    <d v="2026-08-10T00:00:00"/>
    <x v="1"/>
    <x v="1"/>
    <s v="Monday"/>
    <x v="0"/>
    <x v="3"/>
    <x v="3"/>
    <s v="Toothpaste"/>
    <x v="8"/>
    <s v="Whitening Toothpaste 100g"/>
    <s v="B260810-L1A"/>
    <s v="R. Sharma"/>
    <x v="2"/>
    <x v="3"/>
    <x v="2"/>
    <n v="8850"/>
    <n v="8580"/>
    <n v="347"/>
    <n v="4.0442890442890442E-2"/>
    <n v="0.96949152542372885"/>
    <x v="4"/>
    <n v="0"/>
    <n v="0"/>
    <s v="None"/>
    <n v="38"/>
    <n v="13186"/>
    <n v="37084"/>
    <n v="8040"/>
    <n v="8040"/>
    <x v="1731"/>
    <n v="13500"/>
  </r>
  <r>
    <s v="PR-1284"/>
    <d v="2026-07-27T00:00:00"/>
    <x v="2"/>
    <x v="2"/>
    <s v="Monday"/>
    <x v="1"/>
    <x v="3"/>
    <x v="3"/>
    <s v="Toothpaste"/>
    <x v="8"/>
    <s v="Whitening Toothpaste 100g"/>
    <s v="B260727-L1B"/>
    <s v="P. Singh"/>
    <x v="2"/>
    <x v="3"/>
    <x v="2"/>
    <n v="8940"/>
    <n v="8550"/>
    <n v="172"/>
    <n v="2.0116959064327485E-2"/>
    <n v="0.9563758389261745"/>
    <x v="0"/>
    <n v="0"/>
    <n v="0"/>
    <s v="None"/>
    <n v="38"/>
    <n v="6536"/>
    <n v="37670"/>
    <n v="8650"/>
    <n v="8650"/>
    <x v="1732"/>
    <n v="13500"/>
  </r>
  <r>
    <s v="PR-1228"/>
    <d v="2026-07-22T00:00:00"/>
    <x v="2"/>
    <x v="2"/>
    <s v="Wednesday"/>
    <x v="0"/>
    <x v="3"/>
    <x v="3"/>
    <s v="Toothpaste"/>
    <x v="8"/>
    <s v="Whitening Toothpaste 100g"/>
    <s v="B260722-L1A"/>
    <s v="R. Sharma"/>
    <x v="1"/>
    <x v="3"/>
    <x v="3"/>
    <n v="9190"/>
    <n v="8590"/>
    <n v="270"/>
    <n v="3.1431897555296857E-2"/>
    <n v="0.93471164309031551"/>
    <x v="5"/>
    <n v="0"/>
    <n v="0"/>
    <s v="None"/>
    <n v="38"/>
    <n v="10260"/>
    <n v="38239"/>
    <n v="9120"/>
    <n v="9120"/>
    <x v="1733"/>
    <n v="13500"/>
  </r>
  <r>
    <s v="PR-1046"/>
    <d v="2026-07-05T00:00:00"/>
    <x v="2"/>
    <x v="2"/>
    <s v="Sunday"/>
    <x v="0"/>
    <x v="1"/>
    <x v="1"/>
    <s v="Toothbrush"/>
    <x v="11"/>
    <s v="Soft Toothbrush"/>
    <s v="B260705-L4A"/>
    <s v="R. Sharma"/>
    <x v="1"/>
    <x v="1"/>
    <x v="7"/>
    <n v="6900"/>
    <n v="6950"/>
    <n v="201"/>
    <n v="2.8920863309352517E-2"/>
    <n v="1.0072463768115942"/>
    <x v="4"/>
    <n v="0"/>
    <n v="0"/>
    <s v="None"/>
    <n v="18"/>
    <n v="3618"/>
    <n v="36526"/>
    <n v="5750"/>
    <n v="5750"/>
    <x v="1734"/>
    <n v="15000"/>
  </r>
  <r>
    <s v="PR-1742"/>
    <d v="2026-09-07T00:00:00"/>
    <x v="0"/>
    <x v="0"/>
    <s v="Monday"/>
    <x v="1"/>
    <x v="2"/>
    <x v="2"/>
    <s v="Dental Floss"/>
    <x v="6"/>
    <s v="Floss Picks (100 pcs)"/>
    <s v="B260907-L3B"/>
    <s v="S. Yadav"/>
    <x v="2"/>
    <x v="2"/>
    <x v="10"/>
    <n v="5410"/>
    <n v="5180"/>
    <n v="140"/>
    <n v="2.7027027027027029E-2"/>
    <n v="0.95748613678373384"/>
    <x v="0"/>
    <n v="0"/>
    <n v="0"/>
    <s v="None"/>
    <n v="33"/>
    <n v="4620"/>
    <n v="37221"/>
    <n v="4690"/>
    <n v="4690"/>
    <x v="1735"/>
    <n v="9750"/>
  </r>
  <r>
    <s v="PR-1786"/>
    <d v="2026-09-11T00:00:00"/>
    <x v="0"/>
    <x v="0"/>
    <s v="Friday"/>
    <x v="0"/>
    <x v="2"/>
    <x v="2"/>
    <s v="Dental Floss"/>
    <x v="6"/>
    <s v="Floss Picks (100 pcs)"/>
    <s v="B260911-L3A"/>
    <s v="R. Sharma"/>
    <x v="1"/>
    <x v="2"/>
    <x v="10"/>
    <n v="5700"/>
    <n v="5470"/>
    <n v="246"/>
    <n v="4.497257769652651E-2"/>
    <n v="0.95964912280701753"/>
    <x v="0"/>
    <n v="0"/>
    <n v="0"/>
    <s v="None"/>
    <n v="33"/>
    <n v="8118"/>
    <n v="37571"/>
    <n v="5190"/>
    <n v="5190"/>
    <x v="1736"/>
    <n v="9750"/>
  </r>
  <r>
    <s v="PR-1268"/>
    <d v="2026-07-25T00:00:00"/>
    <x v="2"/>
    <x v="2"/>
    <s v="Saturday"/>
    <x v="1"/>
    <x v="3"/>
    <x v="3"/>
    <s v="Toothpaste"/>
    <x v="8"/>
    <s v="Whitening Toothpaste 100g"/>
    <s v="B260725-L1B"/>
    <s v="P. Singh"/>
    <x v="2"/>
    <x v="3"/>
    <x v="2"/>
    <n v="9320"/>
    <n v="9000"/>
    <n v="263"/>
    <n v="2.9222222222222222E-2"/>
    <n v="0.96566523605150212"/>
    <x v="0"/>
    <n v="14"/>
    <n v="0.23333333333333334"/>
    <s v="Cleaning / Sanitation"/>
    <n v="38"/>
    <n v="9994"/>
    <n v="38053"/>
    <n v="9120"/>
    <n v="9120"/>
    <x v="1737"/>
    <n v="13500"/>
  </r>
  <r>
    <s v="PR-1162"/>
    <d v="2026-07-16T00:00:00"/>
    <x v="2"/>
    <x v="2"/>
    <s v="Thursday"/>
    <x v="0"/>
    <x v="3"/>
    <x v="3"/>
    <s v="Toothpaste"/>
    <x v="8"/>
    <s v="Whitening Toothpaste 100g"/>
    <s v="B260716-L1A"/>
    <s v="K. Verma"/>
    <x v="1"/>
    <x v="3"/>
    <x v="3"/>
    <n v="8440"/>
    <n v="7580"/>
    <n v="165"/>
    <n v="2.1767810026385226E-2"/>
    <n v="0.8981042654028436"/>
    <x v="3"/>
    <n v="36"/>
    <n v="0.6"/>
    <s v="Machine Breakdown"/>
    <n v="38"/>
    <n v="6270"/>
    <n v="37990"/>
    <n v="7680"/>
    <n v="7680"/>
    <x v="1738"/>
    <n v="13500"/>
  </r>
  <r>
    <s v="PR-0783"/>
    <d v="2026-06-11T00:00:00"/>
    <x v="3"/>
    <x v="3"/>
    <s v="Thursday"/>
    <x v="1"/>
    <x v="1"/>
    <x v="1"/>
    <s v="Toothbrush"/>
    <x v="11"/>
    <s v="Soft Toothbrush"/>
    <s v="B260611-L4B"/>
    <s v="S. Yadav"/>
    <x v="2"/>
    <x v="1"/>
    <x v="6"/>
    <n v="10220"/>
    <n v="9650"/>
    <n v="285"/>
    <n v="2.9533678756476684E-2"/>
    <n v="0.94422700587084152"/>
    <x v="5"/>
    <n v="0"/>
    <n v="0"/>
    <s v="None"/>
    <n v="18"/>
    <n v="5130"/>
    <n v="36339"/>
    <n v="7970"/>
    <n v="7970"/>
    <x v="1739"/>
    <n v="15000"/>
  </r>
  <r>
    <s v="PR-1715"/>
    <d v="2026-09-04T00:00:00"/>
    <x v="0"/>
    <x v="0"/>
    <s v="Friday"/>
    <x v="1"/>
    <x v="2"/>
    <x v="2"/>
    <s v="Dental Floss"/>
    <x v="6"/>
    <s v="Floss Picks (100 pcs)"/>
    <s v="B260904-L3B"/>
    <s v="P. Singh"/>
    <x v="1"/>
    <x v="2"/>
    <x v="8"/>
    <n v="5580"/>
    <n v="5150"/>
    <n v="159"/>
    <n v="3.0873786407766991E-2"/>
    <n v="0.92293906810035842"/>
    <x v="5"/>
    <n v="37"/>
    <n v="0.6166666666666667"/>
    <s v="Power Interruption"/>
    <n v="33"/>
    <n v="5247"/>
    <n v="37864"/>
    <n v="5080"/>
    <n v="5080"/>
    <x v="1740"/>
    <n v="9750"/>
  </r>
  <r>
    <s v="PR-1663"/>
    <d v="2026-08-31T00:00:00"/>
    <x v="1"/>
    <x v="1"/>
    <s v="Monday"/>
    <x v="0"/>
    <x v="2"/>
    <x v="2"/>
    <s v="Dental Floss"/>
    <x v="6"/>
    <s v="Floss Picks (100 pcs)"/>
    <s v="B260831-L3A"/>
    <s v="R. Sharma"/>
    <x v="1"/>
    <x v="2"/>
    <x v="8"/>
    <n v="5570"/>
    <n v="4900"/>
    <n v="125"/>
    <n v="2.5510204081632654E-2"/>
    <n v="0.8797127468581688"/>
    <x v="5"/>
    <n v="0"/>
    <n v="0"/>
    <s v="None"/>
    <n v="33"/>
    <n v="4125"/>
    <n v="38162"/>
    <n v="5160"/>
    <n v="5160"/>
    <x v="1741"/>
    <n v="9750"/>
  </r>
  <r>
    <s v="PR-1679"/>
    <d v="2026-09-01T00:00:00"/>
    <x v="0"/>
    <x v="0"/>
    <s v="Tuesday"/>
    <x v="1"/>
    <x v="2"/>
    <x v="2"/>
    <s v="Dental Floss"/>
    <x v="6"/>
    <s v="Floss Picks (100 pcs)"/>
    <s v="B260901-L3B"/>
    <s v="S. Yadav"/>
    <x v="2"/>
    <x v="2"/>
    <x v="8"/>
    <n v="5310"/>
    <n v="4960"/>
    <n v="121"/>
    <n v="2.439516129032258E-2"/>
    <n v="0.93408662900188322"/>
    <x v="4"/>
    <n v="19"/>
    <n v="0.31666666666666665"/>
    <s v="Machine Breakdown"/>
    <n v="33"/>
    <n v="3993"/>
    <n v="37777"/>
    <n v="4810"/>
    <n v="4810"/>
    <x v="1742"/>
    <n v="9750"/>
  </r>
  <r>
    <s v="PR-1695"/>
    <d v="2026-09-02T00:00:00"/>
    <x v="0"/>
    <x v="0"/>
    <s v="Wednesday"/>
    <x v="2"/>
    <x v="2"/>
    <x v="2"/>
    <s v="Dental Floss"/>
    <x v="6"/>
    <s v="Floss Picks (100 pcs)"/>
    <s v="B260902-L3C"/>
    <s v="M. Khan"/>
    <x v="2"/>
    <x v="2"/>
    <x v="11"/>
    <n v="5470"/>
    <n v="4360"/>
    <n v="98"/>
    <n v="2.2477064220183487E-2"/>
    <n v="0.79707495429616093"/>
    <x v="0"/>
    <n v="56"/>
    <n v="0.93333333333333335"/>
    <s v="Machine Breakdown"/>
    <n v="33"/>
    <n v="3234"/>
    <n v="38228"/>
    <n v="4680"/>
    <n v="4680"/>
    <x v="1743"/>
    <n v="9750"/>
  </r>
  <r>
    <s v="PR-1707"/>
    <d v="2026-09-03T00:00:00"/>
    <x v="0"/>
    <x v="0"/>
    <s v="Thursday"/>
    <x v="2"/>
    <x v="2"/>
    <x v="2"/>
    <s v="Dental Floss"/>
    <x v="6"/>
    <s v="Floss Picks (100 pcs)"/>
    <s v="B260903-L3C"/>
    <s v="M. Khan"/>
    <x v="1"/>
    <x v="2"/>
    <x v="11"/>
    <n v="5420"/>
    <n v="4740"/>
    <n v="143"/>
    <n v="3.0168776371308017E-2"/>
    <n v="0.87453874538745391"/>
    <x v="4"/>
    <n v="0"/>
    <n v="0"/>
    <s v="None"/>
    <n v="33"/>
    <n v="4719"/>
    <n v="38087"/>
    <n v="4820"/>
    <n v="4820"/>
    <x v="1744"/>
    <n v="9750"/>
  </r>
  <r>
    <s v="PR-1085"/>
    <d v="2026-07-09T00:00:00"/>
    <x v="2"/>
    <x v="2"/>
    <s v="Thursday"/>
    <x v="0"/>
    <x v="3"/>
    <x v="3"/>
    <s v="Toothpaste"/>
    <x v="8"/>
    <s v="Whitening Toothpaste 100g"/>
    <s v="B260709-L1A"/>
    <s v="R. Sharma"/>
    <x v="1"/>
    <x v="3"/>
    <x v="3"/>
    <n v="9310"/>
    <n v="8260"/>
    <n v="200"/>
    <n v="2.4213075060532687E-2"/>
    <n v="0.88721804511278191"/>
    <x v="2"/>
    <n v="0"/>
    <n v="0"/>
    <s v="None"/>
    <n v="38"/>
    <n v="7600"/>
    <n v="38531"/>
    <n v="8700"/>
    <n v="8700"/>
    <x v="1745"/>
    <n v="13500"/>
  </r>
  <r>
    <s v="PR-1798"/>
    <d v="2026-09-12T00:00:00"/>
    <x v="0"/>
    <x v="0"/>
    <s v="Saturday"/>
    <x v="0"/>
    <x v="2"/>
    <x v="2"/>
    <s v="Dental Floss"/>
    <x v="6"/>
    <s v="Floss Picks (100 pcs)"/>
    <s v="B260912-L3A"/>
    <s v="R. Sharma"/>
    <x v="2"/>
    <x v="2"/>
    <x v="8"/>
    <n v="5440"/>
    <n v="5020"/>
    <n v="96"/>
    <n v="1.9123505976095617E-2"/>
    <n v="0.92279411764705888"/>
    <x v="2"/>
    <n v="42"/>
    <n v="0.7"/>
    <s v="Machine Breakdown"/>
    <n v="33"/>
    <n v="3168"/>
    <n v="37605"/>
    <n v="4600"/>
    <n v="4600"/>
    <x v="1746"/>
    <n v="9750"/>
  </r>
  <r>
    <s v="PR-1126"/>
    <d v="2026-07-13T00:00:00"/>
    <x v="2"/>
    <x v="2"/>
    <s v="Monday"/>
    <x v="0"/>
    <x v="3"/>
    <x v="3"/>
    <s v="Toothpaste"/>
    <x v="8"/>
    <s v="Whitening Toothpaste 100g"/>
    <s v="B260713-L1A"/>
    <s v="K. Verma"/>
    <x v="2"/>
    <x v="3"/>
    <x v="3"/>
    <n v="9120"/>
    <n v="8550"/>
    <n v="230"/>
    <n v="2.6900584795321637E-2"/>
    <n v="0.9375"/>
    <x v="3"/>
    <n v="0"/>
    <n v="0"/>
    <s v="None"/>
    <n v="38"/>
    <n v="8740"/>
    <n v="37891"/>
    <n v="8230"/>
    <n v="8230"/>
    <x v="1747"/>
    <n v="13500"/>
  </r>
  <r>
    <s v="PR-1142"/>
    <d v="2026-07-14T00:00:00"/>
    <x v="2"/>
    <x v="2"/>
    <s v="Tuesday"/>
    <x v="1"/>
    <x v="3"/>
    <x v="3"/>
    <s v="Toothpaste"/>
    <x v="8"/>
    <s v="Whitening Toothpaste 100g"/>
    <s v="B260714-L1B"/>
    <s v="P. Singh"/>
    <x v="1"/>
    <x v="3"/>
    <x v="2"/>
    <n v="9700"/>
    <n v="9180"/>
    <n v="239"/>
    <n v="2.6034858387799564E-2"/>
    <n v="0.94639175257731956"/>
    <x v="4"/>
    <n v="0"/>
    <n v="0"/>
    <s v="None"/>
    <n v="38"/>
    <n v="9082"/>
    <n v="38429"/>
    <n v="9380"/>
    <n v="9380"/>
    <x v="1748"/>
    <n v="13500"/>
  </r>
  <r>
    <s v="PR-1264"/>
    <d v="2026-07-25T00:00:00"/>
    <x v="2"/>
    <x v="2"/>
    <s v="Saturday"/>
    <x v="0"/>
    <x v="3"/>
    <x v="3"/>
    <s v="Toothpaste"/>
    <x v="8"/>
    <s v="Whitening Toothpaste 100g"/>
    <s v="B260725-L1A"/>
    <s v="K. Verma"/>
    <x v="1"/>
    <x v="3"/>
    <x v="3"/>
    <n v="8820"/>
    <n v="7840"/>
    <n v="219"/>
    <n v="2.7933673469387754E-2"/>
    <n v="0.88888888888888884"/>
    <x v="3"/>
    <n v="45"/>
    <n v="0.75"/>
    <s v="Cleaning / Sanitation"/>
    <n v="38"/>
    <n v="8322"/>
    <n v="38322"/>
    <n v="7890"/>
    <n v="7890"/>
    <x v="1749"/>
    <n v="13500"/>
  </r>
  <r>
    <s v="PR-1703"/>
    <d v="2026-09-03T00:00:00"/>
    <x v="0"/>
    <x v="0"/>
    <s v="Thursday"/>
    <x v="1"/>
    <x v="2"/>
    <x v="2"/>
    <s v="Dental Floss"/>
    <x v="6"/>
    <s v="Floss Picks (100 pcs)"/>
    <s v="B260903-L3B"/>
    <s v="P. Singh"/>
    <x v="2"/>
    <x v="2"/>
    <x v="10"/>
    <n v="5080"/>
    <n v="4780"/>
    <n v="93"/>
    <n v="1.9456066945606695E-2"/>
    <n v="0.94094488188976377"/>
    <x v="3"/>
    <n v="25"/>
    <n v="0.41666666666666669"/>
    <s v="Changeover"/>
    <n v="33"/>
    <n v="3069"/>
    <n v="37810"/>
    <n v="4410"/>
    <n v="4410"/>
    <x v="1750"/>
    <n v="9750"/>
  </r>
  <r>
    <s v="PR-1631"/>
    <d v="2026-08-27T00:00:00"/>
    <x v="1"/>
    <x v="1"/>
    <s v="Thursday"/>
    <x v="2"/>
    <x v="2"/>
    <x v="2"/>
    <s v="Dental Floss"/>
    <x v="6"/>
    <s v="Floss Picks (100 pcs)"/>
    <s v="B260827-L3C"/>
    <s v="M. Khan"/>
    <x v="1"/>
    <x v="2"/>
    <x v="8"/>
    <n v="5080"/>
    <n v="4660"/>
    <n v="109"/>
    <n v="2.3390557939914163E-2"/>
    <n v="0.91732283464566933"/>
    <x v="2"/>
    <n v="28"/>
    <n v="0.46666666666666667"/>
    <s v="Changeover"/>
    <n v="33"/>
    <n v="3597"/>
    <n v="37021"/>
    <n v="3480"/>
    <n v="3480"/>
    <x v="1751"/>
    <n v="9750"/>
  </r>
  <r>
    <s v="PR-1655"/>
    <d v="2026-08-29T00:00:00"/>
    <x v="1"/>
    <x v="1"/>
    <s v="Saturday"/>
    <x v="2"/>
    <x v="2"/>
    <x v="2"/>
    <s v="Dental Floss"/>
    <x v="6"/>
    <s v="Floss Picks (100 pcs)"/>
    <s v="B260829-L3C"/>
    <s v="M. Khan"/>
    <x v="1"/>
    <x v="2"/>
    <x v="9"/>
    <n v="4870"/>
    <n v="4480"/>
    <n v="142"/>
    <n v="3.169642857142857E-2"/>
    <n v="0.91991786447638602"/>
    <x v="2"/>
    <n v="0"/>
    <n v="0"/>
    <s v="None"/>
    <n v="33"/>
    <n v="4686"/>
    <n v="38224"/>
    <n v="4400"/>
    <n v="4400"/>
    <x v="1752"/>
    <n v="9750"/>
  </r>
  <r>
    <s v="PR-1651"/>
    <d v="2026-08-29T00:00:00"/>
    <x v="1"/>
    <x v="1"/>
    <s v="Saturday"/>
    <x v="1"/>
    <x v="2"/>
    <x v="2"/>
    <s v="Dental Floss"/>
    <x v="6"/>
    <s v="Floss Picks (100 pcs)"/>
    <s v="B260829-L3B"/>
    <s v="P. Singh"/>
    <x v="1"/>
    <x v="2"/>
    <x v="10"/>
    <n v="5400"/>
    <n v="5100"/>
    <n v="79"/>
    <n v="1.5490196078431372E-2"/>
    <n v="0.94444444444444442"/>
    <x v="4"/>
    <n v="0"/>
    <n v="0"/>
    <s v="None"/>
    <n v="33"/>
    <n v="2607"/>
    <n v="38233"/>
    <n v="5030"/>
    <n v="5030"/>
    <x v="1753"/>
    <n v="9750"/>
  </r>
  <r>
    <s v="PR-1687"/>
    <d v="2026-09-02T00:00:00"/>
    <x v="0"/>
    <x v="0"/>
    <s v="Wednesday"/>
    <x v="0"/>
    <x v="2"/>
    <x v="2"/>
    <s v="Dental Floss"/>
    <x v="6"/>
    <s v="Floss Picks (100 pcs)"/>
    <s v="B260902-L3A"/>
    <s v="K. Verma"/>
    <x v="2"/>
    <x v="2"/>
    <x v="10"/>
    <n v="5180"/>
    <n v="4910"/>
    <n v="158"/>
    <n v="3.2179226069246433E-2"/>
    <n v="0.94787644787644787"/>
    <x v="2"/>
    <n v="65"/>
    <n v="1.0833333333333333"/>
    <s v="Machine Breakdown"/>
    <n v="33"/>
    <n v="5214"/>
    <n v="37806"/>
    <n v="4330"/>
    <n v="4330"/>
    <x v="1754"/>
    <n v="9750"/>
  </r>
  <r>
    <s v="PR-1639"/>
    <d v="2026-08-28T00:00:00"/>
    <x v="1"/>
    <x v="1"/>
    <s v="Friday"/>
    <x v="1"/>
    <x v="2"/>
    <x v="2"/>
    <s v="Dental Floss"/>
    <x v="6"/>
    <s v="Floss Picks (100 pcs)"/>
    <s v="B260828-L3B"/>
    <s v="S. Yadav"/>
    <x v="1"/>
    <x v="2"/>
    <x v="10"/>
    <n v="5290"/>
    <n v="5140"/>
    <n v="102"/>
    <n v="1.9844357976653695E-2"/>
    <n v="0.97164461247637046"/>
    <x v="5"/>
    <n v="0"/>
    <n v="0"/>
    <s v="None"/>
    <n v="33"/>
    <n v="3366"/>
    <n v="38365"/>
    <n v="5170"/>
    <n v="5170"/>
    <x v="1755"/>
    <n v="9750"/>
  </r>
  <r>
    <s v="PR-1224"/>
    <d v="2026-07-21T00:00:00"/>
    <x v="2"/>
    <x v="2"/>
    <s v="Tuesday"/>
    <x v="2"/>
    <x v="3"/>
    <x v="3"/>
    <s v="Toothpaste"/>
    <x v="8"/>
    <s v="Whitening Toothpaste 100g"/>
    <s v="B260721-L1C"/>
    <s v="A. Gupta"/>
    <x v="2"/>
    <x v="3"/>
    <x v="10"/>
    <n v="9100"/>
    <n v="8040"/>
    <n v="223"/>
    <n v="2.77363184079602E-2"/>
    <n v="0.88351648351648349"/>
    <x v="4"/>
    <n v="0"/>
    <n v="0"/>
    <s v="None"/>
    <n v="38"/>
    <n v="8474"/>
    <n v="39062"/>
    <n v="8640"/>
    <n v="8640"/>
    <x v="1756"/>
    <n v="13500"/>
  </r>
  <r>
    <s v="PR-1256"/>
    <d v="2026-07-24T00:00:00"/>
    <x v="2"/>
    <x v="2"/>
    <s v="Friday"/>
    <x v="1"/>
    <x v="3"/>
    <x v="3"/>
    <s v="Toothpaste"/>
    <x v="8"/>
    <s v="Whitening Toothpaste 100g"/>
    <s v="B260724-L1B"/>
    <s v="S. Yadav"/>
    <x v="1"/>
    <x v="3"/>
    <x v="2"/>
    <n v="9180"/>
    <n v="8990"/>
    <n v="217"/>
    <n v="2.4137931034482758E-2"/>
    <n v="0.97930283224400871"/>
    <x v="5"/>
    <n v="0"/>
    <n v="0"/>
    <s v="None"/>
    <n v="38"/>
    <n v="8246"/>
    <n v="37439"/>
    <n v="7890"/>
    <n v="7890"/>
    <x v="1757"/>
    <n v="13500"/>
  </r>
  <r>
    <s v="PR-1635"/>
    <d v="2026-08-28T00:00:00"/>
    <x v="1"/>
    <x v="1"/>
    <s v="Friday"/>
    <x v="0"/>
    <x v="2"/>
    <x v="2"/>
    <s v="Dental Floss"/>
    <x v="6"/>
    <s v="Floss Picks (100 pcs)"/>
    <s v="B260828-L3A"/>
    <s v="R. Sharma"/>
    <x v="2"/>
    <x v="2"/>
    <x v="10"/>
    <n v="5700"/>
    <n v="5430"/>
    <n v="167"/>
    <n v="3.0755064456721916E-2"/>
    <n v="0.95263157894736838"/>
    <x v="3"/>
    <n v="65"/>
    <n v="1.0833333333333333"/>
    <s v="Changeover"/>
    <n v="33"/>
    <n v="5511"/>
    <n v="38092"/>
    <n v="4990"/>
    <n v="4990"/>
    <x v="1758"/>
    <n v="9750"/>
  </r>
  <r>
    <s v="PR-1138"/>
    <d v="2026-07-14T00:00:00"/>
    <x v="2"/>
    <x v="2"/>
    <s v="Tuesday"/>
    <x v="0"/>
    <x v="3"/>
    <x v="3"/>
    <s v="Toothpaste"/>
    <x v="8"/>
    <s v="Whitening Toothpaste 100g"/>
    <s v="B260714-L1A"/>
    <s v="R. Sharma"/>
    <x v="2"/>
    <x v="3"/>
    <x v="2"/>
    <n v="8510"/>
    <n v="8550"/>
    <n v="182"/>
    <n v="2.128654970760234E-2"/>
    <n v="1.0047003525264395"/>
    <x v="0"/>
    <n v="29"/>
    <n v="0.48333333333333334"/>
    <s v="Machine Breakdown"/>
    <n v="38"/>
    <n v="6916"/>
    <n v="37981"/>
    <n v="7920"/>
    <n v="7920"/>
    <x v="1759"/>
    <n v="13500"/>
  </r>
  <r>
    <s v="PR-1073"/>
    <d v="2026-07-08T00:00:00"/>
    <x v="2"/>
    <x v="2"/>
    <s v="Wednesday"/>
    <x v="0"/>
    <x v="3"/>
    <x v="3"/>
    <s v="Toothpaste"/>
    <x v="8"/>
    <s v="Whitening Toothpaste 100g"/>
    <s v="B260708-L1A"/>
    <s v="R. Sharma"/>
    <x v="2"/>
    <x v="3"/>
    <x v="2"/>
    <n v="9580"/>
    <n v="9700"/>
    <n v="277"/>
    <n v="2.8556701030927834E-2"/>
    <n v="1.0125260960334028"/>
    <x v="5"/>
    <n v="0"/>
    <n v="0"/>
    <s v="None"/>
    <n v="38"/>
    <n v="10526"/>
    <n v="36758"/>
    <n v="7650"/>
    <n v="7650"/>
    <x v="1760"/>
    <n v="13500"/>
  </r>
  <r>
    <s v="PR-1915"/>
    <d v="2026-09-23T00:00:00"/>
    <x v="0"/>
    <x v="0"/>
    <s v="Wednesday"/>
    <x v="0"/>
    <x v="2"/>
    <x v="2"/>
    <s v="Dental Floss"/>
    <x v="6"/>
    <s v="Floss Picks (100 pcs)"/>
    <s v="B260923-L3A"/>
    <s v="R. Sharma"/>
    <x v="2"/>
    <x v="2"/>
    <x v="8"/>
    <n v="5460"/>
    <n v="4890"/>
    <n v="103"/>
    <n v="2.1063394683026586E-2"/>
    <n v="0.89560439560439564"/>
    <x v="0"/>
    <n v="0"/>
    <n v="0"/>
    <s v="None"/>
    <n v="33"/>
    <n v="3399"/>
    <n v="38980"/>
    <n v="5220"/>
    <n v="5220"/>
    <x v="1761"/>
    <n v="9750"/>
  </r>
  <r>
    <s v="PR-1802"/>
    <d v="2026-09-12T00:00:00"/>
    <x v="0"/>
    <x v="0"/>
    <s v="Saturday"/>
    <x v="1"/>
    <x v="2"/>
    <x v="2"/>
    <s v="Dental Floss"/>
    <x v="6"/>
    <s v="Floss Picks (100 pcs)"/>
    <s v="B260912-L3B"/>
    <s v="S. Yadav"/>
    <x v="2"/>
    <x v="2"/>
    <x v="10"/>
    <n v="5710"/>
    <n v="5460"/>
    <n v="127"/>
    <n v="2.3260073260073261E-2"/>
    <n v="0.95621716287215408"/>
    <x v="4"/>
    <n v="0"/>
    <n v="0"/>
    <s v="None"/>
    <n v="33"/>
    <n v="4191"/>
    <n v="37929"/>
    <n v="4700"/>
    <n v="4700"/>
    <x v="1762"/>
    <n v="9750"/>
  </r>
  <r>
    <s v="PR-1813"/>
    <d v="2026-09-14T00:00:00"/>
    <x v="0"/>
    <x v="0"/>
    <s v="Monday"/>
    <x v="0"/>
    <x v="2"/>
    <x v="2"/>
    <s v="Dental Floss"/>
    <x v="6"/>
    <s v="Floss Picks (100 pcs)"/>
    <s v="B260914-L3A"/>
    <s v="R. Sharma"/>
    <x v="1"/>
    <x v="2"/>
    <x v="10"/>
    <n v="5480"/>
    <n v="5270"/>
    <n v="104"/>
    <n v="1.9734345351043642E-2"/>
    <n v="0.96167883211678828"/>
    <x v="0"/>
    <n v="0"/>
    <n v="0"/>
    <s v="None"/>
    <n v="33"/>
    <n v="3432"/>
    <n v="38562"/>
    <n v="5100"/>
    <n v="5100"/>
    <x v="1763"/>
    <n v="9750"/>
  </r>
  <r>
    <s v="PR-1186"/>
    <d v="2026-07-18T00:00:00"/>
    <x v="2"/>
    <x v="2"/>
    <s v="Saturday"/>
    <x v="0"/>
    <x v="3"/>
    <x v="3"/>
    <s v="Toothpaste"/>
    <x v="8"/>
    <s v="Whitening Toothpaste 100g"/>
    <s v="B260718-L1A"/>
    <s v="K. Verma"/>
    <x v="1"/>
    <x v="3"/>
    <x v="4"/>
    <n v="9510"/>
    <n v="9110"/>
    <n v="281"/>
    <n v="3.0845225027442372E-2"/>
    <n v="0.95793901156677186"/>
    <x v="5"/>
    <n v="0"/>
    <n v="0"/>
    <s v="None"/>
    <n v="38"/>
    <n v="10678"/>
    <n v="37725"/>
    <n v="7890"/>
    <n v="7890"/>
    <x v="1764"/>
    <n v="13500"/>
  </r>
  <r>
    <s v="PR-1565"/>
    <d v="2026-08-21T00:00:00"/>
    <x v="1"/>
    <x v="1"/>
    <s v="Friday"/>
    <x v="2"/>
    <x v="3"/>
    <x v="3"/>
    <s v="Toothpaste"/>
    <x v="8"/>
    <s v="Whitening Toothpaste 100g"/>
    <s v="B260821-L1C"/>
    <s v="M. Khan"/>
    <x v="2"/>
    <x v="3"/>
    <x v="5"/>
    <n v="8750"/>
    <n v="7120"/>
    <n v="202"/>
    <n v="2.8370786516853933E-2"/>
    <n v="0.81371428571428572"/>
    <x v="0"/>
    <n v="0"/>
    <n v="0"/>
    <s v="None"/>
    <n v="38"/>
    <n v="7676"/>
    <n v="40130"/>
    <n v="8380"/>
    <n v="8380"/>
    <x v="1765"/>
    <n v="13500"/>
  </r>
  <r>
    <s v="PR-1447"/>
    <d v="2026-08-11T00:00:00"/>
    <x v="1"/>
    <x v="1"/>
    <s v="Tuesday"/>
    <x v="0"/>
    <x v="3"/>
    <x v="3"/>
    <s v="Toothpaste"/>
    <x v="8"/>
    <s v="Whitening Toothpaste 100g"/>
    <s v="B260811-L1A"/>
    <s v="K. Verma"/>
    <x v="1"/>
    <x v="3"/>
    <x v="2"/>
    <n v="9670"/>
    <n v="9320"/>
    <n v="271"/>
    <n v="2.907725321888412E-2"/>
    <n v="0.96380558428128227"/>
    <x v="2"/>
    <n v="0"/>
    <n v="0"/>
    <s v="None"/>
    <n v="38"/>
    <n v="10298"/>
    <n v="37240"/>
    <n v="7530"/>
    <n v="7530"/>
    <x v="1766"/>
    <n v="13500"/>
  </r>
  <r>
    <s v="PR-1541"/>
    <d v="2026-08-19T00:00:00"/>
    <x v="1"/>
    <x v="1"/>
    <s v="Wednesday"/>
    <x v="2"/>
    <x v="3"/>
    <x v="3"/>
    <s v="Toothpaste"/>
    <x v="8"/>
    <s v="Whitening Toothpaste 100g"/>
    <s v="B260819-L1C"/>
    <s v="A. Gupta"/>
    <x v="1"/>
    <x v="3"/>
    <x v="3"/>
    <n v="8610"/>
    <n v="7720"/>
    <n v="211"/>
    <n v="2.7331606217616579E-2"/>
    <n v="0.89663182346109171"/>
    <x v="5"/>
    <n v="38"/>
    <n v="0.6333333333333333"/>
    <s v="Machine Breakdown"/>
    <n v="38"/>
    <n v="8018"/>
    <n v="40153"/>
    <n v="8850"/>
    <n v="8850"/>
    <x v="1767"/>
    <n v="13500"/>
  </r>
  <r>
    <s v="PR-1495"/>
    <d v="2026-08-15T00:00:00"/>
    <x v="1"/>
    <x v="1"/>
    <s v="Saturday"/>
    <x v="0"/>
    <x v="3"/>
    <x v="3"/>
    <s v="Toothpaste"/>
    <x v="8"/>
    <s v="Whitening Toothpaste 100g"/>
    <s v="B260815-L1A"/>
    <s v="R. Sharma"/>
    <x v="2"/>
    <x v="3"/>
    <x v="2"/>
    <n v="9260"/>
    <n v="9170"/>
    <n v="338"/>
    <n v="3.6859323882224647E-2"/>
    <n v="0.99028077753779697"/>
    <x v="5"/>
    <n v="0"/>
    <n v="0"/>
    <s v="None"/>
    <n v="38"/>
    <n v="12844"/>
    <n v="38981"/>
    <n v="9000"/>
    <n v="9000"/>
    <x v="1768"/>
    <n v="13500"/>
  </r>
  <r>
    <s v="PR-1624"/>
    <d v="2026-08-27T00:00:00"/>
    <x v="1"/>
    <x v="1"/>
    <s v="Thursday"/>
    <x v="0"/>
    <x v="1"/>
    <x v="1"/>
    <s v="Toothbrush"/>
    <x v="11"/>
    <s v="Soft Toothbrush"/>
    <s v="B260827-L4A"/>
    <s v="R. Sharma"/>
    <x v="2"/>
    <x v="1"/>
    <x v="0"/>
    <n v="9610"/>
    <n v="8380"/>
    <n v="63"/>
    <n v="7.5178997613365153E-3"/>
    <n v="0.87200832466181066"/>
    <x v="4"/>
    <n v="68"/>
    <n v="1.1333333333333333"/>
    <s v="Changeover"/>
    <n v="18"/>
    <n v="1134"/>
    <n v="39702"/>
    <n v="9130"/>
    <n v="9130"/>
    <x v="1769"/>
    <n v="15000"/>
  </r>
  <r>
    <s v="PR-1817"/>
    <d v="2026-09-14T00:00:00"/>
    <x v="0"/>
    <x v="0"/>
    <s v="Monday"/>
    <x v="1"/>
    <x v="2"/>
    <x v="2"/>
    <s v="Dental Floss"/>
    <x v="6"/>
    <s v="Floss Picks (100 pcs)"/>
    <s v="B260914-L3B"/>
    <s v="S. Yadav"/>
    <x v="1"/>
    <x v="2"/>
    <x v="10"/>
    <n v="5630"/>
    <n v="5810"/>
    <n v="239"/>
    <n v="4.1135972461273665E-2"/>
    <n v="1.0319715808170515"/>
    <x v="5"/>
    <n v="0"/>
    <n v="0"/>
    <s v="None"/>
    <n v="33"/>
    <n v="7887"/>
    <n v="38628"/>
    <n v="5280"/>
    <n v="5280"/>
    <x v="1770"/>
    <n v="9750"/>
  </r>
  <r>
    <s v="PR-1569"/>
    <d v="2026-08-22T00:00:00"/>
    <x v="1"/>
    <x v="1"/>
    <s v="Saturday"/>
    <x v="0"/>
    <x v="3"/>
    <x v="3"/>
    <s v="Toothpaste"/>
    <x v="8"/>
    <s v="Whitening Toothpaste 100g"/>
    <s v="B260822-L1A"/>
    <s v="K. Verma"/>
    <x v="1"/>
    <x v="3"/>
    <x v="3"/>
    <n v="9160"/>
    <n v="8770"/>
    <n v="269"/>
    <n v="3.0672748004561004E-2"/>
    <n v="0.95742358078602618"/>
    <x v="0"/>
    <n v="41"/>
    <n v="0.68333333333333335"/>
    <s v="Material Shortage"/>
    <n v="38"/>
    <n v="10222"/>
    <n v="38668"/>
    <n v="8240"/>
    <n v="8240"/>
    <x v="1771"/>
    <n v="13500"/>
  </r>
  <r>
    <s v="PR-1190"/>
    <d v="2026-07-18T00:00:00"/>
    <x v="2"/>
    <x v="2"/>
    <s v="Saturday"/>
    <x v="1"/>
    <x v="3"/>
    <x v="3"/>
    <s v="Toothpaste"/>
    <x v="8"/>
    <s v="Whitening Toothpaste 100g"/>
    <s v="B260718-L1B"/>
    <s v="S. Yadav"/>
    <x v="1"/>
    <x v="3"/>
    <x v="2"/>
    <n v="9670"/>
    <n v="9200"/>
    <n v="192"/>
    <n v="2.0869565217391306E-2"/>
    <n v="0.95139607032057916"/>
    <x v="2"/>
    <n v="0"/>
    <n v="0"/>
    <s v="None"/>
    <n v="38"/>
    <n v="7296"/>
    <n v="38664"/>
    <n v="8720"/>
    <n v="8720"/>
    <x v="1772"/>
    <n v="13500"/>
  </r>
  <r>
    <s v="PR-1899"/>
    <d v="2026-09-21T00:00:00"/>
    <x v="0"/>
    <x v="0"/>
    <s v="Monday"/>
    <x v="2"/>
    <x v="2"/>
    <x v="2"/>
    <s v="Dental Floss"/>
    <x v="6"/>
    <s v="Floss Picks (100 pcs)"/>
    <s v="B260921-L3C"/>
    <s v="M. Khan"/>
    <x v="1"/>
    <x v="2"/>
    <x v="11"/>
    <n v="4950"/>
    <n v="4300"/>
    <n v="148"/>
    <n v="3.4418604651162789E-2"/>
    <n v="0.86868686868686873"/>
    <x v="3"/>
    <n v="0"/>
    <n v="0"/>
    <s v="None"/>
    <n v="33"/>
    <n v="4884"/>
    <n v="39378"/>
    <n v="4550"/>
    <n v="4550"/>
    <x v="1773"/>
    <n v="9750"/>
  </r>
  <r>
    <s v="PR-1459"/>
    <d v="2026-08-12T00:00:00"/>
    <x v="1"/>
    <x v="1"/>
    <s v="Wednesday"/>
    <x v="0"/>
    <x v="3"/>
    <x v="3"/>
    <s v="Toothpaste"/>
    <x v="8"/>
    <s v="Whitening Toothpaste 100g"/>
    <s v="B260812-L1A"/>
    <s v="K. Verma"/>
    <x v="2"/>
    <x v="3"/>
    <x v="4"/>
    <n v="9630"/>
    <n v="9110"/>
    <n v="210"/>
    <n v="2.3051591657519209E-2"/>
    <n v="0.94600207684319837"/>
    <x v="0"/>
    <n v="0"/>
    <n v="0"/>
    <s v="None"/>
    <n v="38"/>
    <n v="7980"/>
    <n v="39061"/>
    <n v="8980"/>
    <n v="8980"/>
    <x v="1774"/>
    <n v="13500"/>
  </r>
  <r>
    <s v="PR-1931"/>
    <d v="2026-09-24T00:00:00"/>
    <x v="0"/>
    <x v="0"/>
    <s v="Thursday"/>
    <x v="1"/>
    <x v="2"/>
    <x v="2"/>
    <s v="Dental Floss"/>
    <x v="6"/>
    <s v="Floss Picks (100 pcs)"/>
    <s v="B260924-L3B"/>
    <s v="S. Yadav"/>
    <x v="1"/>
    <x v="2"/>
    <x v="11"/>
    <n v="5360"/>
    <n v="4710"/>
    <n v="145"/>
    <n v="3.0785562632696391E-2"/>
    <n v="0.87873134328358204"/>
    <x v="2"/>
    <n v="0"/>
    <n v="0"/>
    <s v="None"/>
    <n v="33"/>
    <n v="4785"/>
    <n v="38547"/>
    <n v="4090"/>
    <n v="4090"/>
    <x v="1775"/>
    <n v="9750"/>
  </r>
  <r>
    <s v="PR-1455"/>
    <d v="2026-08-11T00:00:00"/>
    <x v="1"/>
    <x v="1"/>
    <s v="Tuesday"/>
    <x v="2"/>
    <x v="3"/>
    <x v="3"/>
    <s v="Toothpaste"/>
    <x v="8"/>
    <s v="Whitening Toothpaste 100g"/>
    <s v="B260811-L1C"/>
    <s v="M. Khan"/>
    <x v="2"/>
    <x v="3"/>
    <x v="3"/>
    <n v="8000"/>
    <n v="7420"/>
    <n v="158"/>
    <n v="2.1293800539083557E-2"/>
    <n v="0.92749999999999999"/>
    <x v="5"/>
    <n v="0"/>
    <n v="0"/>
    <s v="None"/>
    <n v="38"/>
    <n v="6004"/>
    <n v="38759"/>
    <n v="6960"/>
    <n v="6960"/>
    <x v="1776"/>
    <n v="13500"/>
  </r>
  <r>
    <s v="PR-1202"/>
    <d v="2026-07-19T00:00:00"/>
    <x v="2"/>
    <x v="2"/>
    <s v="Sunday"/>
    <x v="1"/>
    <x v="3"/>
    <x v="3"/>
    <s v="Toothpaste"/>
    <x v="8"/>
    <s v="Whitening Toothpaste 100g"/>
    <s v="B260719-L1B"/>
    <s v="P. Singh"/>
    <x v="1"/>
    <x v="3"/>
    <x v="4"/>
    <n v="6380"/>
    <n v="5880"/>
    <n v="110"/>
    <n v="1.8707482993197279E-2"/>
    <n v="0.92163009404388718"/>
    <x v="0"/>
    <n v="48"/>
    <n v="0.8"/>
    <s v="Material Shortage"/>
    <n v="38"/>
    <n v="4180"/>
    <n v="38952"/>
    <n v="5660"/>
    <n v="5660"/>
    <x v="1777"/>
    <n v="13500"/>
  </r>
  <r>
    <s v="PR-1507"/>
    <d v="2026-08-16T00:00:00"/>
    <x v="1"/>
    <x v="1"/>
    <s v="Sunday"/>
    <x v="1"/>
    <x v="3"/>
    <x v="3"/>
    <s v="Toothpaste"/>
    <x v="8"/>
    <s v="Whitening Toothpaste 100g"/>
    <s v="B260816-L1B"/>
    <s v="S. Yadav"/>
    <x v="1"/>
    <x v="3"/>
    <x v="2"/>
    <n v="6480"/>
    <n v="6560"/>
    <n v="174"/>
    <n v="2.6524390243902438E-2"/>
    <n v="1.0123456790123457"/>
    <x v="3"/>
    <n v="55"/>
    <n v="0.91666666666666663"/>
    <s v="Changeover"/>
    <n v="38"/>
    <n v="6612"/>
    <n v="38813"/>
    <n v="6130"/>
    <n v="6130"/>
    <x v="1778"/>
    <n v="13500"/>
  </r>
  <r>
    <s v="PR-1604"/>
    <d v="2026-08-25T00:00:00"/>
    <x v="1"/>
    <x v="1"/>
    <s v="Tuesday"/>
    <x v="1"/>
    <x v="1"/>
    <x v="1"/>
    <s v="Toothbrush"/>
    <x v="11"/>
    <s v="Soft Toothbrush"/>
    <s v="B260825-L4B"/>
    <s v="S. Yadav"/>
    <x v="1"/>
    <x v="1"/>
    <x v="1"/>
    <n v="9490"/>
    <n v="8720"/>
    <n v="190"/>
    <n v="2.1788990825688075E-2"/>
    <n v="0.91886195995785036"/>
    <x v="5"/>
    <n v="0"/>
    <n v="0"/>
    <s v="None"/>
    <n v="18"/>
    <n v="3420"/>
    <n v="39897"/>
    <n v="9350"/>
    <n v="9350"/>
    <x v="1779"/>
    <n v="15000"/>
  </r>
  <r>
    <s v="PR-1821"/>
    <d v="2026-09-14T00:00:00"/>
    <x v="0"/>
    <x v="0"/>
    <s v="Monday"/>
    <x v="2"/>
    <x v="2"/>
    <x v="2"/>
    <s v="Dental Floss"/>
    <x v="6"/>
    <s v="Floss Picks (100 pcs)"/>
    <s v="B260914-L3C"/>
    <s v="M. Khan"/>
    <x v="1"/>
    <x v="2"/>
    <x v="10"/>
    <n v="5000"/>
    <n v="4760"/>
    <n v="129"/>
    <n v="2.7100840336134455E-2"/>
    <n v="0.95199999999999996"/>
    <x v="2"/>
    <n v="59"/>
    <n v="0.98333333333333328"/>
    <s v="Machine Breakdown"/>
    <n v="33"/>
    <n v="4257"/>
    <n v="38919"/>
    <n v="4430"/>
    <n v="4430"/>
    <x v="1780"/>
    <n v="9750"/>
  </r>
  <r>
    <s v="PR-1573"/>
    <d v="2026-08-22T00:00:00"/>
    <x v="1"/>
    <x v="1"/>
    <s v="Saturday"/>
    <x v="1"/>
    <x v="3"/>
    <x v="3"/>
    <s v="Toothpaste"/>
    <x v="8"/>
    <s v="Whitening Toothpaste 100g"/>
    <s v="B260822-L1B"/>
    <s v="P. Singh"/>
    <x v="2"/>
    <x v="3"/>
    <x v="2"/>
    <n v="8930"/>
    <n v="8540"/>
    <n v="198"/>
    <n v="2.3185011709601872E-2"/>
    <n v="0.95632698768197089"/>
    <x v="2"/>
    <n v="0"/>
    <n v="0"/>
    <s v="None"/>
    <n v="38"/>
    <n v="7524"/>
    <n v="38929"/>
    <n v="8150"/>
    <n v="8150"/>
    <x v="1781"/>
    <n v="13500"/>
  </r>
  <r>
    <s v="PR-1861"/>
    <d v="2026-09-18T00:00:00"/>
    <x v="0"/>
    <x v="0"/>
    <s v="Friday"/>
    <x v="0"/>
    <x v="2"/>
    <x v="2"/>
    <s v="Dental Floss"/>
    <x v="6"/>
    <s v="Floss Picks (100 pcs)"/>
    <s v="B260918-L3A"/>
    <s v="R. Sharma"/>
    <x v="1"/>
    <x v="2"/>
    <x v="8"/>
    <n v="5650"/>
    <n v="5030"/>
    <n v="124"/>
    <n v="2.4652087475149104E-2"/>
    <n v="0.89026548672566375"/>
    <x v="3"/>
    <n v="41"/>
    <n v="0.68333333333333335"/>
    <s v="Cleaning / Sanitation"/>
    <n v="33"/>
    <n v="4092"/>
    <n v="39255"/>
    <n v="5040"/>
    <n v="5040"/>
    <x v="1781"/>
    <n v="9750"/>
  </r>
  <r>
    <s v="PR-1605"/>
    <d v="2026-08-25T00:00:00"/>
    <x v="1"/>
    <x v="1"/>
    <s v="Tuesday"/>
    <x v="2"/>
    <x v="3"/>
    <x v="3"/>
    <s v="Toothpaste"/>
    <x v="8"/>
    <s v="Whitening Toothpaste 100g"/>
    <s v="B260825-L1C"/>
    <s v="A. Gupta"/>
    <x v="1"/>
    <x v="3"/>
    <x v="3"/>
    <n v="8160"/>
    <n v="7880"/>
    <n v="197"/>
    <n v="2.5000000000000001E-2"/>
    <n v="0.96568627450980393"/>
    <x v="2"/>
    <n v="0"/>
    <n v="0"/>
    <s v="None"/>
    <n v="38"/>
    <n v="7486"/>
    <n v="39614"/>
    <n v="8170"/>
    <n v="8170"/>
    <x v="1782"/>
    <n v="13500"/>
  </r>
  <r>
    <s v="PR-1185"/>
    <d v="2026-07-17T00:00:00"/>
    <x v="2"/>
    <x v="2"/>
    <s v="Friday"/>
    <x v="2"/>
    <x v="1"/>
    <x v="1"/>
    <s v="Toothbrush"/>
    <x v="11"/>
    <s v="Soft Toothbrush"/>
    <s v="B260717-L4C"/>
    <s v="A. Gupta"/>
    <x v="2"/>
    <x v="1"/>
    <x v="1"/>
    <n v="9270"/>
    <n v="8490"/>
    <n v="321"/>
    <n v="3.7809187279151946E-2"/>
    <n v="0.91585760517799353"/>
    <x v="4"/>
    <n v="29"/>
    <n v="0.48333333333333334"/>
    <s v="Changeover"/>
    <n v="18"/>
    <n v="5778"/>
    <n v="39343"/>
    <n v="8380"/>
    <n v="8380"/>
    <x v="1783"/>
    <n v="15000"/>
  </r>
  <r>
    <s v="PR-1513"/>
    <d v="2026-08-17T00:00:00"/>
    <x v="1"/>
    <x v="1"/>
    <s v="Monday"/>
    <x v="1"/>
    <x v="3"/>
    <x v="3"/>
    <s v="Toothpaste"/>
    <x v="8"/>
    <s v="Whitening Toothpaste 100g"/>
    <s v="B260817-L1B"/>
    <s v="P. Singh"/>
    <x v="2"/>
    <x v="3"/>
    <x v="2"/>
    <n v="8780"/>
    <n v="8560"/>
    <n v="200"/>
    <n v="2.336448598130841E-2"/>
    <n v="0.97494305239179957"/>
    <x v="5"/>
    <n v="26"/>
    <n v="0.43333333333333335"/>
    <s v="Cleaning / Sanitation"/>
    <n v="38"/>
    <n v="7600"/>
    <n v="39069"/>
    <n v="8220"/>
    <n v="8220"/>
    <x v="1784"/>
    <n v="13500"/>
  </r>
  <r>
    <s v="PR-1060"/>
    <d v="2026-07-06T00:00:00"/>
    <x v="2"/>
    <x v="2"/>
    <s v="Monday"/>
    <x v="2"/>
    <x v="1"/>
    <x v="1"/>
    <s v="Toothbrush"/>
    <x v="11"/>
    <s v="Soft Toothbrush"/>
    <s v="B260706-L4C"/>
    <s v="A. Gupta"/>
    <x v="2"/>
    <x v="1"/>
    <x v="6"/>
    <n v="8780"/>
    <n v="8460"/>
    <n v="134"/>
    <n v="1.5839243498817965E-2"/>
    <n v="0.96355353075170846"/>
    <x v="0"/>
    <n v="0"/>
    <n v="0"/>
    <s v="None"/>
    <n v="18"/>
    <n v="2412"/>
    <n v="37525"/>
    <n v="6640"/>
    <n v="6640"/>
    <x v="1785"/>
    <n v="15000"/>
  </r>
  <r>
    <s v="PR-1636"/>
    <d v="2026-08-28T00:00:00"/>
    <x v="1"/>
    <x v="1"/>
    <s v="Friday"/>
    <x v="0"/>
    <x v="1"/>
    <x v="1"/>
    <s v="Toothbrush"/>
    <x v="11"/>
    <s v="Soft Toothbrush"/>
    <s v="B260828-L4A"/>
    <s v="K. Verma"/>
    <x v="2"/>
    <x v="1"/>
    <x v="6"/>
    <n v="9750"/>
    <n v="9020"/>
    <n v="207"/>
    <n v="2.29490022172949E-2"/>
    <n v="0.92512820512820515"/>
    <x v="2"/>
    <n v="0"/>
    <n v="0"/>
    <s v="None"/>
    <n v="18"/>
    <n v="3726"/>
    <n v="39242"/>
    <n v="8820"/>
    <n v="8820"/>
    <x v="1786"/>
    <n v="15000"/>
  </r>
  <r>
    <s v="PR-1841"/>
    <d v="2026-09-16T00:00:00"/>
    <x v="0"/>
    <x v="0"/>
    <s v="Wednesday"/>
    <x v="1"/>
    <x v="2"/>
    <x v="2"/>
    <s v="Dental Floss"/>
    <x v="6"/>
    <s v="Floss Picks (100 pcs)"/>
    <s v="B260916-L3B"/>
    <s v="S. Yadav"/>
    <x v="1"/>
    <x v="2"/>
    <x v="10"/>
    <n v="5690"/>
    <n v="5400"/>
    <n v="96"/>
    <n v="1.7777777777777778E-2"/>
    <n v="0.94903339191564151"/>
    <x v="5"/>
    <n v="11"/>
    <n v="0.18333333333333332"/>
    <s v="Cleaning / Sanitation"/>
    <n v="33"/>
    <n v="3168"/>
    <n v="39501"/>
    <n v="5570"/>
    <n v="5570"/>
    <x v="1786"/>
    <n v="9750"/>
  </r>
  <r>
    <s v="PR-1632"/>
    <d v="2026-08-27T00:00:00"/>
    <x v="1"/>
    <x v="1"/>
    <s v="Thursday"/>
    <x v="2"/>
    <x v="1"/>
    <x v="1"/>
    <s v="Toothbrush"/>
    <x v="11"/>
    <s v="Soft Toothbrush"/>
    <s v="B260827-L4C"/>
    <s v="M. Khan"/>
    <x v="1"/>
    <x v="1"/>
    <x v="1"/>
    <n v="9220"/>
    <n v="8160"/>
    <n v="187"/>
    <n v="2.2916666666666665E-2"/>
    <n v="0.88503253796095449"/>
    <x v="4"/>
    <n v="0"/>
    <n v="0"/>
    <s v="None"/>
    <n v="18"/>
    <n v="3366"/>
    <n v="38889"/>
    <n v="7620"/>
    <n v="7620"/>
    <x v="1787"/>
    <n v="15000"/>
  </r>
  <r>
    <s v="PR-1849"/>
    <d v="2026-09-17T00:00:00"/>
    <x v="0"/>
    <x v="0"/>
    <s v="Thursday"/>
    <x v="0"/>
    <x v="2"/>
    <x v="2"/>
    <s v="Dental Floss"/>
    <x v="6"/>
    <s v="Floss Picks (100 pcs)"/>
    <s v="B260917-L3A"/>
    <s v="K. Verma"/>
    <x v="1"/>
    <x v="2"/>
    <x v="10"/>
    <n v="5870"/>
    <n v="5610"/>
    <n v="190"/>
    <n v="3.3868092691622102E-2"/>
    <n v="0.95570698466780235"/>
    <x v="5"/>
    <n v="0"/>
    <n v="0"/>
    <s v="None"/>
    <n v="33"/>
    <n v="6270"/>
    <n v="39235"/>
    <n v="5400"/>
    <n v="5400"/>
    <x v="1788"/>
    <n v="9750"/>
  </r>
  <r>
    <s v="PR-1247"/>
    <d v="2026-07-23T00:00:00"/>
    <x v="2"/>
    <x v="2"/>
    <s v="Thursday"/>
    <x v="1"/>
    <x v="1"/>
    <x v="1"/>
    <s v="Toothbrush"/>
    <x v="11"/>
    <s v="Soft Toothbrush"/>
    <s v="B260723-L4B"/>
    <s v="S. Yadav"/>
    <x v="1"/>
    <x v="1"/>
    <x v="6"/>
    <n v="10190"/>
    <n v="9320"/>
    <n v="232"/>
    <n v="2.4892703862660945E-2"/>
    <n v="0.91462217860647699"/>
    <x v="4"/>
    <n v="10"/>
    <n v="0.16666666666666666"/>
    <s v="Machine Breakdown"/>
    <n v="18"/>
    <n v="4176"/>
    <n v="39132"/>
    <n v="8950"/>
    <n v="8950"/>
    <x v="1789"/>
    <n v="15000"/>
  </r>
  <r>
    <s v="PR-1967"/>
    <d v="2026-09-28T00:00:00"/>
    <x v="0"/>
    <x v="0"/>
    <s v="Monday"/>
    <x v="0"/>
    <x v="2"/>
    <x v="2"/>
    <s v="Dental Floss"/>
    <x v="6"/>
    <s v="Floss Picks (100 pcs)"/>
    <s v="B260928-L3A"/>
    <s v="R. Sharma"/>
    <x v="2"/>
    <x v="2"/>
    <x v="8"/>
    <n v="5940"/>
    <n v="5610"/>
    <n v="119"/>
    <n v="2.1212121212121213E-2"/>
    <n v="0.94444444444444442"/>
    <x v="2"/>
    <n v="0"/>
    <n v="0"/>
    <s v="None"/>
    <n v="33"/>
    <n v="3927"/>
    <n v="39297"/>
    <n v="5510"/>
    <n v="5510"/>
    <x v="1790"/>
    <n v="9750"/>
  </r>
  <r>
    <s v="PR-1964"/>
    <d v="2026-09-27T00:00:00"/>
    <x v="0"/>
    <x v="0"/>
    <s v="Sunday"/>
    <x v="1"/>
    <x v="2"/>
    <x v="2"/>
    <s v="Dental Floss"/>
    <x v="6"/>
    <s v="Floss Picks (100 pcs)"/>
    <s v="B260927-L3B"/>
    <s v="S. Yadav"/>
    <x v="2"/>
    <x v="2"/>
    <x v="10"/>
    <n v="3650"/>
    <n v="3380"/>
    <n v="46"/>
    <n v="1.3609467455621301E-2"/>
    <n v="0.92602739726027394"/>
    <x v="0"/>
    <n v="0"/>
    <n v="0"/>
    <s v="None"/>
    <n v="33"/>
    <n v="1518"/>
    <n v="39483"/>
    <n v="3520"/>
    <n v="3520"/>
    <x v="1791"/>
    <n v="9750"/>
  </r>
  <r>
    <s v="PR-1255"/>
    <d v="2026-07-24T00:00:00"/>
    <x v="2"/>
    <x v="2"/>
    <s v="Friday"/>
    <x v="0"/>
    <x v="1"/>
    <x v="1"/>
    <s v="Toothbrush"/>
    <x v="11"/>
    <s v="Soft Toothbrush"/>
    <s v="B260724-L4A"/>
    <s v="R. Sharma"/>
    <x v="1"/>
    <x v="1"/>
    <x v="7"/>
    <n v="10560"/>
    <n v="10100"/>
    <n v="148"/>
    <n v="1.4653465346534653E-2"/>
    <n v="0.95643939393939392"/>
    <x v="3"/>
    <n v="57"/>
    <n v="0.95"/>
    <s v="Changeover"/>
    <n v="18"/>
    <n v="2664"/>
    <n v="39270"/>
    <n v="9900"/>
    <n v="9900"/>
    <x v="1792"/>
    <n v="15000"/>
  </r>
  <r>
    <s v="PR-1161"/>
    <d v="2026-07-15T00:00:00"/>
    <x v="2"/>
    <x v="2"/>
    <s v="Wednesday"/>
    <x v="2"/>
    <x v="1"/>
    <x v="1"/>
    <s v="Toothbrush"/>
    <x v="11"/>
    <s v="Soft Toothbrush"/>
    <s v="B260715-L4C"/>
    <s v="M. Khan"/>
    <x v="1"/>
    <x v="1"/>
    <x v="6"/>
    <n v="9190"/>
    <n v="8820"/>
    <n v="344"/>
    <n v="3.9002267573696146E-2"/>
    <n v="0.9597388465723613"/>
    <x v="5"/>
    <n v="60"/>
    <n v="1"/>
    <s v="Material Shortage"/>
    <n v="18"/>
    <n v="6192"/>
    <n v="39667"/>
    <n v="8800"/>
    <n v="8800"/>
    <x v="1793"/>
    <n v="15000"/>
  </r>
  <r>
    <s v="PR-1891"/>
    <d v="2026-09-21T00:00:00"/>
    <x v="0"/>
    <x v="0"/>
    <s v="Monday"/>
    <x v="0"/>
    <x v="2"/>
    <x v="2"/>
    <s v="Dental Floss"/>
    <x v="6"/>
    <s v="Floss Picks (100 pcs)"/>
    <s v="B260921-L3A"/>
    <s v="R. Sharma"/>
    <x v="2"/>
    <x v="2"/>
    <x v="10"/>
    <n v="5760"/>
    <n v="5590"/>
    <n v="165"/>
    <n v="2.9516994633273702E-2"/>
    <n v="0.97048611111111116"/>
    <x v="4"/>
    <n v="51"/>
    <n v="0.85"/>
    <s v="Changeover"/>
    <n v="33"/>
    <n v="5445"/>
    <n v="39695"/>
    <n v="5770"/>
    <n v="5770"/>
    <x v="1794"/>
    <n v="9750"/>
  </r>
  <r>
    <s v="PR-1895"/>
    <d v="2026-09-21T00:00:00"/>
    <x v="0"/>
    <x v="0"/>
    <s v="Monday"/>
    <x v="1"/>
    <x v="2"/>
    <x v="2"/>
    <s v="Dental Floss"/>
    <x v="6"/>
    <s v="Floss Picks (100 pcs)"/>
    <s v="B260921-L3B"/>
    <s v="P. Singh"/>
    <x v="1"/>
    <x v="2"/>
    <x v="10"/>
    <n v="5860"/>
    <n v="5400"/>
    <n v="122"/>
    <n v="2.2592592592592591E-2"/>
    <n v="0.92150170648464169"/>
    <x v="0"/>
    <n v="0"/>
    <n v="0"/>
    <s v="None"/>
    <n v="33"/>
    <n v="4026"/>
    <n v="39350"/>
    <n v="5250"/>
    <n v="5250"/>
    <x v="1795"/>
    <n v="9750"/>
  </r>
  <r>
    <s v="PR-1613"/>
    <d v="2026-08-26T00:00:00"/>
    <x v="1"/>
    <x v="1"/>
    <s v="Wednesday"/>
    <x v="1"/>
    <x v="3"/>
    <x v="3"/>
    <s v="Toothpaste"/>
    <x v="8"/>
    <s v="Whitening Toothpaste 100g"/>
    <s v="B260826-L1B"/>
    <s v="P. Singh"/>
    <x v="1"/>
    <x v="3"/>
    <x v="2"/>
    <n v="9120"/>
    <n v="9030"/>
    <n v="210"/>
    <n v="2.3255813953488372E-2"/>
    <n v="0.99013157894736847"/>
    <x v="0"/>
    <n v="0"/>
    <n v="0"/>
    <s v="None"/>
    <n v="38"/>
    <n v="7980"/>
    <n v="39969"/>
    <n v="9320"/>
    <n v="9320"/>
    <x v="1796"/>
    <n v="13500"/>
  </r>
  <r>
    <s v="PR-1873"/>
    <d v="2026-09-19T00:00:00"/>
    <x v="0"/>
    <x v="0"/>
    <s v="Saturday"/>
    <x v="0"/>
    <x v="2"/>
    <x v="2"/>
    <s v="Dental Floss"/>
    <x v="6"/>
    <s v="Floss Picks (100 pcs)"/>
    <s v="B260919-L3A"/>
    <s v="R. Sharma"/>
    <x v="1"/>
    <x v="2"/>
    <x v="10"/>
    <n v="5840"/>
    <n v="5730"/>
    <n v="152"/>
    <n v="2.6527050610820245E-2"/>
    <n v="0.98116438356164382"/>
    <x v="3"/>
    <n v="50"/>
    <n v="0.83333333333333337"/>
    <s v="Material Shortage"/>
    <n v="33"/>
    <n v="5016"/>
    <n v="39121"/>
    <n v="5230"/>
    <n v="5230"/>
    <x v="1796"/>
    <n v="9750"/>
  </r>
  <r>
    <s v="PR-1955"/>
    <d v="2026-09-26T00:00:00"/>
    <x v="0"/>
    <x v="0"/>
    <s v="Saturday"/>
    <x v="1"/>
    <x v="2"/>
    <x v="2"/>
    <s v="Dental Floss"/>
    <x v="6"/>
    <s v="Floss Picks (100 pcs)"/>
    <s v="B260926-L3B"/>
    <s v="S. Yadav"/>
    <x v="1"/>
    <x v="2"/>
    <x v="10"/>
    <n v="5720"/>
    <n v="5760"/>
    <n v="109"/>
    <n v="1.892361111111111E-2"/>
    <n v="1.0069930069930071"/>
    <x v="5"/>
    <n v="0"/>
    <n v="0"/>
    <s v="None"/>
    <n v="33"/>
    <n v="3597"/>
    <n v="39022"/>
    <n v="5190"/>
    <n v="5190"/>
    <x v="1797"/>
    <n v="9750"/>
  </r>
  <r>
    <s v="PR-1837"/>
    <d v="2026-09-16T00:00:00"/>
    <x v="0"/>
    <x v="0"/>
    <s v="Wednesday"/>
    <x v="0"/>
    <x v="2"/>
    <x v="2"/>
    <s v="Dental Floss"/>
    <x v="6"/>
    <s v="Floss Picks (100 pcs)"/>
    <s v="B260916-L3A"/>
    <s v="R. Sharma"/>
    <x v="1"/>
    <x v="2"/>
    <x v="10"/>
    <n v="5180"/>
    <n v="4880"/>
    <n v="109"/>
    <n v="2.2336065573770492E-2"/>
    <n v="0.94208494208494209"/>
    <x v="5"/>
    <n v="0"/>
    <n v="0"/>
    <s v="None"/>
    <n v="33"/>
    <n v="3597"/>
    <n v="39120"/>
    <n v="4390"/>
    <n v="4390"/>
    <x v="1798"/>
    <n v="9750"/>
  </r>
  <r>
    <s v="PR-1072"/>
    <d v="2026-07-07T00:00:00"/>
    <x v="2"/>
    <x v="2"/>
    <s v="Tuesday"/>
    <x v="2"/>
    <x v="1"/>
    <x v="1"/>
    <s v="Toothbrush"/>
    <x v="11"/>
    <s v="Soft Toothbrush"/>
    <s v="B260707-L4C"/>
    <s v="A. Gupta"/>
    <x v="2"/>
    <x v="1"/>
    <x v="0"/>
    <n v="10100"/>
    <n v="9460"/>
    <n v="220"/>
    <n v="2.3255813953488372E-2"/>
    <n v="0.93663366336633669"/>
    <x v="5"/>
    <n v="0"/>
    <n v="0"/>
    <s v="None"/>
    <n v="18"/>
    <n v="3960"/>
    <n v="39211"/>
    <n v="8900"/>
    <n v="8900"/>
    <x v="1799"/>
    <n v="15000"/>
  </r>
  <r>
    <s v="PR-1983"/>
    <d v="2026-09-29T00:00:00"/>
    <x v="0"/>
    <x v="0"/>
    <s v="Tuesday"/>
    <x v="1"/>
    <x v="2"/>
    <x v="2"/>
    <s v="Dental Floss"/>
    <x v="6"/>
    <s v="Floss Picks (100 pcs)"/>
    <s v="B260929-L3B"/>
    <s v="P. Singh"/>
    <x v="2"/>
    <x v="2"/>
    <x v="10"/>
    <n v="5800"/>
    <n v="5580"/>
    <n v="109"/>
    <n v="1.9534050179211469E-2"/>
    <n v="0.96206896551724141"/>
    <x v="0"/>
    <n v="36"/>
    <n v="0.6"/>
    <s v="Changeover"/>
    <n v="33"/>
    <n v="3597"/>
    <n v="39278"/>
    <n v="5190"/>
    <n v="5190"/>
    <x v="1800"/>
    <n v="9750"/>
  </r>
  <r>
    <s v="PR-1601"/>
    <d v="2026-08-25T00:00:00"/>
    <x v="1"/>
    <x v="1"/>
    <s v="Tuesday"/>
    <x v="1"/>
    <x v="3"/>
    <x v="3"/>
    <s v="Toothpaste"/>
    <x v="8"/>
    <s v="Whitening Toothpaste 100g"/>
    <s v="B260825-L1B"/>
    <s v="S. Yadav"/>
    <x v="2"/>
    <x v="3"/>
    <x v="2"/>
    <n v="9050"/>
    <n v="9020"/>
    <n v="219"/>
    <n v="2.4279379157427939E-2"/>
    <n v="0.99668508287292823"/>
    <x v="2"/>
    <n v="58"/>
    <n v="0.96666666666666667"/>
    <s v="Material Shortage"/>
    <n v="38"/>
    <n v="8322"/>
    <n v="39663"/>
    <n v="8850"/>
    <n v="8850"/>
    <x v="1801"/>
    <n v="13500"/>
  </r>
  <r>
    <s v="PR-1617"/>
    <d v="2026-08-26T00:00:00"/>
    <x v="1"/>
    <x v="1"/>
    <s v="Wednesday"/>
    <x v="2"/>
    <x v="3"/>
    <x v="3"/>
    <s v="Toothpaste"/>
    <x v="8"/>
    <s v="Whitening Toothpaste 100g"/>
    <s v="B260826-L1C"/>
    <s v="M. Khan"/>
    <x v="2"/>
    <x v="3"/>
    <x v="2"/>
    <n v="8510"/>
    <n v="8170"/>
    <n v="162"/>
    <n v="1.9828641370869034E-2"/>
    <n v="0.9600470035252644"/>
    <x v="5"/>
    <n v="66"/>
    <n v="1.1000000000000001"/>
    <s v="Machine Breakdown"/>
    <n v="38"/>
    <n v="6156"/>
    <n v="39469"/>
    <n v="7820"/>
    <n v="7820"/>
    <x v="1802"/>
    <n v="13500"/>
  </r>
  <r>
    <s v="PR-1581"/>
    <d v="2026-08-23T00:00:00"/>
    <x v="1"/>
    <x v="1"/>
    <s v="Sunday"/>
    <x v="0"/>
    <x v="3"/>
    <x v="3"/>
    <s v="Toothpaste"/>
    <x v="8"/>
    <s v="Whitening Toothpaste 100g"/>
    <s v="B260823-L1A"/>
    <s v="K. Verma"/>
    <x v="2"/>
    <x v="3"/>
    <x v="2"/>
    <n v="6090"/>
    <n v="5790"/>
    <n v="128"/>
    <n v="2.2107081174438686E-2"/>
    <n v="0.95073891625615758"/>
    <x v="3"/>
    <n v="0"/>
    <n v="0"/>
    <s v="None"/>
    <n v="38"/>
    <n v="4864"/>
    <n v="39121"/>
    <n v="5120"/>
    <n v="5120"/>
    <x v="1803"/>
    <n v="13500"/>
  </r>
  <r>
    <s v="PR-1122"/>
    <d v="2026-07-12T00:00:00"/>
    <x v="2"/>
    <x v="2"/>
    <s v="Sunday"/>
    <x v="0"/>
    <x v="1"/>
    <x v="1"/>
    <s v="Toothbrush"/>
    <x v="11"/>
    <s v="Soft Toothbrush"/>
    <s v="B260712-L4A"/>
    <s v="R. Sharma"/>
    <x v="1"/>
    <x v="1"/>
    <x v="6"/>
    <n v="7240"/>
    <n v="6410"/>
    <n v="186"/>
    <n v="2.9017160686427457E-2"/>
    <n v="0.88535911602209949"/>
    <x v="2"/>
    <n v="52"/>
    <n v="0.8666666666666667"/>
    <s v="Material Shortage"/>
    <n v="18"/>
    <n v="3348"/>
    <n v="40153"/>
    <n v="6710"/>
    <n v="6710"/>
    <x v="1804"/>
    <n v="15000"/>
  </r>
  <r>
    <s v="PR-1877"/>
    <d v="2026-09-19T00:00:00"/>
    <x v="0"/>
    <x v="0"/>
    <s v="Saturday"/>
    <x v="1"/>
    <x v="2"/>
    <x v="2"/>
    <s v="Dental Floss"/>
    <x v="6"/>
    <s v="Floss Picks (100 pcs)"/>
    <s v="B260919-L3B"/>
    <s v="P. Singh"/>
    <x v="1"/>
    <x v="2"/>
    <x v="10"/>
    <n v="5500"/>
    <n v="5380"/>
    <n v="124"/>
    <n v="2.3048327137546468E-2"/>
    <n v="0.97818181818181815"/>
    <x v="5"/>
    <n v="0"/>
    <n v="0"/>
    <s v="None"/>
    <n v="33"/>
    <n v="4092"/>
    <n v="39469"/>
    <n v="5030"/>
    <n v="5030"/>
    <x v="1805"/>
    <n v="9750"/>
  </r>
  <r>
    <s v="PR-1616"/>
    <d v="2026-08-26T00:00:00"/>
    <x v="1"/>
    <x v="1"/>
    <s v="Wednesday"/>
    <x v="1"/>
    <x v="1"/>
    <x v="1"/>
    <s v="Toothbrush"/>
    <x v="11"/>
    <s v="Soft Toothbrush"/>
    <s v="B260826-L4B"/>
    <s v="P. Singh"/>
    <x v="1"/>
    <x v="1"/>
    <x v="6"/>
    <n v="9480"/>
    <n v="8780"/>
    <n v="185"/>
    <n v="2.1070615034168565E-2"/>
    <n v="0.92616033755274263"/>
    <x v="0"/>
    <n v="58"/>
    <n v="0.96666666666666667"/>
    <s v="Material Shortage"/>
    <n v="18"/>
    <n v="3330"/>
    <n v="39077"/>
    <n v="7970"/>
    <n v="7970"/>
    <x v="1806"/>
    <n v="15000"/>
  </r>
  <r>
    <s v="PR-1640"/>
    <d v="2026-08-28T00:00:00"/>
    <x v="1"/>
    <x v="1"/>
    <s v="Friday"/>
    <x v="1"/>
    <x v="1"/>
    <x v="1"/>
    <s v="Toothbrush"/>
    <x v="11"/>
    <s v="Soft Toothbrush"/>
    <s v="B260828-L4B"/>
    <s v="S. Yadav"/>
    <x v="2"/>
    <x v="1"/>
    <x v="7"/>
    <n v="9390"/>
    <n v="8790"/>
    <n v="233"/>
    <n v="2.6507394766780431E-2"/>
    <n v="0.93610223642172519"/>
    <x v="3"/>
    <n v="41"/>
    <n v="0.68333333333333335"/>
    <s v="Machine Breakdown"/>
    <n v="18"/>
    <n v="4194"/>
    <n v="39235"/>
    <n v="8040"/>
    <n v="8040"/>
    <x v="1807"/>
    <n v="15000"/>
  </r>
  <r>
    <s v="PR-1600"/>
    <d v="2026-08-25T00:00:00"/>
    <x v="1"/>
    <x v="1"/>
    <s v="Tuesday"/>
    <x v="0"/>
    <x v="1"/>
    <x v="1"/>
    <s v="Toothbrush"/>
    <x v="11"/>
    <s v="Soft Toothbrush"/>
    <s v="B260825-L4A"/>
    <s v="R. Sharma"/>
    <x v="2"/>
    <x v="1"/>
    <x v="7"/>
    <n v="10140"/>
    <n v="9460"/>
    <n v="186"/>
    <n v="1.9661733615221989E-2"/>
    <n v="0.93293885601577908"/>
    <x v="2"/>
    <n v="37"/>
    <n v="0.6166666666666667"/>
    <s v="Machine Breakdown"/>
    <n v="18"/>
    <n v="3348"/>
    <n v="41023"/>
    <n v="10400"/>
    <n v="10400"/>
    <x v="1808"/>
    <n v="15000"/>
  </r>
  <r>
    <s v="PR-1609"/>
    <d v="2026-08-26T00:00:00"/>
    <x v="1"/>
    <x v="1"/>
    <s v="Wednesday"/>
    <x v="0"/>
    <x v="3"/>
    <x v="3"/>
    <s v="Toothpaste"/>
    <x v="8"/>
    <s v="Whitening Toothpaste 100g"/>
    <s v="B260826-L1A"/>
    <s v="R. Sharma"/>
    <x v="1"/>
    <x v="3"/>
    <x v="2"/>
    <n v="9070"/>
    <n v="8980"/>
    <n v="238"/>
    <n v="2.6503340757238307E-2"/>
    <n v="0.99007717750826907"/>
    <x v="5"/>
    <n v="0"/>
    <n v="0"/>
    <s v="None"/>
    <n v="38"/>
    <n v="9044"/>
    <n v="39127"/>
    <n v="7900"/>
    <n v="7900"/>
    <x v="1809"/>
    <n v="13500"/>
  </r>
  <r>
    <s v="PR-1987"/>
    <d v="2026-09-29T00:00:00"/>
    <x v="0"/>
    <x v="0"/>
    <s v="Tuesday"/>
    <x v="2"/>
    <x v="2"/>
    <x v="2"/>
    <s v="Dental Floss"/>
    <x v="6"/>
    <s v="Floss Picks (100 pcs)"/>
    <s v="B260929-L3C"/>
    <s v="M. Khan"/>
    <x v="2"/>
    <x v="2"/>
    <x v="8"/>
    <n v="5040"/>
    <n v="4830"/>
    <n v="106"/>
    <n v="2.1946169772256729E-2"/>
    <n v="0.95833333333333337"/>
    <x v="0"/>
    <n v="0"/>
    <n v="0"/>
    <s v="None"/>
    <n v="33"/>
    <n v="3498"/>
    <n v="39559"/>
    <n v="4300"/>
    <n v="4300"/>
    <x v="1810"/>
    <n v="9750"/>
  </r>
  <r>
    <s v="PR-1525"/>
    <d v="2026-08-18T00:00:00"/>
    <x v="1"/>
    <x v="1"/>
    <s v="Tuesday"/>
    <x v="1"/>
    <x v="3"/>
    <x v="3"/>
    <s v="Toothpaste"/>
    <x v="8"/>
    <s v="Whitening Toothpaste 100g"/>
    <s v="B260818-L1B"/>
    <s v="S. Yadav"/>
    <x v="1"/>
    <x v="3"/>
    <x v="2"/>
    <n v="9670"/>
    <n v="9200"/>
    <n v="206"/>
    <n v="2.2391304347826088E-2"/>
    <n v="0.95139607032057916"/>
    <x v="5"/>
    <n v="60"/>
    <n v="1"/>
    <s v="Changeover"/>
    <n v="38"/>
    <n v="7828"/>
    <n v="39209"/>
    <n v="8130"/>
    <n v="8130"/>
    <x v="1811"/>
    <n v="13500"/>
  </r>
  <r>
    <s v="PR-1561"/>
    <d v="2026-08-21T00:00:00"/>
    <x v="1"/>
    <x v="1"/>
    <s v="Friday"/>
    <x v="1"/>
    <x v="3"/>
    <x v="3"/>
    <s v="Toothpaste"/>
    <x v="8"/>
    <s v="Whitening Toothpaste 100g"/>
    <s v="B260821-L1B"/>
    <s v="S. Yadav"/>
    <x v="1"/>
    <x v="3"/>
    <x v="2"/>
    <n v="9270"/>
    <n v="9310"/>
    <n v="292"/>
    <n v="3.1364124597207305E-2"/>
    <n v="1.0043149946062568"/>
    <x v="2"/>
    <n v="0"/>
    <n v="0"/>
    <s v="None"/>
    <n v="38"/>
    <n v="11096"/>
    <n v="38812"/>
    <n v="7700"/>
    <n v="7700"/>
    <x v="1812"/>
    <n v="13500"/>
  </r>
  <r>
    <s v="PR-1259"/>
    <d v="2026-07-24T00:00:00"/>
    <x v="2"/>
    <x v="2"/>
    <s v="Friday"/>
    <x v="1"/>
    <x v="1"/>
    <x v="1"/>
    <s v="Toothbrush"/>
    <x v="11"/>
    <s v="Soft Toothbrush"/>
    <s v="B260724-L4B"/>
    <s v="P. Singh"/>
    <x v="2"/>
    <x v="1"/>
    <x v="7"/>
    <n v="10330"/>
    <n v="10170"/>
    <n v="231"/>
    <n v="2.271386430678466E-2"/>
    <n v="0.98451113262342693"/>
    <x v="2"/>
    <n v="0"/>
    <n v="0"/>
    <s v="None"/>
    <n v="18"/>
    <n v="4158"/>
    <n v="39322"/>
    <n v="9130"/>
    <n v="9130"/>
    <x v="1813"/>
    <n v="15000"/>
  </r>
  <r>
    <s v="PR-1120"/>
    <d v="2026-07-11T00:00:00"/>
    <x v="2"/>
    <x v="2"/>
    <s v="Saturday"/>
    <x v="2"/>
    <x v="1"/>
    <x v="1"/>
    <s v="Toothbrush"/>
    <x v="11"/>
    <s v="Soft Toothbrush"/>
    <s v="B260711-L4C"/>
    <s v="A. Gupta"/>
    <x v="2"/>
    <x v="1"/>
    <x v="0"/>
    <n v="10130"/>
    <n v="8810"/>
    <n v="247"/>
    <n v="2.8036322360953461E-2"/>
    <n v="0.86969397828232975"/>
    <x v="2"/>
    <n v="16"/>
    <n v="0.26666666666666666"/>
    <s v="Machine Breakdown"/>
    <n v="18"/>
    <n v="4446"/>
    <n v="41310"/>
    <n v="9720"/>
    <n v="9720"/>
    <x v="1814"/>
    <n v="15000"/>
  </r>
  <r>
    <s v="PR-1529"/>
    <d v="2026-08-18T00:00:00"/>
    <x v="1"/>
    <x v="1"/>
    <s v="Tuesday"/>
    <x v="2"/>
    <x v="3"/>
    <x v="3"/>
    <s v="Toothpaste"/>
    <x v="8"/>
    <s v="Whitening Toothpaste 100g"/>
    <s v="B260818-L1C"/>
    <s v="A. Gupta"/>
    <x v="1"/>
    <x v="3"/>
    <x v="2"/>
    <n v="7910"/>
    <n v="7630"/>
    <n v="110"/>
    <n v="1.4416775884665793E-2"/>
    <n v="0.96460176991150437"/>
    <x v="4"/>
    <n v="0"/>
    <n v="0"/>
    <s v="None"/>
    <n v="38"/>
    <n v="4180"/>
    <n v="40073"/>
    <n v="7440"/>
    <n v="7440"/>
    <x v="1814"/>
    <n v="13500"/>
  </r>
  <r>
    <s v="PR-1076"/>
    <d v="2026-07-08T00:00:00"/>
    <x v="2"/>
    <x v="2"/>
    <s v="Wednesday"/>
    <x v="0"/>
    <x v="1"/>
    <x v="1"/>
    <s v="Toothbrush"/>
    <x v="11"/>
    <s v="Soft Toothbrush"/>
    <s v="B260708-L4A"/>
    <s v="R. Sharma"/>
    <x v="2"/>
    <x v="1"/>
    <x v="0"/>
    <n v="10440"/>
    <n v="10040"/>
    <n v="178"/>
    <n v="1.7729083665338645E-2"/>
    <n v="0.96168582375478928"/>
    <x v="2"/>
    <n v="0"/>
    <n v="0"/>
    <s v="None"/>
    <n v="18"/>
    <n v="3204"/>
    <n v="39551"/>
    <n v="9060"/>
    <n v="9060"/>
    <x v="1815"/>
    <n v="15000"/>
  </r>
  <r>
    <s v="PR-1999"/>
    <d v="2026-09-30T00:00:00"/>
    <x v="0"/>
    <x v="0"/>
    <s v="Wednesday"/>
    <x v="2"/>
    <x v="2"/>
    <x v="2"/>
    <s v="Dental Floss"/>
    <x v="6"/>
    <s v="Floss Picks (100 pcs)"/>
    <s v="B260930-L3C"/>
    <s v="A. Gupta"/>
    <x v="1"/>
    <x v="2"/>
    <x v="10"/>
    <n v="5580"/>
    <n v="5600"/>
    <n v="200"/>
    <n v="3.5714285714285712E-2"/>
    <n v="1.0035842293906809"/>
    <x v="2"/>
    <n v="0"/>
    <n v="0"/>
    <s v="None"/>
    <n v="33"/>
    <n v="6600"/>
    <n v="39983"/>
    <n v="4890"/>
    <n v="4890"/>
    <x v="1816"/>
    <n v="9750"/>
  </r>
  <r>
    <s v="PR-1644"/>
    <d v="2026-08-28T00:00:00"/>
    <x v="1"/>
    <x v="1"/>
    <s v="Friday"/>
    <x v="2"/>
    <x v="1"/>
    <x v="1"/>
    <s v="Toothbrush"/>
    <x v="11"/>
    <s v="Soft Toothbrush"/>
    <s v="B260828-L4C"/>
    <s v="M. Khan"/>
    <x v="1"/>
    <x v="1"/>
    <x v="1"/>
    <n v="9640"/>
    <n v="9000"/>
    <n v="229"/>
    <n v="2.5444444444444443E-2"/>
    <n v="0.93360995850622408"/>
    <x v="2"/>
    <n v="0"/>
    <n v="0"/>
    <s v="None"/>
    <n v="18"/>
    <n v="4122"/>
    <n v="39752"/>
    <n v="7850"/>
    <n v="7850"/>
    <x v="1817"/>
    <n v="15000"/>
  </r>
  <r>
    <s v="PR-1649"/>
    <d v="2026-08-29T00:00:00"/>
    <x v="1"/>
    <x v="1"/>
    <s v="Saturday"/>
    <x v="1"/>
    <x v="3"/>
    <x v="3"/>
    <s v="Toothpaste"/>
    <x v="8"/>
    <s v="Whitening Toothpaste 100g"/>
    <s v="B260829-L1B"/>
    <s v="S. Yadav"/>
    <x v="2"/>
    <x v="3"/>
    <x v="3"/>
    <n v="7800"/>
    <n v="7580"/>
    <n v="215"/>
    <n v="2.8364116094986808E-2"/>
    <n v="0.97179487179487178"/>
    <x v="2"/>
    <n v="0"/>
    <n v="0"/>
    <s v="None"/>
    <n v="38"/>
    <n v="8170"/>
    <n v="40961"/>
    <n v="7610"/>
    <n v="7610"/>
    <x v="1818"/>
    <n v="13500"/>
  </r>
  <r>
    <s v="PR-1633"/>
    <d v="2026-08-28T00:00:00"/>
    <x v="1"/>
    <x v="1"/>
    <s v="Friday"/>
    <x v="0"/>
    <x v="3"/>
    <x v="3"/>
    <s v="Toothpaste"/>
    <x v="8"/>
    <s v="Whitening Toothpaste 100g"/>
    <s v="B260828-L1A"/>
    <s v="R. Sharma"/>
    <x v="1"/>
    <x v="3"/>
    <x v="2"/>
    <n v="8370"/>
    <n v="8550"/>
    <n v="226"/>
    <n v="2.6432748538011697E-2"/>
    <n v="1.021505376344086"/>
    <x v="4"/>
    <n v="0"/>
    <n v="0"/>
    <s v="None"/>
    <n v="38"/>
    <n v="8588"/>
    <n v="39657"/>
    <n v="7020"/>
    <n v="7020"/>
    <x v="1819"/>
    <n v="13500"/>
  </r>
  <r>
    <s v="PR-1580"/>
    <d v="2026-08-22T00:00:00"/>
    <x v="1"/>
    <x v="1"/>
    <s v="Saturday"/>
    <x v="2"/>
    <x v="1"/>
    <x v="1"/>
    <s v="Toothbrush"/>
    <x v="11"/>
    <s v="Soft Toothbrush"/>
    <s v="B260822-L4C"/>
    <s v="A. Gupta"/>
    <x v="1"/>
    <x v="1"/>
    <x v="1"/>
    <n v="9950"/>
    <n v="8700"/>
    <n v="230"/>
    <n v="2.6436781609195402E-2"/>
    <n v="0.87437185929648242"/>
    <x v="5"/>
    <n v="0"/>
    <n v="0"/>
    <s v="None"/>
    <n v="18"/>
    <n v="4140"/>
    <n v="41393"/>
    <n v="8840"/>
    <n v="8840"/>
    <x v="1820"/>
    <n v="15000"/>
  </r>
  <r>
    <s v="PR-1672"/>
    <d v="2026-08-31T00:00:00"/>
    <x v="1"/>
    <x v="1"/>
    <s v="Monday"/>
    <x v="2"/>
    <x v="1"/>
    <x v="1"/>
    <s v="Toothbrush"/>
    <x v="11"/>
    <s v="Soft Toothbrush"/>
    <s v="B260831-L4C"/>
    <s v="M. Khan"/>
    <x v="2"/>
    <x v="1"/>
    <x v="1"/>
    <n v="8920"/>
    <n v="7960"/>
    <n v="176"/>
    <n v="2.2110552763819097E-2"/>
    <n v="0.8923766816143498"/>
    <x v="0"/>
    <n v="45"/>
    <n v="0.75"/>
    <s v="Machine Breakdown"/>
    <n v="18"/>
    <n v="3168"/>
    <n v="41310"/>
    <n v="7920"/>
    <n v="7920"/>
    <x v="1821"/>
    <n v="15000"/>
  </r>
  <r>
    <s v="PR-1307"/>
    <d v="2026-07-29T00:00:00"/>
    <x v="2"/>
    <x v="2"/>
    <s v="Wednesday"/>
    <x v="0"/>
    <x v="1"/>
    <x v="1"/>
    <s v="Toothbrush"/>
    <x v="11"/>
    <s v="Soft Toothbrush"/>
    <s v="B260729-L4A"/>
    <s v="R. Sharma"/>
    <x v="2"/>
    <x v="1"/>
    <x v="7"/>
    <n v="9890"/>
    <n v="9460"/>
    <n v="429"/>
    <n v="4.5348837209302328E-2"/>
    <n v="0.95652173913043481"/>
    <x v="2"/>
    <n v="57"/>
    <n v="0.95"/>
    <s v="Cleaning / Sanitation"/>
    <n v="18"/>
    <n v="7722"/>
    <n v="41238"/>
    <n v="9050"/>
    <n v="9050"/>
    <x v="1822"/>
    <n v="15000"/>
  </r>
  <r>
    <s v="PR-1279"/>
    <d v="2026-07-26T00:00:00"/>
    <x v="2"/>
    <x v="2"/>
    <s v="Sunday"/>
    <x v="1"/>
    <x v="1"/>
    <x v="1"/>
    <s v="Toothbrush"/>
    <x v="11"/>
    <s v="Soft Toothbrush"/>
    <s v="B260726-L4B"/>
    <s v="P. Singh"/>
    <x v="2"/>
    <x v="1"/>
    <x v="6"/>
    <n v="7290"/>
    <n v="7270"/>
    <n v="123"/>
    <n v="1.6918844566712516E-2"/>
    <n v="0.99725651577503427"/>
    <x v="5"/>
    <n v="0"/>
    <n v="0"/>
    <s v="None"/>
    <n v="18"/>
    <n v="2214"/>
    <n v="40131"/>
    <n v="6040"/>
    <n v="6040"/>
    <x v="1823"/>
    <n v="15000"/>
  </r>
  <r>
    <s v="PR-1657"/>
    <d v="2026-08-30T00:00:00"/>
    <x v="1"/>
    <x v="1"/>
    <s v="Sunday"/>
    <x v="0"/>
    <x v="3"/>
    <x v="3"/>
    <s v="Toothpaste"/>
    <x v="8"/>
    <s v="Whitening Toothpaste 100g"/>
    <s v="B260830-L1A"/>
    <s v="R. Sharma"/>
    <x v="1"/>
    <x v="3"/>
    <x v="2"/>
    <n v="5300"/>
    <n v="5230"/>
    <n v="135"/>
    <n v="2.5812619502868069E-2"/>
    <n v="0.98679245283018868"/>
    <x v="0"/>
    <n v="0"/>
    <n v="0"/>
    <s v="None"/>
    <n v="38"/>
    <n v="5130"/>
    <n v="40716"/>
    <n v="4510"/>
    <n v="4510"/>
    <x v="1824"/>
    <n v="13500"/>
  </r>
  <r>
    <s v="PR-1116"/>
    <d v="2026-07-11T00:00:00"/>
    <x v="2"/>
    <x v="2"/>
    <s v="Saturday"/>
    <x v="1"/>
    <x v="1"/>
    <x v="1"/>
    <s v="Toothbrush"/>
    <x v="11"/>
    <s v="Soft Toothbrush"/>
    <s v="B260711-L4B"/>
    <s v="P. Singh"/>
    <x v="1"/>
    <x v="1"/>
    <x v="6"/>
    <n v="9430"/>
    <n v="8570"/>
    <n v="101"/>
    <n v="1.1785297549591598E-2"/>
    <n v="0.90880169671261934"/>
    <x v="2"/>
    <n v="18"/>
    <n v="0.3"/>
    <s v="Cleaning / Sanitation"/>
    <n v="18"/>
    <n v="1818"/>
    <n v="41691"/>
    <n v="8850"/>
    <n v="8850"/>
    <x v="1825"/>
    <n v="15000"/>
  </r>
  <r>
    <s v="PR-1656"/>
    <d v="2026-08-29T00:00:00"/>
    <x v="1"/>
    <x v="1"/>
    <s v="Saturday"/>
    <x v="2"/>
    <x v="1"/>
    <x v="1"/>
    <s v="Toothbrush"/>
    <x v="11"/>
    <s v="Soft Toothbrush"/>
    <s v="B260829-L4C"/>
    <s v="A. Gupta"/>
    <x v="1"/>
    <x v="1"/>
    <x v="7"/>
    <n v="9690"/>
    <n v="9050"/>
    <n v="343"/>
    <n v="3.7900552486187844E-2"/>
    <n v="0.93395252837977294"/>
    <x v="0"/>
    <n v="30"/>
    <n v="0.5"/>
    <s v="Machine Breakdown"/>
    <n v="18"/>
    <n v="6174"/>
    <n v="40673"/>
    <n v="8070"/>
    <n v="8070"/>
    <x v="1825"/>
    <n v="15000"/>
  </r>
  <r>
    <s v="PR-1576"/>
    <d v="2026-08-22T00:00:00"/>
    <x v="1"/>
    <x v="1"/>
    <s v="Saturday"/>
    <x v="1"/>
    <x v="1"/>
    <x v="1"/>
    <s v="Toothbrush"/>
    <x v="11"/>
    <s v="Soft Toothbrush"/>
    <s v="B260822-L4B"/>
    <s v="S. Yadav"/>
    <x v="2"/>
    <x v="1"/>
    <x v="2"/>
    <n v="10150"/>
    <n v="8900"/>
    <n v="197"/>
    <n v="2.2134831460674156E-2"/>
    <n v="0.87684729064039413"/>
    <x v="2"/>
    <n v="0"/>
    <n v="0"/>
    <s v="None"/>
    <n v="18"/>
    <n v="3546"/>
    <n v="42480"/>
    <n v="9790"/>
    <n v="9790"/>
    <x v="1826"/>
    <n v="15000"/>
  </r>
  <r>
    <s v="PR-1096"/>
    <d v="2026-07-09T00:00:00"/>
    <x v="2"/>
    <x v="2"/>
    <s v="Thursday"/>
    <x v="2"/>
    <x v="1"/>
    <x v="1"/>
    <s v="Toothbrush"/>
    <x v="11"/>
    <s v="Soft Toothbrush"/>
    <s v="B260709-L4C"/>
    <s v="M. Khan"/>
    <x v="2"/>
    <x v="1"/>
    <x v="6"/>
    <n v="9380"/>
    <n v="8960"/>
    <n v="136"/>
    <n v="1.5178571428571428E-2"/>
    <n v="0.95522388059701491"/>
    <x v="2"/>
    <n v="0"/>
    <n v="0"/>
    <s v="None"/>
    <n v="18"/>
    <n v="2448"/>
    <n v="40353"/>
    <n v="7770"/>
    <n v="7770"/>
    <x v="1827"/>
    <n v="15000"/>
  </r>
  <r>
    <s v="PR-1363"/>
    <d v="2026-08-03T00:00:00"/>
    <x v="1"/>
    <x v="1"/>
    <s v="Monday"/>
    <x v="1"/>
    <x v="1"/>
    <x v="1"/>
    <s v="Toothbrush"/>
    <x v="11"/>
    <s v="Soft Toothbrush"/>
    <s v="B260803-L4B"/>
    <s v="P. Singh"/>
    <x v="2"/>
    <x v="1"/>
    <x v="7"/>
    <n v="10770"/>
    <n v="10260"/>
    <n v="212"/>
    <n v="2.0662768031189084E-2"/>
    <n v="0.9526462395543176"/>
    <x v="5"/>
    <n v="0"/>
    <n v="0"/>
    <s v="None"/>
    <n v="18"/>
    <n v="3816"/>
    <n v="41827"/>
    <n v="10250"/>
    <n v="10250"/>
    <x v="1828"/>
    <n v="15000"/>
  </r>
  <r>
    <s v="PR-1100"/>
    <d v="2026-07-10T00:00:00"/>
    <x v="2"/>
    <x v="2"/>
    <s v="Friday"/>
    <x v="0"/>
    <x v="1"/>
    <x v="1"/>
    <s v="Toothbrush"/>
    <x v="11"/>
    <s v="Soft Toothbrush"/>
    <s v="B260710-L4A"/>
    <s v="R. Sharma"/>
    <x v="2"/>
    <x v="1"/>
    <x v="6"/>
    <n v="9560"/>
    <n v="9020"/>
    <n v="276"/>
    <n v="3.0598669623059866E-2"/>
    <n v="0.94351464435146448"/>
    <x v="4"/>
    <n v="28"/>
    <n v="0.46666666666666667"/>
    <s v="Changeover"/>
    <n v="18"/>
    <n v="4968"/>
    <n v="41407"/>
    <n v="8460"/>
    <n v="8460"/>
    <x v="1829"/>
    <n v="15000"/>
  </r>
  <r>
    <s v="PR-1331"/>
    <d v="2026-07-31T00:00:00"/>
    <x v="2"/>
    <x v="2"/>
    <s v="Friday"/>
    <x v="0"/>
    <x v="1"/>
    <x v="1"/>
    <s v="Toothbrush"/>
    <x v="11"/>
    <s v="Soft Toothbrush"/>
    <s v="B260731-L4A"/>
    <s v="K. Verma"/>
    <x v="1"/>
    <x v="1"/>
    <x v="7"/>
    <n v="9940"/>
    <n v="9400"/>
    <n v="283"/>
    <n v="3.0106382978723405E-2"/>
    <n v="0.94567404426559354"/>
    <x v="4"/>
    <n v="68"/>
    <n v="1.1333333333333333"/>
    <s v="Changeover"/>
    <n v="18"/>
    <n v="5094"/>
    <n v="41219"/>
    <n v="8510"/>
    <n v="8510"/>
    <x v="1830"/>
    <n v="15000"/>
  </r>
  <r>
    <s v="PR-1343"/>
    <d v="2026-08-01T00:00:00"/>
    <x v="1"/>
    <x v="1"/>
    <s v="Saturday"/>
    <x v="0"/>
    <x v="1"/>
    <x v="1"/>
    <s v="Toothbrush"/>
    <x v="11"/>
    <s v="Soft Toothbrush"/>
    <s v="B260801-L4A"/>
    <s v="K. Verma"/>
    <x v="2"/>
    <x v="1"/>
    <x v="7"/>
    <n v="10110"/>
    <n v="9290"/>
    <n v="215"/>
    <n v="2.3143164693218515E-2"/>
    <n v="0.91889218595450051"/>
    <x v="0"/>
    <n v="0"/>
    <n v="0"/>
    <s v="None"/>
    <n v="18"/>
    <n v="3870"/>
    <n v="42042"/>
    <n v="9290"/>
    <n v="9290"/>
    <x v="1831"/>
    <n v="15000"/>
  </r>
  <r>
    <s v="PR-1520"/>
    <d v="2026-08-17T00:00:00"/>
    <x v="1"/>
    <x v="1"/>
    <s v="Monday"/>
    <x v="2"/>
    <x v="1"/>
    <x v="1"/>
    <s v="Toothbrush"/>
    <x v="11"/>
    <s v="Soft Toothbrush"/>
    <s v="B260817-L4C"/>
    <s v="A. Gupta"/>
    <x v="1"/>
    <x v="1"/>
    <x v="1"/>
    <n v="9340"/>
    <n v="8440"/>
    <n v="269"/>
    <n v="3.1872037914691946E-2"/>
    <n v="0.90364025695931482"/>
    <x v="3"/>
    <n v="40"/>
    <n v="0.66666666666666663"/>
    <s v="Machine Breakdown"/>
    <n v="18"/>
    <n v="4842"/>
    <n v="42605"/>
    <n v="8940"/>
    <n v="8940"/>
    <x v="1832"/>
    <n v="15000"/>
  </r>
  <r>
    <s v="PR-1661"/>
    <d v="2026-08-31T00:00:00"/>
    <x v="1"/>
    <x v="1"/>
    <s v="Monday"/>
    <x v="0"/>
    <x v="3"/>
    <x v="3"/>
    <s v="Toothpaste"/>
    <x v="8"/>
    <s v="Whitening Toothpaste 100g"/>
    <s v="B260831-L1A"/>
    <s v="K. Verma"/>
    <x v="1"/>
    <x v="3"/>
    <x v="2"/>
    <n v="7050"/>
    <n v="6770"/>
    <n v="39"/>
    <n v="5.7607090103397344E-3"/>
    <n v="0.96028368794326247"/>
    <x v="4"/>
    <n v="44"/>
    <n v="0.73333333333333328"/>
    <s v="Changeover"/>
    <n v="38"/>
    <n v="1482"/>
    <n v="41301"/>
    <n v="6180"/>
    <n v="6180"/>
    <x v="1833"/>
    <n v="13500"/>
  </r>
  <r>
    <s v="PR-1423"/>
    <d v="2026-08-08T00:00:00"/>
    <x v="1"/>
    <x v="1"/>
    <s v="Saturday"/>
    <x v="1"/>
    <x v="1"/>
    <x v="1"/>
    <s v="Toothbrush"/>
    <x v="11"/>
    <s v="Soft Toothbrush"/>
    <s v="B260808-L4B"/>
    <s v="P. Singh"/>
    <x v="2"/>
    <x v="1"/>
    <x v="6"/>
    <n v="9810"/>
    <n v="9190"/>
    <n v="363"/>
    <n v="3.9499455930359084E-2"/>
    <n v="0.93679918450560651"/>
    <x v="3"/>
    <n v="55"/>
    <n v="0.91666666666666663"/>
    <s v="Power Interruption"/>
    <n v="18"/>
    <n v="6534"/>
    <n v="42493"/>
    <n v="9390"/>
    <n v="9390"/>
    <x v="1834"/>
    <n v="15000"/>
  </r>
  <r>
    <s v="PR-1676"/>
    <d v="2026-09-01T00:00:00"/>
    <x v="0"/>
    <x v="0"/>
    <s v="Tuesday"/>
    <x v="0"/>
    <x v="1"/>
    <x v="1"/>
    <s v="Toothbrush"/>
    <x v="11"/>
    <s v="Soft Toothbrush"/>
    <s v="B260901-L4A"/>
    <s v="R. Sharma"/>
    <x v="2"/>
    <x v="1"/>
    <x v="7"/>
    <n v="9970"/>
    <n v="9710"/>
    <n v="250"/>
    <n v="2.5746652935118436E-2"/>
    <n v="0.9739217652958877"/>
    <x v="3"/>
    <n v="64"/>
    <n v="1.0666666666666667"/>
    <s v="Changeover"/>
    <n v="18"/>
    <n v="4500"/>
    <n v="41174"/>
    <n v="8700"/>
    <n v="8700"/>
    <x v="1835"/>
    <n v="15000"/>
  </r>
  <r>
    <s v="PR-1339"/>
    <d v="2026-07-31T00:00:00"/>
    <x v="2"/>
    <x v="2"/>
    <s v="Friday"/>
    <x v="2"/>
    <x v="1"/>
    <x v="1"/>
    <s v="Toothbrush"/>
    <x v="11"/>
    <s v="Soft Toothbrush"/>
    <s v="B260731-L4C"/>
    <s v="A. Gupta"/>
    <x v="1"/>
    <x v="1"/>
    <x v="2"/>
    <n v="9300"/>
    <n v="7870"/>
    <n v="134"/>
    <n v="1.7026683608640406E-2"/>
    <n v="0.84623655913978491"/>
    <x v="0"/>
    <n v="0"/>
    <n v="0"/>
    <s v="None"/>
    <n v="18"/>
    <n v="2412"/>
    <n v="41826"/>
    <n v="7520"/>
    <n v="7520"/>
    <x v="1836"/>
    <n v="15000"/>
  </r>
  <r>
    <s v="PR-1391"/>
    <d v="2026-08-05T00:00:00"/>
    <x v="1"/>
    <x v="1"/>
    <s v="Wednesday"/>
    <x v="2"/>
    <x v="1"/>
    <x v="1"/>
    <s v="Toothbrush"/>
    <x v="11"/>
    <s v="Soft Toothbrush"/>
    <s v="B260805-L4C"/>
    <s v="M. Khan"/>
    <x v="1"/>
    <x v="1"/>
    <x v="6"/>
    <n v="9020"/>
    <n v="8950"/>
    <n v="135"/>
    <n v="1.5083798882681564E-2"/>
    <n v="0.9922394678492239"/>
    <x v="2"/>
    <n v="0"/>
    <n v="0"/>
    <s v="None"/>
    <n v="18"/>
    <n v="2430"/>
    <n v="41625"/>
    <n v="7990"/>
    <n v="7990"/>
    <x v="1837"/>
    <n v="15000"/>
  </r>
  <r>
    <s v="PR-1564"/>
    <d v="2026-08-21T00:00:00"/>
    <x v="1"/>
    <x v="1"/>
    <s v="Friday"/>
    <x v="1"/>
    <x v="1"/>
    <x v="1"/>
    <s v="Toothbrush"/>
    <x v="11"/>
    <s v="Soft Toothbrush"/>
    <s v="B260821-L4B"/>
    <s v="P. Singh"/>
    <x v="1"/>
    <x v="1"/>
    <x v="6"/>
    <n v="9610"/>
    <n v="8730"/>
    <n v="242"/>
    <n v="2.7720504009163802E-2"/>
    <n v="0.9084287200832466"/>
    <x v="3"/>
    <n v="0"/>
    <n v="0"/>
    <s v="None"/>
    <n v="18"/>
    <n v="4356"/>
    <n v="42602"/>
    <n v="8610"/>
    <n v="8610"/>
    <x v="1838"/>
    <n v="15000"/>
  </r>
  <r>
    <s v="PR-1415"/>
    <d v="2026-08-07T00:00:00"/>
    <x v="1"/>
    <x v="1"/>
    <s v="Friday"/>
    <x v="2"/>
    <x v="1"/>
    <x v="1"/>
    <s v="Toothbrush"/>
    <x v="11"/>
    <s v="Soft Toothbrush"/>
    <s v="B260807-L4C"/>
    <s v="M. Khan"/>
    <x v="2"/>
    <x v="1"/>
    <x v="2"/>
    <n v="9420"/>
    <n v="8000"/>
    <n v="191"/>
    <n v="2.3875E-2"/>
    <n v="0.84925690021231426"/>
    <x v="0"/>
    <n v="0"/>
    <n v="0"/>
    <s v="None"/>
    <n v="18"/>
    <n v="3438"/>
    <n v="42854"/>
    <n v="8170"/>
    <n v="8170"/>
    <x v="1839"/>
    <n v="15000"/>
  </r>
  <r>
    <s v="PR-1720"/>
    <d v="2026-09-04T00:00:00"/>
    <x v="0"/>
    <x v="0"/>
    <s v="Friday"/>
    <x v="2"/>
    <x v="1"/>
    <x v="1"/>
    <s v="Toothbrush"/>
    <x v="11"/>
    <s v="Soft Toothbrush"/>
    <s v="B260904-L4C"/>
    <s v="M. Khan"/>
    <x v="1"/>
    <x v="1"/>
    <x v="0"/>
    <n v="10140"/>
    <n v="8960"/>
    <n v="154"/>
    <n v="1.7187500000000001E-2"/>
    <n v="0.88362919132149897"/>
    <x v="3"/>
    <n v="0"/>
    <n v="0"/>
    <s v="None"/>
    <n v="18"/>
    <n v="2772"/>
    <n v="42820"/>
    <n v="9050"/>
    <n v="9050"/>
    <x v="1840"/>
    <n v="15000"/>
  </r>
  <r>
    <s v="PR-1560"/>
    <d v="2026-08-21T00:00:00"/>
    <x v="1"/>
    <x v="1"/>
    <s v="Friday"/>
    <x v="0"/>
    <x v="1"/>
    <x v="1"/>
    <s v="Toothbrush"/>
    <x v="11"/>
    <s v="Soft Toothbrush"/>
    <s v="B260821-L4A"/>
    <s v="K. Verma"/>
    <x v="2"/>
    <x v="1"/>
    <x v="6"/>
    <n v="10470"/>
    <n v="9920"/>
    <n v="374"/>
    <n v="3.7701612903225809E-2"/>
    <n v="0.94746895893027694"/>
    <x v="0"/>
    <n v="0"/>
    <n v="0"/>
    <s v="None"/>
    <n v="18"/>
    <n v="6732"/>
    <n v="41836"/>
    <n v="8780"/>
    <n v="8780"/>
    <x v="1841"/>
    <n v="15000"/>
  </r>
  <r>
    <s v="PR-1498"/>
    <d v="2026-08-15T00:00:00"/>
    <x v="1"/>
    <x v="1"/>
    <s v="Saturday"/>
    <x v="0"/>
    <x v="1"/>
    <x v="1"/>
    <s v="Toothbrush"/>
    <x v="11"/>
    <s v="Soft Toothbrush"/>
    <s v="B260815-L4A"/>
    <s v="R. Sharma"/>
    <x v="2"/>
    <x v="1"/>
    <x v="6"/>
    <n v="9290"/>
    <n v="8370"/>
    <n v="138"/>
    <n v="1.6487455197132617E-2"/>
    <n v="0.90096878363832078"/>
    <x v="0"/>
    <n v="0"/>
    <n v="0"/>
    <s v="None"/>
    <n v="18"/>
    <n v="2484"/>
    <n v="43023"/>
    <n v="8650"/>
    <n v="8650"/>
    <x v="1842"/>
    <n v="15000"/>
  </r>
  <r>
    <s v="PR-1442"/>
    <d v="2026-08-10T00:00:00"/>
    <x v="1"/>
    <x v="1"/>
    <s v="Monday"/>
    <x v="1"/>
    <x v="1"/>
    <x v="1"/>
    <s v="Toothbrush"/>
    <x v="11"/>
    <s v="Soft Toothbrush"/>
    <s v="B260810-L4B"/>
    <s v="S. Yadav"/>
    <x v="2"/>
    <x v="1"/>
    <x v="6"/>
    <n v="10310"/>
    <n v="9930"/>
    <n v="311"/>
    <n v="3.131923464249748E-2"/>
    <n v="0.96314258001939868"/>
    <x v="4"/>
    <n v="45"/>
    <n v="0.75"/>
    <s v="Machine Breakdown"/>
    <n v="18"/>
    <n v="5598"/>
    <n v="41930"/>
    <n v="8760"/>
    <n v="8760"/>
    <x v="1843"/>
    <n v="15000"/>
  </r>
  <r>
    <s v="PR-1712"/>
    <d v="2026-09-04T00:00:00"/>
    <x v="0"/>
    <x v="0"/>
    <s v="Friday"/>
    <x v="0"/>
    <x v="1"/>
    <x v="1"/>
    <s v="Toothbrush"/>
    <x v="11"/>
    <s v="Soft Toothbrush"/>
    <s v="B260904-L4A"/>
    <s v="R. Sharma"/>
    <x v="1"/>
    <x v="1"/>
    <x v="6"/>
    <n v="10430"/>
    <n v="9710"/>
    <n v="294"/>
    <n v="3.0278063851699278E-2"/>
    <n v="0.9309683604985618"/>
    <x v="5"/>
    <n v="0"/>
    <n v="0"/>
    <s v="None"/>
    <n v="18"/>
    <n v="5292"/>
    <n v="41934"/>
    <n v="8530"/>
    <n v="8530"/>
    <x v="1844"/>
    <n v="15000"/>
  </r>
  <r>
    <s v="PR-1403"/>
    <d v="2026-08-06T00:00:00"/>
    <x v="1"/>
    <x v="1"/>
    <s v="Thursday"/>
    <x v="2"/>
    <x v="1"/>
    <x v="1"/>
    <s v="Toothbrush"/>
    <x v="11"/>
    <s v="Soft Toothbrush"/>
    <s v="B260806-L4C"/>
    <s v="A. Gupta"/>
    <x v="1"/>
    <x v="1"/>
    <x v="7"/>
    <n v="8810"/>
    <n v="8040"/>
    <n v="171"/>
    <n v="2.1268656716417911E-2"/>
    <n v="0.9125993189557321"/>
    <x v="4"/>
    <n v="0"/>
    <n v="0"/>
    <s v="None"/>
    <n v="18"/>
    <n v="3078"/>
    <n v="43385"/>
    <n v="8400"/>
    <n v="8400"/>
    <x v="1845"/>
    <n v="15000"/>
  </r>
  <r>
    <s v="PR-1673"/>
    <d v="2026-09-01T00:00:00"/>
    <x v="0"/>
    <x v="0"/>
    <s v="Tuesday"/>
    <x v="0"/>
    <x v="3"/>
    <x v="3"/>
    <s v="Toothpaste"/>
    <x v="8"/>
    <s v="Whitening Toothpaste 100g"/>
    <s v="B260901-L1A"/>
    <s v="R. Sharma"/>
    <x v="1"/>
    <x v="3"/>
    <x v="2"/>
    <n v="7890"/>
    <n v="7920"/>
    <n v="249"/>
    <n v="3.1439393939393941E-2"/>
    <n v="1.0038022813688212"/>
    <x v="4"/>
    <n v="41"/>
    <n v="0.68333333333333335"/>
    <s v="Changeover"/>
    <n v="38"/>
    <n v="9462"/>
    <n v="41852"/>
    <n v="6540"/>
    <n v="6540"/>
    <x v="1846"/>
    <n v="13500"/>
  </r>
  <r>
    <s v="PR-1458"/>
    <d v="2026-08-11T00:00:00"/>
    <x v="1"/>
    <x v="1"/>
    <s v="Tuesday"/>
    <x v="2"/>
    <x v="1"/>
    <x v="1"/>
    <s v="Toothbrush"/>
    <x v="11"/>
    <s v="Soft Toothbrush"/>
    <s v="B260811-L4C"/>
    <s v="M. Khan"/>
    <x v="2"/>
    <x v="1"/>
    <x v="0"/>
    <n v="9940"/>
    <n v="9430"/>
    <n v="257"/>
    <n v="2.7253446447507955E-2"/>
    <n v="0.94869215291750508"/>
    <x v="0"/>
    <n v="44"/>
    <n v="0.73333333333333328"/>
    <s v="Changeover"/>
    <n v="18"/>
    <n v="4626"/>
    <n v="44000"/>
    <n v="10150"/>
    <n v="10150"/>
    <x v="1847"/>
    <n v="15000"/>
  </r>
  <r>
    <s v="PR-1724"/>
    <d v="2026-09-05T00:00:00"/>
    <x v="0"/>
    <x v="0"/>
    <s v="Saturday"/>
    <x v="0"/>
    <x v="1"/>
    <x v="1"/>
    <s v="Toothbrush"/>
    <x v="11"/>
    <s v="Soft Toothbrush"/>
    <s v="B260905-L4A"/>
    <s v="K. Verma"/>
    <x v="2"/>
    <x v="1"/>
    <x v="7"/>
    <n v="10090"/>
    <n v="10200"/>
    <n v="100"/>
    <n v="9.8039215686274508E-3"/>
    <n v="1.0109018830525272"/>
    <x v="4"/>
    <n v="0"/>
    <n v="0"/>
    <s v="None"/>
    <n v="18"/>
    <n v="1800"/>
    <n v="42576"/>
    <n v="9450"/>
    <n v="9450"/>
    <x v="1848"/>
    <n v="15000"/>
  </r>
  <r>
    <s v="PR-1677"/>
    <d v="2026-09-01T00:00:00"/>
    <x v="0"/>
    <x v="0"/>
    <s v="Tuesday"/>
    <x v="1"/>
    <x v="3"/>
    <x v="3"/>
    <s v="Toothpaste"/>
    <x v="8"/>
    <s v="Whitening Toothpaste 100g"/>
    <s v="B260901-L1B"/>
    <s v="S. Yadav"/>
    <x v="1"/>
    <x v="3"/>
    <x v="2"/>
    <n v="7890"/>
    <n v="7870"/>
    <n v="164"/>
    <n v="2.0838627700127066E-2"/>
    <n v="0.99746514575411915"/>
    <x v="5"/>
    <n v="27"/>
    <n v="0.45"/>
    <s v="Changeover"/>
    <n v="38"/>
    <n v="6232"/>
    <n v="42983"/>
    <n v="7430"/>
    <n v="7430"/>
    <x v="1849"/>
    <n v="13500"/>
  </r>
  <r>
    <s v="PR-1399"/>
    <d v="2026-08-06T00:00:00"/>
    <x v="1"/>
    <x v="1"/>
    <s v="Thursday"/>
    <x v="1"/>
    <x v="1"/>
    <x v="1"/>
    <s v="Toothbrush"/>
    <x v="11"/>
    <s v="Soft Toothbrush"/>
    <s v="B260806-L4B"/>
    <s v="S. Yadav"/>
    <x v="2"/>
    <x v="1"/>
    <x v="6"/>
    <n v="9720"/>
    <n v="9250"/>
    <n v="405"/>
    <n v="4.3783783783783781E-2"/>
    <n v="0.95164609053497939"/>
    <x v="4"/>
    <n v="39"/>
    <n v="0.65"/>
    <s v="Cleaning / Sanitation"/>
    <n v="18"/>
    <n v="7290"/>
    <n v="43950"/>
    <n v="9410"/>
    <n v="9410"/>
    <x v="1850"/>
    <n v="15000"/>
  </r>
  <r>
    <s v="PR-1830"/>
    <d v="2026-09-15T00:00:00"/>
    <x v="0"/>
    <x v="0"/>
    <s v="Tuesday"/>
    <x v="1"/>
    <x v="1"/>
    <x v="1"/>
    <s v="Toothbrush"/>
    <x v="11"/>
    <s v="Soft Toothbrush"/>
    <s v="B260915-L4B"/>
    <s v="S. Yadav"/>
    <x v="1"/>
    <x v="1"/>
    <x v="6"/>
    <n v="9820"/>
    <n v="8780"/>
    <n v="186"/>
    <n v="2.1184510250569475E-2"/>
    <n v="0.8940936863543788"/>
    <x v="2"/>
    <n v="0"/>
    <n v="0"/>
    <s v="None"/>
    <n v="18"/>
    <n v="3348"/>
    <n v="44930"/>
    <n v="9590"/>
    <n v="9590"/>
    <x v="1851"/>
    <n v="15000"/>
  </r>
  <r>
    <s v="PR-1791"/>
    <d v="2026-09-11T00:00:00"/>
    <x v="0"/>
    <x v="0"/>
    <s v="Friday"/>
    <x v="1"/>
    <x v="1"/>
    <x v="1"/>
    <s v="Toothbrush"/>
    <x v="11"/>
    <s v="Soft Toothbrush"/>
    <s v="B260911-L4B"/>
    <s v="P. Singh"/>
    <x v="1"/>
    <x v="1"/>
    <x v="7"/>
    <n v="10720"/>
    <n v="10150"/>
    <n v="436"/>
    <n v="4.2955665024630545E-2"/>
    <n v="0.94682835820895528"/>
    <x v="0"/>
    <n v="0"/>
    <n v="0"/>
    <s v="None"/>
    <n v="18"/>
    <n v="7848"/>
    <n v="44865"/>
    <n v="10640"/>
    <n v="10640"/>
    <x v="1852"/>
    <n v="15000"/>
  </r>
  <r>
    <s v="PR-1395"/>
    <d v="2026-08-06T00:00:00"/>
    <x v="1"/>
    <x v="1"/>
    <s v="Thursday"/>
    <x v="0"/>
    <x v="1"/>
    <x v="1"/>
    <s v="Toothbrush"/>
    <x v="11"/>
    <s v="Soft Toothbrush"/>
    <s v="B260806-L4A"/>
    <s v="R. Sharma"/>
    <x v="1"/>
    <x v="1"/>
    <x v="6"/>
    <n v="10640"/>
    <n v="10710"/>
    <n v="250"/>
    <n v="2.3342670401493931E-2"/>
    <n v="1.006578947368421"/>
    <x v="0"/>
    <n v="0"/>
    <n v="0"/>
    <s v="None"/>
    <n v="18"/>
    <n v="4500"/>
    <n v="42450"/>
    <n v="8960"/>
    <n v="8960"/>
    <x v="1853"/>
    <n v="15000"/>
  </r>
  <r>
    <s v="PR-1713"/>
    <d v="2026-09-04T00:00:00"/>
    <x v="0"/>
    <x v="0"/>
    <s v="Friday"/>
    <x v="1"/>
    <x v="3"/>
    <x v="3"/>
    <s v="Toothpaste"/>
    <x v="8"/>
    <s v="Whitening Toothpaste 100g"/>
    <s v="B260904-L1B"/>
    <s v="P. Singh"/>
    <x v="1"/>
    <x v="3"/>
    <x v="4"/>
    <n v="7400"/>
    <n v="6450"/>
    <n v="263"/>
    <n v="4.0775193798449613E-2"/>
    <n v="0.8716216216216216"/>
    <x v="2"/>
    <n v="39"/>
    <n v="0.65"/>
    <s v="Changeover"/>
    <n v="38"/>
    <n v="9994"/>
    <n v="44302"/>
    <n v="6520"/>
    <n v="6520"/>
    <x v="1854"/>
    <n v="13500"/>
  </r>
  <r>
    <s v="PR-1450"/>
    <d v="2026-08-11T00:00:00"/>
    <x v="1"/>
    <x v="1"/>
    <s v="Tuesday"/>
    <x v="0"/>
    <x v="1"/>
    <x v="1"/>
    <s v="Toothbrush"/>
    <x v="11"/>
    <s v="Soft Toothbrush"/>
    <s v="B260811-L4A"/>
    <s v="K. Verma"/>
    <x v="2"/>
    <x v="1"/>
    <x v="6"/>
    <n v="9310"/>
    <n v="9180"/>
    <n v="279"/>
    <n v="3.0392156862745098E-2"/>
    <n v="0.9860365198711063"/>
    <x v="4"/>
    <n v="25"/>
    <n v="0.41666666666666669"/>
    <s v="Machine Breakdown"/>
    <n v="18"/>
    <n v="5022"/>
    <n v="42789"/>
    <n v="7690"/>
    <n v="7690"/>
    <x v="1855"/>
    <n v="15000"/>
  </r>
  <r>
    <s v="PR-1693"/>
    <d v="2026-09-02T00:00:00"/>
    <x v="0"/>
    <x v="0"/>
    <s v="Wednesday"/>
    <x v="2"/>
    <x v="3"/>
    <x v="3"/>
    <s v="Toothpaste"/>
    <x v="8"/>
    <s v="Whitening Toothpaste 100g"/>
    <s v="B260902-L1C"/>
    <s v="M. Khan"/>
    <x v="1"/>
    <x v="3"/>
    <x v="3"/>
    <n v="6940"/>
    <n v="6370"/>
    <n v="204"/>
    <n v="3.2025117739403454E-2"/>
    <n v="0.91786743515850144"/>
    <x v="5"/>
    <n v="56"/>
    <n v="0.93333333333333335"/>
    <s v="Changeover"/>
    <n v="38"/>
    <n v="7752"/>
    <n v="44830"/>
    <n v="6920"/>
    <n v="6920"/>
    <x v="1856"/>
    <n v="13500"/>
  </r>
  <r>
    <s v="PR-1701"/>
    <d v="2026-09-03T00:00:00"/>
    <x v="0"/>
    <x v="0"/>
    <s v="Thursday"/>
    <x v="1"/>
    <x v="3"/>
    <x v="3"/>
    <s v="Toothpaste"/>
    <x v="8"/>
    <s v="Whitening Toothpaste 100g"/>
    <s v="B260903-L1B"/>
    <s v="P. Singh"/>
    <x v="2"/>
    <x v="3"/>
    <x v="2"/>
    <n v="7480"/>
    <n v="7250"/>
    <n v="171"/>
    <n v="2.3586206896551724E-2"/>
    <n v="0.96925133689839571"/>
    <x v="2"/>
    <n v="0"/>
    <n v="0"/>
    <s v="None"/>
    <n v="38"/>
    <n v="6498"/>
    <n v="44076"/>
    <n v="7070"/>
    <n v="7070"/>
    <x v="1857"/>
    <n v="13500"/>
  </r>
  <r>
    <s v="PR-1747"/>
    <d v="2026-09-07T00:00:00"/>
    <x v="0"/>
    <x v="0"/>
    <s v="Monday"/>
    <x v="2"/>
    <x v="1"/>
    <x v="1"/>
    <s v="Toothbrush"/>
    <x v="11"/>
    <s v="Soft Toothbrush"/>
    <s v="B260907-L4C"/>
    <s v="M. Khan"/>
    <x v="2"/>
    <x v="1"/>
    <x v="6"/>
    <n v="9000"/>
    <n v="8460"/>
    <n v="261"/>
    <n v="3.0851063829787233E-2"/>
    <n v="0.94"/>
    <x v="5"/>
    <n v="58"/>
    <n v="0.96666666666666667"/>
    <s v="Machine Breakdown"/>
    <n v="18"/>
    <n v="4698"/>
    <n v="44182"/>
    <n v="8290"/>
    <n v="8290"/>
    <x v="1858"/>
    <n v="15000"/>
  </r>
  <r>
    <s v="PR-1775"/>
    <d v="2026-09-10T00:00:00"/>
    <x v="0"/>
    <x v="0"/>
    <s v="Thursday"/>
    <x v="0"/>
    <x v="1"/>
    <x v="1"/>
    <s v="Toothbrush"/>
    <x v="11"/>
    <s v="Soft Toothbrush"/>
    <s v="B260910-L4A"/>
    <s v="R. Sharma"/>
    <x v="1"/>
    <x v="1"/>
    <x v="6"/>
    <n v="10630"/>
    <n v="10100"/>
    <n v="392"/>
    <n v="3.8811881188118812E-2"/>
    <n v="0.95014111006585134"/>
    <x v="4"/>
    <n v="65"/>
    <n v="1.0833333333333333"/>
    <s v="Machine Breakdown"/>
    <n v="18"/>
    <n v="7056"/>
    <n v="44623"/>
    <n v="10220"/>
    <n v="10220"/>
    <x v="1859"/>
    <n v="15000"/>
  </r>
  <r>
    <s v="PR-1784"/>
    <d v="2026-09-11T00:00:00"/>
    <x v="0"/>
    <x v="0"/>
    <s v="Friday"/>
    <x v="0"/>
    <x v="3"/>
    <x v="3"/>
    <s v="Toothpaste"/>
    <x v="8"/>
    <s v="Whitening Toothpaste 100g"/>
    <s v="B260911-L1A"/>
    <s v="K. Verma"/>
    <x v="1"/>
    <x v="3"/>
    <x v="3"/>
    <n v="8230"/>
    <n v="7660"/>
    <n v="165"/>
    <n v="2.1540469973890339E-2"/>
    <n v="0.93074119076549211"/>
    <x v="2"/>
    <n v="0"/>
    <n v="0"/>
    <s v="None"/>
    <n v="38"/>
    <n v="6270"/>
    <n v="44578"/>
    <n v="7920"/>
    <n v="7920"/>
    <x v="1860"/>
    <n v="13500"/>
  </r>
  <r>
    <s v="PR-1685"/>
    <d v="2026-09-02T00:00:00"/>
    <x v="0"/>
    <x v="0"/>
    <s v="Wednesday"/>
    <x v="0"/>
    <x v="3"/>
    <x v="3"/>
    <s v="Toothpaste"/>
    <x v="8"/>
    <s v="Whitening Toothpaste 100g"/>
    <s v="B260902-L1A"/>
    <s v="R. Sharma"/>
    <x v="1"/>
    <x v="3"/>
    <x v="2"/>
    <n v="7700"/>
    <n v="7650"/>
    <n v="180"/>
    <n v="2.3529411764705882E-2"/>
    <n v="0.99350649350649356"/>
    <x v="0"/>
    <n v="0"/>
    <n v="0"/>
    <s v="None"/>
    <n v="38"/>
    <n v="6840"/>
    <n v="43259"/>
    <n v="6570"/>
    <n v="6570"/>
    <x v="1861"/>
    <n v="13500"/>
  </r>
  <r>
    <s v="PR-1743"/>
    <d v="2026-09-07T00:00:00"/>
    <x v="0"/>
    <x v="0"/>
    <s v="Monday"/>
    <x v="1"/>
    <x v="1"/>
    <x v="1"/>
    <s v="Toothbrush"/>
    <x v="11"/>
    <s v="Soft Toothbrush"/>
    <s v="B260907-L4B"/>
    <s v="P. Singh"/>
    <x v="2"/>
    <x v="1"/>
    <x v="0"/>
    <n v="9230"/>
    <n v="8980"/>
    <n v="204"/>
    <n v="2.2717149220489979E-2"/>
    <n v="0.97291440953412789"/>
    <x v="5"/>
    <n v="0"/>
    <n v="0"/>
    <s v="None"/>
    <n v="18"/>
    <n v="3672"/>
    <n v="43226"/>
    <n v="7820"/>
    <n v="7820"/>
    <x v="1862"/>
    <n v="15000"/>
  </r>
  <r>
    <s v="PR-1795"/>
    <d v="2026-09-11T00:00:00"/>
    <x v="0"/>
    <x v="0"/>
    <s v="Friday"/>
    <x v="2"/>
    <x v="1"/>
    <x v="1"/>
    <s v="Toothbrush"/>
    <x v="11"/>
    <s v="Soft Toothbrush"/>
    <s v="B260911-L4C"/>
    <s v="M. Khan"/>
    <x v="2"/>
    <x v="1"/>
    <x v="6"/>
    <n v="9090"/>
    <n v="8640"/>
    <n v="275"/>
    <n v="3.1828703703703706E-2"/>
    <n v="0.95049504950495045"/>
    <x v="4"/>
    <n v="0"/>
    <n v="0"/>
    <s v="None"/>
    <n v="18"/>
    <n v="4950"/>
    <n v="43939"/>
    <n v="8110"/>
    <n v="8110"/>
    <x v="1863"/>
    <n v="15000"/>
  </r>
  <r>
    <s v="PR-1740"/>
    <d v="2026-09-07T00:00:00"/>
    <x v="0"/>
    <x v="0"/>
    <s v="Monday"/>
    <x v="1"/>
    <x v="3"/>
    <x v="3"/>
    <s v="Toothpaste"/>
    <x v="8"/>
    <s v="Whitening Toothpaste 100g"/>
    <s v="B260907-L1B"/>
    <s v="S. Yadav"/>
    <x v="2"/>
    <x v="3"/>
    <x v="3"/>
    <n v="7550"/>
    <n v="7100"/>
    <n v="107"/>
    <n v="1.5070422535211268E-2"/>
    <n v="0.94039735099337751"/>
    <x v="3"/>
    <n v="31"/>
    <n v="0.51666666666666672"/>
    <s v="Machine Breakdown"/>
    <n v="38"/>
    <n v="4066"/>
    <n v="43969"/>
    <n v="6760"/>
    <n v="6760"/>
    <x v="1864"/>
    <n v="13500"/>
  </r>
  <r>
    <s v="PR-1705"/>
    <d v="2026-09-03T00:00:00"/>
    <x v="0"/>
    <x v="0"/>
    <s v="Thursday"/>
    <x v="2"/>
    <x v="3"/>
    <x v="3"/>
    <s v="Toothpaste"/>
    <x v="8"/>
    <s v="Whitening Toothpaste 100g"/>
    <s v="B260903-L1C"/>
    <s v="M. Khan"/>
    <x v="2"/>
    <x v="3"/>
    <x v="4"/>
    <n v="6930"/>
    <n v="6340"/>
    <n v="123"/>
    <n v="1.9400630914826498E-2"/>
    <n v="0.91486291486291482"/>
    <x v="0"/>
    <n v="54"/>
    <n v="0.9"/>
    <s v="Material Shortage"/>
    <n v="38"/>
    <n v="4674"/>
    <n v="44085"/>
    <n v="6000"/>
    <n v="6000"/>
    <x v="1865"/>
    <n v="13500"/>
  </r>
  <r>
    <s v="PR-1756"/>
    <d v="2026-09-08T00:00:00"/>
    <x v="0"/>
    <x v="0"/>
    <s v="Tuesday"/>
    <x v="2"/>
    <x v="3"/>
    <x v="3"/>
    <s v="Toothpaste"/>
    <x v="8"/>
    <s v="Whitening Toothpaste 100g"/>
    <s v="B260908-L1C"/>
    <s v="A. Gupta"/>
    <x v="1"/>
    <x v="3"/>
    <x v="4"/>
    <n v="7440"/>
    <n v="6890"/>
    <n v="90"/>
    <n v="1.3062409288824383E-2"/>
    <n v="0.92607526881720426"/>
    <x v="2"/>
    <n v="0"/>
    <n v="0"/>
    <s v="None"/>
    <n v="38"/>
    <n v="3420"/>
    <n v="44403"/>
    <n v="6900"/>
    <n v="6900"/>
    <x v="1866"/>
    <n v="13500"/>
  </r>
  <r>
    <s v="PR-1788"/>
    <d v="2026-09-11T00:00:00"/>
    <x v="0"/>
    <x v="0"/>
    <s v="Friday"/>
    <x v="1"/>
    <x v="3"/>
    <x v="3"/>
    <s v="Toothpaste"/>
    <x v="8"/>
    <s v="Whitening Toothpaste 100g"/>
    <s v="B260911-L1B"/>
    <s v="S. Yadav"/>
    <x v="1"/>
    <x v="3"/>
    <x v="3"/>
    <n v="7430"/>
    <n v="7060"/>
    <n v="126"/>
    <n v="1.7847025495750707E-2"/>
    <n v="0.95020188425302832"/>
    <x v="0"/>
    <n v="0"/>
    <n v="0"/>
    <s v="None"/>
    <n v="38"/>
    <n v="4788"/>
    <n v="44153"/>
    <n v="6730"/>
    <n v="6730"/>
    <x v="1867"/>
    <n v="13500"/>
  </r>
  <r>
    <s v="PR-1752"/>
    <d v="2026-09-08T00:00:00"/>
    <x v="0"/>
    <x v="0"/>
    <s v="Tuesday"/>
    <x v="1"/>
    <x v="3"/>
    <x v="3"/>
    <s v="Toothpaste"/>
    <x v="8"/>
    <s v="Whitening Toothpaste 100g"/>
    <s v="B260908-L1B"/>
    <s v="S. Yadav"/>
    <x v="2"/>
    <x v="3"/>
    <x v="4"/>
    <n v="7260"/>
    <n v="6530"/>
    <n v="161"/>
    <n v="2.4655436447166921E-2"/>
    <n v="0.89944903581267222"/>
    <x v="2"/>
    <n v="15"/>
    <n v="0.25"/>
    <s v="Material Shortage"/>
    <n v="38"/>
    <n v="6118"/>
    <n v="44684"/>
    <n v="6650"/>
    <n v="6650"/>
    <x v="1868"/>
    <n v="13500"/>
  </r>
  <r>
    <s v="PR-1780"/>
    <d v="2026-09-10T00:00:00"/>
    <x v="0"/>
    <x v="0"/>
    <s v="Thursday"/>
    <x v="2"/>
    <x v="3"/>
    <x v="3"/>
    <s v="Toothpaste"/>
    <x v="8"/>
    <s v="Whitening Toothpaste 100g"/>
    <s v="B260910-L1C"/>
    <s v="M. Khan"/>
    <x v="2"/>
    <x v="3"/>
    <x v="4"/>
    <n v="6720"/>
    <n v="5970"/>
    <n v="115"/>
    <n v="1.9262981574539362E-2"/>
    <n v="0.8883928571428571"/>
    <x v="5"/>
    <n v="0"/>
    <n v="0"/>
    <s v="None"/>
    <n v="38"/>
    <n v="4370"/>
    <n v="44303"/>
    <n v="5580"/>
    <n v="5580"/>
    <x v="1869"/>
    <n v="13500"/>
  </r>
  <r>
    <s v="PR-1767"/>
    <d v="2026-09-09T00:00:00"/>
    <x v="0"/>
    <x v="0"/>
    <s v="Wednesday"/>
    <x v="1"/>
    <x v="1"/>
    <x v="1"/>
    <s v="Toothbrush"/>
    <x v="11"/>
    <s v="Soft Toothbrush"/>
    <s v="B260909-L4B"/>
    <s v="P. Singh"/>
    <x v="1"/>
    <x v="1"/>
    <x v="1"/>
    <n v="8390"/>
    <n v="7490"/>
    <n v="93"/>
    <n v="1.2416555407209613E-2"/>
    <n v="0.89272943980929675"/>
    <x v="3"/>
    <n v="0"/>
    <n v="0"/>
    <s v="None"/>
    <n v="18"/>
    <n v="1674"/>
    <n v="45036"/>
    <n v="7810"/>
    <n v="7810"/>
    <x v="1870"/>
    <n v="15000"/>
  </r>
  <r>
    <s v="PR-1744"/>
    <d v="2026-09-07T00:00:00"/>
    <x v="0"/>
    <x v="0"/>
    <s v="Monday"/>
    <x v="2"/>
    <x v="3"/>
    <x v="3"/>
    <s v="Toothpaste"/>
    <x v="8"/>
    <s v="Whitening Toothpaste 100g"/>
    <s v="B260907-L1C"/>
    <s v="A. Gupta"/>
    <x v="2"/>
    <x v="3"/>
    <x v="4"/>
    <n v="7140"/>
    <n v="6510"/>
    <n v="118"/>
    <n v="1.8125960061443933E-2"/>
    <n v="0.91176470588235292"/>
    <x v="5"/>
    <n v="44"/>
    <n v="0.73333333333333328"/>
    <s v="Machine Breakdown"/>
    <n v="38"/>
    <n v="4484"/>
    <n v="44202"/>
    <n v="5910"/>
    <n v="5910"/>
    <x v="1871"/>
    <n v="13500"/>
  </r>
  <r>
    <s v="PR-1854"/>
    <d v="2026-09-17T00:00:00"/>
    <x v="0"/>
    <x v="0"/>
    <s v="Thursday"/>
    <x v="1"/>
    <x v="1"/>
    <x v="1"/>
    <s v="Toothbrush"/>
    <x v="11"/>
    <s v="Soft Toothbrush"/>
    <s v="B260917-L4B"/>
    <s v="P. Singh"/>
    <x v="1"/>
    <x v="1"/>
    <x v="7"/>
    <n v="10300"/>
    <n v="9990"/>
    <n v="246"/>
    <n v="2.4624624624624624E-2"/>
    <n v="0.96990291262135919"/>
    <x v="5"/>
    <n v="55"/>
    <n v="0.91666666666666663"/>
    <s v="Changeover"/>
    <n v="18"/>
    <n v="4428"/>
    <n v="43934"/>
    <n v="8960"/>
    <n v="8960"/>
    <x v="1872"/>
    <n v="15000"/>
  </r>
  <r>
    <s v="PR-1689"/>
    <d v="2026-09-02T00:00:00"/>
    <x v="0"/>
    <x v="0"/>
    <s v="Wednesday"/>
    <x v="1"/>
    <x v="3"/>
    <x v="3"/>
    <s v="Toothpaste"/>
    <x v="8"/>
    <s v="Whitening Toothpaste 100g"/>
    <s v="B260902-L1B"/>
    <s v="P. Singh"/>
    <x v="2"/>
    <x v="3"/>
    <x v="2"/>
    <n v="7250"/>
    <n v="7070"/>
    <n v="179"/>
    <n v="2.5318246110325317E-2"/>
    <n v="0.97517241379310349"/>
    <x v="4"/>
    <n v="0"/>
    <n v="0"/>
    <s v="None"/>
    <n v="38"/>
    <n v="6802"/>
    <n v="44159"/>
    <n v="6220"/>
    <n v="6220"/>
    <x v="1873"/>
    <n v="13500"/>
  </r>
  <r>
    <s v="PR-1779"/>
    <d v="2026-09-10T00:00:00"/>
    <x v="0"/>
    <x v="0"/>
    <s v="Thursday"/>
    <x v="1"/>
    <x v="1"/>
    <x v="1"/>
    <s v="Toothbrush"/>
    <x v="11"/>
    <s v="Soft Toothbrush"/>
    <s v="B260910-L4B"/>
    <s v="S. Yadav"/>
    <x v="1"/>
    <x v="1"/>
    <x v="7"/>
    <n v="9300"/>
    <n v="9070"/>
    <n v="155"/>
    <n v="1.7089305402425578E-2"/>
    <n v="0.97526881720430103"/>
    <x v="2"/>
    <n v="20"/>
    <n v="0.33333333333333331"/>
    <s v="Power Interruption"/>
    <n v="18"/>
    <n v="2790"/>
    <n v="44111"/>
    <n v="8170"/>
    <n v="8170"/>
    <x v="1874"/>
    <n v="15000"/>
  </r>
  <r>
    <s v="PR-1783"/>
    <d v="2026-09-10T00:00:00"/>
    <x v="0"/>
    <x v="0"/>
    <s v="Thursday"/>
    <x v="2"/>
    <x v="1"/>
    <x v="1"/>
    <s v="Toothbrush"/>
    <x v="11"/>
    <s v="Soft Toothbrush"/>
    <s v="B260910-L4C"/>
    <s v="A. Gupta"/>
    <x v="1"/>
    <x v="1"/>
    <x v="6"/>
    <n v="9110"/>
    <n v="8480"/>
    <n v="111"/>
    <n v="1.3089622641509435E-2"/>
    <n v="0.93084522502744238"/>
    <x v="4"/>
    <n v="61"/>
    <n v="1.0166666666666666"/>
    <s v="Material Shortage"/>
    <n v="18"/>
    <n v="1998"/>
    <n v="44856"/>
    <n v="8360"/>
    <n v="8360"/>
    <x v="1875"/>
    <n v="15000"/>
  </r>
  <r>
    <s v="PR-1803"/>
    <d v="2026-09-12T00:00:00"/>
    <x v="0"/>
    <x v="0"/>
    <s v="Saturday"/>
    <x v="1"/>
    <x v="1"/>
    <x v="1"/>
    <s v="Toothbrush"/>
    <x v="11"/>
    <s v="Soft Toothbrush"/>
    <s v="B260912-L4B"/>
    <s v="P. Singh"/>
    <x v="2"/>
    <x v="1"/>
    <x v="7"/>
    <n v="10450"/>
    <n v="9780"/>
    <n v="274"/>
    <n v="2.8016359918200409E-2"/>
    <n v="0.93588516746411488"/>
    <x v="5"/>
    <n v="18"/>
    <n v="0.3"/>
    <s v="Power Interruption"/>
    <n v="18"/>
    <n v="4932"/>
    <n v="44194"/>
    <n v="8770"/>
    <n v="8770"/>
    <x v="1876"/>
    <n v="15000"/>
  </r>
  <r>
    <s v="PR-1759"/>
    <d v="2026-09-08T00:00:00"/>
    <x v="0"/>
    <x v="0"/>
    <s v="Tuesday"/>
    <x v="2"/>
    <x v="1"/>
    <x v="1"/>
    <s v="Toothbrush"/>
    <x v="11"/>
    <s v="Soft Toothbrush"/>
    <s v="B260908-L4C"/>
    <s v="A. Gupta"/>
    <x v="2"/>
    <x v="1"/>
    <x v="0"/>
    <n v="10110"/>
    <n v="9640"/>
    <n v="225"/>
    <n v="2.3340248962655602E-2"/>
    <n v="0.95351137487636006"/>
    <x v="0"/>
    <n v="0"/>
    <n v="0"/>
    <s v="None"/>
    <n v="18"/>
    <n v="4050"/>
    <n v="44091"/>
    <n v="8470"/>
    <n v="8470"/>
    <x v="1877"/>
    <n v="15000"/>
  </r>
  <r>
    <s v="PR-1792"/>
    <d v="2026-09-11T00:00:00"/>
    <x v="0"/>
    <x v="0"/>
    <s v="Friday"/>
    <x v="2"/>
    <x v="3"/>
    <x v="3"/>
    <s v="Toothpaste"/>
    <x v="8"/>
    <s v="Whitening Toothpaste 100g"/>
    <s v="B260911-L1C"/>
    <s v="M. Khan"/>
    <x v="1"/>
    <x v="3"/>
    <x v="3"/>
    <n v="7380"/>
    <n v="7060"/>
    <n v="161"/>
    <n v="2.2804532577903682E-2"/>
    <n v="0.95663956639566394"/>
    <x v="3"/>
    <n v="0"/>
    <n v="0"/>
    <s v="None"/>
    <n v="38"/>
    <n v="6118"/>
    <n v="44357"/>
    <n v="6140"/>
    <n v="6140"/>
    <x v="1878"/>
    <n v="13500"/>
  </r>
  <r>
    <s v="PR-1892"/>
    <d v="2026-09-21T00:00:00"/>
    <x v="0"/>
    <x v="0"/>
    <s v="Monday"/>
    <x v="0"/>
    <x v="1"/>
    <x v="1"/>
    <s v="Toothbrush"/>
    <x v="11"/>
    <s v="Soft Toothbrush"/>
    <s v="B260921-L4A"/>
    <s v="R. Sharma"/>
    <x v="2"/>
    <x v="1"/>
    <x v="7"/>
    <n v="10280"/>
    <n v="10520"/>
    <n v="289"/>
    <n v="2.7471482889733841E-2"/>
    <n v="1.0233463035019454"/>
    <x v="5"/>
    <n v="0"/>
    <n v="0"/>
    <s v="None"/>
    <n v="18"/>
    <n v="5202"/>
    <n v="44718"/>
    <n v="8890"/>
    <n v="8890"/>
    <x v="1879"/>
    <n v="15000"/>
  </r>
  <r>
    <s v="PR-1800"/>
    <d v="2026-09-12T00:00:00"/>
    <x v="0"/>
    <x v="0"/>
    <s v="Saturday"/>
    <x v="1"/>
    <x v="3"/>
    <x v="3"/>
    <s v="Toothpaste"/>
    <x v="8"/>
    <s v="Whitening Toothpaste 100g"/>
    <s v="B260912-L1B"/>
    <s v="S. Yadav"/>
    <x v="1"/>
    <x v="3"/>
    <x v="3"/>
    <n v="7830"/>
    <n v="7410"/>
    <n v="152"/>
    <n v="2.0512820512820513E-2"/>
    <n v="0.94636015325670497"/>
    <x v="4"/>
    <n v="0"/>
    <n v="0"/>
    <s v="None"/>
    <n v="38"/>
    <n v="5776"/>
    <n v="45116"/>
    <n v="6110"/>
    <n v="6110"/>
    <x v="1880"/>
    <n v="13500"/>
  </r>
  <r>
    <s v="PR-1875"/>
    <d v="2026-09-19T00:00:00"/>
    <x v="0"/>
    <x v="0"/>
    <s v="Saturday"/>
    <x v="1"/>
    <x v="3"/>
    <x v="3"/>
    <s v="Toothpaste"/>
    <x v="8"/>
    <s v="Whitening Toothpaste 100g"/>
    <s v="B260919-L1B"/>
    <s v="S. Yadav"/>
    <x v="1"/>
    <x v="3"/>
    <x v="3"/>
    <n v="8030"/>
    <n v="7380"/>
    <n v="217"/>
    <n v="2.940379403794038E-2"/>
    <n v="0.9190535491905355"/>
    <x v="4"/>
    <n v="28"/>
    <n v="0.46666666666666667"/>
    <s v="Cleaning / Sanitation"/>
    <n v="38"/>
    <n v="8246"/>
    <n v="47132"/>
    <n v="7770"/>
    <n v="7770"/>
    <x v="1881"/>
    <n v="13500"/>
  </r>
  <r>
    <s v="PR-1913"/>
    <d v="2026-09-23T00:00:00"/>
    <x v="0"/>
    <x v="0"/>
    <s v="Wednesday"/>
    <x v="0"/>
    <x v="3"/>
    <x v="3"/>
    <s v="Toothpaste"/>
    <x v="8"/>
    <s v="Whitening Toothpaste 100g"/>
    <s v="B260923-L1A"/>
    <s v="R. Sharma"/>
    <x v="2"/>
    <x v="3"/>
    <x v="3"/>
    <n v="7450"/>
    <n v="7030"/>
    <n v="102"/>
    <n v="1.4509246088193456E-2"/>
    <n v="0.94362416107382552"/>
    <x v="0"/>
    <n v="0"/>
    <n v="0"/>
    <s v="None"/>
    <n v="38"/>
    <n v="3876"/>
    <n v="46825"/>
    <n v="7040"/>
    <n v="7040"/>
    <x v="1882"/>
    <n v="13500"/>
  </r>
  <r>
    <s v="PR-1937"/>
    <d v="2026-09-25T00:00:00"/>
    <x v="0"/>
    <x v="0"/>
    <s v="Friday"/>
    <x v="0"/>
    <x v="3"/>
    <x v="3"/>
    <s v="Toothpaste"/>
    <x v="8"/>
    <s v="Whitening Toothpaste 100g"/>
    <s v="B260925-L1A"/>
    <s v="K. Verma"/>
    <x v="1"/>
    <x v="3"/>
    <x v="3"/>
    <n v="7960"/>
    <n v="7520"/>
    <n v="198"/>
    <n v="2.6329787234042553E-2"/>
    <n v="0.94472361809045224"/>
    <x v="2"/>
    <n v="0"/>
    <n v="0"/>
    <s v="None"/>
    <n v="38"/>
    <n v="7524"/>
    <n v="46713"/>
    <n v="7280"/>
    <n v="7280"/>
    <x v="1883"/>
    <n v="13500"/>
  </r>
  <r>
    <s v="PR-1900"/>
    <d v="2026-09-21T00:00:00"/>
    <x v="0"/>
    <x v="0"/>
    <s v="Monday"/>
    <x v="2"/>
    <x v="1"/>
    <x v="1"/>
    <s v="Toothbrush"/>
    <x v="11"/>
    <s v="Soft Toothbrush"/>
    <s v="B260921-L4C"/>
    <s v="A. Gupta"/>
    <x v="2"/>
    <x v="1"/>
    <x v="1"/>
    <n v="8560"/>
    <n v="8190"/>
    <n v="132"/>
    <n v="1.6117216117216119E-2"/>
    <n v="0.95677570093457942"/>
    <x v="2"/>
    <n v="0"/>
    <n v="0"/>
    <s v="None"/>
    <n v="18"/>
    <n v="2376"/>
    <n v="46059"/>
    <n v="7330"/>
    <n v="7330"/>
    <x v="1884"/>
    <n v="15000"/>
  </r>
  <r>
    <s v="PR-1883"/>
    <d v="2026-09-20T00:00:00"/>
    <x v="0"/>
    <x v="0"/>
    <s v="Sunday"/>
    <x v="0"/>
    <x v="3"/>
    <x v="3"/>
    <s v="Toothpaste"/>
    <x v="8"/>
    <s v="Whitening Toothpaste 100g"/>
    <s v="B260920-L1A"/>
    <s v="R. Sharma"/>
    <x v="1"/>
    <x v="3"/>
    <x v="4"/>
    <n v="5600"/>
    <n v="5290"/>
    <n v="140"/>
    <n v="2.6465028355387523E-2"/>
    <n v="0.94464285714285712"/>
    <x v="2"/>
    <n v="39"/>
    <n v="0.65"/>
    <s v="Power Interruption"/>
    <n v="38"/>
    <n v="5320"/>
    <n v="46525"/>
    <n v="4850"/>
    <n v="4850"/>
    <x v="1885"/>
    <n v="13500"/>
  </r>
  <r>
    <s v="PR-1945"/>
    <d v="2026-09-25T00:00:00"/>
    <x v="0"/>
    <x v="0"/>
    <s v="Friday"/>
    <x v="2"/>
    <x v="3"/>
    <x v="3"/>
    <s v="Toothpaste"/>
    <x v="8"/>
    <s v="Whitening Toothpaste 100g"/>
    <s v="B260925-L1C"/>
    <s v="M. Khan"/>
    <x v="1"/>
    <x v="3"/>
    <x v="4"/>
    <n v="7180"/>
    <n v="6340"/>
    <n v="159"/>
    <n v="2.5078864353312302E-2"/>
    <n v="0.88300835654596099"/>
    <x v="2"/>
    <n v="0"/>
    <n v="0"/>
    <s v="None"/>
    <n v="38"/>
    <n v="6042"/>
    <n v="47223"/>
    <n v="6360"/>
    <n v="6360"/>
    <x v="1886"/>
    <n v="13500"/>
  </r>
  <r>
    <s v="PR-1863"/>
    <d v="2026-09-18T00:00:00"/>
    <x v="0"/>
    <x v="0"/>
    <s v="Friday"/>
    <x v="1"/>
    <x v="3"/>
    <x v="3"/>
    <s v="Toothpaste"/>
    <x v="8"/>
    <s v="Whitening Toothpaste 100g"/>
    <s v="B260918-L1B"/>
    <s v="S. Yadav"/>
    <x v="1"/>
    <x v="3"/>
    <x v="2"/>
    <n v="7250"/>
    <n v="7090"/>
    <n v="157"/>
    <n v="2.2143864598025389E-2"/>
    <n v="0.97793103448275864"/>
    <x v="5"/>
    <n v="0"/>
    <n v="0"/>
    <s v="None"/>
    <n v="38"/>
    <n v="5966"/>
    <n v="47189"/>
    <n v="6990"/>
    <n v="6990"/>
    <x v="1887"/>
    <n v="13500"/>
  </r>
  <r>
    <s v="PR-1827"/>
    <d v="2026-09-15T00:00:00"/>
    <x v="0"/>
    <x v="0"/>
    <s v="Tuesday"/>
    <x v="1"/>
    <x v="3"/>
    <x v="3"/>
    <s v="Toothpaste"/>
    <x v="8"/>
    <s v="Whitening Toothpaste 100g"/>
    <s v="B260915-L1B"/>
    <s v="P. Singh"/>
    <x v="1"/>
    <x v="3"/>
    <x v="2"/>
    <n v="8170"/>
    <n v="7750"/>
    <n v="85"/>
    <n v="1.0967741935483871E-2"/>
    <n v="0.94859241126070992"/>
    <x v="2"/>
    <n v="0"/>
    <n v="0"/>
    <s v="None"/>
    <n v="38"/>
    <n v="3230"/>
    <n v="46264"/>
    <n v="6740"/>
    <n v="6740"/>
    <x v="1888"/>
    <n v="13500"/>
  </r>
  <r>
    <s v="PR-1941"/>
    <d v="2026-09-25T00:00:00"/>
    <x v="0"/>
    <x v="0"/>
    <s v="Friday"/>
    <x v="1"/>
    <x v="3"/>
    <x v="3"/>
    <s v="Toothpaste"/>
    <x v="8"/>
    <s v="Whitening Toothpaste 100g"/>
    <s v="B260925-L1B"/>
    <s v="P. Singh"/>
    <x v="1"/>
    <x v="3"/>
    <x v="3"/>
    <n v="7650"/>
    <n v="7240"/>
    <n v="162"/>
    <n v="2.2375690607734807E-2"/>
    <n v="0.9464052287581699"/>
    <x v="2"/>
    <n v="41"/>
    <n v="0.68333333333333335"/>
    <s v="Machine Breakdown"/>
    <n v="38"/>
    <n v="6156"/>
    <n v="46755"/>
    <n v="6610"/>
    <n v="6610"/>
    <x v="1889"/>
    <n v="13500"/>
  </r>
  <r>
    <s v="PR-1961"/>
    <d v="2026-09-27T00:00:00"/>
    <x v="0"/>
    <x v="0"/>
    <s v="Sunday"/>
    <x v="0"/>
    <x v="3"/>
    <x v="3"/>
    <s v="Toothpaste"/>
    <x v="8"/>
    <s v="Whitening Toothpaste 100g"/>
    <s v="B260927-L1A"/>
    <s v="R. Sharma"/>
    <x v="2"/>
    <x v="3"/>
    <x v="4"/>
    <n v="5570"/>
    <n v="4870"/>
    <n v="136"/>
    <n v="2.7926078028747435E-2"/>
    <n v="0.87432675044883301"/>
    <x v="4"/>
    <n v="68"/>
    <n v="1.1333333333333333"/>
    <s v="Changeover"/>
    <n v="38"/>
    <n v="5168"/>
    <n v="47556"/>
    <n v="4990"/>
    <n v="4990"/>
    <x v="1890"/>
    <n v="13500"/>
  </r>
  <r>
    <s v="PR-1912"/>
    <d v="2026-09-22T00:00:00"/>
    <x v="0"/>
    <x v="0"/>
    <s v="Tuesday"/>
    <x v="2"/>
    <x v="1"/>
    <x v="1"/>
    <s v="Toothbrush"/>
    <x v="11"/>
    <s v="Soft Toothbrush"/>
    <s v="B260922-L4C"/>
    <s v="A. Gupta"/>
    <x v="1"/>
    <x v="1"/>
    <x v="6"/>
    <n v="8360"/>
    <n v="8040"/>
    <n v="182"/>
    <n v="2.2636815920398009E-2"/>
    <n v="0.96172248803827753"/>
    <x v="0"/>
    <n v="0"/>
    <n v="0"/>
    <s v="None"/>
    <n v="18"/>
    <n v="3276"/>
    <n v="46787"/>
    <n v="7150"/>
    <n v="7150"/>
    <x v="1891"/>
    <n v="15000"/>
  </r>
  <r>
    <s v="PR-1953"/>
    <d v="2026-09-26T00:00:00"/>
    <x v="0"/>
    <x v="0"/>
    <s v="Saturday"/>
    <x v="1"/>
    <x v="3"/>
    <x v="3"/>
    <s v="Toothpaste"/>
    <x v="8"/>
    <s v="Whitening Toothpaste 100g"/>
    <s v="B260926-L1B"/>
    <s v="P. Singh"/>
    <x v="2"/>
    <x v="3"/>
    <x v="2"/>
    <n v="7450"/>
    <n v="7020"/>
    <n v="158"/>
    <n v="2.2507122507122508E-2"/>
    <n v="0.94228187919463091"/>
    <x v="0"/>
    <n v="28"/>
    <n v="0.46666666666666667"/>
    <s v="Material Shortage"/>
    <n v="38"/>
    <n v="6004"/>
    <n v="47044"/>
    <n v="6350"/>
    <n v="6350"/>
    <x v="1892"/>
    <n v="13500"/>
  </r>
  <r>
    <s v="PR-1916"/>
    <d v="2026-09-23T00:00:00"/>
    <x v="0"/>
    <x v="0"/>
    <s v="Wednesday"/>
    <x v="0"/>
    <x v="1"/>
    <x v="1"/>
    <s v="Toothbrush"/>
    <x v="11"/>
    <s v="Soft Toothbrush"/>
    <s v="B260923-L4A"/>
    <s v="K. Verma"/>
    <x v="1"/>
    <x v="1"/>
    <x v="6"/>
    <n v="9100"/>
    <n v="8620"/>
    <n v="309"/>
    <n v="3.5846867749419954E-2"/>
    <n v="0.94725274725274722"/>
    <x v="3"/>
    <n v="52"/>
    <n v="0.8666666666666667"/>
    <s v="Changeover"/>
    <n v="18"/>
    <n v="5562"/>
    <n v="47495"/>
    <n v="7980"/>
    <n v="7980"/>
    <x v="1893"/>
    <n v="15000"/>
  </r>
  <r>
    <s v="PR-1924"/>
    <d v="2026-09-23T00:00:00"/>
    <x v="0"/>
    <x v="0"/>
    <s v="Wednesday"/>
    <x v="2"/>
    <x v="1"/>
    <x v="1"/>
    <s v="Toothbrush"/>
    <x v="11"/>
    <s v="Soft Toothbrush"/>
    <s v="B260923-L4C"/>
    <s v="A. Gupta"/>
    <x v="1"/>
    <x v="1"/>
    <x v="6"/>
    <n v="7560"/>
    <n v="7090"/>
    <n v="98"/>
    <n v="1.382228490832158E-2"/>
    <n v="0.93783068783068779"/>
    <x v="0"/>
    <n v="0"/>
    <n v="0"/>
    <s v="None"/>
    <n v="18"/>
    <n v="1764"/>
    <n v="47826"/>
    <n v="6740"/>
    <n v="6740"/>
    <x v="1894"/>
    <n v="15000"/>
  </r>
  <r>
    <s v="PR-1960"/>
    <d v="2026-09-26T00:00:00"/>
    <x v="0"/>
    <x v="0"/>
    <s v="Saturday"/>
    <x v="2"/>
    <x v="1"/>
    <x v="1"/>
    <s v="Toothbrush"/>
    <x v="11"/>
    <s v="Soft Toothbrush"/>
    <s v="B260926-L4C"/>
    <s v="M. Khan"/>
    <x v="1"/>
    <x v="1"/>
    <x v="6"/>
    <n v="8340"/>
    <n v="8330"/>
    <n v="251"/>
    <n v="3.0132052821128453E-2"/>
    <n v="0.99880095923261392"/>
    <x v="4"/>
    <n v="0"/>
    <n v="0"/>
    <s v="None"/>
    <n v="18"/>
    <n v="4518"/>
    <n v="48511"/>
    <n v="8330"/>
    <n v="8330"/>
    <x v="1895"/>
    <n v="15000"/>
  </r>
  <r>
    <s v="PR-1944"/>
    <d v="2026-09-25T00:00:00"/>
    <x v="0"/>
    <x v="0"/>
    <s v="Friday"/>
    <x v="1"/>
    <x v="1"/>
    <x v="1"/>
    <s v="Toothbrush"/>
    <x v="11"/>
    <s v="Soft Toothbrush"/>
    <s v="B260925-L4B"/>
    <s v="P. Singh"/>
    <x v="1"/>
    <x v="1"/>
    <x v="7"/>
    <n v="8800"/>
    <n v="8430"/>
    <n v="219"/>
    <n v="2.5978647686832741E-2"/>
    <n v="0.9579545454545455"/>
    <x v="2"/>
    <n v="72"/>
    <n v="1.2"/>
    <s v="Changeover"/>
    <n v="18"/>
    <n v="3942"/>
    <n v="48078"/>
    <n v="7960"/>
    <n v="7960"/>
    <x v="1896"/>
    <n v="15000"/>
  </r>
  <r>
    <s v="PR-1948"/>
    <d v="2026-09-25T00:00:00"/>
    <x v="0"/>
    <x v="0"/>
    <s v="Friday"/>
    <x v="2"/>
    <x v="1"/>
    <x v="1"/>
    <s v="Toothbrush"/>
    <x v="11"/>
    <s v="Soft Toothbrush"/>
    <s v="B260925-L4C"/>
    <s v="M. Khan"/>
    <x v="2"/>
    <x v="1"/>
    <x v="0"/>
    <n v="8040"/>
    <n v="7280"/>
    <n v="228"/>
    <n v="3.1318681318681318E-2"/>
    <n v="0.90547263681592038"/>
    <x v="3"/>
    <n v="49"/>
    <n v="0.81666666666666665"/>
    <s v="Changeover"/>
    <n v="18"/>
    <n v="4104"/>
    <n v="48329"/>
    <n v="6870"/>
    <n v="6870"/>
    <x v="1897"/>
    <n v="15000"/>
  </r>
  <r>
    <s v="PR-1965"/>
    <d v="2026-09-28T00:00:00"/>
    <x v="0"/>
    <x v="0"/>
    <s v="Monday"/>
    <x v="0"/>
    <x v="3"/>
    <x v="3"/>
    <s v="Toothpaste"/>
    <x v="8"/>
    <s v="Whitening Toothpaste 100g"/>
    <s v="B260928-L1A"/>
    <s v="K. Verma"/>
    <x v="2"/>
    <x v="3"/>
    <x v="2"/>
    <n v="7240"/>
    <n v="6890"/>
    <n v="99"/>
    <n v="1.4368650217706821E-2"/>
    <n v="0.9516574585635359"/>
    <x v="2"/>
    <n v="0"/>
    <n v="0"/>
    <s v="None"/>
    <n v="38"/>
    <n v="3762"/>
    <n v="47300"/>
    <n v="5440"/>
    <n v="5440"/>
    <x v="1898"/>
    <n v="13500"/>
  </r>
  <r>
    <s v="PR-1988"/>
    <d v="2026-09-29T00:00:00"/>
    <x v="0"/>
    <x v="0"/>
    <s v="Tuesday"/>
    <x v="2"/>
    <x v="1"/>
    <x v="1"/>
    <s v="Toothbrush"/>
    <x v="11"/>
    <s v="Soft Toothbrush"/>
    <s v="B260929-L4C"/>
    <s v="M. Khan"/>
    <x v="1"/>
    <x v="1"/>
    <x v="6"/>
    <n v="8100"/>
    <n v="7320"/>
    <n v="204"/>
    <n v="2.7868852459016394E-2"/>
    <n v="0.90370370370370368"/>
    <x v="5"/>
    <n v="53"/>
    <n v="0.8833333333333333"/>
    <s v="Cleaning / Sanitation"/>
    <n v="18"/>
    <n v="3672"/>
    <n v="49893"/>
    <n v="7880"/>
    <n v="7880"/>
    <x v="1899"/>
    <n v="15000"/>
  </r>
  <r>
    <s v="PR-1981"/>
    <d v="2026-09-29T00:00:00"/>
    <x v="0"/>
    <x v="0"/>
    <s v="Tuesday"/>
    <x v="1"/>
    <x v="3"/>
    <x v="3"/>
    <s v="Toothpaste"/>
    <x v="8"/>
    <s v="Whitening Toothpaste 100g"/>
    <s v="B260929-L1B"/>
    <s v="S. Yadav"/>
    <x v="2"/>
    <x v="3"/>
    <x v="2"/>
    <n v="7820"/>
    <n v="7790"/>
    <n v="243"/>
    <n v="3.1193838254172015E-2"/>
    <n v="0.99616368286445012"/>
    <x v="0"/>
    <n v="0"/>
    <n v="0"/>
    <s v="None"/>
    <n v="38"/>
    <n v="9234"/>
    <n v="48651"/>
    <n v="7030"/>
    <n v="7030"/>
    <x v="1900"/>
    <n v="13500"/>
  </r>
  <r>
    <s v="PR-2000"/>
    <d v="2026-09-30T00:00:00"/>
    <x v="0"/>
    <x v="0"/>
    <s v="Wednesday"/>
    <x v="2"/>
    <x v="1"/>
    <x v="1"/>
    <s v="Toothbrush"/>
    <x v="11"/>
    <s v="Soft Toothbrush"/>
    <s v="B260930-L4C"/>
    <s v="A. Gupta"/>
    <x v="2"/>
    <x v="1"/>
    <x v="6"/>
    <n v="7670"/>
    <n v="7060"/>
    <n v="81"/>
    <n v="1.1473087818696884E-2"/>
    <n v="0.92046936114732725"/>
    <x v="5"/>
    <n v="0"/>
    <n v="0"/>
    <s v="None"/>
    <n v="18"/>
    <n v="1458"/>
    <n v="49129"/>
    <n v="6620"/>
    <n v="6620"/>
    <x v="1901"/>
    <n v="15000"/>
  </r>
  <r>
    <s v="PR-1972"/>
    <d v="2026-09-28T00:00:00"/>
    <x v="0"/>
    <x v="0"/>
    <s v="Monday"/>
    <x v="1"/>
    <x v="1"/>
    <x v="1"/>
    <s v="Toothbrush"/>
    <x v="11"/>
    <s v="Soft Toothbrush"/>
    <s v="B260928-L4B"/>
    <s v="P. Singh"/>
    <x v="2"/>
    <x v="1"/>
    <x v="7"/>
    <n v="7920"/>
    <n v="8060"/>
    <n v="236"/>
    <n v="2.9280397022332507E-2"/>
    <n v="1.0176767676767677"/>
    <x v="5"/>
    <n v="41"/>
    <n v="0.68333333333333335"/>
    <s v="Changeover"/>
    <n v="18"/>
    <n v="4248"/>
    <n v="48260"/>
    <n v="6370"/>
    <n v="6370"/>
    <x v="1902"/>
    <n v="15000"/>
  </r>
  <r>
    <s v="PR-1984"/>
    <d v="2026-09-29T00:00:00"/>
    <x v="0"/>
    <x v="0"/>
    <s v="Tuesday"/>
    <x v="1"/>
    <x v="1"/>
    <x v="1"/>
    <s v="Toothbrush"/>
    <x v="11"/>
    <s v="Soft Toothbrush"/>
    <s v="B260929-L4B"/>
    <s v="P. Singh"/>
    <x v="1"/>
    <x v="1"/>
    <x v="6"/>
    <n v="9040"/>
    <n v="8650"/>
    <n v="231"/>
    <n v="2.6705202312138729E-2"/>
    <n v="0.95685840707964598"/>
    <x v="4"/>
    <n v="0"/>
    <n v="0"/>
    <s v="None"/>
    <n v="18"/>
    <n v="4158"/>
    <n v="49714"/>
    <n v="8240"/>
    <n v="8240"/>
    <x v="1903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AD638-94D2-4681-8D0C-227B449C70C5}" name="PivotTable1" cacheId="155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2:G9" firstHeaderRow="0" firstDataRow="1" firstDataCol="1"/>
  <pivotFields count="32">
    <pivotField compact="0" outline="0" showAll="0"/>
    <pivotField compact="0" numFmtId="164" outline="0" showAll="0"/>
    <pivotField axis="axisRow" compact="0" numFmtId="165" outline="0" showAll="0">
      <items count="8">
        <item x="5"/>
        <item x="4"/>
        <item x="3"/>
        <item x="2"/>
        <item x="1"/>
        <item x="0"/>
        <item m="1" x="6"/>
        <item t="default"/>
      </items>
    </pivotField>
    <pivotField compact="0" outline="0" showAll="0" sortType="ascending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10" outline="0" showAll="0"/>
    <pivotField dataField="1"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Planned_Qty" fld="16" baseField="0" baseItem="0" numFmtId="3"/>
    <dataField name="Sum of Produced_Qty" fld="17" baseField="0" baseItem="0" numFmtId="3"/>
    <dataField name="Sum of Rejected_Qty" fld="18" baseField="0" baseItem="0" numFmtId="3"/>
    <dataField name="Average of Rejection%" fld="19" subtotal="average" baseField="0" baseItem="0" numFmtId="10"/>
    <dataField name="Average of Plan_Achievement %" fld="20" subtotal="average" baseField="0" baseItem="0"/>
    <dataField name="Sum of Downtime_Hour" fld="23" baseField="0" baseItem="0" numFmtId="1"/>
  </dataFields>
  <formats count="3">
    <format dxfId="22">
      <pivotArea dataOnly="0" labelOnly="1" grandRow="1" outline="0" fieldPosition="0"/>
    </format>
    <format dxfId="23">
      <pivotArea outline="0" fieldPosition="0">
        <references count="2">
          <reference field="4294967294" count="1" selected="0">
            <x v="4"/>
          </reference>
          <reference field="2" count="0" selected="0"/>
        </references>
      </pivotArea>
    </format>
    <format dxfId="24">
      <pivotArea field="2" grandRow="1" outline="0" axis="axisRow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3EB3C-5F94-46AF-9D32-A6261E6562F1}" name="PivotTable7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3:D197" firstHeaderRow="1" firstDataRow="1" firstDataCol="3"/>
  <pivotFields count="32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5">
        <item h="1" x="2"/>
        <item x="0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Fields count="3">
    <field x="7"/>
    <field x="13"/>
    <field x="5"/>
  </rowFields>
  <rowItems count="14">
    <i>
      <x v="1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1"/>
    </i>
    <i t="grand">
      <x/>
    </i>
  </rowItems>
  <colItems count="1">
    <i/>
  </colItems>
  <dataFields count="1">
    <dataField name="Average of Rejection%" fld="19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5540A-80D2-4E1B-B5E4-DBDACDFC0785}" name="PivotTable10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4:E283" firstHeaderRow="1" firstDataRow="1" firstDataCol="4"/>
  <pivotFields count="32">
    <pivotField dataField="1" compact="0" outline="0" showAll="0"/>
    <pivotField compact="0" numFmtId="164" outline="0" showAll="0"/>
    <pivotField axis="axisRow" compact="0" outline="0" showAll="0">
      <items count="8">
        <item x="5"/>
        <item x="1"/>
        <item x="2"/>
        <item x="3"/>
        <item x="4"/>
        <item x="0"/>
        <item m="1" x="6"/>
        <item t="default"/>
      </items>
    </pivotField>
    <pivotField axis="axisRow" compact="0" outline="0" showAll="0">
      <items count="7"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6"/>
        <item x="9"/>
        <item x="4"/>
        <item x="1"/>
        <item x="0"/>
        <item x="2"/>
        <item x="3"/>
        <item x="10"/>
        <item x="11"/>
        <item x="5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axis="axisRow" compact="0" numFmtId="3" outline="0" showAll="0">
      <items count="190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t="default"/>
      </items>
    </pivotField>
    <pivotField compact="0" numFmtId="3" outline="0" showAll="0"/>
  </pivotFields>
  <rowFields count="4">
    <field x="9"/>
    <field x="3"/>
    <field x="2"/>
    <field x="30"/>
  </rowFields>
  <rowItems count="9">
    <i>
      <x v="3"/>
      <x v="5"/>
      <x v="5"/>
      <x/>
    </i>
    <i t="default" r="2">
      <x v="5"/>
    </i>
    <i t="default" r="1">
      <x v="5"/>
    </i>
    <i t="default">
      <x v="3"/>
    </i>
    <i>
      <x v="4"/>
      <x v="5"/>
      <x v="5"/>
      <x/>
    </i>
    <i t="default" r="2">
      <x v="5"/>
    </i>
    <i t="default" r="1">
      <x v="5"/>
    </i>
    <i t="default">
      <x v="4"/>
    </i>
    <i t="grand">
      <x/>
    </i>
  </rowItems>
  <colItems count="1">
    <i/>
  </colItems>
  <dataFields count="1">
    <dataField name="Count of Recor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F18B9-496D-43D2-A737-B770D9684087}" name="PivotTable8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4:H228" firstHeaderRow="1" firstDataRow="2" firstDataCol="4"/>
  <pivotFields count="32">
    <pivotField dataField="1" compact="0" outline="0" showAll="0"/>
    <pivotField compact="0" numFmtId="164" outline="0" showAll="0"/>
    <pivotField axis="axisRow" compact="0" outline="0" showAll="0">
      <items count="8">
        <item x="5"/>
        <item x="1"/>
        <item x="2"/>
        <item x="3"/>
        <item x="4"/>
        <item x="0"/>
        <item m="1" x="6"/>
        <item t="default"/>
      </items>
    </pivotField>
    <pivotField axis="axisRow" compact="0" outline="0" showAll="0">
      <items count="7">
        <item h="1" x="5"/>
        <item h="1" x="4"/>
        <item h="1" x="3"/>
        <item x="2"/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5">
        <item h="1" x="2"/>
        <item x="0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Fields count="4">
    <field x="7"/>
    <field x="5"/>
    <field x="3"/>
    <field x="2"/>
  </rowFields>
  <rowItems count="23">
    <i>
      <x v="1"/>
      <x/>
      <x v="3"/>
      <x v="2"/>
    </i>
    <i t="default" r="2">
      <x v="3"/>
    </i>
    <i r="2">
      <x v="4"/>
      <x v="1"/>
    </i>
    <i t="default" r="2">
      <x v="4"/>
    </i>
    <i r="2">
      <x v="5"/>
      <x v="5"/>
    </i>
    <i t="default" r="2">
      <x v="5"/>
    </i>
    <i t="default" r="1">
      <x/>
    </i>
    <i r="1">
      <x v="1"/>
      <x v="3"/>
      <x v="2"/>
    </i>
    <i t="default" r="2">
      <x v="3"/>
    </i>
    <i r="2">
      <x v="4"/>
      <x v="1"/>
    </i>
    <i t="default" r="2">
      <x v="4"/>
    </i>
    <i r="2">
      <x v="5"/>
      <x v="5"/>
    </i>
    <i t="default" r="2">
      <x v="5"/>
    </i>
    <i t="default" r="1">
      <x v="1"/>
    </i>
    <i r="1">
      <x v="2"/>
      <x v="3"/>
      <x v="2"/>
    </i>
    <i t="default" r="2">
      <x v="3"/>
    </i>
    <i r="2">
      <x v="4"/>
      <x v="1"/>
    </i>
    <i t="default" r="2">
      <x v="4"/>
    </i>
    <i r="2">
      <x v="5"/>
      <x v="5"/>
    </i>
    <i t="default" r="2">
      <x v="5"/>
    </i>
    <i t="default" r="1">
      <x v="2"/>
    </i>
    <i t="default"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Record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4C1FC-25BA-4A13-A5D7-6CCBD6445F7E}" name="PivotTable2" cacheId="155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3">
  <location ref="A35:G49" firstHeaderRow="1" firstDataRow="2" firstDataCol="2"/>
  <pivotFields count="32">
    <pivotField compact="0" outline="0" showAll="0"/>
    <pivotField compact="0" numFmtId="164" outline="0" showAll="0"/>
    <pivotField axis="axisRow" compact="0" outline="0" showAll="0" sortType="ascending">
      <items count="8">
        <item x="5"/>
        <item x="1"/>
        <item x="2"/>
        <item x="3"/>
        <item x="4"/>
        <item x="0"/>
        <item m="1" x="6"/>
        <item t="default"/>
      </items>
    </pivotField>
    <pivotField axis="axisRow" compact="0" outline="0" showAll="0">
      <items count="7"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5">
        <item x="3"/>
        <item x="0"/>
        <item x="2"/>
        <item x="1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Fields count="2">
    <field x="3"/>
    <field x="2"/>
  </rowFields>
  <rowItems count="13">
    <i>
      <x/>
      <x/>
    </i>
    <i t="default">
      <x/>
    </i>
    <i>
      <x v="1"/>
      <x v="4"/>
    </i>
    <i t="default">
      <x v="1"/>
    </i>
    <i>
      <x v="2"/>
      <x v="3"/>
    </i>
    <i t="default">
      <x v="2"/>
    </i>
    <i>
      <x v="3"/>
      <x v="2"/>
    </i>
    <i t="default">
      <x v="3"/>
    </i>
    <i>
      <x v="4"/>
      <x v="1"/>
    </i>
    <i t="default">
      <x v="4"/>
    </i>
    <i>
      <x v="5"/>
      <x v="5"/>
    </i>
    <i t="default">
      <x v="5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ejection%" fld="19" subtotal="average" baseField="0" baseItem="0" numFmtId="10"/>
  </dataFields>
  <chartFormats count="2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05DAA-C8F4-4E13-BDB4-4E985108E323}" name="PivotTable3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8:B82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jection%" fld="19" subtotal="average" baseField="0" baseItem="0" numFmtId="10"/>
  </dataFields>
  <formats count="3">
    <format dxfId="19">
      <pivotArea outline="0" collapsedLevelsAreSubtotals="1" fieldPosition="0"/>
    </format>
    <format dxfId="20">
      <pivotArea outline="0" fieldPosition="0">
        <references count="1">
          <reference field="5" count="1" selected="0">
            <x v="2"/>
          </reference>
        </references>
      </pivotArea>
    </format>
    <format dxfId="21">
      <pivotArea dataOnly="0" labelOnly="1" outline="0" fieldPosition="0">
        <references count="1">
          <reference field="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5D84C-62AF-40E1-B5A3-3160A0DCB115}" name="PivotTable4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7:C115" firstHeaderRow="1" firstDataRow="1" firstDataCol="2"/>
  <pivotFields count="32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axis="axisRow" compact="0" outline="0" showAll="0">
      <items count="14">
        <item x="12"/>
        <item x="11"/>
        <item x="9"/>
        <item x="8"/>
        <item x="10"/>
        <item x="5"/>
        <item x="4"/>
        <item x="3"/>
        <item x="2"/>
        <item x="1"/>
        <item x="0"/>
        <item x="6"/>
        <item x="7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dataField="1"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Fields count="2">
    <field x="14"/>
    <field x="15"/>
  </rowFields>
  <rowItems count="28">
    <i>
      <x/>
      <x/>
    </i>
    <i r="1">
      <x v="1"/>
    </i>
    <i r="1">
      <x v="2"/>
    </i>
    <i r="1">
      <x v="3"/>
    </i>
    <i r="1">
      <x v="4"/>
    </i>
    <i t="default">
      <x/>
    </i>
    <i>
      <x v="1"/>
      <x v="3"/>
    </i>
    <i r="1">
      <x v="4"/>
    </i>
    <i r="1">
      <x v="5"/>
    </i>
    <i r="1">
      <x v="6"/>
    </i>
    <i r="1">
      <x v="7"/>
    </i>
    <i r="1">
      <x v="8"/>
    </i>
    <i t="default">
      <x v="1"/>
    </i>
    <i>
      <x v="2"/>
      <x v="5"/>
    </i>
    <i r="1">
      <x v="6"/>
    </i>
    <i r="1">
      <x v="7"/>
    </i>
    <i r="1">
      <x v="8"/>
    </i>
    <i r="1">
      <x v="9"/>
    </i>
    <i r="1">
      <x v="10"/>
    </i>
    <i t="default">
      <x v="2"/>
    </i>
    <i>
      <x v="3"/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 t="grand">
      <x/>
    </i>
  </rowItems>
  <colItems count="1">
    <i/>
  </colItems>
  <dataFields count="1">
    <dataField name="Average of Rejection%" fld="19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D6682-6CCF-4580-8462-5552CEF453D6}" name="PivotTable11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96:D310" firstHeaderRow="1" firstDataRow="1" firstDataCol="3"/>
  <pivotFields count="32">
    <pivotField compact="0" outline="0" showAll="0"/>
    <pivotField compact="0" numFmtId="164" outline="0" showAll="0"/>
    <pivotField axis="axisRow" compact="0" outline="0" showAll="0">
      <items count="8">
        <item x="5"/>
        <item x="1"/>
        <item x="2"/>
        <item x="3"/>
        <item x="4"/>
        <item x="0"/>
        <item m="1" x="6"/>
        <item t="default"/>
      </items>
    </pivotField>
    <pivotField axis="axisRow" compact="0" outline="0" showAll="0">
      <items count="7"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h="1" x="2"/>
        <item x="0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Fields count="3">
    <field x="7"/>
    <field x="3"/>
    <field x="2"/>
  </rowFields>
  <rowItems count="14">
    <i>
      <x v="1"/>
      <x/>
      <x/>
    </i>
    <i t="default" r="1">
      <x/>
    </i>
    <i r="1">
      <x v="1"/>
      <x v="4"/>
    </i>
    <i t="default" r="1">
      <x v="1"/>
    </i>
    <i r="1">
      <x v="2"/>
      <x v="3"/>
    </i>
    <i t="default" r="1">
      <x v="2"/>
    </i>
    <i r="1">
      <x v="3"/>
      <x v="2"/>
    </i>
    <i t="default" r="1">
      <x v="3"/>
    </i>
    <i r="1">
      <x v="4"/>
      <x v="1"/>
    </i>
    <i t="default" r="1">
      <x v="4"/>
    </i>
    <i r="1">
      <x v="5"/>
      <x v="5"/>
    </i>
    <i t="default" r="1">
      <x v="5"/>
    </i>
    <i t="default">
      <x v="1"/>
    </i>
    <i t="grand">
      <x/>
    </i>
  </rowItems>
  <colItems count="1">
    <i/>
  </colItems>
  <dataFields count="1">
    <dataField name="Sum of Rejection_Loss_INR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FA3A6-A759-4F1A-A252-8233EF1A4FDD}" name="PivotTable5" cacheId="155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130:C144" firstHeaderRow="1" firstDataRow="1" firstDataCol="2"/>
  <pivotFields count="32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Fields count="2">
    <field x="7"/>
    <field x="13"/>
  </rowFields>
  <rowItems count="14">
    <i>
      <x/>
      <x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2"/>
    </i>
    <i t="default">
      <x v="2"/>
    </i>
    <i>
      <x v="3"/>
      <x/>
    </i>
    <i r="1">
      <x v="2"/>
    </i>
    <i t="default">
      <x v="3"/>
    </i>
    <i t="grand">
      <x/>
    </i>
  </rowItems>
  <colItems count="1">
    <i/>
  </colItems>
  <dataFields count="1">
    <dataField name="Average of Rejection%" fld="19" subtotal="average" baseField="0" baseItem="0" numFmtId="10"/>
  </dataFields>
  <formats count="3">
    <format dxfId="16">
      <pivotArea outline="0" fieldPosition="0">
        <references count="2">
          <reference field="7" count="1" selected="0">
            <x v="1"/>
          </reference>
          <reference field="13" count="1" selected="0">
            <x v="1"/>
          </reference>
        </references>
      </pivotArea>
    </format>
    <format dxfId="17">
      <pivotArea dataOnly="0" labelOnly="1" outline="0" offset="IV2" fieldPosition="0">
        <references count="1">
          <reference field="7" count="1">
            <x v="1"/>
          </reference>
        </references>
      </pivotArea>
    </format>
    <format dxfId="18">
      <pivotArea dataOnly="0" labelOnly="1" outline="0" fieldPosition="0">
        <references count="2">
          <reference field="7" count="1" selected="0">
            <x v="1"/>
          </reference>
          <reference field="1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6BDE6-FDFA-4832-9590-598C597139AB}" name="PivotTable9" cacheId="155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35:L267" firstHeaderRow="0" firstDataRow="1" firstDataCol="4"/>
  <pivotFields count="32">
    <pivotField compact="0" outline="0" showAll="0"/>
    <pivotField compact="0" numFmtId="164" outline="0" showAll="0"/>
    <pivotField axis="axisRow" compact="0" outline="0" showAll="0">
      <items count="8">
        <item x="5"/>
        <item x="1"/>
        <item x="2"/>
        <item x="3"/>
        <item x="4"/>
        <item x="0"/>
        <item m="1" x="6"/>
        <item t="default"/>
      </items>
    </pivotField>
    <pivotField axis="axisRow" compact="0" outline="0" showAll="0">
      <items count="7"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h="1" x="2"/>
        <item x="0"/>
        <item h="1" x="1"/>
        <item h="1" x="3"/>
        <item t="default"/>
      </items>
    </pivotField>
    <pivotField compact="0" outline="0" showAll="0"/>
    <pivotField axis="axisRow" compact="0" outline="0" showAll="0">
      <items count="13">
        <item x="6"/>
        <item x="9"/>
        <item x="4"/>
        <item x="1"/>
        <item x="0"/>
        <item x="2"/>
        <item x="3"/>
        <item x="10"/>
        <item x="11"/>
        <item x="5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</pivotFields>
  <rowFields count="4">
    <field x="7"/>
    <field x="3"/>
    <field x="2"/>
    <field x="9"/>
  </rowFields>
  <rowItems count="32">
    <i>
      <x v="1"/>
      <x/>
      <x/>
      <x v="3"/>
    </i>
    <i r="3">
      <x v="4"/>
    </i>
    <i r="3">
      <x v="5"/>
    </i>
    <i t="default" r="2">
      <x/>
    </i>
    <i t="default" r="1">
      <x/>
    </i>
    <i r="1">
      <x v="1"/>
      <x v="4"/>
      <x v="3"/>
    </i>
    <i r="3">
      <x v="4"/>
    </i>
    <i r="3">
      <x v="5"/>
    </i>
    <i t="default" r="2">
      <x v="4"/>
    </i>
    <i t="default" r="1">
      <x v="1"/>
    </i>
    <i r="1">
      <x v="2"/>
      <x v="3"/>
      <x v="3"/>
    </i>
    <i r="3">
      <x v="4"/>
    </i>
    <i r="3">
      <x v="5"/>
    </i>
    <i t="default" r="2">
      <x v="3"/>
    </i>
    <i t="default" r="1">
      <x v="2"/>
    </i>
    <i r="1">
      <x v="3"/>
      <x v="2"/>
      <x v="3"/>
    </i>
    <i r="3">
      <x v="4"/>
    </i>
    <i r="3">
      <x v="5"/>
    </i>
    <i t="default" r="2">
      <x v="2"/>
    </i>
    <i t="default" r="1">
      <x v="3"/>
    </i>
    <i r="1">
      <x v="4"/>
      <x v="1"/>
      <x v="3"/>
    </i>
    <i r="3">
      <x v="4"/>
    </i>
    <i r="3">
      <x v="5"/>
    </i>
    <i t="default" r="2">
      <x v="1"/>
    </i>
    <i t="default" r="1">
      <x v="4"/>
    </i>
    <i r="1">
      <x v="5"/>
      <x v="5"/>
      <x v="3"/>
    </i>
    <i r="3">
      <x v="4"/>
    </i>
    <i r="3">
      <x v="5"/>
    </i>
    <i t="default" r="2">
      <x v="5"/>
    </i>
    <i t="default" r="1">
      <x v="5"/>
    </i>
    <i t="default"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Closing_FG_Stock" fld="30" baseField="0" baseItem="0" numFmtId="3"/>
    <dataField name="Sum of Reorder_Level" fld="31" baseField="0" baseItem="0" numFmtId="3"/>
    <dataField name="Sum of Planned_Qty" fld="16" baseField="0" baseItem="0" numFmtId="3"/>
    <dataField name="Sum of Produced_Qty" fld="17" baseField="0" baseItem="0" numFmtId="3"/>
    <dataField name="Sum of Rejected_Qty" fld="18" baseField="0" baseItem="0" numFmtId="3"/>
    <dataField name="Average of Rejection%" fld="19" subtotal="average" baseField="0" baseItem="0" numFmtId="10"/>
    <dataField name="Sum of Opening_FG_Stock" fld="27" baseField="0" baseItem="0" numFmtId="3"/>
    <dataField name="Sum of Dispatched_Qty" fld="29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1E44E-2B7C-464F-93D0-86183751D55B}" name="PivotTable6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1:E177" firstHeaderRow="1" firstDataRow="1" firstDataCol="4"/>
  <pivotFields count="32">
    <pivotField compact="0" outline="0" showAll="0"/>
    <pivotField compact="0" numFmtId="164" outline="0" showAll="0"/>
    <pivotField axis="axisRow" compact="0" outline="0" showAll="0">
      <items count="8">
        <item x="5"/>
        <item x="1"/>
        <item x="2"/>
        <item x="3"/>
        <item x="4"/>
        <item x="0"/>
        <item m="1" x="6"/>
        <item t="default"/>
      </items>
    </pivotField>
    <pivotField axis="axisRow" compact="0" outline="0" showAll="0">
      <items count="7">
        <item h="1" x="5"/>
        <item h="1" x="4"/>
        <item h="1"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h="1" x="2"/>
        <item x="0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dataField="1" compact="0" numFmtId="3" outline="0" showAll="0"/>
    <pivotField compact="0" numFmtId="10" outline="0" showAll="0"/>
    <pivotField compact="0" numFmtId="10" outline="0" showAll="0"/>
    <pivotField axis="axisRow" compact="0" outline="0" showAll="0" defaultSubtotal="0">
      <items count="6">
        <item x="1"/>
        <item x="3"/>
        <item x="4"/>
        <item x="5"/>
        <item x="2"/>
        <item x="0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Fields count="4">
    <field x="7"/>
    <field x="3"/>
    <field x="2"/>
    <field x="21"/>
  </rowFields>
  <rowItems count="26">
    <i>
      <x v="1"/>
      <x v="3"/>
      <x v="2"/>
      <x/>
    </i>
    <i r="3">
      <x v="1"/>
    </i>
    <i r="3">
      <x v="2"/>
    </i>
    <i r="3">
      <x v="3"/>
    </i>
    <i r="3">
      <x v="4"/>
    </i>
    <i r="3">
      <x v="5"/>
    </i>
    <i t="default" r="2">
      <x v="2"/>
    </i>
    <i t="default" r="1">
      <x v="3"/>
    </i>
    <i r="1">
      <x v="4"/>
      <x v="1"/>
      <x/>
    </i>
    <i r="3">
      <x v="1"/>
    </i>
    <i r="3">
      <x v="2"/>
    </i>
    <i r="3">
      <x v="3"/>
    </i>
    <i r="3">
      <x v="4"/>
    </i>
    <i r="3">
      <x v="5"/>
    </i>
    <i t="default" r="2">
      <x v="1"/>
    </i>
    <i t="default" r="1">
      <x v="4"/>
    </i>
    <i r="1">
      <x v="5"/>
      <x v="5"/>
      <x/>
    </i>
    <i r="3">
      <x v="1"/>
    </i>
    <i r="3">
      <x v="2"/>
    </i>
    <i r="3">
      <x v="3"/>
    </i>
    <i r="3">
      <x v="4"/>
    </i>
    <i r="3">
      <x v="5"/>
    </i>
    <i t="default" r="2">
      <x v="5"/>
    </i>
    <i t="default" r="1">
      <x v="5"/>
    </i>
    <i t="default">
      <x v="1"/>
    </i>
    <i t="grand">
      <x/>
    </i>
  </rowItems>
  <colItems count="1">
    <i/>
  </colItems>
  <dataFields count="1">
    <dataField name="Sum of Rejected_Qty" fld="18" baseField="0" baseItem="0" numFmtId="3"/>
  </dataFields>
  <formats count="6">
    <format dxfId="10">
      <pivotArea outline="0" fieldPosition="0">
        <references count="4">
          <reference field="2" count="1" selected="0">
            <x v="2"/>
          </reference>
          <reference field="3" count="1" selected="0">
            <x v="3"/>
          </reference>
          <reference field="7" count="0" selected="0"/>
          <reference field="21" count="1" selected="0">
            <x v="0"/>
          </reference>
        </references>
      </pivotArea>
    </format>
    <format dxfId="11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3"/>
          </reference>
          <reference field="7" count="0" selected="0"/>
          <reference field="21" count="1">
            <x v="0"/>
          </reference>
        </references>
      </pivotArea>
    </format>
    <format dxfId="12">
      <pivotArea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7" count="0" selected="0"/>
          <reference field="21" count="1" selected="0">
            <x v="0"/>
          </reference>
        </references>
      </pivotArea>
    </format>
    <format dxfId="1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7" count="0" selected="0"/>
          <reference field="21" count="1">
            <x v="0"/>
          </reference>
        </references>
      </pivotArea>
    </format>
    <format dxfId="14">
      <pivotArea outline="0" fieldPosition="0">
        <references count="4">
          <reference field="2" count="1" selected="0">
            <x v="5"/>
          </reference>
          <reference field="3" count="1" selected="0">
            <x v="5"/>
          </reference>
          <reference field="7" count="0" selected="0"/>
          <reference field="21" count="1" selected="0">
            <x v="0"/>
          </reference>
        </references>
      </pivotArea>
    </format>
    <format dxfId="15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5"/>
          </reference>
          <reference field="7" count="0" selected="0"/>
          <reference field="2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31375-8B82-4204-BCD2-4E4E81FC1F62}" name="PivotTable4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4:G39" firstHeaderRow="1" firstDataRow="2" firstDataCol="3"/>
  <pivotFields count="32">
    <pivotField compact="0" outline="0" showAll="0"/>
    <pivotField compact="0" outline="0" showAll="0"/>
    <pivotField axis="axisRow" compact="0" outline="0" showAll="0">
      <items count="8">
        <item x="5"/>
        <item x="1"/>
        <item x="2"/>
        <item x="3"/>
        <item x="4"/>
        <item x="0"/>
        <item m="1" x="6"/>
        <item t="default"/>
      </items>
    </pivotField>
    <pivotField axis="axisRow" compact="0" outline="0" showAll="0">
      <items count="7"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5">
        <item h="1" x="3"/>
        <item x="0"/>
        <item h="1" x="2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Fields count="3">
    <field x="6"/>
    <field x="3"/>
    <field x="2"/>
  </rowFields>
  <rowItems count="14">
    <i>
      <x v="1"/>
      <x/>
      <x/>
    </i>
    <i t="default" r="1">
      <x/>
    </i>
    <i r="1">
      <x v="1"/>
      <x v="4"/>
    </i>
    <i t="default" r="1">
      <x v="1"/>
    </i>
    <i r="1">
      <x v="2"/>
      <x v="3"/>
    </i>
    <i t="default" r="1">
      <x v="2"/>
    </i>
    <i r="1">
      <x v="3"/>
      <x v="2"/>
    </i>
    <i t="default" r="1">
      <x v="3"/>
    </i>
    <i r="1">
      <x v="4"/>
      <x v="1"/>
    </i>
    <i t="default" r="1">
      <x v="4"/>
    </i>
    <i r="1">
      <x v="5"/>
      <x v="5"/>
    </i>
    <i t="default" r="1">
      <x v="5"/>
    </i>
    <i t="default"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Rejection%" fld="19" subtotal="average" baseField="0" baseItem="0" numFmtId="10"/>
  </dataFields>
  <chartFormats count="12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4715D-5FCE-447D-9AB4-216ECE50BC76}" name="PivotTable2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A5" firstHeaderRow="1" firstDataRow="1" firstDataCol="0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10" outline="0" showAll="0"/>
    <pivotField dataField="1"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Items count="1">
    <i/>
  </rowItems>
  <colItems count="1">
    <i/>
  </colItems>
  <dataFields count="1">
    <dataField name="Plan Achievement % " fld="20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DBF73-B2AD-4D30-8624-091B88861E1F}" name="PivotTable1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A2" firstHeaderRow="1" firstDataRow="1" firstDataCol="0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Items count="1">
    <i/>
  </rowItems>
  <colItems count="1">
    <i/>
  </colItems>
  <dataFields count="1">
    <dataField name="Rejection % " fld="19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472B8-A4FB-41F5-8776-78D03037C962}" name="PivotTable3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:B12" firstHeaderRow="1" firstDataRow="1" firstDataCol="2"/>
  <pivotFields count="32">
    <pivotField compact="0" outline="0" showAll="0"/>
    <pivotField compact="0" outline="0" showAll="0"/>
    <pivotField axis="axisRow" compact="0" outline="0" showAll="0">
      <items count="8">
        <item h="1" x="5"/>
        <item x="1"/>
        <item x="2"/>
        <item h="1" x="3"/>
        <item h="1" x="4"/>
        <item x="0"/>
        <item h="1" m="1" x="6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h="1" x="3"/>
        <item x="0"/>
        <item h="1" x="2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Fields count="2">
    <field x="6"/>
    <field x="2"/>
  </rowFields>
  <rowItems count="5">
    <i>
      <x v="1"/>
      <x v="1"/>
    </i>
    <i r="1">
      <x v="2"/>
    </i>
    <i r="1">
      <x v="5"/>
    </i>
    <i t="default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AB15C-08E3-45F8-932C-A388BC9C5C6F}" name="PivotTable5" cacheId="1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50:E64" firstHeaderRow="0" firstDataRow="1" firstDataCol="3"/>
  <pivotFields count="32">
    <pivotField compact="0" outline="0" showAll="0"/>
    <pivotField compact="0" outline="0" showAll="0"/>
    <pivotField axis="axisRow" compact="0" outline="0" showAll="0">
      <items count="8">
        <item x="5"/>
        <item x="1"/>
        <item x="2"/>
        <item x="3"/>
        <item x="4"/>
        <item x="0"/>
        <item m="1" x="6"/>
        <item t="default"/>
      </items>
    </pivotField>
    <pivotField axis="axisRow" compact="0" outline="0" showAll="0">
      <items count="7"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5">
        <item h="1" x="3"/>
        <item x="0"/>
        <item h="1" x="2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10" outline="0" showAll="0"/>
    <pivotField compact="0" numFmtId="1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dataField="1" compact="0" numFmtId="3" outline="0" showAll="0"/>
  </pivotFields>
  <rowFields count="3">
    <field x="6"/>
    <field x="3"/>
    <field x="2"/>
  </rowFields>
  <rowItems count="14">
    <i>
      <x v="1"/>
      <x/>
      <x/>
    </i>
    <i t="default" r="1">
      <x/>
    </i>
    <i r="1">
      <x v="1"/>
      <x v="4"/>
    </i>
    <i t="default" r="1">
      <x v="1"/>
    </i>
    <i r="1">
      <x v="2"/>
      <x v="3"/>
    </i>
    <i t="default" r="1">
      <x v="2"/>
    </i>
    <i r="1">
      <x v="3"/>
      <x v="2"/>
    </i>
    <i t="default" r="1">
      <x v="3"/>
    </i>
    <i r="1">
      <x v="4"/>
      <x v="1"/>
    </i>
    <i t="default" r="1">
      <x v="4"/>
    </i>
    <i r="1">
      <x v="5"/>
      <x v="5"/>
    </i>
    <i t="default" r="1">
      <x v="5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losing_FG_Stock" fld="30" subtotal="average" baseField="0" baseItem="0" numFmtId="3"/>
    <dataField name="Average of Reorder_Level" fld="31" subtotal="average" baseField="0" baseItem="0" numFmtId="3"/>
  </dataFields>
  <chartFormats count="8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onData" displayName="ProductionData" ref="A1:AF2001">
  <autoFilter ref="A1:AF2001" xr:uid="{00000000-0009-0000-0100-000001000000}"/>
  <tableColumns count="32">
    <tableColumn id="1" xr3:uid="{00000000-0010-0000-0000-000001000000}" name="Record_ID"/>
    <tableColumn id="2" xr3:uid="{00000000-0010-0000-0000-000002000000}" name="Production_Date"/>
    <tableColumn id="3" xr3:uid="{00000000-0010-0000-0000-000003000000}" name="Month" dataDxfId="9"/>
    <tableColumn id="28" xr3:uid="{4216319C-D12D-4D65-A757-C5239F8D3A2D}" name="Month_No." dataDxfId="8">
      <calculatedColumnFormula>MONTH(ProductionData[[#This Row],[Month]])</calculatedColumnFormula>
    </tableColumn>
    <tableColumn id="4" xr3:uid="{00000000-0010-0000-0000-000004000000}" name="Day_of_Week"/>
    <tableColumn id="5" xr3:uid="{00000000-0010-0000-0000-000005000000}" name="Shift"/>
    <tableColumn id="6" xr3:uid="{00000000-0010-0000-0000-000006000000}" name="Line_ID"/>
    <tableColumn id="7" xr3:uid="{00000000-0010-0000-0000-000007000000}" name="Line_Name"/>
    <tableColumn id="8" xr3:uid="{00000000-0010-0000-0000-000008000000}" name="Product_Category"/>
    <tableColumn id="9" xr3:uid="{00000000-0010-0000-0000-000009000000}" name="SKU_Code"/>
    <tableColumn id="10" xr3:uid="{00000000-0010-0000-0000-00000A000000}" name="SKU_Name"/>
    <tableColumn id="11" xr3:uid="{00000000-0010-0000-0000-00000B000000}" name="Batch_No"/>
    <tableColumn id="12" xr3:uid="{00000000-0010-0000-0000-00000C000000}" name="Supervisor"/>
    <tableColumn id="13" xr3:uid="{00000000-0010-0000-0000-00000D000000}" name="Packaging_Supplier"/>
    <tableColumn id="14" xr3:uid="{00000000-0010-0000-0000-00000E000000}" name="Manpower_Planned"/>
    <tableColumn id="15" xr3:uid="{00000000-0010-0000-0000-00000F000000}" name="Manpower_Present"/>
    <tableColumn id="16" xr3:uid="{00000000-0010-0000-0000-000010000000}" name="Planned_Qty"/>
    <tableColumn id="17" xr3:uid="{00000000-0010-0000-0000-000011000000}" name="Produced_Qty"/>
    <tableColumn id="18" xr3:uid="{00000000-0010-0000-0000-000012000000}" name="Rejected_Qty"/>
    <tableColumn id="29" xr3:uid="{BF67D359-1E6D-4F2D-AAB6-B9DE4023FBD1}" name="Rejection%" dataDxfId="7">
      <calculatedColumnFormula>(ProductionData[[#This Row],[Rejected_Qty]])/ProductionData[[#This Row],[Produced_Qty]]</calculatedColumnFormula>
    </tableColumn>
    <tableColumn id="30" xr3:uid="{412E1154-D0D1-46EA-BEAF-2BBB4A4EE1B7}" name="Plan_Achievement %" dataDxfId="6">
      <calculatedColumnFormula>ProductionData[[#This Row],[Produced_Qty]]/ProductionData[[#This Row],[Planned_Qty]]</calculatedColumnFormula>
    </tableColumn>
    <tableColumn id="19" xr3:uid="{00000000-0010-0000-0000-000013000000}" name="Defect_Type"/>
    <tableColumn id="20" xr3:uid="{00000000-0010-0000-0000-000014000000}" name="Downtime_Min" dataDxfId="5"/>
    <tableColumn id="33" xr3:uid="{F9C46461-5084-4211-BB59-933ADEE20383}" name="Downtime_Hour" dataDxfId="4">
      <calculatedColumnFormula>W2/60</calculatedColumnFormula>
    </tableColumn>
    <tableColumn id="21" xr3:uid="{00000000-0010-0000-0000-000015000000}" name="Downtime_Reason"/>
    <tableColumn id="22" xr3:uid="{00000000-0010-0000-0000-000016000000}" name="Unit_Cost_INR"/>
    <tableColumn id="31" xr3:uid="{2ECF3901-40CF-4D30-BA78-3FB794279ED9}" name="Rejection_Loss_INR" dataDxfId="3">
      <calculatedColumnFormula>ProductionData[[#This Row],[Rejected_Qty]]*ProductionData[[#This Row],[Unit_Cost_INR]]</calculatedColumnFormula>
    </tableColumn>
    <tableColumn id="23" xr3:uid="{00000000-0010-0000-0000-000017000000}" name="Opening_FG_Stock"/>
    <tableColumn id="24" xr3:uid="{00000000-0010-0000-0000-000018000000}" name="Demand_Qty"/>
    <tableColumn id="25" xr3:uid="{00000000-0010-0000-0000-000019000000}" name="Dispatched_Qty"/>
    <tableColumn id="26" xr3:uid="{00000000-0010-0000-0000-00001A000000}" name="Closing_FG_Stock"/>
    <tableColumn id="27" xr3:uid="{00000000-0010-0000-0000-00001B000000}" name="Reorder_Leve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641A13-1008-4747-BDDF-9E874FBF6902}" name="Table3" displayName="Table3" ref="A289:C292" totalsRowShown="0">
  <autoFilter ref="A289:C292" xr:uid="{C2641A13-1008-4747-BDDF-9E874FBF6902}"/>
  <tableColumns count="3">
    <tableColumn id="1" xr3:uid="{2E197443-AD8A-4010-8CC3-BF923C16E74F}" name="SKU_Code"/>
    <tableColumn id="2" xr3:uid="{E6C1E674-F041-404E-8A2E-E2CC57EDA518}" name="Unmet Demand"/>
    <tableColumn id="3" xr3:uid="{A634FB3F-B93D-4522-B1C8-FD8FF0D5A6FB}" name="Value At Cos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55858-4D4A-43E1-BFF3-5017C4EBBC97}" name="Table2" displayName="Table2" ref="E16:G17" totalsRowShown="0">
  <autoFilter ref="E16:G17" xr:uid="{E1855858-4D4A-43E1-BFF3-5017C4EBBC97}"/>
  <tableColumns count="3">
    <tableColumn id="1" xr3:uid="{8B7AD45C-20F8-43CB-A781-888E9D610D73}" name="Normal Loss Amount" dataDxfId="2">
      <calculatedColumnFormula array="1">SUMPRODUCT(--(Data!N2:N2001="Packright Industries"),Data!R2:R2001 *Data!Z2:Z2001)*0.025</calculatedColumnFormula>
    </tableColumn>
    <tableColumn id="2" xr3:uid="{32FCB6B0-6093-41A3-BA94-A646C4E96D02}" name="Excess Loss Amount" dataDxfId="1">
      <calculatedColumnFormula array="1">SUM(IF(Data!N2:N2001 ="Packright Industries",Data!AA2:AA2001,0))  -SUM(IF(Data!N2:N2001 = "PackRight Industries",Data!R2:R2001 *Data!Z2:Z2001,0))*0.025</calculatedColumnFormula>
    </tableColumn>
    <tableColumn id="3" xr3:uid="{BC4A97C1-F11C-45EF-A3F2-E4544B777BC6}" name="Total Loss Amount" dataDxfId="0">
      <calculatedColumnFormula>SUM(F17,E17)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table" Target="../tables/table3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topLeftCell="A23" workbookViewId="0"/>
  </sheetViews>
  <sheetFormatPr defaultRowHeight="15"/>
  <cols>
    <col min="1" max="1" width="22" customWidth="1"/>
    <col min="2" max="2" width="95" customWidth="1"/>
  </cols>
  <sheetData>
    <row r="1" spans="1:2">
      <c r="A1" s="5" t="s">
        <v>0</v>
      </c>
      <c r="B1" s="5" t="s">
        <v>1</v>
      </c>
    </row>
    <row r="2" spans="1:2">
      <c r="A2" s="38" t="s">
        <v>2</v>
      </c>
      <c r="B2" s="38" t="s">
        <v>3</v>
      </c>
    </row>
    <row r="3" spans="1:2">
      <c r="A3" s="38" t="s">
        <v>4</v>
      </c>
      <c r="B3" s="38" t="s">
        <v>5</v>
      </c>
    </row>
    <row r="4" spans="1:2">
      <c r="A4" s="38" t="s">
        <v>6</v>
      </c>
      <c r="B4" s="38" t="s">
        <v>7</v>
      </c>
    </row>
    <row r="5" spans="1:2">
      <c r="A5" s="38" t="s">
        <v>8</v>
      </c>
      <c r="B5" s="38" t="s">
        <v>9</v>
      </c>
    </row>
    <row r="6" spans="1:2">
      <c r="A6" s="38" t="s">
        <v>10</v>
      </c>
      <c r="B6" s="38" t="s">
        <v>11</v>
      </c>
    </row>
    <row r="7" spans="1:2">
      <c r="A7" s="38" t="s">
        <v>12</v>
      </c>
      <c r="B7" s="38" t="s">
        <v>13</v>
      </c>
    </row>
    <row r="8" spans="1:2">
      <c r="A8" s="38" t="s">
        <v>14</v>
      </c>
      <c r="B8" s="38" t="s">
        <v>15</v>
      </c>
    </row>
    <row r="9" spans="1:2">
      <c r="A9" s="38" t="s">
        <v>16</v>
      </c>
      <c r="B9" s="38" t="s">
        <v>17</v>
      </c>
    </row>
    <row r="10" spans="1:2">
      <c r="A10" s="38" t="s">
        <v>18</v>
      </c>
      <c r="B10" s="38" t="s">
        <v>19</v>
      </c>
    </row>
    <row r="11" spans="1:2">
      <c r="A11" s="38" t="s">
        <v>20</v>
      </c>
      <c r="B11" s="38" t="s">
        <v>21</v>
      </c>
    </row>
    <row r="12" spans="1:2">
      <c r="A12" s="38" t="s">
        <v>22</v>
      </c>
      <c r="B12" s="38" t="s">
        <v>23</v>
      </c>
    </row>
    <row r="13" spans="1:2">
      <c r="A13" s="38" t="s">
        <v>24</v>
      </c>
      <c r="B13" s="38" t="s">
        <v>25</v>
      </c>
    </row>
    <row r="14" spans="1:2">
      <c r="A14" s="38" t="s">
        <v>26</v>
      </c>
      <c r="B14" s="38" t="s">
        <v>27</v>
      </c>
    </row>
    <row r="15" spans="1:2">
      <c r="A15" s="38" t="s">
        <v>28</v>
      </c>
      <c r="B15" s="38" t="s">
        <v>29</v>
      </c>
    </row>
    <row r="16" spans="1:2">
      <c r="A16" s="38" t="s">
        <v>30</v>
      </c>
      <c r="B16" s="38" t="s">
        <v>31</v>
      </c>
    </row>
    <row r="17" spans="1:2">
      <c r="A17" s="38" t="s">
        <v>32</v>
      </c>
      <c r="B17" s="38" t="s">
        <v>33</v>
      </c>
    </row>
    <row r="18" spans="1:2">
      <c r="A18" s="38" t="s">
        <v>34</v>
      </c>
      <c r="B18" s="38" t="s">
        <v>35</v>
      </c>
    </row>
    <row r="19" spans="1:2">
      <c r="A19" s="38" t="s">
        <v>36</v>
      </c>
      <c r="B19" s="38" t="s">
        <v>37</v>
      </c>
    </row>
    <row r="20" spans="1:2">
      <c r="A20" s="38" t="s">
        <v>38</v>
      </c>
      <c r="B20" s="38" t="s">
        <v>39</v>
      </c>
    </row>
    <row r="21" spans="1:2">
      <c r="A21" s="38" t="s">
        <v>40</v>
      </c>
      <c r="B21" s="38" t="s">
        <v>41</v>
      </c>
    </row>
    <row r="22" spans="1:2">
      <c r="A22" s="38" t="s">
        <v>42</v>
      </c>
      <c r="B22" s="38" t="s">
        <v>43</v>
      </c>
    </row>
    <row r="23" spans="1:2">
      <c r="A23" s="38" t="s">
        <v>44</v>
      </c>
      <c r="B23" s="38" t="s">
        <v>45</v>
      </c>
    </row>
    <row r="24" spans="1:2">
      <c r="A24" s="38" t="s">
        <v>46</v>
      </c>
      <c r="B24" s="38" t="s">
        <v>47</v>
      </c>
    </row>
    <row r="25" spans="1:2">
      <c r="A25" s="38" t="s">
        <v>48</v>
      </c>
      <c r="B25" s="38" t="s">
        <v>49</v>
      </c>
    </row>
    <row r="26" spans="1:2">
      <c r="A26" s="38" t="s">
        <v>50</v>
      </c>
      <c r="B26" s="38" t="s">
        <v>51</v>
      </c>
    </row>
    <row r="27" spans="1:2">
      <c r="A27" s="38" t="s">
        <v>52</v>
      </c>
      <c r="B27" s="38" t="s">
        <v>53</v>
      </c>
    </row>
    <row r="28" spans="1:2">
      <c r="A28" s="38" t="s">
        <v>54</v>
      </c>
      <c r="B28" s="38" t="s">
        <v>55</v>
      </c>
    </row>
    <row r="29" spans="1:2">
      <c r="A29" s="38"/>
      <c r="B29" s="38"/>
    </row>
    <row r="30" spans="1:2">
      <c r="A30" s="38" t="s">
        <v>56</v>
      </c>
      <c r="B30" s="38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01"/>
  <sheetViews>
    <sheetView workbookViewId="0">
      <pane xSplit="2" ySplit="1" topLeftCell="AE2" activePane="bottomRight" state="frozen"/>
      <selection pane="bottomRight" activeCell="AI3" sqref="AI3"/>
      <selection pane="bottomLeft"/>
      <selection pane="topRight"/>
    </sheetView>
  </sheetViews>
  <sheetFormatPr defaultRowHeight="15"/>
  <cols>
    <col min="1" max="1" width="10" customWidth="1"/>
    <col min="2" max="2" width="14" customWidth="1"/>
    <col min="3" max="3" width="10" style="9" customWidth="1"/>
    <col min="4" max="4" width="10" customWidth="1"/>
    <col min="5" max="5" width="12" customWidth="1"/>
    <col min="6" max="6" width="7" customWidth="1"/>
    <col min="7" max="7" width="8" customWidth="1"/>
    <col min="8" max="8" width="24" customWidth="1"/>
    <col min="9" max="9" width="16" customWidth="1"/>
    <col min="10" max="10" width="12" customWidth="1"/>
    <col min="11" max="11" width="32" customWidth="1"/>
    <col min="12" max="12" width="16" customWidth="1"/>
    <col min="13" max="13" width="12" customWidth="1"/>
    <col min="14" max="14" width="22" customWidth="1"/>
    <col min="15" max="19" width="14" customWidth="1"/>
    <col min="20" max="21" width="14" style="17" customWidth="1"/>
    <col min="22" max="22" width="22" customWidth="1"/>
    <col min="23" max="23" width="14" style="8" customWidth="1"/>
    <col min="24" max="24" width="14" style="15" customWidth="1"/>
    <col min="25" max="31" width="14" customWidth="1"/>
    <col min="34" max="34" width="11.42578125" bestFit="1" customWidth="1"/>
    <col min="39" max="39" width="13.5703125" bestFit="1" customWidth="1"/>
  </cols>
  <sheetData>
    <row r="1" spans="1:39" ht="32.1" customHeight="1">
      <c r="A1" s="1" t="s">
        <v>2</v>
      </c>
      <c r="B1" s="1" t="s">
        <v>4</v>
      </c>
      <c r="C1" s="37" t="s">
        <v>6</v>
      </c>
      <c r="D1" s="1" t="s">
        <v>58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34</v>
      </c>
      <c r="S1" s="1" t="s">
        <v>36</v>
      </c>
      <c r="T1" s="18" t="s">
        <v>59</v>
      </c>
      <c r="U1" s="18" t="s">
        <v>60</v>
      </c>
      <c r="V1" s="1" t="s">
        <v>38</v>
      </c>
      <c r="W1" s="12" t="s">
        <v>40</v>
      </c>
      <c r="X1" s="14" t="s">
        <v>61</v>
      </c>
      <c r="Y1" s="1" t="s">
        <v>42</v>
      </c>
      <c r="Z1" s="1" t="s">
        <v>44</v>
      </c>
      <c r="AA1" s="1" t="s">
        <v>62</v>
      </c>
      <c r="AB1" s="1" t="s">
        <v>46</v>
      </c>
      <c r="AC1" s="1" t="s">
        <v>48</v>
      </c>
      <c r="AD1" s="1" t="s">
        <v>50</v>
      </c>
      <c r="AE1" s="1" t="s">
        <v>52</v>
      </c>
      <c r="AF1" s="1" t="s">
        <v>54</v>
      </c>
    </row>
    <row r="2" spans="1:39">
      <c r="A2" s="2" t="s">
        <v>63</v>
      </c>
      <c r="B2" s="3">
        <v>46270</v>
      </c>
      <c r="C2" s="36" t="s">
        <v>64</v>
      </c>
      <c r="D2" s="2">
        <f>MONTH(ProductionData[[#This Row],[Month]])</f>
        <v>9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>
        <v>16</v>
      </c>
      <c r="P2" s="2">
        <v>16</v>
      </c>
      <c r="Q2" s="4">
        <v>7560</v>
      </c>
      <c r="R2" s="4">
        <v>7340</v>
      </c>
      <c r="S2" s="4">
        <v>656</v>
      </c>
      <c r="T2" s="19">
        <f>(ProductionData[[#This Row],[Rejected_Qty]])/ProductionData[[#This Row],[Produced_Qty]]</f>
        <v>8.9373297002724797E-2</v>
      </c>
      <c r="U2" s="19">
        <f>ProductionData[[#This Row],[Produced_Qty]]/ProductionData[[#This Row],[Planned_Qty]]</f>
        <v>0.97089947089947093</v>
      </c>
      <c r="V2" s="2" t="s">
        <v>75</v>
      </c>
      <c r="W2" s="11">
        <v>55</v>
      </c>
      <c r="X2" s="13">
        <f>W2/60</f>
        <v>0.91666666666666663</v>
      </c>
      <c r="Y2" s="2" t="s">
        <v>76</v>
      </c>
      <c r="Z2" s="2">
        <v>46</v>
      </c>
      <c r="AA2" s="2">
        <f>ProductionData[[#This Row],[Rejected_Qty]]*ProductionData[[#This Row],[Unit_Cost_INR]]</f>
        <v>30176</v>
      </c>
      <c r="AB2" s="4">
        <v>265</v>
      </c>
      <c r="AC2" s="4">
        <v>7200</v>
      </c>
      <c r="AD2" s="4">
        <v>6949</v>
      </c>
      <c r="AE2" s="4">
        <v>0</v>
      </c>
      <c r="AF2" s="4">
        <v>10500</v>
      </c>
      <c r="AK2" s="15"/>
    </row>
    <row r="3" spans="1:39">
      <c r="A3" s="2" t="s">
        <v>77</v>
      </c>
      <c r="B3" s="3">
        <v>46134</v>
      </c>
      <c r="C3" s="36" t="s">
        <v>78</v>
      </c>
      <c r="D3" s="2">
        <f>MONTH(ProductionData[[#This Row],[Month]])</f>
        <v>4</v>
      </c>
      <c r="E3" s="2" t="s">
        <v>79</v>
      </c>
      <c r="F3" s="2" t="s">
        <v>80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86</v>
      </c>
      <c r="M3" s="2" t="s">
        <v>87</v>
      </c>
      <c r="N3" s="2" t="s">
        <v>88</v>
      </c>
      <c r="O3" s="2">
        <v>18</v>
      </c>
      <c r="P3" s="2">
        <v>18</v>
      </c>
      <c r="Q3" s="4">
        <v>9710</v>
      </c>
      <c r="R3" s="4">
        <v>9480</v>
      </c>
      <c r="S3" s="4">
        <v>250</v>
      </c>
      <c r="T3" s="19">
        <f>(ProductionData[[#This Row],[Rejected_Qty]])/ProductionData[[#This Row],[Produced_Qty]]</f>
        <v>2.6371308016877638E-2</v>
      </c>
      <c r="U3" s="19">
        <f>ProductionData[[#This Row],[Produced_Qty]]/ProductionData[[#This Row],[Planned_Qty]]</f>
        <v>0.97631307929969102</v>
      </c>
      <c r="V3" s="2" t="s">
        <v>89</v>
      </c>
      <c r="W3" s="11">
        <v>0</v>
      </c>
      <c r="X3" s="13">
        <f>W3/60</f>
        <v>0</v>
      </c>
      <c r="Y3" s="2" t="s">
        <v>90</v>
      </c>
      <c r="Z3" s="2">
        <v>18</v>
      </c>
      <c r="AA3" s="2">
        <f>ProductionData[[#This Row],[Rejected_Qty]]*ProductionData[[#This Row],[Unit_Cost_INR]]</f>
        <v>4500</v>
      </c>
      <c r="AB3" s="4">
        <v>32540</v>
      </c>
      <c r="AC3" s="4">
        <v>9120</v>
      </c>
      <c r="AD3" s="4">
        <v>9120</v>
      </c>
      <c r="AE3" s="4">
        <v>32650</v>
      </c>
      <c r="AF3" s="4">
        <v>15000</v>
      </c>
      <c r="AK3" s="15"/>
      <c r="AM3" s="33"/>
    </row>
    <row r="4" spans="1:39">
      <c r="A4" s="2" t="s">
        <v>91</v>
      </c>
      <c r="B4" s="3">
        <v>46133</v>
      </c>
      <c r="C4" s="36" t="s">
        <v>78</v>
      </c>
      <c r="D4" s="2">
        <f>MONTH(ProductionData[[#This Row],[Month]])</f>
        <v>4</v>
      </c>
      <c r="E4" s="2" t="s">
        <v>92</v>
      </c>
      <c r="F4" s="2" t="s">
        <v>93</v>
      </c>
      <c r="G4" s="2" t="s">
        <v>81</v>
      </c>
      <c r="H4" s="2" t="s">
        <v>82</v>
      </c>
      <c r="I4" s="2" t="s">
        <v>83</v>
      </c>
      <c r="J4" s="2" t="s">
        <v>84</v>
      </c>
      <c r="K4" s="2" t="s">
        <v>85</v>
      </c>
      <c r="L4" s="2" t="s">
        <v>94</v>
      </c>
      <c r="M4" s="2" t="s">
        <v>95</v>
      </c>
      <c r="N4" s="2" t="s">
        <v>96</v>
      </c>
      <c r="O4" s="2">
        <v>18</v>
      </c>
      <c r="P4" s="2">
        <v>16</v>
      </c>
      <c r="Q4" s="4">
        <v>8780</v>
      </c>
      <c r="R4" s="4">
        <v>8540</v>
      </c>
      <c r="S4" s="4">
        <v>202</v>
      </c>
      <c r="T4" s="19">
        <f>(ProductionData[[#This Row],[Rejected_Qty]])/ProductionData[[#This Row],[Produced_Qty]]</f>
        <v>2.3653395784543327E-2</v>
      </c>
      <c r="U4" s="19">
        <f>ProductionData[[#This Row],[Produced_Qty]]/ProductionData[[#This Row],[Planned_Qty]]</f>
        <v>0.97266514806378135</v>
      </c>
      <c r="V4" s="2" t="s">
        <v>89</v>
      </c>
      <c r="W4" s="11">
        <v>0</v>
      </c>
      <c r="X4" s="13">
        <f>W4/60</f>
        <v>0</v>
      </c>
      <c r="Y4" s="2" t="s">
        <v>90</v>
      </c>
      <c r="Z4" s="2">
        <v>18</v>
      </c>
      <c r="AA4" s="2">
        <f>ProductionData[[#This Row],[Rejected_Qty]]*ProductionData[[#This Row],[Unit_Cost_INR]]</f>
        <v>3636</v>
      </c>
      <c r="AB4" s="4">
        <v>32242</v>
      </c>
      <c r="AC4" s="4">
        <v>8040</v>
      </c>
      <c r="AD4" s="4">
        <v>8040</v>
      </c>
      <c r="AE4" s="4">
        <v>32540</v>
      </c>
      <c r="AF4" s="4">
        <v>15000</v>
      </c>
      <c r="AH4" s="15"/>
    </row>
    <row r="5" spans="1:39">
      <c r="A5" s="2" t="s">
        <v>97</v>
      </c>
      <c r="B5" s="3">
        <v>46141</v>
      </c>
      <c r="C5" s="36" t="s">
        <v>78</v>
      </c>
      <c r="D5" s="2">
        <f>MONTH(ProductionData[[#This Row],[Month]])</f>
        <v>4</v>
      </c>
      <c r="E5" s="2" t="s">
        <v>79</v>
      </c>
      <c r="F5" s="2" t="s">
        <v>66</v>
      </c>
      <c r="G5" s="2" t="s">
        <v>81</v>
      </c>
      <c r="H5" s="2" t="s">
        <v>82</v>
      </c>
      <c r="I5" s="2" t="s">
        <v>83</v>
      </c>
      <c r="J5" s="2" t="s">
        <v>84</v>
      </c>
      <c r="K5" s="2" t="s">
        <v>85</v>
      </c>
      <c r="L5" s="2" t="s">
        <v>98</v>
      </c>
      <c r="M5" s="2" t="s">
        <v>99</v>
      </c>
      <c r="N5" s="2" t="s">
        <v>88</v>
      </c>
      <c r="O5" s="2">
        <v>18</v>
      </c>
      <c r="P5" s="2">
        <v>16</v>
      </c>
      <c r="Q5" s="4">
        <v>10000</v>
      </c>
      <c r="R5" s="4">
        <v>9400</v>
      </c>
      <c r="S5" s="4">
        <v>203</v>
      </c>
      <c r="T5" s="19">
        <f>(ProductionData[[#This Row],[Rejected_Qty]])/ProductionData[[#This Row],[Produced_Qty]]</f>
        <v>2.1595744680851063E-2</v>
      </c>
      <c r="U5" s="19">
        <f>ProductionData[[#This Row],[Produced_Qty]]/ProductionData[[#This Row],[Planned_Qty]]</f>
        <v>0.94</v>
      </c>
      <c r="V5" s="2" t="s">
        <v>75</v>
      </c>
      <c r="W5" s="11">
        <v>65</v>
      </c>
      <c r="X5" s="13">
        <f>W5/60</f>
        <v>1.0833333333333333</v>
      </c>
      <c r="Y5" s="2" t="s">
        <v>76</v>
      </c>
      <c r="Z5" s="2">
        <v>18</v>
      </c>
      <c r="AA5" s="2">
        <f>ProductionData[[#This Row],[Rejected_Qty]]*ProductionData[[#This Row],[Unit_Cost_INR]]</f>
        <v>3654</v>
      </c>
      <c r="AB5" s="4">
        <v>31487</v>
      </c>
      <c r="AC5" s="4">
        <v>8240</v>
      </c>
      <c r="AD5" s="4">
        <v>8240</v>
      </c>
      <c r="AE5" s="4">
        <v>32444</v>
      </c>
      <c r="AF5" s="4">
        <v>15000</v>
      </c>
      <c r="AH5" s="15"/>
    </row>
    <row r="6" spans="1:39">
      <c r="A6" s="2" t="s">
        <v>100</v>
      </c>
      <c r="B6" s="3">
        <v>46116</v>
      </c>
      <c r="C6" s="36" t="s">
        <v>78</v>
      </c>
      <c r="D6" s="2">
        <f>MONTH(ProductionData[[#This Row],[Month]])</f>
        <v>4</v>
      </c>
      <c r="E6" s="2" t="s">
        <v>65</v>
      </c>
      <c r="F6" s="2" t="s">
        <v>80</v>
      </c>
      <c r="G6" s="2" t="s">
        <v>81</v>
      </c>
      <c r="H6" s="2" t="s">
        <v>82</v>
      </c>
      <c r="I6" s="2" t="s">
        <v>83</v>
      </c>
      <c r="J6" s="2" t="s">
        <v>84</v>
      </c>
      <c r="K6" s="2" t="s">
        <v>85</v>
      </c>
      <c r="L6" s="2" t="s">
        <v>101</v>
      </c>
      <c r="M6" s="2" t="s">
        <v>102</v>
      </c>
      <c r="N6" s="2" t="s">
        <v>96</v>
      </c>
      <c r="O6" s="2">
        <v>18</v>
      </c>
      <c r="P6" s="2">
        <v>16</v>
      </c>
      <c r="Q6" s="4">
        <v>10050</v>
      </c>
      <c r="R6" s="4">
        <v>9610</v>
      </c>
      <c r="S6" s="4">
        <v>195</v>
      </c>
      <c r="T6" s="19">
        <f>(ProductionData[[#This Row],[Rejected_Qty]])/ProductionData[[#This Row],[Produced_Qty]]</f>
        <v>2.029136316337149E-2</v>
      </c>
      <c r="U6" s="19">
        <f>ProductionData[[#This Row],[Produced_Qty]]/ProductionData[[#This Row],[Planned_Qty]]</f>
        <v>0.95621890547263677</v>
      </c>
      <c r="V6" s="2" t="s">
        <v>103</v>
      </c>
      <c r="W6" s="11">
        <v>0</v>
      </c>
      <c r="X6" s="13">
        <f>W6/60</f>
        <v>0</v>
      </c>
      <c r="Y6" s="2" t="s">
        <v>90</v>
      </c>
      <c r="Z6" s="2">
        <v>18</v>
      </c>
      <c r="AA6" s="2">
        <f>ProductionData[[#This Row],[Rejected_Qty]]*ProductionData[[#This Row],[Unit_Cost_INR]]</f>
        <v>3510</v>
      </c>
      <c r="AB6" s="4">
        <v>31433</v>
      </c>
      <c r="AC6" s="4">
        <v>8520</v>
      </c>
      <c r="AD6" s="4">
        <v>8520</v>
      </c>
      <c r="AE6" s="4">
        <v>32328</v>
      </c>
      <c r="AF6" s="4">
        <v>15000</v>
      </c>
    </row>
    <row r="7" spans="1:39">
      <c r="A7" s="2" t="s">
        <v>104</v>
      </c>
      <c r="B7" s="3">
        <v>46133</v>
      </c>
      <c r="C7" s="36" t="s">
        <v>78</v>
      </c>
      <c r="D7" s="2">
        <f>MONTH(ProductionData[[#This Row],[Month]])</f>
        <v>4</v>
      </c>
      <c r="E7" s="2" t="s">
        <v>92</v>
      </c>
      <c r="F7" s="2" t="s">
        <v>80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105</v>
      </c>
      <c r="M7" s="2" t="s">
        <v>87</v>
      </c>
      <c r="N7" s="2" t="s">
        <v>96</v>
      </c>
      <c r="O7" s="2">
        <v>18</v>
      </c>
      <c r="P7" s="2">
        <v>17</v>
      </c>
      <c r="Q7" s="4">
        <v>9390</v>
      </c>
      <c r="R7" s="4">
        <v>9130</v>
      </c>
      <c r="S7" s="4">
        <v>202</v>
      </c>
      <c r="T7" s="19">
        <f>(ProductionData[[#This Row],[Rejected_Qty]])/ProductionData[[#This Row],[Produced_Qty]]</f>
        <v>2.212486308871851E-2</v>
      </c>
      <c r="U7" s="19">
        <f>ProductionData[[#This Row],[Produced_Qty]]/ProductionData[[#This Row],[Planned_Qty]]</f>
        <v>0.97231096911608095</v>
      </c>
      <c r="V7" s="2" t="s">
        <v>89</v>
      </c>
      <c r="W7" s="11">
        <v>0</v>
      </c>
      <c r="X7" s="13">
        <f>W7/60</f>
        <v>0</v>
      </c>
      <c r="Y7" s="2" t="s">
        <v>90</v>
      </c>
      <c r="Z7" s="2">
        <v>18</v>
      </c>
      <c r="AA7" s="2">
        <f>ProductionData[[#This Row],[Rejected_Qty]]*ProductionData[[#This Row],[Unit_Cost_INR]]</f>
        <v>3636</v>
      </c>
      <c r="AB7" s="4">
        <v>31804</v>
      </c>
      <c r="AC7" s="4">
        <v>8490</v>
      </c>
      <c r="AD7" s="4">
        <v>8490</v>
      </c>
      <c r="AE7" s="4">
        <v>32242</v>
      </c>
      <c r="AF7" s="4">
        <v>15000</v>
      </c>
    </row>
    <row r="8" spans="1:39">
      <c r="A8" s="2" t="s">
        <v>106</v>
      </c>
      <c r="B8" s="3">
        <v>46135</v>
      </c>
      <c r="C8" s="36" t="s">
        <v>78</v>
      </c>
      <c r="D8" s="2">
        <f>MONTH(ProductionData[[#This Row],[Month]])</f>
        <v>4</v>
      </c>
      <c r="E8" s="2" t="s">
        <v>107</v>
      </c>
      <c r="F8" s="2" t="s">
        <v>66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85</v>
      </c>
      <c r="L8" s="2" t="s">
        <v>108</v>
      </c>
      <c r="M8" s="2" t="s">
        <v>99</v>
      </c>
      <c r="N8" s="2" t="s">
        <v>88</v>
      </c>
      <c r="O8" s="2">
        <v>18</v>
      </c>
      <c r="P8" s="2">
        <v>18</v>
      </c>
      <c r="Q8" s="4">
        <v>10670</v>
      </c>
      <c r="R8" s="4">
        <v>10150</v>
      </c>
      <c r="S8" s="4">
        <v>172</v>
      </c>
      <c r="T8" s="19">
        <f>(ProductionData[[#This Row],[Rejected_Qty]])/ProductionData[[#This Row],[Produced_Qty]]</f>
        <v>1.6945812807881773E-2</v>
      </c>
      <c r="U8" s="19">
        <f>ProductionData[[#This Row],[Produced_Qty]]/ProductionData[[#This Row],[Planned_Qty]]</f>
        <v>0.95126522961574511</v>
      </c>
      <c r="V8" s="2" t="s">
        <v>109</v>
      </c>
      <c r="W8" s="11">
        <v>70</v>
      </c>
      <c r="X8" s="13">
        <f>W8/60</f>
        <v>1.1666666666666667</v>
      </c>
      <c r="Y8" s="2" t="s">
        <v>110</v>
      </c>
      <c r="Z8" s="2">
        <v>18</v>
      </c>
      <c r="AA8" s="2">
        <f>ProductionData[[#This Row],[Rejected_Qty]]*ProductionData[[#This Row],[Unit_Cost_INR]]</f>
        <v>3096</v>
      </c>
      <c r="AB8" s="4">
        <v>32650</v>
      </c>
      <c r="AC8" s="4">
        <v>10570</v>
      </c>
      <c r="AD8" s="4">
        <v>10570</v>
      </c>
      <c r="AE8" s="4">
        <v>32058</v>
      </c>
      <c r="AF8" s="4">
        <v>15000</v>
      </c>
    </row>
    <row r="9" spans="1:39">
      <c r="A9" s="2" t="s">
        <v>111</v>
      </c>
      <c r="B9" s="3">
        <v>46133</v>
      </c>
      <c r="C9" s="36" t="s">
        <v>78</v>
      </c>
      <c r="D9" s="2">
        <f>MONTH(ProductionData[[#This Row],[Month]])</f>
        <v>4</v>
      </c>
      <c r="E9" s="2" t="s">
        <v>92</v>
      </c>
      <c r="F9" s="2" t="s">
        <v>66</v>
      </c>
      <c r="G9" s="2" t="s">
        <v>81</v>
      </c>
      <c r="H9" s="2" t="s">
        <v>82</v>
      </c>
      <c r="I9" s="2" t="s">
        <v>83</v>
      </c>
      <c r="J9" s="2" t="s">
        <v>84</v>
      </c>
      <c r="K9" s="2" t="s">
        <v>85</v>
      </c>
      <c r="L9" s="2" t="s">
        <v>112</v>
      </c>
      <c r="M9" s="2" t="s">
        <v>73</v>
      </c>
      <c r="N9" s="2" t="s">
        <v>96</v>
      </c>
      <c r="O9" s="2">
        <v>18</v>
      </c>
      <c r="P9" s="2">
        <v>18</v>
      </c>
      <c r="Q9" s="4">
        <v>9670</v>
      </c>
      <c r="R9" s="4">
        <v>9470</v>
      </c>
      <c r="S9" s="4">
        <v>199</v>
      </c>
      <c r="T9" s="19">
        <f>(ProductionData[[#This Row],[Rejected_Qty]])/ProductionData[[#This Row],[Produced_Qty]]</f>
        <v>2.1013727560718058E-2</v>
      </c>
      <c r="U9" s="19">
        <f>ProductionData[[#This Row],[Produced_Qty]]/ProductionData[[#This Row],[Planned_Qty]]</f>
        <v>0.9793174767321613</v>
      </c>
      <c r="V9" s="2" t="s">
        <v>113</v>
      </c>
      <c r="W9" s="11">
        <v>37</v>
      </c>
      <c r="X9" s="13">
        <f>W9/60</f>
        <v>0.6166666666666667</v>
      </c>
      <c r="Y9" s="2" t="s">
        <v>114</v>
      </c>
      <c r="Z9" s="2">
        <v>18</v>
      </c>
      <c r="AA9" s="2">
        <f>ProductionData[[#This Row],[Rejected_Qty]]*ProductionData[[#This Row],[Unit_Cost_INR]]</f>
        <v>3582</v>
      </c>
      <c r="AB9" s="4">
        <v>31353</v>
      </c>
      <c r="AC9" s="4">
        <v>8820</v>
      </c>
      <c r="AD9" s="4">
        <v>8820</v>
      </c>
      <c r="AE9" s="4">
        <v>31804</v>
      </c>
      <c r="AF9" s="4">
        <v>15000</v>
      </c>
    </row>
    <row r="10" spans="1:39">
      <c r="A10" s="2" t="s">
        <v>115</v>
      </c>
      <c r="B10" s="3">
        <v>46125</v>
      </c>
      <c r="C10" s="36" t="s">
        <v>78</v>
      </c>
      <c r="D10" s="2">
        <f>MONTH(ProductionData[[#This Row],[Month]])</f>
        <v>4</v>
      </c>
      <c r="E10" s="2" t="s">
        <v>116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84</v>
      </c>
      <c r="K10" s="2" t="s">
        <v>85</v>
      </c>
      <c r="L10" s="2" t="s">
        <v>117</v>
      </c>
      <c r="M10" s="2" t="s">
        <v>87</v>
      </c>
      <c r="N10" s="2" t="s">
        <v>96</v>
      </c>
      <c r="O10" s="2">
        <v>18</v>
      </c>
      <c r="P10" s="2">
        <v>17</v>
      </c>
      <c r="Q10" s="4">
        <v>10720</v>
      </c>
      <c r="R10" s="4">
        <v>10140</v>
      </c>
      <c r="S10" s="4">
        <v>280</v>
      </c>
      <c r="T10" s="19">
        <f>(ProductionData[[#This Row],[Rejected_Qty]])/ProductionData[[#This Row],[Produced_Qty]]</f>
        <v>2.7613412228796843E-2</v>
      </c>
      <c r="U10" s="19">
        <f>ProductionData[[#This Row],[Produced_Qty]]/ProductionData[[#This Row],[Planned_Qty]]</f>
        <v>0.94589552238805974</v>
      </c>
      <c r="V10" s="2" t="s">
        <v>89</v>
      </c>
      <c r="W10" s="11">
        <v>0</v>
      </c>
      <c r="X10" s="13">
        <f>W10/60</f>
        <v>0</v>
      </c>
      <c r="Y10" s="2" t="s">
        <v>90</v>
      </c>
      <c r="Z10" s="2">
        <v>18</v>
      </c>
      <c r="AA10" s="2">
        <f>ProductionData[[#This Row],[Rejected_Qty]]*ProductionData[[#This Row],[Unit_Cost_INR]]</f>
        <v>5040</v>
      </c>
      <c r="AB10" s="4">
        <v>30888</v>
      </c>
      <c r="AC10" s="4">
        <v>8970</v>
      </c>
      <c r="AD10" s="4">
        <v>8970</v>
      </c>
      <c r="AE10" s="4">
        <v>31778</v>
      </c>
      <c r="AF10" s="4">
        <v>15000</v>
      </c>
    </row>
    <row r="11" spans="1:39">
      <c r="A11" s="2" t="s">
        <v>118</v>
      </c>
      <c r="B11" s="3">
        <v>46142</v>
      </c>
      <c r="C11" s="36" t="s">
        <v>78</v>
      </c>
      <c r="D11" s="2">
        <f>MONTH(ProductionData[[#This Row],[Month]])</f>
        <v>4</v>
      </c>
      <c r="E11" s="2" t="s">
        <v>107</v>
      </c>
      <c r="F11" s="2" t="s">
        <v>66</v>
      </c>
      <c r="G11" s="2" t="s">
        <v>81</v>
      </c>
      <c r="H11" s="2" t="s">
        <v>82</v>
      </c>
      <c r="I11" s="2" t="s">
        <v>83</v>
      </c>
      <c r="J11" s="2" t="s">
        <v>84</v>
      </c>
      <c r="K11" s="2" t="s">
        <v>85</v>
      </c>
      <c r="L11" s="2" t="s">
        <v>119</v>
      </c>
      <c r="M11" s="2" t="s">
        <v>99</v>
      </c>
      <c r="N11" s="2" t="s">
        <v>88</v>
      </c>
      <c r="O11" s="2">
        <v>18</v>
      </c>
      <c r="P11" s="2">
        <v>17</v>
      </c>
      <c r="Q11" s="4">
        <v>9870</v>
      </c>
      <c r="R11" s="4">
        <v>10090</v>
      </c>
      <c r="S11" s="4">
        <v>308</v>
      </c>
      <c r="T11" s="19">
        <f>(ProductionData[[#This Row],[Rejected_Qty]])/ProductionData[[#This Row],[Produced_Qty]]</f>
        <v>3.0525272547076314E-2</v>
      </c>
      <c r="U11" s="19">
        <f>ProductionData[[#This Row],[Produced_Qty]]/ProductionData[[#This Row],[Planned_Qty]]</f>
        <v>1.0222897669706181</v>
      </c>
      <c r="V11" s="2" t="s">
        <v>75</v>
      </c>
      <c r="W11" s="11">
        <v>19</v>
      </c>
      <c r="X11" s="13">
        <f>W11/60</f>
        <v>0.31666666666666665</v>
      </c>
      <c r="Y11" s="2" t="s">
        <v>110</v>
      </c>
      <c r="Z11" s="2">
        <v>18</v>
      </c>
      <c r="AA11" s="2">
        <f>ProductionData[[#This Row],[Rejected_Qty]]*ProductionData[[#This Row],[Unit_Cost_INR]]</f>
        <v>5544</v>
      </c>
      <c r="AB11" s="4">
        <v>31405</v>
      </c>
      <c r="AC11" s="4">
        <v>9480</v>
      </c>
      <c r="AD11" s="4">
        <v>9480</v>
      </c>
      <c r="AE11" s="4">
        <v>31707</v>
      </c>
      <c r="AF11" s="4">
        <v>15000</v>
      </c>
    </row>
    <row r="12" spans="1:39">
      <c r="A12" s="2" t="s">
        <v>120</v>
      </c>
      <c r="B12" s="3">
        <v>46135</v>
      </c>
      <c r="C12" s="36" t="s">
        <v>78</v>
      </c>
      <c r="D12" s="2">
        <f>MONTH(ProductionData[[#This Row],[Month]])</f>
        <v>4</v>
      </c>
      <c r="E12" s="2" t="s">
        <v>107</v>
      </c>
      <c r="F12" s="2" t="s">
        <v>93</v>
      </c>
      <c r="G12" s="2" t="s">
        <v>81</v>
      </c>
      <c r="H12" s="2" t="s">
        <v>82</v>
      </c>
      <c r="I12" s="2" t="s">
        <v>83</v>
      </c>
      <c r="J12" s="2" t="s">
        <v>84</v>
      </c>
      <c r="K12" s="2" t="s">
        <v>85</v>
      </c>
      <c r="L12" s="2" t="s">
        <v>121</v>
      </c>
      <c r="M12" s="2" t="s">
        <v>95</v>
      </c>
      <c r="N12" s="2" t="s">
        <v>88</v>
      </c>
      <c r="O12" s="2">
        <v>18</v>
      </c>
      <c r="P12" s="2">
        <v>17</v>
      </c>
      <c r="Q12" s="4">
        <v>9720</v>
      </c>
      <c r="R12" s="4">
        <v>8540</v>
      </c>
      <c r="S12" s="4">
        <v>133</v>
      </c>
      <c r="T12" s="19">
        <f>(ProductionData[[#This Row],[Rejected_Qty]])/ProductionData[[#This Row],[Produced_Qty]]</f>
        <v>1.5573770491803279E-2</v>
      </c>
      <c r="U12" s="19">
        <f>ProductionData[[#This Row],[Produced_Qty]]/ProductionData[[#This Row],[Planned_Qty]]</f>
        <v>0.87860082304526754</v>
      </c>
      <c r="V12" s="2" t="s">
        <v>109</v>
      </c>
      <c r="W12" s="11">
        <v>41</v>
      </c>
      <c r="X12" s="13">
        <f>W12/60</f>
        <v>0.68333333333333335</v>
      </c>
      <c r="Y12" s="2" t="s">
        <v>110</v>
      </c>
      <c r="Z12" s="2">
        <v>18</v>
      </c>
      <c r="AA12" s="2">
        <f>ProductionData[[#This Row],[Rejected_Qty]]*ProductionData[[#This Row],[Unit_Cost_INR]]</f>
        <v>2394</v>
      </c>
      <c r="AB12" s="4">
        <v>32058</v>
      </c>
      <c r="AC12" s="4">
        <v>8780</v>
      </c>
      <c r="AD12" s="4">
        <v>8780</v>
      </c>
      <c r="AE12" s="4">
        <v>31685</v>
      </c>
      <c r="AF12" s="4">
        <v>15000</v>
      </c>
    </row>
    <row r="13" spans="1:39">
      <c r="A13" s="2" t="s">
        <v>122</v>
      </c>
      <c r="B13" s="3">
        <v>46139</v>
      </c>
      <c r="C13" s="36" t="s">
        <v>78</v>
      </c>
      <c r="D13" s="2">
        <f>MONTH(ProductionData[[#This Row],[Month]])</f>
        <v>4</v>
      </c>
      <c r="E13" s="2" t="s">
        <v>116</v>
      </c>
      <c r="F13" s="2" t="s">
        <v>80</v>
      </c>
      <c r="G13" s="2" t="s">
        <v>81</v>
      </c>
      <c r="H13" s="2" t="s">
        <v>82</v>
      </c>
      <c r="I13" s="2" t="s">
        <v>83</v>
      </c>
      <c r="J13" s="2" t="s">
        <v>84</v>
      </c>
      <c r="K13" s="2" t="s">
        <v>85</v>
      </c>
      <c r="L13" s="2" t="s">
        <v>123</v>
      </c>
      <c r="M13" s="2" t="s">
        <v>102</v>
      </c>
      <c r="N13" s="2" t="s">
        <v>96</v>
      </c>
      <c r="O13" s="2">
        <v>18</v>
      </c>
      <c r="P13" s="2">
        <v>18</v>
      </c>
      <c r="Q13" s="4">
        <v>9850</v>
      </c>
      <c r="R13" s="4">
        <v>9760</v>
      </c>
      <c r="S13" s="4">
        <v>295</v>
      </c>
      <c r="T13" s="19">
        <f>(ProductionData[[#This Row],[Rejected_Qty]])/ProductionData[[#This Row],[Produced_Qty]]</f>
        <v>3.0225409836065573E-2</v>
      </c>
      <c r="U13" s="19">
        <f>ProductionData[[#This Row],[Produced_Qty]]/ProductionData[[#This Row],[Planned_Qty]]</f>
        <v>0.99086294416243659</v>
      </c>
      <c r="V13" s="2" t="s">
        <v>109</v>
      </c>
      <c r="W13" s="11">
        <v>49</v>
      </c>
      <c r="X13" s="13">
        <f>W13/60</f>
        <v>0.81666666666666665</v>
      </c>
      <c r="Y13" s="2" t="s">
        <v>76</v>
      </c>
      <c r="Z13" s="2">
        <v>18</v>
      </c>
      <c r="AA13" s="2">
        <f>ProductionData[[#This Row],[Rejected_Qty]]*ProductionData[[#This Row],[Unit_Cost_INR]]</f>
        <v>5310</v>
      </c>
      <c r="AB13" s="4">
        <v>31172</v>
      </c>
      <c r="AC13" s="4">
        <v>9150</v>
      </c>
      <c r="AD13" s="4">
        <v>9150</v>
      </c>
      <c r="AE13" s="4">
        <v>31487</v>
      </c>
      <c r="AF13" s="4">
        <v>15000</v>
      </c>
    </row>
    <row r="14" spans="1:39">
      <c r="A14" s="2" t="s">
        <v>124</v>
      </c>
      <c r="B14" s="3">
        <v>46115</v>
      </c>
      <c r="C14" s="36" t="s">
        <v>78</v>
      </c>
      <c r="D14" s="2">
        <f>MONTH(ProductionData[[#This Row],[Month]])</f>
        <v>4</v>
      </c>
      <c r="E14" s="2" t="s">
        <v>125</v>
      </c>
      <c r="F14" s="2" t="s">
        <v>80</v>
      </c>
      <c r="G14" s="2" t="s">
        <v>81</v>
      </c>
      <c r="H14" s="2" t="s">
        <v>82</v>
      </c>
      <c r="I14" s="2" t="s">
        <v>83</v>
      </c>
      <c r="J14" s="2" t="s">
        <v>84</v>
      </c>
      <c r="K14" s="2" t="s">
        <v>85</v>
      </c>
      <c r="L14" s="2" t="s">
        <v>126</v>
      </c>
      <c r="M14" s="2" t="s">
        <v>87</v>
      </c>
      <c r="N14" s="2" t="s">
        <v>96</v>
      </c>
      <c r="O14" s="2">
        <v>18</v>
      </c>
      <c r="P14" s="2">
        <v>18</v>
      </c>
      <c r="Q14" s="4">
        <v>10690</v>
      </c>
      <c r="R14" s="4">
        <v>10910</v>
      </c>
      <c r="S14" s="4">
        <v>342</v>
      </c>
      <c r="T14" s="19">
        <f>(ProductionData[[#This Row],[Rejected_Qty]])/ProductionData[[#This Row],[Produced_Qty]]</f>
        <v>3.1347387717690189E-2</v>
      </c>
      <c r="U14" s="19">
        <f>ProductionData[[#This Row],[Produced_Qty]]/ProductionData[[#This Row],[Planned_Qty]]</f>
        <v>1.0205799812909262</v>
      </c>
      <c r="V14" s="2" t="s">
        <v>89</v>
      </c>
      <c r="W14" s="11">
        <v>0</v>
      </c>
      <c r="X14" s="13">
        <f>W14/60</f>
        <v>0</v>
      </c>
      <c r="Y14" s="2" t="s">
        <v>90</v>
      </c>
      <c r="Z14" s="2">
        <v>18</v>
      </c>
      <c r="AA14" s="2">
        <f>ProductionData[[#This Row],[Rejected_Qty]]*ProductionData[[#This Row],[Unit_Cost_INR]]</f>
        <v>6156</v>
      </c>
      <c r="AB14" s="4">
        <v>30555</v>
      </c>
      <c r="AC14" s="4">
        <v>9690</v>
      </c>
      <c r="AD14" s="4">
        <v>9690</v>
      </c>
      <c r="AE14" s="4">
        <v>31433</v>
      </c>
      <c r="AF14" s="4">
        <v>15000</v>
      </c>
    </row>
    <row r="15" spans="1:39">
      <c r="A15" s="2" t="s">
        <v>127</v>
      </c>
      <c r="B15" s="3">
        <v>46141</v>
      </c>
      <c r="C15" s="36" t="s">
        <v>78</v>
      </c>
      <c r="D15" s="2">
        <f>MONTH(ProductionData[[#This Row],[Month]])</f>
        <v>4</v>
      </c>
      <c r="E15" s="2" t="s">
        <v>79</v>
      </c>
      <c r="F15" s="2" t="s">
        <v>93</v>
      </c>
      <c r="G15" s="2" t="s">
        <v>81</v>
      </c>
      <c r="H15" s="2" t="s">
        <v>82</v>
      </c>
      <c r="I15" s="2" t="s">
        <v>83</v>
      </c>
      <c r="J15" s="2" t="s">
        <v>84</v>
      </c>
      <c r="K15" s="2" t="s">
        <v>85</v>
      </c>
      <c r="L15" s="2" t="s">
        <v>128</v>
      </c>
      <c r="M15" s="2" t="s">
        <v>95</v>
      </c>
      <c r="N15" s="2" t="s">
        <v>88</v>
      </c>
      <c r="O15" s="2">
        <v>18</v>
      </c>
      <c r="P15" s="2">
        <v>13</v>
      </c>
      <c r="Q15" s="4">
        <v>9310</v>
      </c>
      <c r="R15" s="4">
        <v>7720</v>
      </c>
      <c r="S15" s="4">
        <v>139</v>
      </c>
      <c r="T15" s="19">
        <f>(ProductionData[[#This Row],[Rejected_Qty]])/ProductionData[[#This Row],[Produced_Qty]]</f>
        <v>1.8005181347150259E-2</v>
      </c>
      <c r="U15" s="19">
        <f>ProductionData[[#This Row],[Produced_Qty]]/ProductionData[[#This Row],[Planned_Qty]]</f>
        <v>0.8292158968850698</v>
      </c>
      <c r="V15" s="2" t="s">
        <v>113</v>
      </c>
      <c r="W15" s="11">
        <v>0</v>
      </c>
      <c r="X15" s="13">
        <f>W15/60</f>
        <v>0</v>
      </c>
      <c r="Y15" s="2" t="s">
        <v>90</v>
      </c>
      <c r="Z15" s="2">
        <v>18</v>
      </c>
      <c r="AA15" s="2">
        <f>ProductionData[[#This Row],[Rejected_Qty]]*ProductionData[[#This Row],[Unit_Cost_INR]]</f>
        <v>2502</v>
      </c>
      <c r="AB15" s="4">
        <v>32444</v>
      </c>
      <c r="AC15" s="4">
        <v>8620</v>
      </c>
      <c r="AD15" s="4">
        <v>8620</v>
      </c>
      <c r="AE15" s="4">
        <v>31405</v>
      </c>
      <c r="AF15" s="4">
        <v>15000</v>
      </c>
    </row>
    <row r="16" spans="1:39">
      <c r="A16" s="2" t="s">
        <v>129</v>
      </c>
      <c r="B16" s="3">
        <v>46132</v>
      </c>
      <c r="C16" s="36" t="s">
        <v>78</v>
      </c>
      <c r="D16" s="2">
        <f>MONTH(ProductionData[[#This Row],[Month]])</f>
        <v>4</v>
      </c>
      <c r="E16" s="2" t="s">
        <v>116</v>
      </c>
      <c r="F16" s="2" t="s">
        <v>66</v>
      </c>
      <c r="G16" s="2" t="s">
        <v>81</v>
      </c>
      <c r="H16" s="2" t="s">
        <v>82</v>
      </c>
      <c r="I16" s="2" t="s">
        <v>83</v>
      </c>
      <c r="J16" s="2" t="s">
        <v>84</v>
      </c>
      <c r="K16" s="2" t="s">
        <v>85</v>
      </c>
      <c r="L16" s="2" t="s">
        <v>130</v>
      </c>
      <c r="M16" s="2" t="s">
        <v>99</v>
      </c>
      <c r="N16" s="2" t="s">
        <v>88</v>
      </c>
      <c r="O16" s="2">
        <v>18</v>
      </c>
      <c r="P16" s="2">
        <v>17</v>
      </c>
      <c r="Q16" s="4">
        <v>9810</v>
      </c>
      <c r="R16" s="4">
        <v>9130</v>
      </c>
      <c r="S16" s="4">
        <v>214</v>
      </c>
      <c r="T16" s="19">
        <f>(ProductionData[[#This Row],[Rejected_Qty]])/ProductionData[[#This Row],[Produced_Qty]]</f>
        <v>2.3439211391018618E-2</v>
      </c>
      <c r="U16" s="19">
        <f>ProductionData[[#This Row],[Produced_Qty]]/ProductionData[[#This Row],[Planned_Qty]]</f>
        <v>0.93068297655453613</v>
      </c>
      <c r="V16" s="2" t="s">
        <v>113</v>
      </c>
      <c r="W16" s="11">
        <v>0</v>
      </c>
      <c r="X16" s="13">
        <f>W16/60</f>
        <v>0</v>
      </c>
      <c r="Y16" s="2" t="s">
        <v>90</v>
      </c>
      <c r="Z16" s="2">
        <v>18</v>
      </c>
      <c r="AA16" s="2">
        <f>ProductionData[[#This Row],[Rejected_Qty]]*ProductionData[[#This Row],[Unit_Cost_INR]]</f>
        <v>3852</v>
      </c>
      <c r="AB16" s="4">
        <v>30747</v>
      </c>
      <c r="AC16" s="4">
        <v>8310</v>
      </c>
      <c r="AD16" s="4">
        <v>8310</v>
      </c>
      <c r="AE16" s="4">
        <v>31353</v>
      </c>
      <c r="AF16" s="4">
        <v>15000</v>
      </c>
    </row>
    <row r="17" spans="1:32">
      <c r="A17" s="2" t="s">
        <v>131</v>
      </c>
      <c r="B17" s="3">
        <v>46118</v>
      </c>
      <c r="C17" s="36" t="s">
        <v>78</v>
      </c>
      <c r="D17" s="2">
        <f>MONTH(ProductionData[[#This Row],[Month]])</f>
        <v>4</v>
      </c>
      <c r="E17" s="2" t="s">
        <v>116</v>
      </c>
      <c r="F17" s="2" t="s">
        <v>93</v>
      </c>
      <c r="G17" s="2" t="s">
        <v>81</v>
      </c>
      <c r="H17" s="2" t="s">
        <v>82</v>
      </c>
      <c r="I17" s="2" t="s">
        <v>83</v>
      </c>
      <c r="J17" s="2" t="s">
        <v>84</v>
      </c>
      <c r="K17" s="2" t="s">
        <v>85</v>
      </c>
      <c r="L17" s="2" t="s">
        <v>132</v>
      </c>
      <c r="M17" s="2" t="s">
        <v>133</v>
      </c>
      <c r="N17" s="2" t="s">
        <v>88</v>
      </c>
      <c r="O17" s="2">
        <v>18</v>
      </c>
      <c r="P17" s="2">
        <v>16</v>
      </c>
      <c r="Q17" s="4">
        <v>9290</v>
      </c>
      <c r="R17" s="4">
        <v>7770</v>
      </c>
      <c r="S17" s="4">
        <v>204</v>
      </c>
      <c r="T17" s="19">
        <f>(ProductionData[[#This Row],[Rejected_Qty]])/ProductionData[[#This Row],[Produced_Qty]]</f>
        <v>2.6254826254826256E-2</v>
      </c>
      <c r="U17" s="19">
        <f>ProductionData[[#This Row],[Produced_Qty]]/ProductionData[[#This Row],[Planned_Qty]]</f>
        <v>0.83638320775026909</v>
      </c>
      <c r="V17" s="2" t="s">
        <v>75</v>
      </c>
      <c r="W17" s="11">
        <v>33</v>
      </c>
      <c r="X17" s="13">
        <f>W17/60</f>
        <v>0.55000000000000004</v>
      </c>
      <c r="Y17" s="2" t="s">
        <v>76</v>
      </c>
      <c r="Z17" s="2">
        <v>18</v>
      </c>
      <c r="AA17" s="2">
        <f>ProductionData[[#This Row],[Rejected_Qty]]*ProductionData[[#This Row],[Unit_Cost_INR]]</f>
        <v>3672</v>
      </c>
      <c r="AB17" s="4">
        <v>32328</v>
      </c>
      <c r="AC17" s="4">
        <v>8560</v>
      </c>
      <c r="AD17" s="4">
        <v>8560</v>
      </c>
      <c r="AE17" s="4">
        <v>31334</v>
      </c>
      <c r="AF17" s="4">
        <v>15000</v>
      </c>
    </row>
    <row r="18" spans="1:32">
      <c r="A18" s="2" t="s">
        <v>134</v>
      </c>
      <c r="B18" s="3">
        <v>46137</v>
      </c>
      <c r="C18" s="36" t="s">
        <v>78</v>
      </c>
      <c r="D18" s="2">
        <f>MONTH(ProductionData[[#This Row],[Month]])</f>
        <v>4</v>
      </c>
      <c r="E18" s="2" t="s">
        <v>65</v>
      </c>
      <c r="F18" s="2" t="s">
        <v>80</v>
      </c>
      <c r="G18" s="2" t="s">
        <v>81</v>
      </c>
      <c r="H18" s="2" t="s">
        <v>82</v>
      </c>
      <c r="I18" s="2" t="s">
        <v>83</v>
      </c>
      <c r="J18" s="2" t="s">
        <v>84</v>
      </c>
      <c r="K18" s="2" t="s">
        <v>85</v>
      </c>
      <c r="L18" s="2" t="s">
        <v>135</v>
      </c>
      <c r="M18" s="2" t="s">
        <v>87</v>
      </c>
      <c r="N18" s="2" t="s">
        <v>88</v>
      </c>
      <c r="O18" s="2">
        <v>18</v>
      </c>
      <c r="P18" s="2">
        <v>17</v>
      </c>
      <c r="Q18" s="4">
        <v>9640</v>
      </c>
      <c r="R18" s="4">
        <v>9040</v>
      </c>
      <c r="S18" s="4">
        <v>290</v>
      </c>
      <c r="T18" s="19">
        <f>(ProductionData[[#This Row],[Rejected_Qty]])/ProductionData[[#This Row],[Produced_Qty]]</f>
        <v>3.2079646017699116E-2</v>
      </c>
      <c r="U18" s="19">
        <f>ProductionData[[#This Row],[Produced_Qty]]/ProductionData[[#This Row],[Planned_Qty]]</f>
        <v>0.93775933609958506</v>
      </c>
      <c r="V18" s="2" t="s">
        <v>103</v>
      </c>
      <c r="W18" s="11">
        <v>39</v>
      </c>
      <c r="X18" s="13">
        <f>W18/60</f>
        <v>0.65</v>
      </c>
      <c r="Y18" s="2" t="s">
        <v>136</v>
      </c>
      <c r="Z18" s="2">
        <v>18</v>
      </c>
      <c r="AA18" s="2">
        <f>ProductionData[[#This Row],[Rejected_Qty]]*ProductionData[[#This Row],[Unit_Cost_INR]]</f>
        <v>5220</v>
      </c>
      <c r="AB18" s="4">
        <v>31685</v>
      </c>
      <c r="AC18" s="4">
        <v>9140</v>
      </c>
      <c r="AD18" s="4">
        <v>9140</v>
      </c>
      <c r="AE18" s="4">
        <v>31295</v>
      </c>
      <c r="AF18" s="4">
        <v>15000</v>
      </c>
    </row>
    <row r="19" spans="1:32">
      <c r="A19" s="2" t="s">
        <v>137</v>
      </c>
      <c r="B19" s="3">
        <v>46129</v>
      </c>
      <c r="C19" s="36" t="s">
        <v>78</v>
      </c>
      <c r="D19" s="2">
        <f>MONTH(ProductionData[[#This Row],[Month]])</f>
        <v>4</v>
      </c>
      <c r="E19" s="2" t="s">
        <v>125</v>
      </c>
      <c r="F19" s="2" t="s">
        <v>66</v>
      </c>
      <c r="G19" s="2" t="s">
        <v>81</v>
      </c>
      <c r="H19" s="2" t="s">
        <v>82</v>
      </c>
      <c r="I19" s="2" t="s">
        <v>83</v>
      </c>
      <c r="J19" s="2" t="s">
        <v>84</v>
      </c>
      <c r="K19" s="2" t="s">
        <v>85</v>
      </c>
      <c r="L19" s="2" t="s">
        <v>138</v>
      </c>
      <c r="M19" s="2" t="s">
        <v>73</v>
      </c>
      <c r="N19" s="2" t="s">
        <v>96</v>
      </c>
      <c r="O19" s="2">
        <v>18</v>
      </c>
      <c r="P19" s="2">
        <v>18</v>
      </c>
      <c r="Q19" s="4">
        <v>10210</v>
      </c>
      <c r="R19" s="4">
        <v>9880</v>
      </c>
      <c r="S19" s="4">
        <v>174</v>
      </c>
      <c r="T19" s="19">
        <f>(ProductionData[[#This Row],[Rejected_Qty]])/ProductionData[[#This Row],[Produced_Qty]]</f>
        <v>1.7611336032388663E-2</v>
      </c>
      <c r="U19" s="19">
        <f>ProductionData[[#This Row],[Produced_Qty]]/ProductionData[[#This Row],[Planned_Qty]]</f>
        <v>0.96767874632713025</v>
      </c>
      <c r="V19" s="2" t="s">
        <v>113</v>
      </c>
      <c r="W19" s="11">
        <v>41</v>
      </c>
      <c r="X19" s="13">
        <f>W19/60</f>
        <v>0.68333333333333335</v>
      </c>
      <c r="Y19" s="2" t="s">
        <v>110</v>
      </c>
      <c r="Z19" s="2">
        <v>18</v>
      </c>
      <c r="AA19" s="2">
        <f>ProductionData[[#This Row],[Rejected_Qty]]*ProductionData[[#This Row],[Unit_Cost_INR]]</f>
        <v>3132</v>
      </c>
      <c r="AB19" s="4">
        <v>30321</v>
      </c>
      <c r="AC19" s="4">
        <v>8800</v>
      </c>
      <c r="AD19" s="4">
        <v>8800</v>
      </c>
      <c r="AE19" s="4">
        <v>31227</v>
      </c>
      <c r="AF19" s="4">
        <v>15000</v>
      </c>
    </row>
    <row r="20" spans="1:32">
      <c r="A20" s="2" t="s">
        <v>139</v>
      </c>
      <c r="B20" s="3">
        <v>46137</v>
      </c>
      <c r="C20" s="36" t="s">
        <v>78</v>
      </c>
      <c r="D20" s="2">
        <f>MONTH(ProductionData[[#This Row],[Month]])</f>
        <v>4</v>
      </c>
      <c r="E20" s="2" t="s">
        <v>65</v>
      </c>
      <c r="F20" s="2" t="s">
        <v>93</v>
      </c>
      <c r="G20" s="2" t="s">
        <v>81</v>
      </c>
      <c r="H20" s="2" t="s">
        <v>82</v>
      </c>
      <c r="I20" s="2" t="s">
        <v>83</v>
      </c>
      <c r="J20" s="2" t="s">
        <v>84</v>
      </c>
      <c r="K20" s="2" t="s">
        <v>85</v>
      </c>
      <c r="L20" s="2" t="s">
        <v>140</v>
      </c>
      <c r="M20" s="2" t="s">
        <v>95</v>
      </c>
      <c r="N20" s="2" t="s">
        <v>96</v>
      </c>
      <c r="O20" s="2">
        <v>18</v>
      </c>
      <c r="P20" s="2">
        <v>16</v>
      </c>
      <c r="Q20" s="4">
        <v>9040</v>
      </c>
      <c r="R20" s="4">
        <v>8150</v>
      </c>
      <c r="S20" s="4">
        <v>179</v>
      </c>
      <c r="T20" s="19">
        <f>(ProductionData[[#This Row],[Rejected_Qty]])/ProductionData[[#This Row],[Produced_Qty]]</f>
        <v>2.1963190184049079E-2</v>
      </c>
      <c r="U20" s="19">
        <f>ProductionData[[#This Row],[Produced_Qty]]/ProductionData[[#This Row],[Planned_Qty]]</f>
        <v>0.90154867256637172</v>
      </c>
      <c r="V20" s="2" t="s">
        <v>75</v>
      </c>
      <c r="W20" s="11">
        <v>0</v>
      </c>
      <c r="X20" s="13">
        <f>W20/60</f>
        <v>0</v>
      </c>
      <c r="Y20" s="2" t="s">
        <v>90</v>
      </c>
      <c r="Z20" s="2">
        <v>18</v>
      </c>
      <c r="AA20" s="2">
        <f>ProductionData[[#This Row],[Rejected_Qty]]*ProductionData[[#This Row],[Unit_Cost_INR]]</f>
        <v>3222</v>
      </c>
      <c r="AB20" s="4">
        <v>31295</v>
      </c>
      <c r="AC20" s="4">
        <v>8060</v>
      </c>
      <c r="AD20" s="4">
        <v>8060</v>
      </c>
      <c r="AE20" s="4">
        <v>31206</v>
      </c>
      <c r="AF20" s="4">
        <v>15000</v>
      </c>
    </row>
    <row r="21" spans="1:32">
      <c r="A21" s="2" t="s">
        <v>141</v>
      </c>
      <c r="B21" s="3">
        <v>46139</v>
      </c>
      <c r="C21" s="36" t="s">
        <v>78</v>
      </c>
      <c r="D21" s="2">
        <f>MONTH(ProductionData[[#This Row],[Month]])</f>
        <v>4</v>
      </c>
      <c r="E21" s="2" t="s">
        <v>116</v>
      </c>
      <c r="F21" s="2" t="s">
        <v>66</v>
      </c>
      <c r="G21" s="2" t="s">
        <v>81</v>
      </c>
      <c r="H21" s="2" t="s">
        <v>82</v>
      </c>
      <c r="I21" s="2" t="s">
        <v>83</v>
      </c>
      <c r="J21" s="2" t="s">
        <v>84</v>
      </c>
      <c r="K21" s="2" t="s">
        <v>85</v>
      </c>
      <c r="L21" s="2" t="s">
        <v>142</v>
      </c>
      <c r="M21" s="2" t="s">
        <v>73</v>
      </c>
      <c r="N21" s="2" t="s">
        <v>88</v>
      </c>
      <c r="O21" s="2">
        <v>18</v>
      </c>
      <c r="P21" s="2">
        <v>18</v>
      </c>
      <c r="Q21" s="4">
        <v>9670</v>
      </c>
      <c r="R21" s="4">
        <v>9010</v>
      </c>
      <c r="S21" s="4">
        <v>274</v>
      </c>
      <c r="T21" s="19">
        <f>(ProductionData[[#This Row],[Rejected_Qty]])/ProductionData[[#This Row],[Produced_Qty]]</f>
        <v>3.0410654827968925E-2</v>
      </c>
      <c r="U21" s="19">
        <f>ProductionData[[#This Row],[Produced_Qty]]/ProductionData[[#This Row],[Planned_Qty]]</f>
        <v>0.93174767321613239</v>
      </c>
      <c r="V21" s="2" t="s">
        <v>89</v>
      </c>
      <c r="W21" s="11">
        <v>57</v>
      </c>
      <c r="X21" s="13">
        <f>W21/60</f>
        <v>0.95</v>
      </c>
      <c r="Y21" s="2" t="s">
        <v>110</v>
      </c>
      <c r="Z21" s="2">
        <v>18</v>
      </c>
      <c r="AA21" s="2">
        <f>ProductionData[[#This Row],[Rejected_Qty]]*ProductionData[[#This Row],[Unit_Cost_INR]]</f>
        <v>4932</v>
      </c>
      <c r="AB21" s="4">
        <v>31206</v>
      </c>
      <c r="AC21" s="4">
        <v>8770</v>
      </c>
      <c r="AD21" s="4">
        <v>8770</v>
      </c>
      <c r="AE21" s="4">
        <v>31172</v>
      </c>
      <c r="AF21" s="4">
        <v>15000</v>
      </c>
    </row>
    <row r="22" spans="1:32">
      <c r="A22" s="2" t="s">
        <v>143</v>
      </c>
      <c r="B22" s="3">
        <v>46126</v>
      </c>
      <c r="C22" s="36" t="s">
        <v>78</v>
      </c>
      <c r="D22" s="2">
        <f>MONTH(ProductionData[[#This Row],[Month]])</f>
        <v>4</v>
      </c>
      <c r="E22" s="2" t="s">
        <v>92</v>
      </c>
      <c r="F22" s="2" t="s">
        <v>93</v>
      </c>
      <c r="G22" s="2" t="s">
        <v>81</v>
      </c>
      <c r="H22" s="2" t="s">
        <v>82</v>
      </c>
      <c r="I22" s="2" t="s">
        <v>83</v>
      </c>
      <c r="J22" s="2" t="s">
        <v>84</v>
      </c>
      <c r="K22" s="2" t="s">
        <v>85</v>
      </c>
      <c r="L22" s="2" t="s">
        <v>144</v>
      </c>
      <c r="M22" s="2" t="s">
        <v>95</v>
      </c>
      <c r="N22" s="2" t="s">
        <v>88</v>
      </c>
      <c r="O22" s="2">
        <v>18</v>
      </c>
      <c r="P22" s="2">
        <v>14</v>
      </c>
      <c r="Q22" s="4">
        <v>9260</v>
      </c>
      <c r="R22" s="4">
        <v>7960</v>
      </c>
      <c r="S22" s="4">
        <v>163</v>
      </c>
      <c r="T22" s="19">
        <f>(ProductionData[[#This Row],[Rejected_Qty]])/ProductionData[[#This Row],[Produced_Qty]]</f>
        <v>2.0477386934673367E-2</v>
      </c>
      <c r="U22" s="19">
        <f>ProductionData[[#This Row],[Produced_Qty]]/ProductionData[[#This Row],[Planned_Qty]]</f>
        <v>0.85961123110151183</v>
      </c>
      <c r="V22" s="2" t="s">
        <v>89</v>
      </c>
      <c r="W22" s="11">
        <v>27</v>
      </c>
      <c r="X22" s="13">
        <f>W22/60</f>
        <v>0.45</v>
      </c>
      <c r="Y22" s="2" t="s">
        <v>76</v>
      </c>
      <c r="Z22" s="2">
        <v>18</v>
      </c>
      <c r="AA22" s="2">
        <f>ProductionData[[#This Row],[Rejected_Qty]]*ProductionData[[#This Row],[Unit_Cost_INR]]</f>
        <v>2934</v>
      </c>
      <c r="AB22" s="4">
        <v>30861</v>
      </c>
      <c r="AC22" s="4">
        <v>7580</v>
      </c>
      <c r="AD22" s="4">
        <v>7580</v>
      </c>
      <c r="AE22" s="4">
        <v>31078</v>
      </c>
      <c r="AF22" s="4">
        <v>15000</v>
      </c>
    </row>
    <row r="23" spans="1:32">
      <c r="A23" s="2" t="s">
        <v>145</v>
      </c>
      <c r="B23" s="3">
        <v>46120</v>
      </c>
      <c r="C23" s="36" t="s">
        <v>78</v>
      </c>
      <c r="D23" s="2">
        <f>MONTH(ProductionData[[#This Row],[Month]])</f>
        <v>4</v>
      </c>
      <c r="E23" s="2" t="s">
        <v>79</v>
      </c>
      <c r="F23" s="2" t="s">
        <v>80</v>
      </c>
      <c r="G23" s="2" t="s">
        <v>81</v>
      </c>
      <c r="H23" s="2" t="s">
        <v>82</v>
      </c>
      <c r="I23" s="2" t="s">
        <v>83</v>
      </c>
      <c r="J23" s="2" t="s">
        <v>84</v>
      </c>
      <c r="K23" s="2" t="s">
        <v>85</v>
      </c>
      <c r="L23" s="2" t="s">
        <v>146</v>
      </c>
      <c r="M23" s="2" t="s">
        <v>87</v>
      </c>
      <c r="N23" s="2" t="s">
        <v>88</v>
      </c>
      <c r="O23" s="2">
        <v>18</v>
      </c>
      <c r="P23" s="2">
        <v>17</v>
      </c>
      <c r="Q23" s="4">
        <v>10310</v>
      </c>
      <c r="R23" s="4">
        <v>9140</v>
      </c>
      <c r="S23" s="4">
        <v>178</v>
      </c>
      <c r="T23" s="19">
        <f>(ProductionData[[#This Row],[Rejected_Qty]])/ProductionData[[#This Row],[Produced_Qty]]</f>
        <v>1.9474835886214441E-2</v>
      </c>
      <c r="U23" s="19">
        <f>ProductionData[[#This Row],[Produced_Qty]]/ProductionData[[#This Row],[Planned_Qty]]</f>
        <v>0.88651794374393789</v>
      </c>
      <c r="V23" s="2" t="s">
        <v>109</v>
      </c>
      <c r="W23" s="11">
        <v>0</v>
      </c>
      <c r="X23" s="13">
        <f>W23/60</f>
        <v>0</v>
      </c>
      <c r="Y23" s="2" t="s">
        <v>90</v>
      </c>
      <c r="Z23" s="2">
        <v>18</v>
      </c>
      <c r="AA23" s="2">
        <f>ProductionData[[#This Row],[Rejected_Qty]]*ProductionData[[#This Row],[Unit_Cost_INR]]</f>
        <v>3204</v>
      </c>
      <c r="AB23" s="4">
        <v>30490</v>
      </c>
      <c r="AC23" s="4">
        <v>8420</v>
      </c>
      <c r="AD23" s="4">
        <v>8420</v>
      </c>
      <c r="AE23" s="4">
        <v>31032</v>
      </c>
      <c r="AF23" s="4">
        <v>15000</v>
      </c>
    </row>
    <row r="24" spans="1:32">
      <c r="A24" s="2" t="s">
        <v>147</v>
      </c>
      <c r="B24" s="3">
        <v>46121</v>
      </c>
      <c r="C24" s="36" t="s">
        <v>78</v>
      </c>
      <c r="D24" s="2">
        <f>MONTH(ProductionData[[#This Row],[Month]])</f>
        <v>4</v>
      </c>
      <c r="E24" s="2" t="s">
        <v>107</v>
      </c>
      <c r="F24" s="2" t="s">
        <v>80</v>
      </c>
      <c r="G24" s="2" t="s">
        <v>81</v>
      </c>
      <c r="H24" s="2" t="s">
        <v>82</v>
      </c>
      <c r="I24" s="2" t="s">
        <v>83</v>
      </c>
      <c r="J24" s="2" t="s">
        <v>84</v>
      </c>
      <c r="K24" s="2" t="s">
        <v>85</v>
      </c>
      <c r="L24" s="2" t="s">
        <v>148</v>
      </c>
      <c r="M24" s="2" t="s">
        <v>87</v>
      </c>
      <c r="N24" s="2" t="s">
        <v>96</v>
      </c>
      <c r="O24" s="2">
        <v>18</v>
      </c>
      <c r="P24" s="2">
        <v>18</v>
      </c>
      <c r="Q24" s="4">
        <v>10300</v>
      </c>
      <c r="R24" s="4">
        <v>9770</v>
      </c>
      <c r="S24" s="4">
        <v>305</v>
      </c>
      <c r="T24" s="19">
        <f>(ProductionData[[#This Row],[Rejected_Qty]])/ProductionData[[#This Row],[Produced_Qty]]</f>
        <v>3.1218014329580348E-2</v>
      </c>
      <c r="U24" s="19">
        <f>ProductionData[[#This Row],[Produced_Qty]]/ProductionData[[#This Row],[Planned_Qty]]</f>
        <v>0.94854368932038835</v>
      </c>
      <c r="V24" s="2" t="s">
        <v>75</v>
      </c>
      <c r="W24" s="11">
        <v>15</v>
      </c>
      <c r="X24" s="13">
        <f>W24/60</f>
        <v>0.25</v>
      </c>
      <c r="Y24" s="2" t="s">
        <v>76</v>
      </c>
      <c r="Z24" s="2">
        <v>18</v>
      </c>
      <c r="AA24" s="2">
        <f>ProductionData[[#This Row],[Rejected_Qty]]*ProductionData[[#This Row],[Unit_Cost_INR]]</f>
        <v>5490</v>
      </c>
      <c r="AB24" s="4">
        <v>31032</v>
      </c>
      <c r="AC24" s="4">
        <v>9550</v>
      </c>
      <c r="AD24" s="4">
        <v>9550</v>
      </c>
      <c r="AE24" s="4">
        <v>30947</v>
      </c>
      <c r="AF24" s="4">
        <v>15000</v>
      </c>
    </row>
    <row r="25" spans="1:32">
      <c r="A25" s="2" t="s">
        <v>149</v>
      </c>
      <c r="B25" s="3">
        <v>46125</v>
      </c>
      <c r="C25" s="36" t="s">
        <v>78</v>
      </c>
      <c r="D25" s="2">
        <f>MONTH(ProductionData[[#This Row],[Month]])</f>
        <v>4</v>
      </c>
      <c r="E25" s="2" t="s">
        <v>116</v>
      </c>
      <c r="F25" s="2" t="s">
        <v>66</v>
      </c>
      <c r="G25" s="2" t="s">
        <v>81</v>
      </c>
      <c r="H25" s="2" t="s">
        <v>82</v>
      </c>
      <c r="I25" s="2" t="s">
        <v>83</v>
      </c>
      <c r="J25" s="2" t="s">
        <v>84</v>
      </c>
      <c r="K25" s="2" t="s">
        <v>85</v>
      </c>
      <c r="L25" s="2" t="s">
        <v>150</v>
      </c>
      <c r="M25" s="2" t="s">
        <v>73</v>
      </c>
      <c r="N25" s="2" t="s">
        <v>88</v>
      </c>
      <c r="O25" s="2">
        <v>18</v>
      </c>
      <c r="P25" s="2">
        <v>17</v>
      </c>
      <c r="Q25" s="4">
        <v>9780</v>
      </c>
      <c r="R25" s="4">
        <v>8940</v>
      </c>
      <c r="S25" s="4">
        <v>119</v>
      </c>
      <c r="T25" s="19">
        <f>(ProductionData[[#This Row],[Rejected_Qty]])/ProductionData[[#This Row],[Produced_Qty]]</f>
        <v>1.3310961968680089E-2</v>
      </c>
      <c r="U25" s="19">
        <f>ProductionData[[#This Row],[Produced_Qty]]/ProductionData[[#This Row],[Planned_Qty]]</f>
        <v>0.91411042944785281</v>
      </c>
      <c r="V25" s="2" t="s">
        <v>89</v>
      </c>
      <c r="W25" s="11">
        <v>0</v>
      </c>
      <c r="X25" s="13">
        <f>W25/60</f>
        <v>0</v>
      </c>
      <c r="Y25" s="2" t="s">
        <v>90</v>
      </c>
      <c r="Z25" s="2">
        <v>18</v>
      </c>
      <c r="AA25" s="2">
        <f>ProductionData[[#This Row],[Rejected_Qty]]*ProductionData[[#This Row],[Unit_Cost_INR]]</f>
        <v>2142</v>
      </c>
      <c r="AB25" s="4">
        <v>30947</v>
      </c>
      <c r="AC25" s="4">
        <v>8880</v>
      </c>
      <c r="AD25" s="4">
        <v>8880</v>
      </c>
      <c r="AE25" s="4">
        <v>30888</v>
      </c>
      <c r="AF25" s="4">
        <v>15000</v>
      </c>
    </row>
    <row r="26" spans="1:32">
      <c r="A26" s="2" t="s">
        <v>151</v>
      </c>
      <c r="B26" s="3">
        <v>46126</v>
      </c>
      <c r="C26" s="36" t="s">
        <v>78</v>
      </c>
      <c r="D26" s="2">
        <f>MONTH(ProductionData[[#This Row],[Month]])</f>
        <v>4</v>
      </c>
      <c r="E26" s="2" t="s">
        <v>92</v>
      </c>
      <c r="F26" s="2" t="s">
        <v>66</v>
      </c>
      <c r="G26" s="2" t="s">
        <v>81</v>
      </c>
      <c r="H26" s="2" t="s">
        <v>82</v>
      </c>
      <c r="I26" s="2" t="s">
        <v>83</v>
      </c>
      <c r="J26" s="2" t="s">
        <v>84</v>
      </c>
      <c r="K26" s="2" t="s">
        <v>85</v>
      </c>
      <c r="L26" s="2" t="s">
        <v>152</v>
      </c>
      <c r="M26" s="2" t="s">
        <v>73</v>
      </c>
      <c r="N26" s="2" t="s">
        <v>96</v>
      </c>
      <c r="O26" s="2">
        <v>18</v>
      </c>
      <c r="P26" s="2">
        <v>18</v>
      </c>
      <c r="Q26" s="4">
        <v>9580</v>
      </c>
      <c r="R26" s="4">
        <v>9010</v>
      </c>
      <c r="S26" s="4">
        <v>227</v>
      </c>
      <c r="T26" s="19">
        <f>(ProductionData[[#This Row],[Rejected_Qty]])/ProductionData[[#This Row],[Produced_Qty]]</f>
        <v>2.5194228634850168E-2</v>
      </c>
      <c r="U26" s="19">
        <f>ProductionData[[#This Row],[Produced_Qty]]/ProductionData[[#This Row],[Planned_Qty]]</f>
        <v>0.94050104384133615</v>
      </c>
      <c r="V26" s="2" t="s">
        <v>109</v>
      </c>
      <c r="W26" s="11">
        <v>30</v>
      </c>
      <c r="X26" s="13">
        <f>W26/60</f>
        <v>0.5</v>
      </c>
      <c r="Y26" s="2" t="s">
        <v>110</v>
      </c>
      <c r="Z26" s="2">
        <v>18</v>
      </c>
      <c r="AA26" s="2">
        <f>ProductionData[[#This Row],[Rejected_Qty]]*ProductionData[[#This Row],[Unit_Cost_INR]]</f>
        <v>4086</v>
      </c>
      <c r="AB26" s="4">
        <v>31778</v>
      </c>
      <c r="AC26" s="4">
        <v>9700</v>
      </c>
      <c r="AD26" s="4">
        <v>9700</v>
      </c>
      <c r="AE26" s="4">
        <v>30861</v>
      </c>
      <c r="AF26" s="4">
        <v>15000</v>
      </c>
    </row>
    <row r="27" spans="1:32">
      <c r="A27" s="2" t="s">
        <v>153</v>
      </c>
      <c r="B27" s="3">
        <v>46130</v>
      </c>
      <c r="C27" s="36" t="s">
        <v>78</v>
      </c>
      <c r="D27" s="2">
        <f>MONTH(ProductionData[[#This Row],[Month]])</f>
        <v>4</v>
      </c>
      <c r="E27" s="2" t="s">
        <v>65</v>
      </c>
      <c r="F27" s="2" t="s">
        <v>66</v>
      </c>
      <c r="G27" s="2" t="s">
        <v>81</v>
      </c>
      <c r="H27" s="2" t="s">
        <v>82</v>
      </c>
      <c r="I27" s="2" t="s">
        <v>83</v>
      </c>
      <c r="J27" s="2" t="s">
        <v>84</v>
      </c>
      <c r="K27" s="2" t="s">
        <v>85</v>
      </c>
      <c r="L27" s="2" t="s">
        <v>154</v>
      </c>
      <c r="M27" s="2" t="s">
        <v>73</v>
      </c>
      <c r="N27" s="2" t="s">
        <v>96</v>
      </c>
      <c r="O27" s="2">
        <v>18</v>
      </c>
      <c r="P27" s="2">
        <v>16</v>
      </c>
      <c r="Q27" s="4">
        <v>9210</v>
      </c>
      <c r="R27" s="4">
        <v>8200</v>
      </c>
      <c r="S27" s="4">
        <v>280</v>
      </c>
      <c r="T27" s="19">
        <f>(ProductionData[[#This Row],[Rejected_Qty]])/ProductionData[[#This Row],[Produced_Qty]]</f>
        <v>3.4146341463414637E-2</v>
      </c>
      <c r="U27" s="19">
        <f>ProductionData[[#This Row],[Produced_Qty]]/ProductionData[[#This Row],[Planned_Qty]]</f>
        <v>0.89033659066232351</v>
      </c>
      <c r="V27" s="2" t="s">
        <v>113</v>
      </c>
      <c r="W27" s="11">
        <v>0</v>
      </c>
      <c r="X27" s="13">
        <f>W27/60</f>
        <v>0</v>
      </c>
      <c r="Y27" s="2" t="s">
        <v>90</v>
      </c>
      <c r="Z27" s="2">
        <v>18</v>
      </c>
      <c r="AA27" s="2">
        <f>ProductionData[[#This Row],[Rejected_Qty]]*ProductionData[[#This Row],[Unit_Cost_INR]]</f>
        <v>5040</v>
      </c>
      <c r="AB27" s="4">
        <v>31227</v>
      </c>
      <c r="AC27" s="4">
        <v>8400</v>
      </c>
      <c r="AD27" s="4">
        <v>8400</v>
      </c>
      <c r="AE27" s="4">
        <v>30747</v>
      </c>
      <c r="AF27" s="4">
        <v>15000</v>
      </c>
    </row>
    <row r="28" spans="1:32">
      <c r="A28" s="2" t="s">
        <v>155</v>
      </c>
      <c r="B28" s="3">
        <v>46127</v>
      </c>
      <c r="C28" s="36" t="s">
        <v>78</v>
      </c>
      <c r="D28" s="2">
        <f>MONTH(ProductionData[[#This Row],[Month]])</f>
        <v>4</v>
      </c>
      <c r="E28" s="2" t="s">
        <v>79</v>
      </c>
      <c r="F28" s="2" t="s">
        <v>80</v>
      </c>
      <c r="G28" s="2" t="s">
        <v>81</v>
      </c>
      <c r="H28" s="2" t="s">
        <v>82</v>
      </c>
      <c r="I28" s="2" t="s">
        <v>83</v>
      </c>
      <c r="J28" s="2" t="s">
        <v>84</v>
      </c>
      <c r="K28" s="2" t="s">
        <v>85</v>
      </c>
      <c r="L28" s="2" t="s">
        <v>156</v>
      </c>
      <c r="M28" s="2" t="s">
        <v>87</v>
      </c>
      <c r="N28" s="2" t="s">
        <v>88</v>
      </c>
      <c r="O28" s="2">
        <v>18</v>
      </c>
      <c r="P28" s="2">
        <v>17</v>
      </c>
      <c r="Q28" s="4">
        <v>10440</v>
      </c>
      <c r="R28" s="4">
        <v>9650</v>
      </c>
      <c r="S28" s="4">
        <v>251</v>
      </c>
      <c r="T28" s="19">
        <f>(ProductionData[[#This Row],[Rejected_Qty]])/ProductionData[[#This Row],[Produced_Qty]]</f>
        <v>2.6010362694300519E-2</v>
      </c>
      <c r="U28" s="19">
        <f>ProductionData[[#This Row],[Produced_Qty]]/ProductionData[[#This Row],[Planned_Qty]]</f>
        <v>0.92432950191570884</v>
      </c>
      <c r="V28" s="2" t="s">
        <v>103</v>
      </c>
      <c r="W28" s="11">
        <v>0</v>
      </c>
      <c r="X28" s="13">
        <f>W28/60</f>
        <v>0</v>
      </c>
      <c r="Y28" s="2" t="s">
        <v>90</v>
      </c>
      <c r="Z28" s="2">
        <v>18</v>
      </c>
      <c r="AA28" s="2">
        <f>ProductionData[[#This Row],[Rejected_Qty]]*ProductionData[[#This Row],[Unit_Cost_INR]]</f>
        <v>4518</v>
      </c>
      <c r="AB28" s="4">
        <v>31078</v>
      </c>
      <c r="AC28" s="4">
        <v>9890</v>
      </c>
      <c r="AD28" s="4">
        <v>9890</v>
      </c>
      <c r="AE28" s="4">
        <v>30587</v>
      </c>
      <c r="AF28" s="4">
        <v>15000</v>
      </c>
    </row>
    <row r="29" spans="1:32">
      <c r="A29" s="2" t="s">
        <v>157</v>
      </c>
      <c r="B29" s="3">
        <v>46114</v>
      </c>
      <c r="C29" s="36" t="s">
        <v>78</v>
      </c>
      <c r="D29" s="2">
        <f>MONTH(ProductionData[[#This Row],[Month]])</f>
        <v>4</v>
      </c>
      <c r="E29" s="2" t="s">
        <v>107</v>
      </c>
      <c r="F29" s="2" t="s">
        <v>93</v>
      </c>
      <c r="G29" s="2" t="s">
        <v>81</v>
      </c>
      <c r="H29" s="2" t="s">
        <v>82</v>
      </c>
      <c r="I29" s="2" t="s">
        <v>83</v>
      </c>
      <c r="J29" s="2" t="s">
        <v>84</v>
      </c>
      <c r="K29" s="2" t="s">
        <v>85</v>
      </c>
      <c r="L29" s="2" t="s">
        <v>158</v>
      </c>
      <c r="M29" s="2" t="s">
        <v>133</v>
      </c>
      <c r="N29" s="2" t="s">
        <v>96</v>
      </c>
      <c r="O29" s="2">
        <v>18</v>
      </c>
      <c r="P29" s="2">
        <v>16</v>
      </c>
      <c r="Q29" s="4">
        <v>10020</v>
      </c>
      <c r="R29" s="4">
        <v>9190</v>
      </c>
      <c r="S29" s="4">
        <v>116</v>
      </c>
      <c r="T29" s="19">
        <f>(ProductionData[[#This Row],[Rejected_Qty]])/ProductionData[[#This Row],[Produced_Qty]]</f>
        <v>1.2622415669205658E-2</v>
      </c>
      <c r="U29" s="19">
        <f>ProductionData[[#This Row],[Produced_Qty]]/ProductionData[[#This Row],[Planned_Qty]]</f>
        <v>0.91716566866267468</v>
      </c>
      <c r="V29" s="2" t="s">
        <v>109</v>
      </c>
      <c r="W29" s="11">
        <v>0</v>
      </c>
      <c r="X29" s="13">
        <f>W29/60</f>
        <v>0</v>
      </c>
      <c r="Y29" s="2" t="s">
        <v>90</v>
      </c>
      <c r="Z29" s="2">
        <v>18</v>
      </c>
      <c r="AA29" s="2">
        <f>ProductionData[[#This Row],[Rejected_Qty]]*ProductionData[[#This Row],[Unit_Cost_INR]]</f>
        <v>2088</v>
      </c>
      <c r="AB29" s="4">
        <v>30161</v>
      </c>
      <c r="AC29" s="4">
        <v>8680</v>
      </c>
      <c r="AD29" s="4">
        <v>8680</v>
      </c>
      <c r="AE29" s="4">
        <v>30555</v>
      </c>
      <c r="AF29" s="4">
        <v>15000</v>
      </c>
    </row>
    <row r="30" spans="1:32">
      <c r="A30" s="2" t="s">
        <v>159</v>
      </c>
      <c r="B30" s="3">
        <v>46119</v>
      </c>
      <c r="C30" s="36" t="s">
        <v>78</v>
      </c>
      <c r="D30" s="2">
        <f>MONTH(ProductionData[[#This Row],[Month]])</f>
        <v>4</v>
      </c>
      <c r="E30" s="2" t="s">
        <v>92</v>
      </c>
      <c r="F30" s="2" t="s">
        <v>80</v>
      </c>
      <c r="G30" s="2" t="s">
        <v>81</v>
      </c>
      <c r="H30" s="2" t="s">
        <v>82</v>
      </c>
      <c r="I30" s="2" t="s">
        <v>83</v>
      </c>
      <c r="J30" s="2" t="s">
        <v>84</v>
      </c>
      <c r="K30" s="2" t="s">
        <v>85</v>
      </c>
      <c r="L30" s="2" t="s">
        <v>160</v>
      </c>
      <c r="M30" s="2" t="s">
        <v>102</v>
      </c>
      <c r="N30" s="2" t="s">
        <v>96</v>
      </c>
      <c r="O30" s="2">
        <v>18</v>
      </c>
      <c r="P30" s="2">
        <v>17</v>
      </c>
      <c r="Q30" s="4">
        <v>9340</v>
      </c>
      <c r="R30" s="4">
        <v>8600</v>
      </c>
      <c r="S30" s="4">
        <v>164</v>
      </c>
      <c r="T30" s="19">
        <f>(ProductionData[[#This Row],[Rejected_Qty]])/ProductionData[[#This Row],[Produced_Qty]]</f>
        <v>1.9069767441860466E-2</v>
      </c>
      <c r="U30" s="19">
        <f>ProductionData[[#This Row],[Produced_Qty]]/ProductionData[[#This Row],[Planned_Qty]]</f>
        <v>0.92077087794432544</v>
      </c>
      <c r="V30" s="2" t="s">
        <v>75</v>
      </c>
      <c r="W30" s="11">
        <v>0</v>
      </c>
      <c r="X30" s="13">
        <f>W30/60</f>
        <v>0</v>
      </c>
      <c r="Y30" s="2" t="s">
        <v>90</v>
      </c>
      <c r="Z30" s="2">
        <v>18</v>
      </c>
      <c r="AA30" s="2">
        <f>ProductionData[[#This Row],[Rejected_Qty]]*ProductionData[[#This Row],[Unit_Cost_INR]]</f>
        <v>2952</v>
      </c>
      <c r="AB30" s="4">
        <v>31334</v>
      </c>
      <c r="AC30" s="4">
        <v>9280</v>
      </c>
      <c r="AD30" s="4">
        <v>9280</v>
      </c>
      <c r="AE30" s="4">
        <v>30490</v>
      </c>
      <c r="AF30" s="4">
        <v>15000</v>
      </c>
    </row>
    <row r="31" spans="1:32">
      <c r="A31" s="2" t="s">
        <v>161</v>
      </c>
      <c r="B31" s="3">
        <v>46128</v>
      </c>
      <c r="C31" s="36" t="s">
        <v>78</v>
      </c>
      <c r="D31" s="2">
        <f>MONTH(ProductionData[[#This Row],[Month]])</f>
        <v>4</v>
      </c>
      <c r="E31" s="2" t="s">
        <v>107</v>
      </c>
      <c r="F31" s="2" t="s">
        <v>66</v>
      </c>
      <c r="G31" s="2" t="s">
        <v>81</v>
      </c>
      <c r="H31" s="2" t="s">
        <v>82</v>
      </c>
      <c r="I31" s="2" t="s">
        <v>83</v>
      </c>
      <c r="J31" s="2" t="s">
        <v>84</v>
      </c>
      <c r="K31" s="2" t="s">
        <v>85</v>
      </c>
      <c r="L31" s="2" t="s">
        <v>162</v>
      </c>
      <c r="M31" s="2" t="s">
        <v>73</v>
      </c>
      <c r="N31" s="2" t="s">
        <v>96</v>
      </c>
      <c r="O31" s="2">
        <v>18</v>
      </c>
      <c r="P31" s="2">
        <v>18</v>
      </c>
      <c r="Q31" s="4">
        <v>10440</v>
      </c>
      <c r="R31" s="4">
        <v>9920</v>
      </c>
      <c r="S31" s="4">
        <v>356</v>
      </c>
      <c r="T31" s="19">
        <f>(ProductionData[[#This Row],[Rejected_Qty]])/ProductionData[[#This Row],[Produced_Qty]]</f>
        <v>3.588709677419355E-2</v>
      </c>
      <c r="U31" s="19">
        <f>ProductionData[[#This Row],[Produced_Qty]]/ProductionData[[#This Row],[Planned_Qty]]</f>
        <v>0.95019157088122608</v>
      </c>
      <c r="V31" s="2" t="s">
        <v>113</v>
      </c>
      <c r="W31" s="11">
        <v>0</v>
      </c>
      <c r="X31" s="13">
        <f>W31/60</f>
        <v>0</v>
      </c>
      <c r="Y31" s="2" t="s">
        <v>90</v>
      </c>
      <c r="Z31" s="2">
        <v>18</v>
      </c>
      <c r="AA31" s="2">
        <f>ProductionData[[#This Row],[Rejected_Qty]]*ProductionData[[#This Row],[Unit_Cost_INR]]</f>
        <v>6408</v>
      </c>
      <c r="AB31" s="4">
        <v>30587</v>
      </c>
      <c r="AC31" s="4">
        <v>9830</v>
      </c>
      <c r="AD31" s="4">
        <v>9830</v>
      </c>
      <c r="AE31" s="4">
        <v>30321</v>
      </c>
      <c r="AF31" s="4">
        <v>15000</v>
      </c>
    </row>
    <row r="32" spans="1:32">
      <c r="A32" s="2" t="s">
        <v>163</v>
      </c>
      <c r="B32" s="3">
        <v>46113</v>
      </c>
      <c r="C32" s="36" t="s">
        <v>78</v>
      </c>
      <c r="D32" s="2">
        <f>MONTH(ProductionData[[#This Row],[Month]])</f>
        <v>4</v>
      </c>
      <c r="E32" s="2" t="s">
        <v>79</v>
      </c>
      <c r="F32" s="2" t="s">
        <v>93</v>
      </c>
      <c r="G32" s="2" t="s">
        <v>81</v>
      </c>
      <c r="H32" s="2" t="s">
        <v>82</v>
      </c>
      <c r="I32" s="2" t="s">
        <v>83</v>
      </c>
      <c r="J32" s="2" t="s">
        <v>84</v>
      </c>
      <c r="K32" s="2" t="s">
        <v>85</v>
      </c>
      <c r="L32" s="2" t="s">
        <v>164</v>
      </c>
      <c r="M32" s="2" t="s">
        <v>133</v>
      </c>
      <c r="N32" s="2" t="s">
        <v>88</v>
      </c>
      <c r="O32" s="2">
        <v>18</v>
      </c>
      <c r="P32" s="2">
        <v>18</v>
      </c>
      <c r="Q32" s="4">
        <v>9380</v>
      </c>
      <c r="R32" s="4">
        <v>9290</v>
      </c>
      <c r="S32" s="4">
        <v>199</v>
      </c>
      <c r="T32" s="19">
        <f>(ProductionData[[#This Row],[Rejected_Qty]])/ProductionData[[#This Row],[Produced_Qty]]</f>
        <v>2.1420882669537136E-2</v>
      </c>
      <c r="U32" s="19">
        <f>ProductionData[[#This Row],[Produced_Qty]]/ProductionData[[#This Row],[Planned_Qty]]</f>
        <v>0.99040511727078895</v>
      </c>
      <c r="V32" s="2" t="s">
        <v>109</v>
      </c>
      <c r="W32" s="11">
        <v>35</v>
      </c>
      <c r="X32" s="13">
        <f>W32/60</f>
        <v>0.58333333333333337</v>
      </c>
      <c r="Y32" s="2" t="s">
        <v>110</v>
      </c>
      <c r="Z32" s="2">
        <v>18</v>
      </c>
      <c r="AA32" s="2">
        <f>ProductionData[[#This Row],[Rejected_Qty]]*ProductionData[[#This Row],[Unit_Cost_INR]]</f>
        <v>3582</v>
      </c>
      <c r="AB32" s="4">
        <v>30000</v>
      </c>
      <c r="AC32" s="4">
        <v>8930</v>
      </c>
      <c r="AD32" s="4">
        <v>8930</v>
      </c>
      <c r="AE32" s="4">
        <v>30161</v>
      </c>
      <c r="AF32" s="4">
        <v>15000</v>
      </c>
    </row>
    <row r="33" spans="1:32">
      <c r="A33" s="2" t="s">
        <v>165</v>
      </c>
      <c r="B33" s="3">
        <v>46122</v>
      </c>
      <c r="C33" s="36" t="s">
        <v>78</v>
      </c>
      <c r="D33" s="2">
        <f>MONTH(ProductionData[[#This Row],[Month]])</f>
        <v>4</v>
      </c>
      <c r="E33" s="2" t="s">
        <v>125</v>
      </c>
      <c r="F33" s="2" t="s">
        <v>80</v>
      </c>
      <c r="G33" s="2" t="s">
        <v>81</v>
      </c>
      <c r="H33" s="2" t="s">
        <v>82</v>
      </c>
      <c r="I33" s="2" t="s">
        <v>83</v>
      </c>
      <c r="J33" s="2" t="s">
        <v>166</v>
      </c>
      <c r="K33" s="2" t="s">
        <v>167</v>
      </c>
      <c r="L33" s="2" t="s">
        <v>168</v>
      </c>
      <c r="M33" s="2" t="s">
        <v>102</v>
      </c>
      <c r="N33" s="2" t="s">
        <v>88</v>
      </c>
      <c r="O33" s="2">
        <v>18</v>
      </c>
      <c r="P33" s="2">
        <v>17</v>
      </c>
      <c r="Q33" s="4">
        <v>9370</v>
      </c>
      <c r="R33" s="4">
        <v>8650</v>
      </c>
      <c r="S33" s="4">
        <v>137</v>
      </c>
      <c r="T33" s="19">
        <f>(ProductionData[[#This Row],[Rejected_Qty]])/ProductionData[[#This Row],[Produced_Qty]]</f>
        <v>1.583815028901734E-2</v>
      </c>
      <c r="U33" s="19">
        <f>ProductionData[[#This Row],[Produced_Qty]]/ProductionData[[#This Row],[Planned_Qty]]</f>
        <v>0.9231590181430096</v>
      </c>
      <c r="V33" s="2" t="s">
        <v>109</v>
      </c>
      <c r="W33" s="11">
        <v>0</v>
      </c>
      <c r="X33" s="13">
        <f>W33/60</f>
        <v>0</v>
      </c>
      <c r="Y33" s="2" t="s">
        <v>90</v>
      </c>
      <c r="Z33" s="2">
        <v>17</v>
      </c>
      <c r="AA33" s="2">
        <f>ProductionData[[#This Row],[Rejected_Qty]]*ProductionData[[#This Row],[Unit_Cost_INR]]</f>
        <v>2329</v>
      </c>
      <c r="AB33" s="4">
        <v>27901</v>
      </c>
      <c r="AC33" s="4">
        <v>8310</v>
      </c>
      <c r="AD33" s="4">
        <v>8310</v>
      </c>
      <c r="AE33" s="4">
        <v>28104</v>
      </c>
      <c r="AF33" s="4">
        <v>13500</v>
      </c>
    </row>
    <row r="34" spans="1:32">
      <c r="A34" s="2" t="s">
        <v>169</v>
      </c>
      <c r="B34" s="3">
        <v>46122</v>
      </c>
      <c r="C34" s="36" t="s">
        <v>78</v>
      </c>
      <c r="D34" s="2">
        <f>MONTH(ProductionData[[#This Row],[Month]])</f>
        <v>4</v>
      </c>
      <c r="E34" s="2" t="s">
        <v>125</v>
      </c>
      <c r="F34" s="2" t="s">
        <v>66</v>
      </c>
      <c r="G34" s="2" t="s">
        <v>81</v>
      </c>
      <c r="H34" s="2" t="s">
        <v>82</v>
      </c>
      <c r="I34" s="2" t="s">
        <v>83</v>
      </c>
      <c r="J34" s="2" t="s">
        <v>166</v>
      </c>
      <c r="K34" s="2" t="s">
        <v>167</v>
      </c>
      <c r="L34" s="2" t="s">
        <v>170</v>
      </c>
      <c r="M34" s="2" t="s">
        <v>73</v>
      </c>
      <c r="N34" s="2" t="s">
        <v>88</v>
      </c>
      <c r="O34" s="2">
        <v>18</v>
      </c>
      <c r="P34" s="2">
        <v>18</v>
      </c>
      <c r="Q34" s="4">
        <v>9320</v>
      </c>
      <c r="R34" s="4">
        <v>8980</v>
      </c>
      <c r="S34" s="4">
        <v>236</v>
      </c>
      <c r="T34" s="19">
        <f>(ProductionData[[#This Row],[Rejected_Qty]])/ProductionData[[#This Row],[Produced_Qty]]</f>
        <v>2.6280623608017816E-2</v>
      </c>
      <c r="U34" s="19">
        <f>ProductionData[[#This Row],[Produced_Qty]]/ProductionData[[#This Row],[Planned_Qty]]</f>
        <v>0.96351931330472107</v>
      </c>
      <c r="V34" s="2" t="s">
        <v>89</v>
      </c>
      <c r="W34" s="11">
        <v>0</v>
      </c>
      <c r="X34" s="13">
        <f>W34/60</f>
        <v>0</v>
      </c>
      <c r="Y34" s="2" t="s">
        <v>90</v>
      </c>
      <c r="Z34" s="2">
        <v>17</v>
      </c>
      <c r="AA34" s="2">
        <f>ProductionData[[#This Row],[Rejected_Qty]]*ProductionData[[#This Row],[Unit_Cost_INR]]</f>
        <v>4012</v>
      </c>
      <c r="AB34" s="4">
        <v>26717</v>
      </c>
      <c r="AC34" s="4">
        <v>7560</v>
      </c>
      <c r="AD34" s="4">
        <v>7560</v>
      </c>
      <c r="AE34" s="4">
        <v>27901</v>
      </c>
      <c r="AF34" s="4">
        <v>13500</v>
      </c>
    </row>
    <row r="35" spans="1:32">
      <c r="A35" s="2" t="s">
        <v>171</v>
      </c>
      <c r="B35" s="3">
        <v>46130</v>
      </c>
      <c r="C35" s="36" t="s">
        <v>78</v>
      </c>
      <c r="D35" s="2">
        <f>MONTH(ProductionData[[#This Row],[Month]])</f>
        <v>4</v>
      </c>
      <c r="E35" s="2" t="s">
        <v>65</v>
      </c>
      <c r="F35" s="2" t="s">
        <v>93</v>
      </c>
      <c r="G35" s="2" t="s">
        <v>81</v>
      </c>
      <c r="H35" s="2" t="s">
        <v>82</v>
      </c>
      <c r="I35" s="2" t="s">
        <v>83</v>
      </c>
      <c r="J35" s="2" t="s">
        <v>166</v>
      </c>
      <c r="K35" s="2" t="s">
        <v>167</v>
      </c>
      <c r="L35" s="2" t="s">
        <v>172</v>
      </c>
      <c r="M35" s="2" t="s">
        <v>95</v>
      </c>
      <c r="N35" s="2" t="s">
        <v>88</v>
      </c>
      <c r="O35" s="2">
        <v>18</v>
      </c>
      <c r="P35" s="2">
        <v>16</v>
      </c>
      <c r="Q35" s="4">
        <v>8050</v>
      </c>
      <c r="R35" s="4">
        <v>7680</v>
      </c>
      <c r="S35" s="4">
        <v>108</v>
      </c>
      <c r="T35" s="19">
        <f>(ProductionData[[#This Row],[Rejected_Qty]])/ProductionData[[#This Row],[Produced_Qty]]</f>
        <v>1.40625E-2</v>
      </c>
      <c r="U35" s="19">
        <f>ProductionData[[#This Row],[Produced_Qty]]/ProductionData[[#This Row],[Planned_Qty]]</f>
        <v>0.95403726708074532</v>
      </c>
      <c r="V35" s="2" t="s">
        <v>109</v>
      </c>
      <c r="W35" s="11">
        <v>0</v>
      </c>
      <c r="X35" s="13">
        <f>W35/60</f>
        <v>0</v>
      </c>
      <c r="Y35" s="2" t="s">
        <v>90</v>
      </c>
      <c r="Z35" s="2">
        <v>17</v>
      </c>
      <c r="AA35" s="2">
        <f>ProductionData[[#This Row],[Rejected_Qty]]*ProductionData[[#This Row],[Unit_Cost_INR]]</f>
        <v>1836</v>
      </c>
      <c r="AB35" s="4">
        <v>27499</v>
      </c>
      <c r="AC35" s="4">
        <v>7200</v>
      </c>
      <c r="AD35" s="4">
        <v>7200</v>
      </c>
      <c r="AE35" s="4">
        <v>27871</v>
      </c>
      <c r="AF35" s="4">
        <v>13500</v>
      </c>
    </row>
    <row r="36" spans="1:32">
      <c r="A36" s="2" t="s">
        <v>173</v>
      </c>
      <c r="B36" s="3">
        <v>46130</v>
      </c>
      <c r="C36" s="36" t="s">
        <v>78</v>
      </c>
      <c r="D36" s="2">
        <f>MONTH(ProductionData[[#This Row],[Month]])</f>
        <v>4</v>
      </c>
      <c r="E36" s="2" t="s">
        <v>65</v>
      </c>
      <c r="F36" s="2" t="s">
        <v>66</v>
      </c>
      <c r="G36" s="2" t="s">
        <v>174</v>
      </c>
      <c r="H36" s="2" t="s">
        <v>175</v>
      </c>
      <c r="I36" s="2" t="s">
        <v>176</v>
      </c>
      <c r="J36" s="2" t="s">
        <v>177</v>
      </c>
      <c r="K36" s="2" t="s">
        <v>178</v>
      </c>
      <c r="L36" s="2" t="s">
        <v>179</v>
      </c>
      <c r="M36" s="2" t="s">
        <v>73</v>
      </c>
      <c r="N36" s="2" t="s">
        <v>96</v>
      </c>
      <c r="O36" s="2">
        <v>10</v>
      </c>
      <c r="P36" s="2">
        <v>9</v>
      </c>
      <c r="Q36" s="4">
        <v>7910</v>
      </c>
      <c r="R36" s="4">
        <v>7320</v>
      </c>
      <c r="S36" s="4">
        <v>260</v>
      </c>
      <c r="T36" s="19">
        <f>(ProductionData[[#This Row],[Rejected_Qty]])/ProductionData[[#This Row],[Produced_Qty]]</f>
        <v>3.5519125683060107E-2</v>
      </c>
      <c r="U36" s="19">
        <f>ProductionData[[#This Row],[Produced_Qty]]/ProductionData[[#This Row],[Planned_Qty]]</f>
        <v>0.92541087231352714</v>
      </c>
      <c r="V36" s="2" t="s">
        <v>75</v>
      </c>
      <c r="W36" s="11">
        <v>0</v>
      </c>
      <c r="X36" s="13">
        <f>W36/60</f>
        <v>0</v>
      </c>
      <c r="Y36" s="2" t="s">
        <v>90</v>
      </c>
      <c r="Z36" s="2">
        <v>24</v>
      </c>
      <c r="AA36" s="2">
        <f>ProductionData[[#This Row],[Rejected_Qty]]*ProductionData[[#This Row],[Unit_Cost_INR]]</f>
        <v>6240</v>
      </c>
      <c r="AB36" s="4">
        <v>27242</v>
      </c>
      <c r="AC36" s="4">
        <v>6730</v>
      </c>
      <c r="AD36" s="4">
        <v>6730</v>
      </c>
      <c r="AE36" s="4">
        <v>27572</v>
      </c>
      <c r="AF36" s="4">
        <v>12000</v>
      </c>
    </row>
    <row r="37" spans="1:32">
      <c r="A37" s="2" t="s">
        <v>180</v>
      </c>
      <c r="B37" s="3">
        <v>46125</v>
      </c>
      <c r="C37" s="36" t="s">
        <v>78</v>
      </c>
      <c r="D37" s="2">
        <f>MONTH(ProductionData[[#This Row],[Month]])</f>
        <v>4</v>
      </c>
      <c r="E37" s="2" t="s">
        <v>116</v>
      </c>
      <c r="F37" s="2" t="s">
        <v>93</v>
      </c>
      <c r="G37" s="2" t="s">
        <v>81</v>
      </c>
      <c r="H37" s="2" t="s">
        <v>82</v>
      </c>
      <c r="I37" s="2" t="s">
        <v>83</v>
      </c>
      <c r="J37" s="2" t="s">
        <v>166</v>
      </c>
      <c r="K37" s="2" t="s">
        <v>167</v>
      </c>
      <c r="L37" s="2" t="s">
        <v>181</v>
      </c>
      <c r="M37" s="2" t="s">
        <v>95</v>
      </c>
      <c r="N37" s="2" t="s">
        <v>88</v>
      </c>
      <c r="O37" s="2">
        <v>18</v>
      </c>
      <c r="P37" s="2">
        <v>14</v>
      </c>
      <c r="Q37" s="4">
        <v>8260</v>
      </c>
      <c r="R37" s="4">
        <v>6890</v>
      </c>
      <c r="S37" s="4">
        <v>135</v>
      </c>
      <c r="T37" s="19">
        <f>(ProductionData[[#This Row],[Rejected_Qty]])/ProductionData[[#This Row],[Produced_Qty]]</f>
        <v>1.9593613933236574E-2</v>
      </c>
      <c r="U37" s="19">
        <f>ProductionData[[#This Row],[Produced_Qty]]/ProductionData[[#This Row],[Planned_Qty]]</f>
        <v>0.83414043583535114</v>
      </c>
      <c r="V37" s="2" t="s">
        <v>75</v>
      </c>
      <c r="W37" s="11">
        <v>53</v>
      </c>
      <c r="X37" s="13">
        <f>W37/60</f>
        <v>0.8833333333333333</v>
      </c>
      <c r="Y37" s="2" t="s">
        <v>182</v>
      </c>
      <c r="Z37" s="2">
        <v>17</v>
      </c>
      <c r="AA37" s="2">
        <f>ProductionData[[#This Row],[Rejected_Qty]]*ProductionData[[#This Row],[Unit_Cost_INR]]</f>
        <v>2295</v>
      </c>
      <c r="AB37" s="4">
        <v>28104</v>
      </c>
      <c r="AC37" s="4">
        <v>7360</v>
      </c>
      <c r="AD37" s="4">
        <v>7360</v>
      </c>
      <c r="AE37" s="4">
        <v>27499</v>
      </c>
      <c r="AF37" s="4">
        <v>13500</v>
      </c>
    </row>
    <row r="38" spans="1:32">
      <c r="A38" s="2" t="s">
        <v>183</v>
      </c>
      <c r="B38" s="3">
        <v>46142</v>
      </c>
      <c r="C38" s="36" t="s">
        <v>78</v>
      </c>
      <c r="D38" s="2">
        <f>MONTH(ProductionData[[#This Row],[Month]])</f>
        <v>4</v>
      </c>
      <c r="E38" s="2" t="s">
        <v>107</v>
      </c>
      <c r="F38" s="2" t="s">
        <v>93</v>
      </c>
      <c r="G38" s="2" t="s">
        <v>81</v>
      </c>
      <c r="H38" s="2" t="s">
        <v>82</v>
      </c>
      <c r="I38" s="2" t="s">
        <v>83</v>
      </c>
      <c r="J38" s="2" t="s">
        <v>166</v>
      </c>
      <c r="K38" s="2" t="s">
        <v>167</v>
      </c>
      <c r="L38" s="2" t="s">
        <v>184</v>
      </c>
      <c r="M38" s="2" t="s">
        <v>95</v>
      </c>
      <c r="N38" s="2" t="s">
        <v>96</v>
      </c>
      <c r="O38" s="2">
        <v>18</v>
      </c>
      <c r="P38" s="2">
        <v>16</v>
      </c>
      <c r="Q38" s="4">
        <v>9000</v>
      </c>
      <c r="R38" s="4">
        <v>8550</v>
      </c>
      <c r="S38" s="4">
        <v>253</v>
      </c>
      <c r="T38" s="19">
        <f>(ProductionData[[#This Row],[Rejected_Qty]])/ProductionData[[#This Row],[Produced_Qty]]</f>
        <v>2.9590643274853803E-2</v>
      </c>
      <c r="U38" s="19">
        <f>ProductionData[[#This Row],[Produced_Qty]]/ProductionData[[#This Row],[Planned_Qty]]</f>
        <v>0.95</v>
      </c>
      <c r="V38" s="2" t="s">
        <v>103</v>
      </c>
      <c r="W38" s="11">
        <v>0</v>
      </c>
      <c r="X38" s="13">
        <f>W38/60</f>
        <v>0</v>
      </c>
      <c r="Y38" s="2" t="s">
        <v>90</v>
      </c>
      <c r="Z38" s="2">
        <v>17</v>
      </c>
      <c r="AA38" s="2">
        <f>ProductionData[[#This Row],[Rejected_Qty]]*ProductionData[[#This Row],[Unit_Cost_INR]]</f>
        <v>4301</v>
      </c>
      <c r="AB38" s="4">
        <v>26576</v>
      </c>
      <c r="AC38" s="4">
        <v>7380</v>
      </c>
      <c r="AD38" s="4">
        <v>7380</v>
      </c>
      <c r="AE38" s="4">
        <v>27493</v>
      </c>
      <c r="AF38" s="4">
        <v>13500</v>
      </c>
    </row>
    <row r="39" spans="1:32">
      <c r="A39" s="2" t="s">
        <v>185</v>
      </c>
      <c r="B39" s="3">
        <v>46131</v>
      </c>
      <c r="C39" s="36" t="s">
        <v>78</v>
      </c>
      <c r="D39" s="2">
        <f>MONTH(ProductionData[[#This Row],[Month]])</f>
        <v>4</v>
      </c>
      <c r="E39" s="2" t="s">
        <v>186</v>
      </c>
      <c r="F39" s="2" t="s">
        <v>80</v>
      </c>
      <c r="G39" s="2" t="s">
        <v>81</v>
      </c>
      <c r="H39" s="2" t="s">
        <v>82</v>
      </c>
      <c r="I39" s="2" t="s">
        <v>83</v>
      </c>
      <c r="J39" s="2" t="s">
        <v>166</v>
      </c>
      <c r="K39" s="2" t="s">
        <v>167</v>
      </c>
      <c r="L39" s="2" t="s">
        <v>187</v>
      </c>
      <c r="M39" s="2" t="s">
        <v>102</v>
      </c>
      <c r="N39" s="2" t="s">
        <v>88</v>
      </c>
      <c r="O39" s="2">
        <v>18</v>
      </c>
      <c r="P39" s="2">
        <v>14</v>
      </c>
      <c r="Q39" s="4">
        <v>5810</v>
      </c>
      <c r="R39" s="4">
        <v>4920</v>
      </c>
      <c r="S39" s="4">
        <v>120</v>
      </c>
      <c r="T39" s="19">
        <f>(ProductionData[[#This Row],[Rejected_Qty]])/ProductionData[[#This Row],[Produced_Qty]]</f>
        <v>2.4390243902439025E-2</v>
      </c>
      <c r="U39" s="19">
        <f>ProductionData[[#This Row],[Produced_Qty]]/ProductionData[[#This Row],[Planned_Qty]]</f>
        <v>0.846815834767642</v>
      </c>
      <c r="V39" s="2" t="s">
        <v>75</v>
      </c>
      <c r="W39" s="11">
        <v>26</v>
      </c>
      <c r="X39" s="13">
        <f>W39/60</f>
        <v>0.43333333333333335</v>
      </c>
      <c r="Y39" s="2" t="s">
        <v>182</v>
      </c>
      <c r="Z39" s="2">
        <v>17</v>
      </c>
      <c r="AA39" s="2">
        <f>ProductionData[[#This Row],[Rejected_Qty]]*ProductionData[[#This Row],[Unit_Cost_INR]]</f>
        <v>2040</v>
      </c>
      <c r="AB39" s="4">
        <v>27871</v>
      </c>
      <c r="AC39" s="4">
        <v>5350</v>
      </c>
      <c r="AD39" s="4">
        <v>5350</v>
      </c>
      <c r="AE39" s="4">
        <v>27321</v>
      </c>
      <c r="AF39" s="4">
        <v>13500</v>
      </c>
    </row>
    <row r="40" spans="1:32">
      <c r="A40" s="2" t="s">
        <v>188</v>
      </c>
      <c r="B40" s="3">
        <v>46127</v>
      </c>
      <c r="C40" s="36" t="s">
        <v>78</v>
      </c>
      <c r="D40" s="2">
        <f>MONTH(ProductionData[[#This Row],[Month]])</f>
        <v>4</v>
      </c>
      <c r="E40" s="2" t="s">
        <v>79</v>
      </c>
      <c r="F40" s="2" t="s">
        <v>93</v>
      </c>
      <c r="G40" s="2" t="s">
        <v>174</v>
      </c>
      <c r="H40" s="2" t="s">
        <v>175</v>
      </c>
      <c r="I40" s="2" t="s">
        <v>176</v>
      </c>
      <c r="J40" s="2" t="s">
        <v>177</v>
      </c>
      <c r="K40" s="2" t="s">
        <v>178</v>
      </c>
      <c r="L40" s="2" t="s">
        <v>189</v>
      </c>
      <c r="M40" s="2" t="s">
        <v>95</v>
      </c>
      <c r="N40" s="2" t="s">
        <v>88</v>
      </c>
      <c r="O40" s="2">
        <v>10</v>
      </c>
      <c r="P40" s="2">
        <v>10</v>
      </c>
      <c r="Q40" s="4">
        <v>7420</v>
      </c>
      <c r="R40" s="4">
        <v>7300</v>
      </c>
      <c r="S40" s="4">
        <v>153</v>
      </c>
      <c r="T40" s="19">
        <f>(ProductionData[[#This Row],[Rejected_Qty]])/ProductionData[[#This Row],[Produced_Qty]]</f>
        <v>2.095890410958904E-2</v>
      </c>
      <c r="U40" s="19">
        <f>ProductionData[[#This Row],[Produced_Qty]]/ProductionData[[#This Row],[Planned_Qty]]</f>
        <v>0.98382749326145558</v>
      </c>
      <c r="V40" s="2" t="s">
        <v>113</v>
      </c>
      <c r="W40" s="11">
        <v>40</v>
      </c>
      <c r="X40" s="13">
        <f>W40/60</f>
        <v>0.66666666666666663</v>
      </c>
      <c r="Y40" s="2" t="s">
        <v>76</v>
      </c>
      <c r="Z40" s="2">
        <v>24</v>
      </c>
      <c r="AA40" s="2">
        <f>ProductionData[[#This Row],[Rejected_Qty]]*ProductionData[[#This Row],[Unit_Cost_INR]]</f>
        <v>3672</v>
      </c>
      <c r="AB40" s="4">
        <v>26977</v>
      </c>
      <c r="AC40" s="4">
        <v>6820</v>
      </c>
      <c r="AD40" s="4">
        <v>6820</v>
      </c>
      <c r="AE40" s="4">
        <v>27304</v>
      </c>
      <c r="AF40" s="4">
        <v>12000</v>
      </c>
    </row>
    <row r="41" spans="1:32">
      <c r="A41" s="2" t="s">
        <v>190</v>
      </c>
      <c r="B41" s="3">
        <v>46129</v>
      </c>
      <c r="C41" s="36" t="s">
        <v>78</v>
      </c>
      <c r="D41" s="2">
        <f>MONTH(ProductionData[[#This Row],[Month]])</f>
        <v>4</v>
      </c>
      <c r="E41" s="2" t="s">
        <v>125</v>
      </c>
      <c r="F41" s="2" t="s">
        <v>80</v>
      </c>
      <c r="G41" s="2" t="s">
        <v>174</v>
      </c>
      <c r="H41" s="2" t="s">
        <v>175</v>
      </c>
      <c r="I41" s="2" t="s">
        <v>176</v>
      </c>
      <c r="J41" s="2" t="s">
        <v>177</v>
      </c>
      <c r="K41" s="2" t="s">
        <v>178</v>
      </c>
      <c r="L41" s="2" t="s">
        <v>191</v>
      </c>
      <c r="M41" s="2" t="s">
        <v>102</v>
      </c>
      <c r="N41" s="2" t="s">
        <v>88</v>
      </c>
      <c r="O41" s="2">
        <v>10</v>
      </c>
      <c r="P41" s="2">
        <v>10</v>
      </c>
      <c r="Q41" s="4">
        <v>7870</v>
      </c>
      <c r="R41" s="4">
        <v>7750</v>
      </c>
      <c r="S41" s="4">
        <v>207</v>
      </c>
      <c r="T41" s="19">
        <f>(ProductionData[[#This Row],[Rejected_Qty]])/ProductionData[[#This Row],[Produced_Qty]]</f>
        <v>2.670967741935484E-2</v>
      </c>
      <c r="U41" s="19">
        <f>ProductionData[[#This Row],[Produced_Qty]]/ProductionData[[#This Row],[Planned_Qty]]</f>
        <v>0.98475222363405335</v>
      </c>
      <c r="V41" s="2" t="s">
        <v>75</v>
      </c>
      <c r="W41" s="11">
        <v>67</v>
      </c>
      <c r="X41" s="13">
        <f>W41/60</f>
        <v>1.1166666666666667</v>
      </c>
      <c r="Y41" s="2" t="s">
        <v>182</v>
      </c>
      <c r="Z41" s="2">
        <v>24</v>
      </c>
      <c r="AA41" s="2">
        <f>ProductionData[[#This Row],[Rejected_Qty]]*ProductionData[[#This Row],[Unit_Cost_INR]]</f>
        <v>4968</v>
      </c>
      <c r="AB41" s="4">
        <v>27239</v>
      </c>
      <c r="AC41" s="4">
        <v>7540</v>
      </c>
      <c r="AD41" s="4">
        <v>7540</v>
      </c>
      <c r="AE41" s="4">
        <v>27242</v>
      </c>
      <c r="AF41" s="4">
        <v>12000</v>
      </c>
    </row>
    <row r="42" spans="1:32">
      <c r="A42" s="2" t="s">
        <v>192</v>
      </c>
      <c r="B42" s="3">
        <v>46129</v>
      </c>
      <c r="C42" s="36" t="s">
        <v>78</v>
      </c>
      <c r="D42" s="2">
        <f>MONTH(ProductionData[[#This Row],[Month]])</f>
        <v>4</v>
      </c>
      <c r="E42" s="2" t="s">
        <v>125</v>
      </c>
      <c r="F42" s="2" t="s">
        <v>66</v>
      </c>
      <c r="G42" s="2" t="s">
        <v>174</v>
      </c>
      <c r="H42" s="2" t="s">
        <v>175</v>
      </c>
      <c r="I42" s="2" t="s">
        <v>176</v>
      </c>
      <c r="J42" s="2" t="s">
        <v>177</v>
      </c>
      <c r="K42" s="2" t="s">
        <v>178</v>
      </c>
      <c r="L42" s="2" t="s">
        <v>193</v>
      </c>
      <c r="M42" s="2" t="s">
        <v>99</v>
      </c>
      <c r="N42" s="2" t="s">
        <v>96</v>
      </c>
      <c r="O42" s="2">
        <v>10</v>
      </c>
      <c r="P42" s="2">
        <v>10</v>
      </c>
      <c r="Q42" s="4">
        <v>8630</v>
      </c>
      <c r="R42" s="4">
        <v>8340</v>
      </c>
      <c r="S42" s="4">
        <v>176</v>
      </c>
      <c r="T42" s="19">
        <f>(ProductionData[[#This Row],[Rejected_Qty]])/ProductionData[[#This Row],[Produced_Qty]]</f>
        <v>2.1103117505995205E-2</v>
      </c>
      <c r="U42" s="19">
        <f>ProductionData[[#This Row],[Produced_Qty]]/ProductionData[[#This Row],[Planned_Qty]]</f>
        <v>0.96639629200463495</v>
      </c>
      <c r="V42" s="2" t="s">
        <v>75</v>
      </c>
      <c r="W42" s="11">
        <v>0</v>
      </c>
      <c r="X42" s="13">
        <f>W42/60</f>
        <v>0</v>
      </c>
      <c r="Y42" s="2" t="s">
        <v>90</v>
      </c>
      <c r="Z42" s="2">
        <v>24</v>
      </c>
      <c r="AA42" s="2">
        <f>ProductionData[[#This Row],[Rejected_Qty]]*ProductionData[[#This Row],[Unit_Cost_INR]]</f>
        <v>4224</v>
      </c>
      <c r="AB42" s="4">
        <v>26745</v>
      </c>
      <c r="AC42" s="4">
        <v>7670</v>
      </c>
      <c r="AD42" s="4">
        <v>7670</v>
      </c>
      <c r="AE42" s="4">
        <v>27239</v>
      </c>
      <c r="AF42" s="4">
        <v>12000</v>
      </c>
    </row>
    <row r="43" spans="1:32">
      <c r="A43" s="2" t="s">
        <v>194</v>
      </c>
      <c r="B43" s="3">
        <v>46142</v>
      </c>
      <c r="C43" s="36" t="s">
        <v>78</v>
      </c>
      <c r="D43" s="2">
        <f>MONTH(ProductionData[[#This Row],[Month]])</f>
        <v>4</v>
      </c>
      <c r="E43" s="2" t="s">
        <v>107</v>
      </c>
      <c r="F43" s="2" t="s">
        <v>66</v>
      </c>
      <c r="G43" s="2" t="s">
        <v>195</v>
      </c>
      <c r="H43" s="2" t="s">
        <v>196</v>
      </c>
      <c r="I43" s="2" t="s">
        <v>197</v>
      </c>
      <c r="J43" s="2" t="s">
        <v>198</v>
      </c>
      <c r="K43" s="2" t="s">
        <v>199</v>
      </c>
      <c r="L43" s="2" t="s">
        <v>200</v>
      </c>
      <c r="M43" s="2" t="s">
        <v>99</v>
      </c>
      <c r="N43" s="2" t="s">
        <v>88</v>
      </c>
      <c r="O43" s="2">
        <v>14</v>
      </c>
      <c r="P43" s="2">
        <v>12</v>
      </c>
      <c r="Q43" s="4">
        <v>9490</v>
      </c>
      <c r="R43" s="4">
        <v>9040</v>
      </c>
      <c r="S43" s="4">
        <v>162</v>
      </c>
      <c r="T43" s="19">
        <f>(ProductionData[[#This Row],[Rejected_Qty]])/ProductionData[[#This Row],[Produced_Qty]]</f>
        <v>1.7920353982300886E-2</v>
      </c>
      <c r="U43" s="19">
        <f>ProductionData[[#This Row],[Produced_Qty]]/ProductionData[[#This Row],[Planned_Qty]]</f>
        <v>0.95258166491043206</v>
      </c>
      <c r="V43" s="2" t="s">
        <v>113</v>
      </c>
      <c r="W43" s="11">
        <v>0</v>
      </c>
      <c r="X43" s="13">
        <f>W43/60</f>
        <v>0</v>
      </c>
      <c r="Y43" s="2" t="s">
        <v>90</v>
      </c>
      <c r="Z43" s="2">
        <v>38</v>
      </c>
      <c r="AA43" s="2">
        <f>ProductionData[[#This Row],[Rejected_Qty]]*ProductionData[[#This Row],[Unit_Cost_INR]]</f>
        <v>6156</v>
      </c>
      <c r="AB43" s="4">
        <v>26556</v>
      </c>
      <c r="AC43" s="4">
        <v>8350</v>
      </c>
      <c r="AD43" s="4">
        <v>8350</v>
      </c>
      <c r="AE43" s="4">
        <v>27084</v>
      </c>
      <c r="AF43" s="4">
        <v>13500</v>
      </c>
    </row>
    <row r="44" spans="1:32">
      <c r="A44" s="2" t="s">
        <v>201</v>
      </c>
      <c r="B44" s="3">
        <v>46132</v>
      </c>
      <c r="C44" s="36" t="s">
        <v>78</v>
      </c>
      <c r="D44" s="2">
        <f>MONTH(ProductionData[[#This Row],[Month]])</f>
        <v>4</v>
      </c>
      <c r="E44" s="2" t="s">
        <v>116</v>
      </c>
      <c r="F44" s="2" t="s">
        <v>80</v>
      </c>
      <c r="G44" s="2" t="s">
        <v>81</v>
      </c>
      <c r="H44" s="2" t="s">
        <v>82</v>
      </c>
      <c r="I44" s="2" t="s">
        <v>83</v>
      </c>
      <c r="J44" s="2" t="s">
        <v>166</v>
      </c>
      <c r="K44" s="2" t="s">
        <v>167</v>
      </c>
      <c r="L44" s="2" t="s">
        <v>202</v>
      </c>
      <c r="M44" s="2" t="s">
        <v>102</v>
      </c>
      <c r="N44" s="2" t="s">
        <v>96</v>
      </c>
      <c r="O44" s="2">
        <v>18</v>
      </c>
      <c r="P44" s="2">
        <v>17</v>
      </c>
      <c r="Q44" s="4">
        <v>8690</v>
      </c>
      <c r="R44" s="4">
        <v>8140</v>
      </c>
      <c r="S44" s="4">
        <v>188</v>
      </c>
      <c r="T44" s="19">
        <f>(ProductionData[[#This Row],[Rejected_Qty]])/ProductionData[[#This Row],[Produced_Qty]]</f>
        <v>2.3095823095823097E-2</v>
      </c>
      <c r="U44" s="19">
        <f>ProductionData[[#This Row],[Produced_Qty]]/ProductionData[[#This Row],[Planned_Qty]]</f>
        <v>0.93670886075949367</v>
      </c>
      <c r="V44" s="2" t="s">
        <v>109</v>
      </c>
      <c r="W44" s="11">
        <v>31</v>
      </c>
      <c r="X44" s="13">
        <f>W44/60</f>
        <v>0.51666666666666672</v>
      </c>
      <c r="Y44" s="2" t="s">
        <v>76</v>
      </c>
      <c r="Z44" s="2">
        <v>17</v>
      </c>
      <c r="AA44" s="2">
        <f>ProductionData[[#This Row],[Rejected_Qty]]*ProductionData[[#This Row],[Unit_Cost_INR]]</f>
        <v>3196</v>
      </c>
      <c r="AB44" s="4">
        <v>27321</v>
      </c>
      <c r="AC44" s="4">
        <v>8210</v>
      </c>
      <c r="AD44" s="4">
        <v>8210</v>
      </c>
      <c r="AE44" s="4">
        <v>27063</v>
      </c>
      <c r="AF44" s="4">
        <v>13500</v>
      </c>
    </row>
    <row r="45" spans="1:32">
      <c r="A45" s="2" t="s">
        <v>203</v>
      </c>
      <c r="B45" s="3">
        <v>46128</v>
      </c>
      <c r="C45" s="36" t="s">
        <v>78</v>
      </c>
      <c r="D45" s="2">
        <f>MONTH(ProductionData[[#This Row],[Month]])</f>
        <v>4</v>
      </c>
      <c r="E45" s="2" t="s">
        <v>107</v>
      </c>
      <c r="F45" s="2" t="s">
        <v>66</v>
      </c>
      <c r="G45" s="2" t="s">
        <v>174</v>
      </c>
      <c r="H45" s="2" t="s">
        <v>175</v>
      </c>
      <c r="I45" s="2" t="s">
        <v>176</v>
      </c>
      <c r="J45" s="2" t="s">
        <v>177</v>
      </c>
      <c r="K45" s="2" t="s">
        <v>178</v>
      </c>
      <c r="L45" s="2" t="s">
        <v>204</v>
      </c>
      <c r="M45" s="2" t="s">
        <v>99</v>
      </c>
      <c r="N45" s="2" t="s">
        <v>96</v>
      </c>
      <c r="O45" s="2">
        <v>10</v>
      </c>
      <c r="P45" s="2">
        <v>10</v>
      </c>
      <c r="Q45" s="4">
        <v>7710</v>
      </c>
      <c r="R45" s="4">
        <v>7270</v>
      </c>
      <c r="S45" s="4">
        <v>201</v>
      </c>
      <c r="T45" s="19">
        <f>(ProductionData[[#This Row],[Rejected_Qty]])/ProductionData[[#This Row],[Produced_Qty]]</f>
        <v>2.7647867950481429E-2</v>
      </c>
      <c r="U45" s="19">
        <f>ProductionData[[#This Row],[Produced_Qty]]/ProductionData[[#This Row],[Planned_Qty]]</f>
        <v>0.94293125810635536</v>
      </c>
      <c r="V45" s="2" t="s">
        <v>75</v>
      </c>
      <c r="W45" s="11">
        <v>0</v>
      </c>
      <c r="X45" s="13">
        <f>W45/60</f>
        <v>0</v>
      </c>
      <c r="Y45" s="2" t="s">
        <v>90</v>
      </c>
      <c r="Z45" s="2">
        <v>24</v>
      </c>
      <c r="AA45" s="2">
        <f>ProductionData[[#This Row],[Rejected_Qty]]*ProductionData[[#This Row],[Unit_Cost_INR]]</f>
        <v>4824</v>
      </c>
      <c r="AB45" s="4">
        <v>27304</v>
      </c>
      <c r="AC45" s="4">
        <v>7380</v>
      </c>
      <c r="AD45" s="4">
        <v>7380</v>
      </c>
      <c r="AE45" s="4">
        <v>26993</v>
      </c>
      <c r="AF45" s="4">
        <v>12000</v>
      </c>
    </row>
    <row r="46" spans="1:32">
      <c r="A46" s="2" t="s">
        <v>205</v>
      </c>
      <c r="B46" s="3">
        <v>46126</v>
      </c>
      <c r="C46" s="36" t="s">
        <v>78</v>
      </c>
      <c r="D46" s="2">
        <f>MONTH(ProductionData[[#This Row],[Month]])</f>
        <v>4</v>
      </c>
      <c r="E46" s="2" t="s">
        <v>92</v>
      </c>
      <c r="F46" s="2" t="s">
        <v>93</v>
      </c>
      <c r="G46" s="2" t="s">
        <v>174</v>
      </c>
      <c r="H46" s="2" t="s">
        <v>175</v>
      </c>
      <c r="I46" s="2" t="s">
        <v>176</v>
      </c>
      <c r="J46" s="2" t="s">
        <v>177</v>
      </c>
      <c r="K46" s="2" t="s">
        <v>178</v>
      </c>
      <c r="L46" s="2" t="s">
        <v>206</v>
      </c>
      <c r="M46" s="2" t="s">
        <v>133</v>
      </c>
      <c r="N46" s="2" t="s">
        <v>88</v>
      </c>
      <c r="O46" s="2">
        <v>10</v>
      </c>
      <c r="P46" s="2">
        <v>9</v>
      </c>
      <c r="Q46" s="4">
        <v>7330</v>
      </c>
      <c r="R46" s="4">
        <v>7050</v>
      </c>
      <c r="S46" s="4">
        <v>218</v>
      </c>
      <c r="T46" s="19">
        <f>(ProductionData[[#This Row],[Rejected_Qty]])/ProductionData[[#This Row],[Produced_Qty]]</f>
        <v>3.0921985815602838E-2</v>
      </c>
      <c r="U46" s="19">
        <f>ProductionData[[#This Row],[Produced_Qty]]/ProductionData[[#This Row],[Planned_Qty]]</f>
        <v>0.9618008185538881</v>
      </c>
      <c r="V46" s="2" t="s">
        <v>103</v>
      </c>
      <c r="W46" s="11">
        <v>40</v>
      </c>
      <c r="X46" s="13">
        <f>W46/60</f>
        <v>0.66666666666666663</v>
      </c>
      <c r="Y46" s="2" t="s">
        <v>182</v>
      </c>
      <c r="Z46" s="2">
        <v>24</v>
      </c>
      <c r="AA46" s="2">
        <f>ProductionData[[#This Row],[Rejected_Qty]]*ProductionData[[#This Row],[Unit_Cost_INR]]</f>
        <v>5232</v>
      </c>
      <c r="AB46" s="4">
        <v>26365</v>
      </c>
      <c r="AC46" s="4">
        <v>6220</v>
      </c>
      <c r="AD46" s="4">
        <v>6220</v>
      </c>
      <c r="AE46" s="4">
        <v>26977</v>
      </c>
      <c r="AF46" s="4">
        <v>12000</v>
      </c>
    </row>
    <row r="47" spans="1:32">
      <c r="A47" s="2" t="s">
        <v>207</v>
      </c>
      <c r="B47" s="3">
        <v>46115</v>
      </c>
      <c r="C47" s="36" t="s">
        <v>78</v>
      </c>
      <c r="D47" s="2">
        <f>MONTH(ProductionData[[#This Row],[Month]])</f>
        <v>4</v>
      </c>
      <c r="E47" s="2" t="s">
        <v>125</v>
      </c>
      <c r="F47" s="2" t="s">
        <v>66</v>
      </c>
      <c r="G47" s="2" t="s">
        <v>81</v>
      </c>
      <c r="H47" s="2" t="s">
        <v>82</v>
      </c>
      <c r="I47" s="2" t="s">
        <v>83</v>
      </c>
      <c r="J47" s="2" t="s">
        <v>166</v>
      </c>
      <c r="K47" s="2" t="s">
        <v>167</v>
      </c>
      <c r="L47" s="2" t="s">
        <v>208</v>
      </c>
      <c r="M47" s="2" t="s">
        <v>99</v>
      </c>
      <c r="N47" s="2" t="s">
        <v>88</v>
      </c>
      <c r="O47" s="2">
        <v>18</v>
      </c>
      <c r="P47" s="2">
        <v>17</v>
      </c>
      <c r="Q47" s="4">
        <v>8310</v>
      </c>
      <c r="R47" s="4">
        <v>7900</v>
      </c>
      <c r="S47" s="4">
        <v>222</v>
      </c>
      <c r="T47" s="19">
        <f>(ProductionData[[#This Row],[Rejected_Qty]])/ProductionData[[#This Row],[Produced_Qty]]</f>
        <v>2.8101265822784809E-2</v>
      </c>
      <c r="U47" s="19">
        <f>ProductionData[[#This Row],[Produced_Qty]]/ProductionData[[#This Row],[Planned_Qty]]</f>
        <v>0.95066185318892904</v>
      </c>
      <c r="V47" s="2" t="s">
        <v>75</v>
      </c>
      <c r="W47" s="11">
        <v>32</v>
      </c>
      <c r="X47" s="13">
        <f>W47/60</f>
        <v>0.53333333333333333</v>
      </c>
      <c r="Y47" s="2" t="s">
        <v>110</v>
      </c>
      <c r="Z47" s="2">
        <v>17</v>
      </c>
      <c r="AA47" s="2">
        <f>ProductionData[[#This Row],[Rejected_Qty]]*ProductionData[[#This Row],[Unit_Cost_INR]]</f>
        <v>3774</v>
      </c>
      <c r="AB47" s="4">
        <v>27000</v>
      </c>
      <c r="AC47" s="4">
        <v>7730</v>
      </c>
      <c r="AD47" s="4">
        <v>7730</v>
      </c>
      <c r="AE47" s="4">
        <v>26948</v>
      </c>
      <c r="AF47" s="4">
        <v>13500</v>
      </c>
    </row>
    <row r="48" spans="1:32">
      <c r="A48" s="2" t="s">
        <v>209</v>
      </c>
      <c r="B48" s="3">
        <v>46142</v>
      </c>
      <c r="C48" s="36" t="s">
        <v>78</v>
      </c>
      <c r="D48" s="2">
        <f>MONTH(ProductionData[[#This Row],[Month]])</f>
        <v>4</v>
      </c>
      <c r="E48" s="2" t="s">
        <v>107</v>
      </c>
      <c r="F48" s="2" t="s">
        <v>80</v>
      </c>
      <c r="G48" s="2" t="s">
        <v>174</v>
      </c>
      <c r="H48" s="2" t="s">
        <v>175</v>
      </c>
      <c r="I48" s="2" t="s">
        <v>176</v>
      </c>
      <c r="J48" s="2" t="s">
        <v>177</v>
      </c>
      <c r="K48" s="2" t="s">
        <v>178</v>
      </c>
      <c r="L48" s="2" t="s">
        <v>210</v>
      </c>
      <c r="M48" s="2" t="s">
        <v>102</v>
      </c>
      <c r="N48" s="2" t="s">
        <v>96</v>
      </c>
      <c r="O48" s="2">
        <v>10</v>
      </c>
      <c r="P48" s="2">
        <v>10</v>
      </c>
      <c r="Q48" s="4">
        <v>8240</v>
      </c>
      <c r="R48" s="4">
        <v>8300</v>
      </c>
      <c r="S48" s="4">
        <v>258</v>
      </c>
      <c r="T48" s="19">
        <f>(ProductionData[[#This Row],[Rejected_Qty]])/ProductionData[[#This Row],[Produced_Qty]]</f>
        <v>3.1084337349397591E-2</v>
      </c>
      <c r="U48" s="19">
        <f>ProductionData[[#This Row],[Produced_Qty]]/ProductionData[[#This Row],[Planned_Qty]]</f>
        <v>1.0072815533980584</v>
      </c>
      <c r="V48" s="2" t="s">
        <v>113</v>
      </c>
      <c r="W48" s="11">
        <v>0</v>
      </c>
      <c r="X48" s="13">
        <f>W48/60</f>
        <v>0</v>
      </c>
      <c r="Y48" s="2" t="s">
        <v>90</v>
      </c>
      <c r="Z48" s="2">
        <v>24</v>
      </c>
      <c r="AA48" s="2">
        <f>ProductionData[[#This Row],[Rejected_Qty]]*ProductionData[[#This Row],[Unit_Cost_INR]]</f>
        <v>6192</v>
      </c>
      <c r="AB48" s="4">
        <v>25885</v>
      </c>
      <c r="AC48" s="4">
        <v>7000</v>
      </c>
      <c r="AD48" s="4">
        <v>7000</v>
      </c>
      <c r="AE48" s="4">
        <v>26927</v>
      </c>
      <c r="AF48" s="4">
        <v>12000</v>
      </c>
    </row>
    <row r="49" spans="1:32">
      <c r="A49" s="2" t="s">
        <v>211</v>
      </c>
      <c r="B49" s="3">
        <v>46132</v>
      </c>
      <c r="C49" s="36" t="s">
        <v>78</v>
      </c>
      <c r="D49" s="2">
        <f>MONTH(ProductionData[[#This Row],[Month]])</f>
        <v>4</v>
      </c>
      <c r="E49" s="2" t="s">
        <v>116</v>
      </c>
      <c r="F49" s="2" t="s">
        <v>93</v>
      </c>
      <c r="G49" s="2" t="s">
        <v>174</v>
      </c>
      <c r="H49" s="2" t="s">
        <v>175</v>
      </c>
      <c r="I49" s="2" t="s">
        <v>176</v>
      </c>
      <c r="J49" s="2" t="s">
        <v>177</v>
      </c>
      <c r="K49" s="2" t="s">
        <v>178</v>
      </c>
      <c r="L49" s="2" t="s">
        <v>212</v>
      </c>
      <c r="M49" s="2" t="s">
        <v>133</v>
      </c>
      <c r="N49" s="2" t="s">
        <v>96</v>
      </c>
      <c r="O49" s="2">
        <v>10</v>
      </c>
      <c r="P49" s="2">
        <v>10</v>
      </c>
      <c r="Q49" s="4">
        <v>7680</v>
      </c>
      <c r="R49" s="4">
        <v>7270</v>
      </c>
      <c r="S49" s="4">
        <v>196</v>
      </c>
      <c r="T49" s="19">
        <f>(ProductionData[[#This Row],[Rejected_Qty]])/ProductionData[[#This Row],[Produced_Qty]]</f>
        <v>2.6960110041265476E-2</v>
      </c>
      <c r="U49" s="19">
        <f>ProductionData[[#This Row],[Produced_Qty]]/ProductionData[[#This Row],[Planned_Qty]]</f>
        <v>0.94661458333333337</v>
      </c>
      <c r="V49" s="2" t="s">
        <v>75</v>
      </c>
      <c r="W49" s="11">
        <v>0</v>
      </c>
      <c r="X49" s="13">
        <f>W49/60</f>
        <v>0</v>
      </c>
      <c r="Y49" s="2" t="s">
        <v>90</v>
      </c>
      <c r="Z49" s="2">
        <v>24</v>
      </c>
      <c r="AA49" s="2">
        <f>ProductionData[[#This Row],[Rejected_Qty]]*ProductionData[[#This Row],[Unit_Cost_INR]]</f>
        <v>4704</v>
      </c>
      <c r="AB49" s="4">
        <v>27572</v>
      </c>
      <c r="AC49" s="4">
        <v>7740</v>
      </c>
      <c r="AD49" s="4">
        <v>7740</v>
      </c>
      <c r="AE49" s="4">
        <v>26906</v>
      </c>
      <c r="AF49" s="4">
        <v>12000</v>
      </c>
    </row>
    <row r="50" spans="1:32">
      <c r="A50" s="2" t="s">
        <v>213</v>
      </c>
      <c r="B50" s="3">
        <v>46128</v>
      </c>
      <c r="C50" s="36" t="s">
        <v>78</v>
      </c>
      <c r="D50" s="2">
        <f>MONTH(ProductionData[[#This Row],[Month]])</f>
        <v>4</v>
      </c>
      <c r="E50" s="2" t="s">
        <v>107</v>
      </c>
      <c r="F50" s="2" t="s">
        <v>93</v>
      </c>
      <c r="G50" s="2" t="s">
        <v>174</v>
      </c>
      <c r="H50" s="2" t="s">
        <v>175</v>
      </c>
      <c r="I50" s="2" t="s">
        <v>176</v>
      </c>
      <c r="J50" s="2" t="s">
        <v>177</v>
      </c>
      <c r="K50" s="2" t="s">
        <v>178</v>
      </c>
      <c r="L50" s="2" t="s">
        <v>214</v>
      </c>
      <c r="M50" s="2" t="s">
        <v>95</v>
      </c>
      <c r="N50" s="2" t="s">
        <v>88</v>
      </c>
      <c r="O50" s="2">
        <v>10</v>
      </c>
      <c r="P50" s="2">
        <v>10</v>
      </c>
      <c r="Q50" s="4">
        <v>8180</v>
      </c>
      <c r="R50" s="4">
        <v>8160</v>
      </c>
      <c r="S50" s="4">
        <v>248</v>
      </c>
      <c r="T50" s="19">
        <f>(ProductionData[[#This Row],[Rejected_Qty]])/ProductionData[[#This Row],[Produced_Qty]]</f>
        <v>3.0392156862745098E-2</v>
      </c>
      <c r="U50" s="19">
        <f>ProductionData[[#This Row],[Produced_Qty]]/ProductionData[[#This Row],[Planned_Qty]]</f>
        <v>0.99755501222493892</v>
      </c>
      <c r="V50" s="2" t="s">
        <v>103</v>
      </c>
      <c r="W50" s="11">
        <v>19</v>
      </c>
      <c r="X50" s="13">
        <f>W50/60</f>
        <v>0.31666666666666665</v>
      </c>
      <c r="Y50" s="2" t="s">
        <v>110</v>
      </c>
      <c r="Z50" s="2">
        <v>24</v>
      </c>
      <c r="AA50" s="2">
        <f>ProductionData[[#This Row],[Rejected_Qty]]*ProductionData[[#This Row],[Unit_Cost_INR]]</f>
        <v>5952</v>
      </c>
      <c r="AB50" s="4">
        <v>26993</v>
      </c>
      <c r="AC50" s="4">
        <v>8160</v>
      </c>
      <c r="AD50" s="4">
        <v>8160</v>
      </c>
      <c r="AE50" s="4">
        <v>26745</v>
      </c>
      <c r="AF50" s="4">
        <v>12000</v>
      </c>
    </row>
    <row r="51" spans="1:32">
      <c r="A51" s="2" t="s">
        <v>215</v>
      </c>
      <c r="B51" s="3">
        <v>46121</v>
      </c>
      <c r="C51" s="36" t="s">
        <v>78</v>
      </c>
      <c r="D51" s="2">
        <f>MONTH(ProductionData[[#This Row],[Month]])</f>
        <v>4</v>
      </c>
      <c r="E51" s="2" t="s">
        <v>107</v>
      </c>
      <c r="F51" s="2" t="s">
        <v>93</v>
      </c>
      <c r="G51" s="2" t="s">
        <v>81</v>
      </c>
      <c r="H51" s="2" t="s">
        <v>82</v>
      </c>
      <c r="I51" s="2" t="s">
        <v>83</v>
      </c>
      <c r="J51" s="2" t="s">
        <v>166</v>
      </c>
      <c r="K51" s="2" t="s">
        <v>167</v>
      </c>
      <c r="L51" s="2" t="s">
        <v>216</v>
      </c>
      <c r="M51" s="2" t="s">
        <v>133</v>
      </c>
      <c r="N51" s="2" t="s">
        <v>96</v>
      </c>
      <c r="O51" s="2">
        <v>18</v>
      </c>
      <c r="P51" s="2">
        <v>17</v>
      </c>
      <c r="Q51" s="4">
        <v>8290</v>
      </c>
      <c r="R51" s="4">
        <v>7720</v>
      </c>
      <c r="S51" s="4">
        <v>190</v>
      </c>
      <c r="T51" s="19">
        <f>(ProductionData[[#This Row],[Rejected_Qty]])/ProductionData[[#This Row],[Produced_Qty]]</f>
        <v>2.4611398963730571E-2</v>
      </c>
      <c r="U51" s="19">
        <f>ProductionData[[#This Row],[Produced_Qty]]/ProductionData[[#This Row],[Planned_Qty]]</f>
        <v>0.93124246079613993</v>
      </c>
      <c r="V51" s="2" t="s">
        <v>109</v>
      </c>
      <c r="W51" s="11">
        <v>0</v>
      </c>
      <c r="X51" s="13">
        <f>W51/60</f>
        <v>0</v>
      </c>
      <c r="Y51" s="2" t="s">
        <v>90</v>
      </c>
      <c r="Z51" s="2">
        <v>17</v>
      </c>
      <c r="AA51" s="2">
        <f>ProductionData[[#This Row],[Rejected_Qty]]*ProductionData[[#This Row],[Unit_Cost_INR]]</f>
        <v>3230</v>
      </c>
      <c r="AB51" s="4">
        <v>25397</v>
      </c>
      <c r="AC51" s="4">
        <v>6210</v>
      </c>
      <c r="AD51" s="4">
        <v>6210</v>
      </c>
      <c r="AE51" s="4">
        <v>26717</v>
      </c>
      <c r="AF51" s="4">
        <v>13500</v>
      </c>
    </row>
    <row r="52" spans="1:32">
      <c r="A52" s="2" t="s">
        <v>217</v>
      </c>
      <c r="B52" s="3">
        <v>46136</v>
      </c>
      <c r="C52" s="36" t="s">
        <v>78</v>
      </c>
      <c r="D52" s="2">
        <f>MONTH(ProductionData[[#This Row],[Month]])</f>
        <v>4</v>
      </c>
      <c r="E52" s="2" t="s">
        <v>125</v>
      </c>
      <c r="F52" s="2" t="s">
        <v>66</v>
      </c>
      <c r="G52" s="2" t="s">
        <v>81</v>
      </c>
      <c r="H52" s="2" t="s">
        <v>82</v>
      </c>
      <c r="I52" s="2" t="s">
        <v>83</v>
      </c>
      <c r="J52" s="2" t="s">
        <v>166</v>
      </c>
      <c r="K52" s="2" t="s">
        <v>167</v>
      </c>
      <c r="L52" s="2" t="s">
        <v>218</v>
      </c>
      <c r="M52" s="2" t="s">
        <v>73</v>
      </c>
      <c r="N52" s="2" t="s">
        <v>96</v>
      </c>
      <c r="O52" s="2">
        <v>18</v>
      </c>
      <c r="P52" s="2">
        <v>16</v>
      </c>
      <c r="Q52" s="4">
        <v>9100</v>
      </c>
      <c r="R52" s="4">
        <v>8290</v>
      </c>
      <c r="S52" s="4">
        <v>229</v>
      </c>
      <c r="T52" s="19">
        <f>(ProductionData[[#This Row],[Rejected_Qty]])/ProductionData[[#This Row],[Produced_Qty]]</f>
        <v>2.7623642943305188E-2</v>
      </c>
      <c r="U52" s="19">
        <f>ProductionData[[#This Row],[Produced_Qty]]/ProductionData[[#This Row],[Planned_Qty]]</f>
        <v>0.91098901098901097</v>
      </c>
      <c r="V52" s="2" t="s">
        <v>103</v>
      </c>
      <c r="W52" s="11">
        <v>15</v>
      </c>
      <c r="X52" s="13">
        <f>W52/60</f>
        <v>0.25</v>
      </c>
      <c r="Y52" s="2" t="s">
        <v>76</v>
      </c>
      <c r="Z52" s="2">
        <v>17</v>
      </c>
      <c r="AA52" s="2">
        <f>ProductionData[[#This Row],[Rejected_Qty]]*ProductionData[[#This Row],[Unit_Cost_INR]]</f>
        <v>3893</v>
      </c>
      <c r="AB52" s="4">
        <v>26623</v>
      </c>
      <c r="AC52" s="4">
        <v>7970</v>
      </c>
      <c r="AD52" s="4">
        <v>7970</v>
      </c>
      <c r="AE52" s="4">
        <v>26714</v>
      </c>
      <c r="AF52" s="4">
        <v>13500</v>
      </c>
    </row>
    <row r="53" spans="1:32">
      <c r="A53" s="2" t="s">
        <v>219</v>
      </c>
      <c r="B53" s="3">
        <v>46135</v>
      </c>
      <c r="C53" s="36" t="s">
        <v>78</v>
      </c>
      <c r="D53" s="2">
        <f>MONTH(ProductionData[[#This Row],[Month]])</f>
        <v>4</v>
      </c>
      <c r="E53" s="2" t="s">
        <v>107</v>
      </c>
      <c r="F53" s="2" t="s">
        <v>80</v>
      </c>
      <c r="G53" s="2" t="s">
        <v>81</v>
      </c>
      <c r="H53" s="2" t="s">
        <v>82</v>
      </c>
      <c r="I53" s="2" t="s">
        <v>83</v>
      </c>
      <c r="J53" s="2" t="s">
        <v>166</v>
      </c>
      <c r="K53" s="2" t="s">
        <v>167</v>
      </c>
      <c r="L53" s="2" t="s">
        <v>220</v>
      </c>
      <c r="M53" s="2" t="s">
        <v>87</v>
      </c>
      <c r="N53" s="2" t="s">
        <v>88</v>
      </c>
      <c r="O53" s="2">
        <v>18</v>
      </c>
      <c r="P53" s="2">
        <v>18</v>
      </c>
      <c r="Q53" s="4">
        <v>8640</v>
      </c>
      <c r="R53" s="4">
        <v>7760</v>
      </c>
      <c r="S53" s="4">
        <v>200</v>
      </c>
      <c r="T53" s="19">
        <f>(ProductionData[[#This Row],[Rejected_Qty]])/ProductionData[[#This Row],[Produced_Qty]]</f>
        <v>2.5773195876288658E-2</v>
      </c>
      <c r="U53" s="19">
        <f>ProductionData[[#This Row],[Produced_Qty]]/ProductionData[[#This Row],[Planned_Qty]]</f>
        <v>0.89814814814814814</v>
      </c>
      <c r="V53" s="2" t="s">
        <v>75</v>
      </c>
      <c r="W53" s="11">
        <v>14</v>
      </c>
      <c r="X53" s="13">
        <f>W53/60</f>
        <v>0.23333333333333334</v>
      </c>
      <c r="Y53" s="2" t="s">
        <v>182</v>
      </c>
      <c r="Z53" s="2">
        <v>17</v>
      </c>
      <c r="AA53" s="2">
        <f>ProductionData[[#This Row],[Rejected_Qty]]*ProductionData[[#This Row],[Unit_Cost_INR]]</f>
        <v>3400</v>
      </c>
      <c r="AB53" s="4">
        <v>27063</v>
      </c>
      <c r="AC53" s="4">
        <v>8000</v>
      </c>
      <c r="AD53" s="4">
        <v>8000</v>
      </c>
      <c r="AE53" s="4">
        <v>26623</v>
      </c>
      <c r="AF53" s="4">
        <v>13500</v>
      </c>
    </row>
    <row r="54" spans="1:32">
      <c r="A54" s="2" t="s">
        <v>221</v>
      </c>
      <c r="B54" s="3">
        <v>46140</v>
      </c>
      <c r="C54" s="36" t="s">
        <v>78</v>
      </c>
      <c r="D54" s="2">
        <f>MONTH(ProductionData[[#This Row],[Month]])</f>
        <v>4</v>
      </c>
      <c r="E54" s="2" t="s">
        <v>92</v>
      </c>
      <c r="F54" s="2" t="s">
        <v>93</v>
      </c>
      <c r="G54" s="2" t="s">
        <v>81</v>
      </c>
      <c r="H54" s="2" t="s">
        <v>82</v>
      </c>
      <c r="I54" s="2" t="s">
        <v>83</v>
      </c>
      <c r="J54" s="2" t="s">
        <v>166</v>
      </c>
      <c r="K54" s="2" t="s">
        <v>167</v>
      </c>
      <c r="L54" s="2" t="s">
        <v>222</v>
      </c>
      <c r="M54" s="2" t="s">
        <v>133</v>
      </c>
      <c r="N54" s="2" t="s">
        <v>96</v>
      </c>
      <c r="O54" s="2">
        <v>18</v>
      </c>
      <c r="P54" s="2">
        <v>17</v>
      </c>
      <c r="Q54" s="4">
        <v>8330</v>
      </c>
      <c r="R54" s="4">
        <v>7810</v>
      </c>
      <c r="S54" s="4">
        <v>229</v>
      </c>
      <c r="T54" s="19">
        <f>(ProductionData[[#This Row],[Rejected_Qty]])/ProductionData[[#This Row],[Produced_Qty]]</f>
        <v>2.9321382842509604E-2</v>
      </c>
      <c r="U54" s="19">
        <f>ProductionData[[#This Row],[Produced_Qty]]/ProductionData[[#This Row],[Planned_Qty]]</f>
        <v>0.93757503001200482</v>
      </c>
      <c r="V54" s="2" t="s">
        <v>75</v>
      </c>
      <c r="W54" s="11">
        <v>0</v>
      </c>
      <c r="X54" s="13">
        <f>W54/60</f>
        <v>0</v>
      </c>
      <c r="Y54" s="2" t="s">
        <v>90</v>
      </c>
      <c r="Z54" s="2">
        <v>17</v>
      </c>
      <c r="AA54" s="2">
        <f>ProductionData[[#This Row],[Rejected_Qty]]*ProductionData[[#This Row],[Unit_Cost_INR]]</f>
        <v>3893</v>
      </c>
      <c r="AB54" s="4">
        <v>26085</v>
      </c>
      <c r="AC54" s="4">
        <v>7090</v>
      </c>
      <c r="AD54" s="4">
        <v>7090</v>
      </c>
      <c r="AE54" s="4">
        <v>26576</v>
      </c>
      <c r="AF54" s="4">
        <v>13500</v>
      </c>
    </row>
    <row r="55" spans="1:32">
      <c r="A55" s="2" t="s">
        <v>223</v>
      </c>
      <c r="B55" s="3">
        <v>46142</v>
      </c>
      <c r="C55" s="36" t="s">
        <v>78</v>
      </c>
      <c r="D55" s="2">
        <f>MONTH(ProductionData[[#This Row],[Month]])</f>
        <v>4</v>
      </c>
      <c r="E55" s="2" t="s">
        <v>107</v>
      </c>
      <c r="F55" s="2" t="s">
        <v>80</v>
      </c>
      <c r="G55" s="2" t="s">
        <v>195</v>
      </c>
      <c r="H55" s="2" t="s">
        <v>196</v>
      </c>
      <c r="I55" s="2" t="s">
        <v>197</v>
      </c>
      <c r="J55" s="2" t="s">
        <v>198</v>
      </c>
      <c r="K55" s="2" t="s">
        <v>199</v>
      </c>
      <c r="L55" s="2" t="s">
        <v>224</v>
      </c>
      <c r="M55" s="2" t="s">
        <v>102</v>
      </c>
      <c r="N55" s="2" t="s">
        <v>96</v>
      </c>
      <c r="O55" s="2">
        <v>14</v>
      </c>
      <c r="P55" s="2">
        <v>13</v>
      </c>
      <c r="Q55" s="4">
        <v>9320</v>
      </c>
      <c r="R55" s="4">
        <v>8780</v>
      </c>
      <c r="S55" s="4">
        <v>267</v>
      </c>
      <c r="T55" s="19">
        <f>(ProductionData[[#This Row],[Rejected_Qty]])/ProductionData[[#This Row],[Produced_Qty]]</f>
        <v>3.041002277904328E-2</v>
      </c>
      <c r="U55" s="19">
        <f>ProductionData[[#This Row],[Produced_Qty]]/ProductionData[[#This Row],[Planned_Qty]]</f>
        <v>0.94206008583690992</v>
      </c>
      <c r="V55" s="2" t="s">
        <v>113</v>
      </c>
      <c r="W55" s="11">
        <v>0</v>
      </c>
      <c r="X55" s="13">
        <f>W55/60</f>
        <v>0</v>
      </c>
      <c r="Y55" s="2" t="s">
        <v>90</v>
      </c>
      <c r="Z55" s="2">
        <v>38</v>
      </c>
      <c r="AA55" s="2">
        <f>ProductionData[[#This Row],[Rejected_Qty]]*ProductionData[[#This Row],[Unit_Cost_INR]]</f>
        <v>10146</v>
      </c>
      <c r="AB55" s="4">
        <v>27084</v>
      </c>
      <c r="AC55" s="4">
        <v>9030</v>
      </c>
      <c r="AD55" s="4">
        <v>9030</v>
      </c>
      <c r="AE55" s="4">
        <v>26567</v>
      </c>
      <c r="AF55" s="4">
        <v>13500</v>
      </c>
    </row>
    <row r="56" spans="1:32">
      <c r="A56" s="2" t="s">
        <v>225</v>
      </c>
      <c r="B56" s="3">
        <v>46141</v>
      </c>
      <c r="C56" s="36" t="s">
        <v>78</v>
      </c>
      <c r="D56" s="2">
        <f>MONTH(ProductionData[[#This Row],[Month]])</f>
        <v>4</v>
      </c>
      <c r="E56" s="2" t="s">
        <v>79</v>
      </c>
      <c r="F56" s="2" t="s">
        <v>80</v>
      </c>
      <c r="G56" s="2" t="s">
        <v>195</v>
      </c>
      <c r="H56" s="2" t="s">
        <v>196</v>
      </c>
      <c r="I56" s="2" t="s">
        <v>197</v>
      </c>
      <c r="J56" s="2" t="s">
        <v>198</v>
      </c>
      <c r="K56" s="2" t="s">
        <v>199</v>
      </c>
      <c r="L56" s="2" t="s">
        <v>226</v>
      </c>
      <c r="M56" s="2" t="s">
        <v>102</v>
      </c>
      <c r="N56" s="2" t="s">
        <v>96</v>
      </c>
      <c r="O56" s="2">
        <v>14</v>
      </c>
      <c r="P56" s="2">
        <v>13</v>
      </c>
      <c r="Q56" s="4">
        <v>9180</v>
      </c>
      <c r="R56" s="4">
        <v>8610</v>
      </c>
      <c r="S56" s="4">
        <v>207</v>
      </c>
      <c r="T56" s="19">
        <f>(ProductionData[[#This Row],[Rejected_Qty]])/ProductionData[[#This Row],[Produced_Qty]]</f>
        <v>2.4041811846689895E-2</v>
      </c>
      <c r="U56" s="19">
        <f>ProductionData[[#This Row],[Produced_Qty]]/ProductionData[[#This Row],[Planned_Qty]]</f>
        <v>0.93790849673202614</v>
      </c>
      <c r="V56" s="2" t="s">
        <v>75</v>
      </c>
      <c r="W56" s="11">
        <v>0</v>
      </c>
      <c r="X56" s="13">
        <f>W56/60</f>
        <v>0</v>
      </c>
      <c r="Y56" s="2" t="s">
        <v>90</v>
      </c>
      <c r="Z56" s="2">
        <v>38</v>
      </c>
      <c r="AA56" s="2">
        <f>ProductionData[[#This Row],[Rejected_Qty]]*ProductionData[[#This Row],[Unit_Cost_INR]]</f>
        <v>7866</v>
      </c>
      <c r="AB56" s="4">
        <v>25743</v>
      </c>
      <c r="AC56" s="4">
        <v>7590</v>
      </c>
      <c r="AD56" s="4">
        <v>7590</v>
      </c>
      <c r="AE56" s="4">
        <v>26556</v>
      </c>
      <c r="AF56" s="4">
        <v>13500</v>
      </c>
    </row>
    <row r="57" spans="1:32">
      <c r="A57" s="2" t="s">
        <v>227</v>
      </c>
      <c r="B57" s="3">
        <v>46125</v>
      </c>
      <c r="C57" s="36" t="s">
        <v>78</v>
      </c>
      <c r="D57" s="2">
        <f>MONTH(ProductionData[[#This Row],[Month]])</f>
        <v>4</v>
      </c>
      <c r="E57" s="2" t="s">
        <v>116</v>
      </c>
      <c r="F57" s="2" t="s">
        <v>80</v>
      </c>
      <c r="G57" s="2" t="s">
        <v>174</v>
      </c>
      <c r="H57" s="2" t="s">
        <v>175</v>
      </c>
      <c r="I57" s="2" t="s">
        <v>176</v>
      </c>
      <c r="J57" s="2" t="s">
        <v>177</v>
      </c>
      <c r="K57" s="2" t="s">
        <v>178</v>
      </c>
      <c r="L57" s="2" t="s">
        <v>228</v>
      </c>
      <c r="M57" s="2" t="s">
        <v>87</v>
      </c>
      <c r="N57" s="2" t="s">
        <v>88</v>
      </c>
      <c r="O57" s="2">
        <v>10</v>
      </c>
      <c r="P57" s="2">
        <v>10</v>
      </c>
      <c r="Q57" s="4">
        <v>7530</v>
      </c>
      <c r="R57" s="4">
        <v>7100</v>
      </c>
      <c r="S57" s="4">
        <v>114</v>
      </c>
      <c r="T57" s="19">
        <f>(ProductionData[[#This Row],[Rejected_Qty]])/ProductionData[[#This Row],[Produced_Qty]]</f>
        <v>1.6056338028169016E-2</v>
      </c>
      <c r="U57" s="19">
        <f>ProductionData[[#This Row],[Produced_Qty]]/ProductionData[[#This Row],[Planned_Qty]]</f>
        <v>0.94289508632138119</v>
      </c>
      <c r="V57" s="2" t="s">
        <v>75</v>
      </c>
      <c r="W57" s="11">
        <v>0</v>
      </c>
      <c r="X57" s="13">
        <f>W57/60</f>
        <v>0</v>
      </c>
      <c r="Y57" s="2" t="s">
        <v>90</v>
      </c>
      <c r="Z57" s="2">
        <v>24</v>
      </c>
      <c r="AA57" s="2">
        <f>ProductionData[[#This Row],[Rejected_Qty]]*ProductionData[[#This Row],[Unit_Cost_INR]]</f>
        <v>2736</v>
      </c>
      <c r="AB57" s="4">
        <v>25972</v>
      </c>
      <c r="AC57" s="4">
        <v>6580</v>
      </c>
      <c r="AD57" s="4">
        <v>6580</v>
      </c>
      <c r="AE57" s="4">
        <v>26378</v>
      </c>
      <c r="AF57" s="4">
        <v>12000</v>
      </c>
    </row>
    <row r="58" spans="1:32">
      <c r="A58" s="2" t="s">
        <v>229</v>
      </c>
      <c r="B58" s="3">
        <v>46126</v>
      </c>
      <c r="C58" s="36" t="s">
        <v>78</v>
      </c>
      <c r="D58" s="2">
        <f>MONTH(ProductionData[[#This Row],[Month]])</f>
        <v>4</v>
      </c>
      <c r="E58" s="2" t="s">
        <v>92</v>
      </c>
      <c r="F58" s="2" t="s">
        <v>66</v>
      </c>
      <c r="G58" s="2" t="s">
        <v>174</v>
      </c>
      <c r="H58" s="2" t="s">
        <v>175</v>
      </c>
      <c r="I58" s="2" t="s">
        <v>176</v>
      </c>
      <c r="J58" s="2" t="s">
        <v>177</v>
      </c>
      <c r="K58" s="2" t="s">
        <v>178</v>
      </c>
      <c r="L58" s="2" t="s">
        <v>230</v>
      </c>
      <c r="M58" s="2" t="s">
        <v>73</v>
      </c>
      <c r="N58" s="2" t="s">
        <v>88</v>
      </c>
      <c r="O58" s="2">
        <v>10</v>
      </c>
      <c r="P58" s="2">
        <v>10</v>
      </c>
      <c r="Q58" s="4">
        <v>7690</v>
      </c>
      <c r="R58" s="4">
        <v>7240</v>
      </c>
      <c r="S58" s="4">
        <v>193</v>
      </c>
      <c r="T58" s="19">
        <f>(ProductionData[[#This Row],[Rejected_Qty]])/ProductionData[[#This Row],[Produced_Qty]]</f>
        <v>2.6657458563535911E-2</v>
      </c>
      <c r="U58" s="19">
        <f>ProductionData[[#This Row],[Produced_Qty]]/ProductionData[[#This Row],[Planned_Qty]]</f>
        <v>0.94148244473342002</v>
      </c>
      <c r="V58" s="2" t="s">
        <v>89</v>
      </c>
      <c r="W58" s="11">
        <v>49</v>
      </c>
      <c r="X58" s="13">
        <f>W58/60</f>
        <v>0.81666666666666665</v>
      </c>
      <c r="Y58" s="2" t="s">
        <v>110</v>
      </c>
      <c r="Z58" s="2">
        <v>24</v>
      </c>
      <c r="AA58" s="2">
        <f>ProductionData[[#This Row],[Rejected_Qty]]*ProductionData[[#This Row],[Unit_Cost_INR]]</f>
        <v>4632</v>
      </c>
      <c r="AB58" s="4">
        <v>26378</v>
      </c>
      <c r="AC58" s="4">
        <v>7060</v>
      </c>
      <c r="AD58" s="4">
        <v>7060</v>
      </c>
      <c r="AE58" s="4">
        <v>26365</v>
      </c>
      <c r="AF58" s="4">
        <v>12000</v>
      </c>
    </row>
    <row r="59" spans="1:32">
      <c r="A59" s="2" t="s">
        <v>231</v>
      </c>
      <c r="B59" s="3">
        <v>46113</v>
      </c>
      <c r="C59" s="36" t="s">
        <v>78</v>
      </c>
      <c r="D59" s="2">
        <f>MONTH(ProductionData[[#This Row],[Month]])</f>
        <v>4</v>
      </c>
      <c r="E59" s="2" t="s">
        <v>79</v>
      </c>
      <c r="F59" s="2" t="s">
        <v>66</v>
      </c>
      <c r="G59" s="2" t="s">
        <v>195</v>
      </c>
      <c r="H59" s="2" t="s">
        <v>196</v>
      </c>
      <c r="I59" s="2" t="s">
        <v>197</v>
      </c>
      <c r="J59" s="2" t="s">
        <v>198</v>
      </c>
      <c r="K59" s="2" t="s">
        <v>199</v>
      </c>
      <c r="L59" s="2" t="s">
        <v>232</v>
      </c>
      <c r="M59" s="2" t="s">
        <v>73</v>
      </c>
      <c r="N59" s="2" t="s">
        <v>96</v>
      </c>
      <c r="O59" s="2">
        <v>14</v>
      </c>
      <c r="P59" s="2">
        <v>14</v>
      </c>
      <c r="Q59" s="4">
        <v>8400</v>
      </c>
      <c r="R59" s="4">
        <v>7950</v>
      </c>
      <c r="S59" s="4">
        <v>197</v>
      </c>
      <c r="T59" s="19">
        <f>(ProductionData[[#This Row],[Rejected_Qty]])/ProductionData[[#This Row],[Produced_Qty]]</f>
        <v>2.4779874213836477E-2</v>
      </c>
      <c r="U59" s="19">
        <f>ProductionData[[#This Row],[Produced_Qty]]/ProductionData[[#This Row],[Planned_Qty]]</f>
        <v>0.9464285714285714</v>
      </c>
      <c r="V59" s="2" t="s">
        <v>89</v>
      </c>
      <c r="W59" s="11">
        <v>0</v>
      </c>
      <c r="X59" s="13">
        <f>W59/60</f>
        <v>0</v>
      </c>
      <c r="Y59" s="2" t="s">
        <v>90</v>
      </c>
      <c r="Z59" s="2">
        <v>38</v>
      </c>
      <c r="AA59" s="2">
        <f>ProductionData[[#This Row],[Rejected_Qty]]*ProductionData[[#This Row],[Unit_Cost_INR]]</f>
        <v>7486</v>
      </c>
      <c r="AB59" s="4">
        <v>27000</v>
      </c>
      <c r="AC59" s="4">
        <v>8440</v>
      </c>
      <c r="AD59" s="4">
        <v>8440</v>
      </c>
      <c r="AE59" s="4">
        <v>26313</v>
      </c>
      <c r="AF59" s="4">
        <v>13500</v>
      </c>
    </row>
    <row r="60" spans="1:32">
      <c r="A60" s="2" t="s">
        <v>233</v>
      </c>
      <c r="B60" s="3">
        <v>46139</v>
      </c>
      <c r="C60" s="36" t="s">
        <v>78</v>
      </c>
      <c r="D60" s="2">
        <f>MONTH(ProductionData[[#This Row],[Month]])</f>
        <v>4</v>
      </c>
      <c r="E60" s="2" t="s">
        <v>116</v>
      </c>
      <c r="F60" s="2" t="s">
        <v>80</v>
      </c>
      <c r="G60" s="2" t="s">
        <v>195</v>
      </c>
      <c r="H60" s="2" t="s">
        <v>196</v>
      </c>
      <c r="I60" s="2" t="s">
        <v>197</v>
      </c>
      <c r="J60" s="2" t="s">
        <v>198</v>
      </c>
      <c r="K60" s="2" t="s">
        <v>199</v>
      </c>
      <c r="L60" s="2" t="s">
        <v>234</v>
      </c>
      <c r="M60" s="2" t="s">
        <v>102</v>
      </c>
      <c r="N60" s="2" t="s">
        <v>96</v>
      </c>
      <c r="O60" s="2">
        <v>14</v>
      </c>
      <c r="P60" s="2">
        <v>14</v>
      </c>
      <c r="Q60" s="4">
        <v>8710</v>
      </c>
      <c r="R60" s="4">
        <v>8150</v>
      </c>
      <c r="S60" s="4">
        <v>92</v>
      </c>
      <c r="T60" s="19">
        <f>(ProductionData[[#This Row],[Rejected_Qty]])/ProductionData[[#This Row],[Produced_Qty]]</f>
        <v>1.1288343558282208E-2</v>
      </c>
      <c r="U60" s="19">
        <f>ProductionData[[#This Row],[Produced_Qty]]/ProductionData[[#This Row],[Planned_Qty]]</f>
        <v>0.93570608495981633</v>
      </c>
      <c r="V60" s="2" t="s">
        <v>89</v>
      </c>
      <c r="W60" s="11">
        <v>0</v>
      </c>
      <c r="X60" s="13">
        <f>W60/60</f>
        <v>0</v>
      </c>
      <c r="Y60" s="2" t="s">
        <v>90</v>
      </c>
      <c r="Z60" s="2">
        <v>38</v>
      </c>
      <c r="AA60" s="2">
        <f>ProductionData[[#This Row],[Rejected_Qty]]*ProductionData[[#This Row],[Unit_Cost_INR]]</f>
        <v>3496</v>
      </c>
      <c r="AB60" s="4">
        <v>25773</v>
      </c>
      <c r="AC60" s="4">
        <v>7650</v>
      </c>
      <c r="AD60" s="4">
        <v>7650</v>
      </c>
      <c r="AE60" s="4">
        <v>26181</v>
      </c>
      <c r="AF60" s="4">
        <v>13500</v>
      </c>
    </row>
    <row r="61" spans="1:32">
      <c r="A61" s="2" t="s">
        <v>235</v>
      </c>
      <c r="B61" s="3">
        <v>46139</v>
      </c>
      <c r="C61" s="36" t="s">
        <v>78</v>
      </c>
      <c r="D61" s="2">
        <f>MONTH(ProductionData[[#This Row],[Month]])</f>
        <v>4</v>
      </c>
      <c r="E61" s="2" t="s">
        <v>116</v>
      </c>
      <c r="F61" s="2" t="s">
        <v>93</v>
      </c>
      <c r="G61" s="2" t="s">
        <v>81</v>
      </c>
      <c r="H61" s="2" t="s">
        <v>82</v>
      </c>
      <c r="I61" s="2" t="s">
        <v>83</v>
      </c>
      <c r="J61" s="2" t="s">
        <v>166</v>
      </c>
      <c r="K61" s="2" t="s">
        <v>167</v>
      </c>
      <c r="L61" s="2" t="s">
        <v>236</v>
      </c>
      <c r="M61" s="2" t="s">
        <v>133</v>
      </c>
      <c r="N61" s="2" t="s">
        <v>88</v>
      </c>
      <c r="O61" s="2">
        <v>18</v>
      </c>
      <c r="P61" s="2">
        <v>16</v>
      </c>
      <c r="Q61" s="4">
        <v>8040</v>
      </c>
      <c r="R61" s="4">
        <v>7540</v>
      </c>
      <c r="S61" s="4">
        <v>215</v>
      </c>
      <c r="T61" s="19">
        <f>(ProductionData[[#This Row],[Rejected_Qty]])/ProductionData[[#This Row],[Produced_Qty]]</f>
        <v>2.8514588859416445E-2</v>
      </c>
      <c r="U61" s="19">
        <f>ProductionData[[#This Row],[Produced_Qty]]/ProductionData[[#This Row],[Planned_Qty]]</f>
        <v>0.93781094527363185</v>
      </c>
      <c r="V61" s="2" t="s">
        <v>89</v>
      </c>
      <c r="W61" s="11">
        <v>0</v>
      </c>
      <c r="X61" s="13">
        <f>W61/60</f>
        <v>0</v>
      </c>
      <c r="Y61" s="2" t="s">
        <v>90</v>
      </c>
      <c r="Z61" s="2">
        <v>17</v>
      </c>
      <c r="AA61" s="2">
        <f>ProductionData[[#This Row],[Rejected_Qty]]*ProductionData[[#This Row],[Unit_Cost_INR]]</f>
        <v>3655</v>
      </c>
      <c r="AB61" s="4">
        <v>26714</v>
      </c>
      <c r="AC61" s="4">
        <v>7890</v>
      </c>
      <c r="AD61" s="4">
        <v>7890</v>
      </c>
      <c r="AE61" s="4">
        <v>26149</v>
      </c>
      <c r="AF61" s="4">
        <v>13500</v>
      </c>
    </row>
    <row r="62" spans="1:32">
      <c r="A62" s="2" t="s">
        <v>237</v>
      </c>
      <c r="B62" s="3">
        <v>46140</v>
      </c>
      <c r="C62" s="36" t="s">
        <v>78</v>
      </c>
      <c r="D62" s="2">
        <f>MONTH(ProductionData[[#This Row],[Month]])</f>
        <v>4</v>
      </c>
      <c r="E62" s="2" t="s">
        <v>92</v>
      </c>
      <c r="F62" s="2" t="s">
        <v>80</v>
      </c>
      <c r="G62" s="2" t="s">
        <v>81</v>
      </c>
      <c r="H62" s="2" t="s">
        <v>82</v>
      </c>
      <c r="I62" s="2" t="s">
        <v>83</v>
      </c>
      <c r="J62" s="2" t="s">
        <v>166</v>
      </c>
      <c r="K62" s="2" t="s">
        <v>167</v>
      </c>
      <c r="L62" s="2" t="s">
        <v>238</v>
      </c>
      <c r="M62" s="2" t="s">
        <v>102</v>
      </c>
      <c r="N62" s="2" t="s">
        <v>96</v>
      </c>
      <c r="O62" s="2">
        <v>18</v>
      </c>
      <c r="P62" s="2">
        <v>17</v>
      </c>
      <c r="Q62" s="4">
        <v>9420</v>
      </c>
      <c r="R62" s="4">
        <v>9080</v>
      </c>
      <c r="S62" s="4">
        <v>143</v>
      </c>
      <c r="T62" s="19">
        <f>(ProductionData[[#This Row],[Rejected_Qty]])/ProductionData[[#This Row],[Produced_Qty]]</f>
        <v>1.5748898678414096E-2</v>
      </c>
      <c r="U62" s="19">
        <f>ProductionData[[#This Row],[Produced_Qty]]/ProductionData[[#This Row],[Planned_Qty]]</f>
        <v>0.96390658174097665</v>
      </c>
      <c r="V62" s="2" t="s">
        <v>75</v>
      </c>
      <c r="W62" s="11">
        <v>48</v>
      </c>
      <c r="X62" s="13">
        <f>W62/60</f>
        <v>0.8</v>
      </c>
      <c r="Y62" s="2" t="s">
        <v>76</v>
      </c>
      <c r="Z62" s="2">
        <v>17</v>
      </c>
      <c r="AA62" s="2">
        <f>ProductionData[[#This Row],[Rejected_Qty]]*ProductionData[[#This Row],[Unit_Cost_INR]]</f>
        <v>2431</v>
      </c>
      <c r="AB62" s="4">
        <v>25678</v>
      </c>
      <c r="AC62" s="4">
        <v>8530</v>
      </c>
      <c r="AD62" s="4">
        <v>8530</v>
      </c>
      <c r="AE62" s="4">
        <v>26085</v>
      </c>
      <c r="AF62" s="4">
        <v>13500</v>
      </c>
    </row>
    <row r="63" spans="1:32">
      <c r="A63" s="2" t="s">
        <v>239</v>
      </c>
      <c r="B63" s="3">
        <v>46119</v>
      </c>
      <c r="C63" s="36" t="s">
        <v>78</v>
      </c>
      <c r="D63" s="2">
        <f>MONTH(ProductionData[[#This Row],[Month]])</f>
        <v>4</v>
      </c>
      <c r="E63" s="2" t="s">
        <v>92</v>
      </c>
      <c r="F63" s="2" t="s">
        <v>93</v>
      </c>
      <c r="G63" s="2" t="s">
        <v>81</v>
      </c>
      <c r="H63" s="2" t="s">
        <v>82</v>
      </c>
      <c r="I63" s="2" t="s">
        <v>83</v>
      </c>
      <c r="J63" s="2" t="s">
        <v>166</v>
      </c>
      <c r="K63" s="2" t="s">
        <v>167</v>
      </c>
      <c r="L63" s="2" t="s">
        <v>240</v>
      </c>
      <c r="M63" s="2" t="s">
        <v>133</v>
      </c>
      <c r="N63" s="2" t="s">
        <v>96</v>
      </c>
      <c r="O63" s="2">
        <v>18</v>
      </c>
      <c r="P63" s="2">
        <v>15</v>
      </c>
      <c r="Q63" s="4">
        <v>8870</v>
      </c>
      <c r="R63" s="4">
        <v>8000</v>
      </c>
      <c r="S63" s="4">
        <v>145</v>
      </c>
      <c r="T63" s="19">
        <f>(ProductionData[[#This Row],[Rejected_Qty]])/ProductionData[[#This Row],[Produced_Qty]]</f>
        <v>1.8124999999999999E-2</v>
      </c>
      <c r="U63" s="19">
        <f>ProductionData[[#This Row],[Produced_Qty]]/ProductionData[[#This Row],[Planned_Qty]]</f>
        <v>0.90191657271702363</v>
      </c>
      <c r="V63" s="2" t="s">
        <v>89</v>
      </c>
      <c r="W63" s="11">
        <v>0</v>
      </c>
      <c r="X63" s="13">
        <f>W63/60</f>
        <v>0</v>
      </c>
      <c r="Y63" s="2" t="s">
        <v>90</v>
      </c>
      <c r="Z63" s="2">
        <v>17</v>
      </c>
      <c r="AA63" s="2">
        <f>ProductionData[[#This Row],[Rejected_Qty]]*ProductionData[[#This Row],[Unit_Cost_INR]]</f>
        <v>2465</v>
      </c>
      <c r="AB63" s="4">
        <v>25768</v>
      </c>
      <c r="AC63" s="4">
        <v>7600</v>
      </c>
      <c r="AD63" s="4">
        <v>7600</v>
      </c>
      <c r="AE63" s="4">
        <v>26023</v>
      </c>
      <c r="AF63" s="4">
        <v>13500</v>
      </c>
    </row>
    <row r="64" spans="1:32">
      <c r="A64" s="2" t="s">
        <v>241</v>
      </c>
      <c r="B64" s="3">
        <v>46125</v>
      </c>
      <c r="C64" s="36" t="s">
        <v>78</v>
      </c>
      <c r="D64" s="2">
        <f>MONTH(ProductionData[[#This Row],[Month]])</f>
        <v>4</v>
      </c>
      <c r="E64" s="2" t="s">
        <v>116</v>
      </c>
      <c r="F64" s="2" t="s">
        <v>66</v>
      </c>
      <c r="G64" s="2" t="s">
        <v>174</v>
      </c>
      <c r="H64" s="2" t="s">
        <v>175</v>
      </c>
      <c r="I64" s="2" t="s">
        <v>176</v>
      </c>
      <c r="J64" s="2" t="s">
        <v>177</v>
      </c>
      <c r="K64" s="2" t="s">
        <v>178</v>
      </c>
      <c r="L64" s="2" t="s">
        <v>242</v>
      </c>
      <c r="M64" s="2" t="s">
        <v>73</v>
      </c>
      <c r="N64" s="2" t="s">
        <v>96</v>
      </c>
      <c r="O64" s="2">
        <v>10</v>
      </c>
      <c r="P64" s="2">
        <v>9</v>
      </c>
      <c r="Q64" s="4">
        <v>8350</v>
      </c>
      <c r="R64" s="4">
        <v>8100</v>
      </c>
      <c r="S64" s="4">
        <v>192</v>
      </c>
      <c r="T64" s="19">
        <f>(ProductionData[[#This Row],[Rejected_Qty]])/ProductionData[[#This Row],[Produced_Qty]]</f>
        <v>2.3703703703703703E-2</v>
      </c>
      <c r="U64" s="19">
        <f>ProductionData[[#This Row],[Produced_Qty]]/ProductionData[[#This Row],[Planned_Qty]]</f>
        <v>0.97005988023952094</v>
      </c>
      <c r="V64" s="2" t="s">
        <v>109</v>
      </c>
      <c r="W64" s="11">
        <v>0</v>
      </c>
      <c r="X64" s="13">
        <f>W64/60</f>
        <v>0</v>
      </c>
      <c r="Y64" s="2" t="s">
        <v>90</v>
      </c>
      <c r="Z64" s="2">
        <v>24</v>
      </c>
      <c r="AA64" s="2">
        <f>ProductionData[[#This Row],[Rejected_Qty]]*ProductionData[[#This Row],[Unit_Cost_INR]]</f>
        <v>4608</v>
      </c>
      <c r="AB64" s="4">
        <v>25064</v>
      </c>
      <c r="AC64" s="4">
        <v>7000</v>
      </c>
      <c r="AD64" s="4">
        <v>7000</v>
      </c>
      <c r="AE64" s="4">
        <v>25972</v>
      </c>
      <c r="AF64" s="4">
        <v>12000</v>
      </c>
    </row>
    <row r="65" spans="1:32">
      <c r="A65" s="2" t="s">
        <v>243</v>
      </c>
      <c r="B65" s="3">
        <v>46141</v>
      </c>
      <c r="C65" s="36" t="s">
        <v>78</v>
      </c>
      <c r="D65" s="2">
        <f>MONTH(ProductionData[[#This Row],[Month]])</f>
        <v>4</v>
      </c>
      <c r="E65" s="2" t="s">
        <v>79</v>
      </c>
      <c r="F65" s="2" t="s">
        <v>80</v>
      </c>
      <c r="G65" s="2" t="s">
        <v>174</v>
      </c>
      <c r="H65" s="2" t="s">
        <v>175</v>
      </c>
      <c r="I65" s="2" t="s">
        <v>176</v>
      </c>
      <c r="J65" s="2" t="s">
        <v>177</v>
      </c>
      <c r="K65" s="2" t="s">
        <v>178</v>
      </c>
      <c r="L65" s="2" t="s">
        <v>244</v>
      </c>
      <c r="M65" s="2" t="s">
        <v>87</v>
      </c>
      <c r="N65" s="2" t="s">
        <v>88</v>
      </c>
      <c r="O65" s="2">
        <v>10</v>
      </c>
      <c r="P65" s="2">
        <v>9</v>
      </c>
      <c r="Q65" s="4">
        <v>8320</v>
      </c>
      <c r="R65" s="4">
        <v>7870</v>
      </c>
      <c r="S65" s="4">
        <v>285</v>
      </c>
      <c r="T65" s="19">
        <f>(ProductionData[[#This Row],[Rejected_Qty]])/ProductionData[[#This Row],[Produced_Qty]]</f>
        <v>3.6213468869123251E-2</v>
      </c>
      <c r="U65" s="19">
        <f>ProductionData[[#This Row],[Produced_Qty]]/ProductionData[[#This Row],[Planned_Qty]]</f>
        <v>0.94591346153846156</v>
      </c>
      <c r="V65" s="2" t="s">
        <v>109</v>
      </c>
      <c r="W65" s="11">
        <v>61</v>
      </c>
      <c r="X65" s="13">
        <f>W65/60</f>
        <v>1.0166666666666666</v>
      </c>
      <c r="Y65" s="2" t="s">
        <v>110</v>
      </c>
      <c r="Z65" s="2">
        <v>24</v>
      </c>
      <c r="AA65" s="2">
        <f>ProductionData[[#This Row],[Rejected_Qty]]*ProductionData[[#This Row],[Unit_Cost_INR]]</f>
        <v>6840</v>
      </c>
      <c r="AB65" s="4">
        <v>25700</v>
      </c>
      <c r="AC65" s="4">
        <v>7400</v>
      </c>
      <c r="AD65" s="4">
        <v>7400</v>
      </c>
      <c r="AE65" s="4">
        <v>25885</v>
      </c>
      <c r="AF65" s="4">
        <v>12000</v>
      </c>
    </row>
    <row r="66" spans="1:32">
      <c r="A66" s="2" t="s">
        <v>245</v>
      </c>
      <c r="B66" s="3">
        <v>46116</v>
      </c>
      <c r="C66" s="36" t="s">
        <v>78</v>
      </c>
      <c r="D66" s="2">
        <f>MONTH(ProductionData[[#This Row],[Month]])</f>
        <v>4</v>
      </c>
      <c r="E66" s="2" t="s">
        <v>65</v>
      </c>
      <c r="F66" s="2" t="s">
        <v>66</v>
      </c>
      <c r="G66" s="2" t="s">
        <v>81</v>
      </c>
      <c r="H66" s="2" t="s">
        <v>82</v>
      </c>
      <c r="I66" s="2" t="s">
        <v>83</v>
      </c>
      <c r="J66" s="2" t="s">
        <v>166</v>
      </c>
      <c r="K66" s="2" t="s">
        <v>167</v>
      </c>
      <c r="L66" s="2" t="s">
        <v>246</v>
      </c>
      <c r="M66" s="2" t="s">
        <v>99</v>
      </c>
      <c r="N66" s="2" t="s">
        <v>88</v>
      </c>
      <c r="O66" s="2">
        <v>18</v>
      </c>
      <c r="P66" s="2">
        <v>16</v>
      </c>
      <c r="Q66" s="4">
        <v>8420</v>
      </c>
      <c r="R66" s="4">
        <v>7930</v>
      </c>
      <c r="S66" s="4">
        <v>187</v>
      </c>
      <c r="T66" s="19">
        <f>(ProductionData[[#This Row],[Rejected_Qty]])/ProductionData[[#This Row],[Produced_Qty]]</f>
        <v>2.3581336696090794E-2</v>
      </c>
      <c r="U66" s="19">
        <f>ProductionData[[#This Row],[Produced_Qty]]/ProductionData[[#This Row],[Planned_Qty]]</f>
        <v>0.94180522565320668</v>
      </c>
      <c r="V66" s="2" t="s">
        <v>89</v>
      </c>
      <c r="W66" s="11">
        <v>0</v>
      </c>
      <c r="X66" s="13">
        <f>W66/60</f>
        <v>0</v>
      </c>
      <c r="Y66" s="2" t="s">
        <v>90</v>
      </c>
      <c r="Z66" s="2">
        <v>17</v>
      </c>
      <c r="AA66" s="2">
        <f>ProductionData[[#This Row],[Rejected_Qty]]*ProductionData[[#This Row],[Unit_Cost_INR]]</f>
        <v>3179</v>
      </c>
      <c r="AB66" s="4">
        <v>25780</v>
      </c>
      <c r="AC66" s="4">
        <v>7710</v>
      </c>
      <c r="AD66" s="4">
        <v>7710</v>
      </c>
      <c r="AE66" s="4">
        <v>25813</v>
      </c>
      <c r="AF66" s="4">
        <v>13500</v>
      </c>
    </row>
    <row r="67" spans="1:32">
      <c r="A67" s="2" t="s">
        <v>247</v>
      </c>
      <c r="B67" s="3">
        <v>46115</v>
      </c>
      <c r="C67" s="36" t="s">
        <v>78</v>
      </c>
      <c r="D67" s="2">
        <f>MONTH(ProductionData[[#This Row],[Month]])</f>
        <v>4</v>
      </c>
      <c r="E67" s="2" t="s">
        <v>125</v>
      </c>
      <c r="F67" s="2" t="s">
        <v>93</v>
      </c>
      <c r="G67" s="2" t="s">
        <v>81</v>
      </c>
      <c r="H67" s="2" t="s">
        <v>82</v>
      </c>
      <c r="I67" s="2" t="s">
        <v>83</v>
      </c>
      <c r="J67" s="2" t="s">
        <v>166</v>
      </c>
      <c r="K67" s="2" t="s">
        <v>167</v>
      </c>
      <c r="L67" s="2" t="s">
        <v>248</v>
      </c>
      <c r="M67" s="2" t="s">
        <v>133</v>
      </c>
      <c r="N67" s="2" t="s">
        <v>88</v>
      </c>
      <c r="O67" s="2">
        <v>18</v>
      </c>
      <c r="P67" s="2">
        <v>17</v>
      </c>
      <c r="Q67" s="4">
        <v>8700</v>
      </c>
      <c r="R67" s="4">
        <v>7930</v>
      </c>
      <c r="S67" s="4">
        <v>168</v>
      </c>
      <c r="T67" s="19">
        <f>(ProductionData[[#This Row],[Rejected_Qty]])/ProductionData[[#This Row],[Produced_Qty]]</f>
        <v>2.1185372005044136E-2</v>
      </c>
      <c r="U67" s="19">
        <f>ProductionData[[#This Row],[Produced_Qty]]/ProductionData[[#This Row],[Planned_Qty]]</f>
        <v>0.91149425287356323</v>
      </c>
      <c r="V67" s="2" t="s">
        <v>113</v>
      </c>
      <c r="W67" s="11">
        <v>62</v>
      </c>
      <c r="X67" s="13">
        <f>W67/60</f>
        <v>1.0333333333333334</v>
      </c>
      <c r="Y67" s="2" t="s">
        <v>110</v>
      </c>
      <c r="Z67" s="2">
        <v>17</v>
      </c>
      <c r="AA67" s="2">
        <f>ProductionData[[#This Row],[Rejected_Qty]]*ProductionData[[#This Row],[Unit_Cost_INR]]</f>
        <v>2856</v>
      </c>
      <c r="AB67" s="4">
        <v>26948</v>
      </c>
      <c r="AC67" s="4">
        <v>8930</v>
      </c>
      <c r="AD67" s="4">
        <v>8930</v>
      </c>
      <c r="AE67" s="4">
        <v>25780</v>
      </c>
      <c r="AF67" s="4">
        <v>13500</v>
      </c>
    </row>
    <row r="68" spans="1:32">
      <c r="A68" s="2" t="s">
        <v>249</v>
      </c>
      <c r="B68" s="3">
        <v>46139</v>
      </c>
      <c r="C68" s="36" t="s">
        <v>78</v>
      </c>
      <c r="D68" s="2">
        <f>MONTH(ProductionData[[#This Row],[Month]])</f>
        <v>4</v>
      </c>
      <c r="E68" s="2" t="s">
        <v>116</v>
      </c>
      <c r="F68" s="2" t="s">
        <v>66</v>
      </c>
      <c r="G68" s="2" t="s">
        <v>195</v>
      </c>
      <c r="H68" s="2" t="s">
        <v>196</v>
      </c>
      <c r="I68" s="2" t="s">
        <v>197</v>
      </c>
      <c r="J68" s="2" t="s">
        <v>198</v>
      </c>
      <c r="K68" s="2" t="s">
        <v>199</v>
      </c>
      <c r="L68" s="2" t="s">
        <v>250</v>
      </c>
      <c r="M68" s="2" t="s">
        <v>99</v>
      </c>
      <c r="N68" s="2" t="s">
        <v>88</v>
      </c>
      <c r="O68" s="2">
        <v>14</v>
      </c>
      <c r="P68" s="2">
        <v>14</v>
      </c>
      <c r="Q68" s="4">
        <v>8640</v>
      </c>
      <c r="R68" s="4">
        <v>7840</v>
      </c>
      <c r="S68" s="4">
        <v>157</v>
      </c>
      <c r="T68" s="19">
        <f>(ProductionData[[#This Row],[Rejected_Qty]])/ProductionData[[#This Row],[Produced_Qty]]</f>
        <v>2.0025510204081633E-2</v>
      </c>
      <c r="U68" s="19">
        <f>ProductionData[[#This Row],[Produced_Qty]]/ProductionData[[#This Row],[Planned_Qty]]</f>
        <v>0.90740740740740744</v>
      </c>
      <c r="V68" s="2" t="s">
        <v>103</v>
      </c>
      <c r="W68" s="11">
        <v>22</v>
      </c>
      <c r="X68" s="13">
        <f>W68/60</f>
        <v>0.36666666666666664</v>
      </c>
      <c r="Y68" s="2" t="s">
        <v>76</v>
      </c>
      <c r="Z68" s="2">
        <v>38</v>
      </c>
      <c r="AA68" s="2">
        <f>ProductionData[[#This Row],[Rejected_Qty]]*ProductionData[[#This Row],[Unit_Cost_INR]]</f>
        <v>5966</v>
      </c>
      <c r="AB68" s="4">
        <v>25100</v>
      </c>
      <c r="AC68" s="4">
        <v>7010</v>
      </c>
      <c r="AD68" s="4">
        <v>7010</v>
      </c>
      <c r="AE68" s="4">
        <v>25773</v>
      </c>
      <c r="AF68" s="4">
        <v>13500</v>
      </c>
    </row>
    <row r="69" spans="1:32">
      <c r="A69" s="2" t="s">
        <v>251</v>
      </c>
      <c r="B69" s="3">
        <v>46118</v>
      </c>
      <c r="C69" s="36" t="s">
        <v>78</v>
      </c>
      <c r="D69" s="2">
        <f>MONTH(ProductionData[[#This Row],[Month]])</f>
        <v>4</v>
      </c>
      <c r="E69" s="2" t="s">
        <v>116</v>
      </c>
      <c r="F69" s="2" t="s">
        <v>80</v>
      </c>
      <c r="G69" s="2" t="s">
        <v>81</v>
      </c>
      <c r="H69" s="2" t="s">
        <v>82</v>
      </c>
      <c r="I69" s="2" t="s">
        <v>83</v>
      </c>
      <c r="J69" s="2" t="s">
        <v>166</v>
      </c>
      <c r="K69" s="2" t="s">
        <v>167</v>
      </c>
      <c r="L69" s="2" t="s">
        <v>252</v>
      </c>
      <c r="M69" s="2" t="s">
        <v>87</v>
      </c>
      <c r="N69" s="2" t="s">
        <v>96</v>
      </c>
      <c r="O69" s="2">
        <v>18</v>
      </c>
      <c r="P69" s="2">
        <v>18</v>
      </c>
      <c r="Q69" s="4">
        <v>9450</v>
      </c>
      <c r="R69" s="4">
        <v>9280</v>
      </c>
      <c r="S69" s="4">
        <v>278</v>
      </c>
      <c r="T69" s="19">
        <f>(ProductionData[[#This Row],[Rejected_Qty]])/ProductionData[[#This Row],[Produced_Qty]]</f>
        <v>2.9956896551724139E-2</v>
      </c>
      <c r="U69" s="19">
        <f>ProductionData[[#This Row],[Produced_Qty]]/ProductionData[[#This Row],[Planned_Qty]]</f>
        <v>0.982010582010582</v>
      </c>
      <c r="V69" s="2" t="s">
        <v>103</v>
      </c>
      <c r="W69" s="11">
        <v>36</v>
      </c>
      <c r="X69" s="13">
        <f>W69/60</f>
        <v>0.6</v>
      </c>
      <c r="Y69" s="2" t="s">
        <v>76</v>
      </c>
      <c r="Z69" s="2">
        <v>17</v>
      </c>
      <c r="AA69" s="2">
        <f>ProductionData[[#This Row],[Rejected_Qty]]*ProductionData[[#This Row],[Unit_Cost_INR]]</f>
        <v>4726</v>
      </c>
      <c r="AB69" s="4">
        <v>25586</v>
      </c>
      <c r="AC69" s="4">
        <v>8820</v>
      </c>
      <c r="AD69" s="4">
        <v>8820</v>
      </c>
      <c r="AE69" s="4">
        <v>25768</v>
      </c>
      <c r="AF69" s="4">
        <v>13500</v>
      </c>
    </row>
    <row r="70" spans="1:32">
      <c r="A70" s="2" t="s">
        <v>253</v>
      </c>
      <c r="B70" s="3">
        <v>46123</v>
      </c>
      <c r="C70" s="36" t="s">
        <v>78</v>
      </c>
      <c r="D70" s="2">
        <f>MONTH(ProductionData[[#This Row],[Month]])</f>
        <v>4</v>
      </c>
      <c r="E70" s="2" t="s">
        <v>65</v>
      </c>
      <c r="F70" s="2" t="s">
        <v>66</v>
      </c>
      <c r="G70" s="2" t="s">
        <v>174</v>
      </c>
      <c r="H70" s="2" t="s">
        <v>175</v>
      </c>
      <c r="I70" s="2" t="s">
        <v>176</v>
      </c>
      <c r="J70" s="2" t="s">
        <v>177</v>
      </c>
      <c r="K70" s="2" t="s">
        <v>178</v>
      </c>
      <c r="L70" s="2" t="s">
        <v>254</v>
      </c>
      <c r="M70" s="2" t="s">
        <v>99</v>
      </c>
      <c r="N70" s="2" t="s">
        <v>96</v>
      </c>
      <c r="O70" s="2">
        <v>10</v>
      </c>
      <c r="P70" s="2">
        <v>10</v>
      </c>
      <c r="Q70" s="4">
        <v>8340</v>
      </c>
      <c r="R70" s="4">
        <v>8000</v>
      </c>
      <c r="S70" s="4">
        <v>239</v>
      </c>
      <c r="T70" s="19">
        <f>(ProductionData[[#This Row],[Rejected_Qty]])/ProductionData[[#This Row],[Produced_Qty]]</f>
        <v>2.9874999999999999E-2</v>
      </c>
      <c r="U70" s="19">
        <f>ProductionData[[#This Row],[Produced_Qty]]/ProductionData[[#This Row],[Planned_Qty]]</f>
        <v>0.95923261390887293</v>
      </c>
      <c r="V70" s="2" t="s">
        <v>103</v>
      </c>
      <c r="W70" s="11">
        <v>0</v>
      </c>
      <c r="X70" s="13">
        <f>W70/60</f>
        <v>0</v>
      </c>
      <c r="Y70" s="2" t="s">
        <v>90</v>
      </c>
      <c r="Z70" s="2">
        <v>24</v>
      </c>
      <c r="AA70" s="2">
        <f>ProductionData[[#This Row],[Rejected_Qty]]*ProductionData[[#This Row],[Unit_Cost_INR]]</f>
        <v>5736</v>
      </c>
      <c r="AB70" s="4">
        <v>25520</v>
      </c>
      <c r="AC70" s="4">
        <v>7530</v>
      </c>
      <c r="AD70" s="4">
        <v>7530</v>
      </c>
      <c r="AE70" s="4">
        <v>25751</v>
      </c>
      <c r="AF70" s="4">
        <v>12000</v>
      </c>
    </row>
    <row r="71" spans="1:32">
      <c r="A71" s="2" t="s">
        <v>255</v>
      </c>
      <c r="B71" s="3">
        <v>46140</v>
      </c>
      <c r="C71" s="36" t="s">
        <v>78</v>
      </c>
      <c r="D71" s="2">
        <f>MONTH(ProductionData[[#This Row],[Month]])</f>
        <v>4</v>
      </c>
      <c r="E71" s="2" t="s">
        <v>92</v>
      </c>
      <c r="F71" s="2" t="s">
        <v>66</v>
      </c>
      <c r="G71" s="2" t="s">
        <v>195</v>
      </c>
      <c r="H71" s="2" t="s">
        <v>196</v>
      </c>
      <c r="I71" s="2" t="s">
        <v>197</v>
      </c>
      <c r="J71" s="2" t="s">
        <v>198</v>
      </c>
      <c r="K71" s="2" t="s">
        <v>199</v>
      </c>
      <c r="L71" s="2" t="s">
        <v>256</v>
      </c>
      <c r="M71" s="2" t="s">
        <v>73</v>
      </c>
      <c r="N71" s="2" t="s">
        <v>96</v>
      </c>
      <c r="O71" s="2">
        <v>14</v>
      </c>
      <c r="P71" s="2">
        <v>12</v>
      </c>
      <c r="Q71" s="4">
        <v>8790</v>
      </c>
      <c r="R71" s="4">
        <v>7690</v>
      </c>
      <c r="S71" s="4">
        <v>218</v>
      </c>
      <c r="T71" s="19">
        <f>(ProductionData[[#This Row],[Rejected_Qty]])/ProductionData[[#This Row],[Produced_Qty]]</f>
        <v>2.8348504551365408E-2</v>
      </c>
      <c r="U71" s="19">
        <f>ProductionData[[#This Row],[Produced_Qty]]/ProductionData[[#This Row],[Planned_Qty]]</f>
        <v>0.8748577929465301</v>
      </c>
      <c r="V71" s="2" t="s">
        <v>103</v>
      </c>
      <c r="W71" s="11">
        <v>0</v>
      </c>
      <c r="X71" s="13">
        <f>W71/60</f>
        <v>0</v>
      </c>
      <c r="Y71" s="2" t="s">
        <v>90</v>
      </c>
      <c r="Z71" s="2">
        <v>38</v>
      </c>
      <c r="AA71" s="2">
        <f>ProductionData[[#This Row],[Rejected_Qty]]*ProductionData[[#This Row],[Unit_Cost_INR]]</f>
        <v>8284</v>
      </c>
      <c r="AB71" s="4">
        <v>26181</v>
      </c>
      <c r="AC71" s="4">
        <v>7910</v>
      </c>
      <c r="AD71" s="4">
        <v>7910</v>
      </c>
      <c r="AE71" s="4">
        <v>25743</v>
      </c>
      <c r="AF71" s="4">
        <v>13500</v>
      </c>
    </row>
    <row r="72" spans="1:32">
      <c r="A72" s="2" t="s">
        <v>257</v>
      </c>
      <c r="B72" s="3">
        <v>46134</v>
      </c>
      <c r="C72" s="36" t="s">
        <v>78</v>
      </c>
      <c r="D72" s="2">
        <f>MONTH(ProductionData[[#This Row],[Month]])</f>
        <v>4</v>
      </c>
      <c r="E72" s="2" t="s">
        <v>79</v>
      </c>
      <c r="F72" s="2" t="s">
        <v>80</v>
      </c>
      <c r="G72" s="2" t="s">
        <v>174</v>
      </c>
      <c r="H72" s="2" t="s">
        <v>175</v>
      </c>
      <c r="I72" s="2" t="s">
        <v>176</v>
      </c>
      <c r="J72" s="2" t="s">
        <v>177</v>
      </c>
      <c r="K72" s="2" t="s">
        <v>178</v>
      </c>
      <c r="L72" s="2" t="s">
        <v>258</v>
      </c>
      <c r="M72" s="2" t="s">
        <v>87</v>
      </c>
      <c r="N72" s="2" t="s">
        <v>96</v>
      </c>
      <c r="O72" s="2">
        <v>10</v>
      </c>
      <c r="P72" s="2">
        <v>8</v>
      </c>
      <c r="Q72" s="4">
        <v>8430</v>
      </c>
      <c r="R72" s="4">
        <v>7060</v>
      </c>
      <c r="S72" s="4">
        <v>119</v>
      </c>
      <c r="T72" s="19">
        <f>(ProductionData[[#This Row],[Rejected_Qty]])/ProductionData[[#This Row],[Produced_Qty]]</f>
        <v>1.6855524079320113E-2</v>
      </c>
      <c r="U72" s="19">
        <f>ProductionData[[#This Row],[Produced_Qty]]/ProductionData[[#This Row],[Planned_Qty]]</f>
        <v>0.83748517200474493</v>
      </c>
      <c r="V72" s="2" t="s">
        <v>109</v>
      </c>
      <c r="W72" s="11">
        <v>26</v>
      </c>
      <c r="X72" s="13">
        <f>W72/60</f>
        <v>0.43333333333333335</v>
      </c>
      <c r="Y72" s="2" t="s">
        <v>259</v>
      </c>
      <c r="Z72" s="2">
        <v>24</v>
      </c>
      <c r="AA72" s="2">
        <f>ProductionData[[#This Row],[Rejected_Qty]]*ProductionData[[#This Row],[Unit_Cost_INR]]</f>
        <v>2856</v>
      </c>
      <c r="AB72" s="4">
        <v>26906</v>
      </c>
      <c r="AC72" s="4">
        <v>8120</v>
      </c>
      <c r="AD72" s="4">
        <v>8120</v>
      </c>
      <c r="AE72" s="4">
        <v>25727</v>
      </c>
      <c r="AF72" s="4">
        <v>12000</v>
      </c>
    </row>
    <row r="73" spans="1:32">
      <c r="A73" s="2" t="s">
        <v>260</v>
      </c>
      <c r="B73" s="3">
        <v>46141</v>
      </c>
      <c r="C73" s="36" t="s">
        <v>78</v>
      </c>
      <c r="D73" s="2">
        <f>MONTH(ProductionData[[#This Row],[Month]])</f>
        <v>4</v>
      </c>
      <c r="E73" s="2" t="s">
        <v>79</v>
      </c>
      <c r="F73" s="2" t="s">
        <v>66</v>
      </c>
      <c r="G73" s="2" t="s">
        <v>174</v>
      </c>
      <c r="H73" s="2" t="s">
        <v>175</v>
      </c>
      <c r="I73" s="2" t="s">
        <v>176</v>
      </c>
      <c r="J73" s="2" t="s">
        <v>177</v>
      </c>
      <c r="K73" s="2" t="s">
        <v>178</v>
      </c>
      <c r="L73" s="2" t="s">
        <v>261</v>
      </c>
      <c r="M73" s="2" t="s">
        <v>73</v>
      </c>
      <c r="N73" s="2" t="s">
        <v>88</v>
      </c>
      <c r="O73" s="2">
        <v>10</v>
      </c>
      <c r="P73" s="2">
        <v>10</v>
      </c>
      <c r="Q73" s="4">
        <v>7800</v>
      </c>
      <c r="R73" s="4">
        <v>7590</v>
      </c>
      <c r="S73" s="4">
        <v>138</v>
      </c>
      <c r="T73" s="19">
        <f>(ProductionData[[#This Row],[Rejected_Qty]])/ProductionData[[#This Row],[Produced_Qty]]</f>
        <v>1.8181818181818181E-2</v>
      </c>
      <c r="U73" s="19">
        <f>ProductionData[[#This Row],[Produced_Qty]]/ProductionData[[#This Row],[Planned_Qty]]</f>
        <v>0.97307692307692306</v>
      </c>
      <c r="V73" s="2" t="s">
        <v>89</v>
      </c>
      <c r="W73" s="11">
        <v>27</v>
      </c>
      <c r="X73" s="13">
        <f>W73/60</f>
        <v>0.45</v>
      </c>
      <c r="Y73" s="2" t="s">
        <v>76</v>
      </c>
      <c r="Z73" s="2">
        <v>24</v>
      </c>
      <c r="AA73" s="2">
        <f>ProductionData[[#This Row],[Rejected_Qty]]*ProductionData[[#This Row],[Unit_Cost_INR]]</f>
        <v>3312</v>
      </c>
      <c r="AB73" s="4">
        <v>25198</v>
      </c>
      <c r="AC73" s="4">
        <v>6950</v>
      </c>
      <c r="AD73" s="4">
        <v>6950</v>
      </c>
      <c r="AE73" s="4">
        <v>25700</v>
      </c>
      <c r="AF73" s="4">
        <v>12000</v>
      </c>
    </row>
    <row r="74" spans="1:32">
      <c r="A74" s="2" t="s">
        <v>262</v>
      </c>
      <c r="B74" s="3">
        <v>46140</v>
      </c>
      <c r="C74" s="36" t="s">
        <v>78</v>
      </c>
      <c r="D74" s="2">
        <f>MONTH(ProductionData[[#This Row],[Month]])</f>
        <v>4</v>
      </c>
      <c r="E74" s="2" t="s">
        <v>92</v>
      </c>
      <c r="F74" s="2" t="s">
        <v>66</v>
      </c>
      <c r="G74" s="2" t="s">
        <v>81</v>
      </c>
      <c r="H74" s="2" t="s">
        <v>82</v>
      </c>
      <c r="I74" s="2" t="s">
        <v>83</v>
      </c>
      <c r="J74" s="2" t="s">
        <v>166</v>
      </c>
      <c r="K74" s="2" t="s">
        <v>167</v>
      </c>
      <c r="L74" s="2" t="s">
        <v>263</v>
      </c>
      <c r="M74" s="2" t="s">
        <v>73</v>
      </c>
      <c r="N74" s="2" t="s">
        <v>88</v>
      </c>
      <c r="O74" s="2">
        <v>18</v>
      </c>
      <c r="P74" s="2">
        <v>17</v>
      </c>
      <c r="Q74" s="4">
        <v>8990</v>
      </c>
      <c r="R74" s="4">
        <v>8260</v>
      </c>
      <c r="S74" s="4">
        <v>261</v>
      </c>
      <c r="T74" s="19">
        <f>(ProductionData[[#This Row],[Rejected_Qty]])/ProductionData[[#This Row],[Produced_Qty]]</f>
        <v>3.1598062953995157E-2</v>
      </c>
      <c r="U74" s="19">
        <f>ProductionData[[#This Row],[Produced_Qty]]/ProductionData[[#This Row],[Planned_Qty]]</f>
        <v>0.91879866518353726</v>
      </c>
      <c r="V74" s="2" t="s">
        <v>89</v>
      </c>
      <c r="W74" s="11">
        <v>0</v>
      </c>
      <c r="X74" s="13">
        <f>W74/60</f>
        <v>0</v>
      </c>
      <c r="Y74" s="2" t="s">
        <v>90</v>
      </c>
      <c r="Z74" s="2">
        <v>17</v>
      </c>
      <c r="AA74" s="2">
        <f>ProductionData[[#This Row],[Rejected_Qty]]*ProductionData[[#This Row],[Unit_Cost_INR]]</f>
        <v>4437</v>
      </c>
      <c r="AB74" s="4">
        <v>26149</v>
      </c>
      <c r="AC74" s="4">
        <v>8470</v>
      </c>
      <c r="AD74" s="4">
        <v>8470</v>
      </c>
      <c r="AE74" s="4">
        <v>25678</v>
      </c>
      <c r="AF74" s="4">
        <v>13500</v>
      </c>
    </row>
    <row r="75" spans="1:32">
      <c r="A75" s="2" t="s">
        <v>264</v>
      </c>
      <c r="B75" s="3">
        <v>46135</v>
      </c>
      <c r="C75" s="36" t="s">
        <v>78</v>
      </c>
      <c r="D75" s="2">
        <f>MONTH(ProductionData[[#This Row],[Month]])</f>
        <v>4</v>
      </c>
      <c r="E75" s="2" t="s">
        <v>107</v>
      </c>
      <c r="F75" s="2" t="s">
        <v>66</v>
      </c>
      <c r="G75" s="2" t="s">
        <v>174</v>
      </c>
      <c r="H75" s="2" t="s">
        <v>175</v>
      </c>
      <c r="I75" s="2" t="s">
        <v>176</v>
      </c>
      <c r="J75" s="2" t="s">
        <v>177</v>
      </c>
      <c r="K75" s="2" t="s">
        <v>178</v>
      </c>
      <c r="L75" s="2" t="s">
        <v>265</v>
      </c>
      <c r="M75" s="2" t="s">
        <v>99</v>
      </c>
      <c r="N75" s="2" t="s">
        <v>96</v>
      </c>
      <c r="O75" s="2">
        <v>10</v>
      </c>
      <c r="P75" s="2">
        <v>10</v>
      </c>
      <c r="Q75" s="4">
        <v>8010</v>
      </c>
      <c r="R75" s="4">
        <v>7790</v>
      </c>
      <c r="S75" s="4">
        <v>115</v>
      </c>
      <c r="T75" s="19">
        <f>(ProductionData[[#This Row],[Rejected_Qty]])/ProductionData[[#This Row],[Produced_Qty]]</f>
        <v>1.4762516046213094E-2</v>
      </c>
      <c r="U75" s="19">
        <f>ProductionData[[#This Row],[Produced_Qty]]/ProductionData[[#This Row],[Planned_Qty]]</f>
        <v>0.97253433208489393</v>
      </c>
      <c r="V75" s="2" t="s">
        <v>75</v>
      </c>
      <c r="W75" s="11">
        <v>19</v>
      </c>
      <c r="X75" s="13">
        <f>W75/60</f>
        <v>0.31666666666666665</v>
      </c>
      <c r="Y75" s="2" t="s">
        <v>182</v>
      </c>
      <c r="Z75" s="2">
        <v>24</v>
      </c>
      <c r="AA75" s="2">
        <f>ProductionData[[#This Row],[Rejected_Qty]]*ProductionData[[#This Row],[Unit_Cost_INR]]</f>
        <v>2760</v>
      </c>
      <c r="AB75" s="4">
        <v>25558</v>
      </c>
      <c r="AC75" s="4">
        <v>7560</v>
      </c>
      <c r="AD75" s="4">
        <v>7560</v>
      </c>
      <c r="AE75" s="4">
        <v>25673</v>
      </c>
      <c r="AF75" s="4">
        <v>12000</v>
      </c>
    </row>
    <row r="76" spans="1:32">
      <c r="A76" s="2" t="s">
        <v>266</v>
      </c>
      <c r="B76" s="3">
        <v>46118</v>
      </c>
      <c r="C76" s="36" t="s">
        <v>78</v>
      </c>
      <c r="D76" s="2">
        <f>MONTH(ProductionData[[#This Row],[Month]])</f>
        <v>4</v>
      </c>
      <c r="E76" s="2" t="s">
        <v>116</v>
      </c>
      <c r="F76" s="2" t="s">
        <v>66</v>
      </c>
      <c r="G76" s="2" t="s">
        <v>81</v>
      </c>
      <c r="H76" s="2" t="s">
        <v>82</v>
      </c>
      <c r="I76" s="2" t="s">
        <v>83</v>
      </c>
      <c r="J76" s="2" t="s">
        <v>166</v>
      </c>
      <c r="K76" s="2" t="s">
        <v>167</v>
      </c>
      <c r="L76" s="2" t="s">
        <v>267</v>
      </c>
      <c r="M76" s="2" t="s">
        <v>99</v>
      </c>
      <c r="N76" s="2" t="s">
        <v>88</v>
      </c>
      <c r="O76" s="2">
        <v>18</v>
      </c>
      <c r="P76" s="2">
        <v>17</v>
      </c>
      <c r="Q76" s="4">
        <v>9590</v>
      </c>
      <c r="R76" s="4">
        <v>9080</v>
      </c>
      <c r="S76" s="4">
        <v>97</v>
      </c>
      <c r="T76" s="19">
        <f>(ProductionData[[#This Row],[Rejected_Qty]])/ProductionData[[#This Row],[Produced_Qty]]</f>
        <v>1.0682819383259911E-2</v>
      </c>
      <c r="U76" s="19">
        <f>ProductionData[[#This Row],[Produced_Qty]]/ProductionData[[#This Row],[Planned_Qty]]</f>
        <v>0.94681960375391028</v>
      </c>
      <c r="V76" s="2" t="s">
        <v>75</v>
      </c>
      <c r="W76" s="11">
        <v>0</v>
      </c>
      <c r="X76" s="13">
        <f>W76/60</f>
        <v>0</v>
      </c>
      <c r="Y76" s="2" t="s">
        <v>90</v>
      </c>
      <c r="Z76" s="2">
        <v>17</v>
      </c>
      <c r="AA76" s="2">
        <f>ProductionData[[#This Row],[Rejected_Qty]]*ProductionData[[#This Row],[Unit_Cost_INR]]</f>
        <v>1649</v>
      </c>
      <c r="AB76" s="4">
        <v>25813</v>
      </c>
      <c r="AC76" s="4">
        <v>9210</v>
      </c>
      <c r="AD76" s="4">
        <v>9210</v>
      </c>
      <c r="AE76" s="4">
        <v>25586</v>
      </c>
      <c r="AF76" s="4">
        <v>13500</v>
      </c>
    </row>
    <row r="77" spans="1:32">
      <c r="A77" s="2" t="s">
        <v>268</v>
      </c>
      <c r="B77" s="3">
        <v>46130</v>
      </c>
      <c r="C77" s="36" t="s">
        <v>78</v>
      </c>
      <c r="D77" s="2">
        <f>MONTH(ProductionData[[#This Row],[Month]])</f>
        <v>4</v>
      </c>
      <c r="E77" s="2" t="s">
        <v>65</v>
      </c>
      <c r="F77" s="2" t="s">
        <v>80</v>
      </c>
      <c r="G77" s="2" t="s">
        <v>195</v>
      </c>
      <c r="H77" s="2" t="s">
        <v>196</v>
      </c>
      <c r="I77" s="2" t="s">
        <v>197</v>
      </c>
      <c r="J77" s="2" t="s">
        <v>269</v>
      </c>
      <c r="K77" s="2" t="s">
        <v>270</v>
      </c>
      <c r="L77" s="2" t="s">
        <v>271</v>
      </c>
      <c r="M77" s="2" t="s">
        <v>87</v>
      </c>
      <c r="N77" s="2" t="s">
        <v>96</v>
      </c>
      <c r="O77" s="2">
        <v>14</v>
      </c>
      <c r="P77" s="2">
        <v>11</v>
      </c>
      <c r="Q77" s="4">
        <v>7620</v>
      </c>
      <c r="R77" s="4">
        <v>6390</v>
      </c>
      <c r="S77" s="4">
        <v>163</v>
      </c>
      <c r="T77" s="19">
        <f>(ProductionData[[#This Row],[Rejected_Qty]])/ProductionData[[#This Row],[Produced_Qty]]</f>
        <v>2.5508607198748045E-2</v>
      </c>
      <c r="U77" s="19">
        <f>ProductionData[[#This Row],[Produced_Qty]]/ProductionData[[#This Row],[Planned_Qty]]</f>
        <v>0.83858267716535428</v>
      </c>
      <c r="V77" s="2" t="s">
        <v>103</v>
      </c>
      <c r="W77" s="11">
        <v>0</v>
      </c>
      <c r="X77" s="13">
        <f>W77/60</f>
        <v>0</v>
      </c>
      <c r="Y77" s="2" t="s">
        <v>90</v>
      </c>
      <c r="Z77" s="2">
        <v>42</v>
      </c>
      <c r="AA77" s="2">
        <f>ProductionData[[#This Row],[Rejected_Qty]]*ProductionData[[#This Row],[Unit_Cost_INR]]</f>
        <v>6846</v>
      </c>
      <c r="AB77" s="4">
        <v>25486</v>
      </c>
      <c r="AC77" s="4">
        <v>6150</v>
      </c>
      <c r="AD77" s="4">
        <v>6150</v>
      </c>
      <c r="AE77" s="4">
        <v>25563</v>
      </c>
      <c r="AF77" s="4">
        <v>12000</v>
      </c>
    </row>
    <row r="78" spans="1:32">
      <c r="A78" s="2" t="s">
        <v>272</v>
      </c>
      <c r="B78" s="3">
        <v>46139</v>
      </c>
      <c r="C78" s="36" t="s">
        <v>78</v>
      </c>
      <c r="D78" s="2">
        <f>MONTH(ProductionData[[#This Row],[Month]])</f>
        <v>4</v>
      </c>
      <c r="E78" s="2" t="s">
        <v>116</v>
      </c>
      <c r="F78" s="2" t="s">
        <v>80</v>
      </c>
      <c r="G78" s="2" t="s">
        <v>174</v>
      </c>
      <c r="H78" s="2" t="s">
        <v>175</v>
      </c>
      <c r="I78" s="2" t="s">
        <v>176</v>
      </c>
      <c r="J78" s="2" t="s">
        <v>177</v>
      </c>
      <c r="K78" s="2" t="s">
        <v>178</v>
      </c>
      <c r="L78" s="2" t="s">
        <v>273</v>
      </c>
      <c r="M78" s="2" t="s">
        <v>87</v>
      </c>
      <c r="N78" s="2" t="s">
        <v>96</v>
      </c>
      <c r="O78" s="2">
        <v>10</v>
      </c>
      <c r="P78" s="2">
        <v>10</v>
      </c>
      <c r="Q78" s="4">
        <v>8320</v>
      </c>
      <c r="R78" s="4">
        <v>7830</v>
      </c>
      <c r="S78" s="4">
        <v>159</v>
      </c>
      <c r="T78" s="19">
        <f>(ProductionData[[#This Row],[Rejected_Qty]])/ProductionData[[#This Row],[Produced_Qty]]</f>
        <v>2.0306513409961684E-2</v>
      </c>
      <c r="U78" s="19">
        <f>ProductionData[[#This Row],[Produced_Qty]]/ProductionData[[#This Row],[Planned_Qty]]</f>
        <v>0.94110576923076927</v>
      </c>
      <c r="V78" s="2" t="s">
        <v>113</v>
      </c>
      <c r="W78" s="11">
        <v>0</v>
      </c>
      <c r="X78" s="13">
        <f>W78/60</f>
        <v>0</v>
      </c>
      <c r="Y78" s="2" t="s">
        <v>90</v>
      </c>
      <c r="Z78" s="2">
        <v>24</v>
      </c>
      <c r="AA78" s="2">
        <f>ProductionData[[#This Row],[Rejected_Qty]]*ProductionData[[#This Row],[Unit_Cost_INR]]</f>
        <v>3816</v>
      </c>
      <c r="AB78" s="4">
        <v>25089</v>
      </c>
      <c r="AC78" s="4">
        <v>7200</v>
      </c>
      <c r="AD78" s="4">
        <v>7200</v>
      </c>
      <c r="AE78" s="4">
        <v>25560</v>
      </c>
      <c r="AF78" s="4">
        <v>12000</v>
      </c>
    </row>
    <row r="79" spans="1:32">
      <c r="A79" s="2" t="s">
        <v>274</v>
      </c>
      <c r="B79" s="3">
        <v>46134</v>
      </c>
      <c r="C79" s="36" t="s">
        <v>78</v>
      </c>
      <c r="D79" s="2">
        <f>MONTH(ProductionData[[#This Row],[Month]])</f>
        <v>4</v>
      </c>
      <c r="E79" s="2" t="s">
        <v>79</v>
      </c>
      <c r="F79" s="2" t="s">
        <v>93</v>
      </c>
      <c r="G79" s="2" t="s">
        <v>174</v>
      </c>
      <c r="H79" s="2" t="s">
        <v>175</v>
      </c>
      <c r="I79" s="2" t="s">
        <v>176</v>
      </c>
      <c r="J79" s="2" t="s">
        <v>177</v>
      </c>
      <c r="K79" s="2" t="s">
        <v>178</v>
      </c>
      <c r="L79" s="2" t="s">
        <v>275</v>
      </c>
      <c r="M79" s="2" t="s">
        <v>95</v>
      </c>
      <c r="N79" s="2" t="s">
        <v>88</v>
      </c>
      <c r="O79" s="2">
        <v>10</v>
      </c>
      <c r="P79" s="2">
        <v>8</v>
      </c>
      <c r="Q79" s="4">
        <v>7420</v>
      </c>
      <c r="R79" s="4">
        <v>6660</v>
      </c>
      <c r="S79" s="4">
        <v>139</v>
      </c>
      <c r="T79" s="19">
        <f>(ProductionData[[#This Row],[Rejected_Qty]])/ProductionData[[#This Row],[Produced_Qty]]</f>
        <v>2.0870870870870872E-2</v>
      </c>
      <c r="U79" s="19">
        <f>ProductionData[[#This Row],[Produced_Qty]]/ProductionData[[#This Row],[Planned_Qty]]</f>
        <v>0.89757412398921832</v>
      </c>
      <c r="V79" s="2" t="s">
        <v>113</v>
      </c>
      <c r="W79" s="11">
        <v>68</v>
      </c>
      <c r="X79" s="13">
        <f>W79/60</f>
        <v>1.1333333333333333</v>
      </c>
      <c r="Y79" s="2" t="s">
        <v>76</v>
      </c>
      <c r="Z79" s="2">
        <v>24</v>
      </c>
      <c r="AA79" s="2">
        <f>ProductionData[[#This Row],[Rejected_Qty]]*ProductionData[[#This Row],[Unit_Cost_INR]]</f>
        <v>3336</v>
      </c>
      <c r="AB79" s="4">
        <v>25727</v>
      </c>
      <c r="AC79" s="4">
        <v>6690</v>
      </c>
      <c r="AD79" s="4">
        <v>6690</v>
      </c>
      <c r="AE79" s="4">
        <v>25558</v>
      </c>
      <c r="AF79" s="4">
        <v>12000</v>
      </c>
    </row>
    <row r="80" spans="1:32">
      <c r="A80" s="2" t="s">
        <v>276</v>
      </c>
      <c r="B80" s="3">
        <v>46135</v>
      </c>
      <c r="C80" s="36" t="s">
        <v>78</v>
      </c>
      <c r="D80" s="2">
        <f>MONTH(ProductionData[[#This Row],[Month]])</f>
        <v>4</v>
      </c>
      <c r="E80" s="2" t="s">
        <v>107</v>
      </c>
      <c r="F80" s="2" t="s">
        <v>93</v>
      </c>
      <c r="G80" s="2" t="s">
        <v>174</v>
      </c>
      <c r="H80" s="2" t="s">
        <v>175</v>
      </c>
      <c r="I80" s="2" t="s">
        <v>176</v>
      </c>
      <c r="J80" s="2" t="s">
        <v>177</v>
      </c>
      <c r="K80" s="2" t="s">
        <v>178</v>
      </c>
      <c r="L80" s="2" t="s">
        <v>277</v>
      </c>
      <c r="M80" s="2" t="s">
        <v>133</v>
      </c>
      <c r="N80" s="2" t="s">
        <v>88</v>
      </c>
      <c r="O80" s="2">
        <v>10</v>
      </c>
      <c r="P80" s="2">
        <v>8</v>
      </c>
      <c r="Q80" s="4">
        <v>7830</v>
      </c>
      <c r="R80" s="4">
        <v>6850</v>
      </c>
      <c r="S80" s="4">
        <v>226</v>
      </c>
      <c r="T80" s="19">
        <f>(ProductionData[[#This Row],[Rejected_Qty]])/ProductionData[[#This Row],[Produced_Qty]]</f>
        <v>3.2992700729927008E-2</v>
      </c>
      <c r="U80" s="19">
        <f>ProductionData[[#This Row],[Produced_Qty]]/ProductionData[[#This Row],[Planned_Qty]]</f>
        <v>0.87484035759897827</v>
      </c>
      <c r="V80" s="2" t="s">
        <v>75</v>
      </c>
      <c r="W80" s="11">
        <v>0</v>
      </c>
      <c r="X80" s="13">
        <f>W80/60</f>
        <v>0</v>
      </c>
      <c r="Y80" s="2" t="s">
        <v>90</v>
      </c>
      <c r="Z80" s="2">
        <v>24</v>
      </c>
      <c r="AA80" s="2">
        <f>ProductionData[[#This Row],[Rejected_Qty]]*ProductionData[[#This Row],[Unit_Cost_INR]]</f>
        <v>5424</v>
      </c>
      <c r="AB80" s="4">
        <v>25673</v>
      </c>
      <c r="AC80" s="4">
        <v>6770</v>
      </c>
      <c r="AD80" s="4">
        <v>6770</v>
      </c>
      <c r="AE80" s="4">
        <v>25527</v>
      </c>
      <c r="AF80" s="4">
        <v>12000</v>
      </c>
    </row>
    <row r="81" spans="1:32">
      <c r="A81" s="2" t="s">
        <v>278</v>
      </c>
      <c r="B81" s="3">
        <v>46122</v>
      </c>
      <c r="C81" s="36" t="s">
        <v>78</v>
      </c>
      <c r="D81" s="2">
        <f>MONTH(ProductionData[[#This Row],[Month]])</f>
        <v>4</v>
      </c>
      <c r="E81" s="2" t="s">
        <v>125</v>
      </c>
      <c r="F81" s="2" t="s">
        <v>93</v>
      </c>
      <c r="G81" s="2" t="s">
        <v>174</v>
      </c>
      <c r="H81" s="2" t="s">
        <v>175</v>
      </c>
      <c r="I81" s="2" t="s">
        <v>176</v>
      </c>
      <c r="J81" s="2" t="s">
        <v>177</v>
      </c>
      <c r="K81" s="2" t="s">
        <v>178</v>
      </c>
      <c r="L81" s="2" t="s">
        <v>279</v>
      </c>
      <c r="M81" s="2" t="s">
        <v>95</v>
      </c>
      <c r="N81" s="2" t="s">
        <v>88</v>
      </c>
      <c r="O81" s="2">
        <v>10</v>
      </c>
      <c r="P81" s="2">
        <v>10</v>
      </c>
      <c r="Q81" s="4">
        <v>7710</v>
      </c>
      <c r="R81" s="4">
        <v>7190</v>
      </c>
      <c r="S81" s="4">
        <v>227</v>
      </c>
      <c r="T81" s="19">
        <f>(ProductionData[[#This Row],[Rejected_Qty]])/ProductionData[[#This Row],[Produced_Qty]]</f>
        <v>3.1571627260083446E-2</v>
      </c>
      <c r="U81" s="19">
        <f>ProductionData[[#This Row],[Produced_Qty]]/ProductionData[[#This Row],[Planned_Qty]]</f>
        <v>0.93255512321660183</v>
      </c>
      <c r="V81" s="2" t="s">
        <v>109</v>
      </c>
      <c r="W81" s="11">
        <v>0</v>
      </c>
      <c r="X81" s="13">
        <f>W81/60</f>
        <v>0</v>
      </c>
      <c r="Y81" s="2" t="s">
        <v>90</v>
      </c>
      <c r="Z81" s="2">
        <v>24</v>
      </c>
      <c r="AA81" s="2">
        <f>ProductionData[[#This Row],[Rejected_Qty]]*ProductionData[[#This Row],[Unit_Cost_INR]]</f>
        <v>5448</v>
      </c>
      <c r="AB81" s="4">
        <v>25017</v>
      </c>
      <c r="AC81" s="4">
        <v>6460</v>
      </c>
      <c r="AD81" s="4">
        <v>6460</v>
      </c>
      <c r="AE81" s="4">
        <v>25520</v>
      </c>
      <c r="AF81" s="4">
        <v>12000</v>
      </c>
    </row>
    <row r="82" spans="1:32">
      <c r="A82" s="2" t="s">
        <v>280</v>
      </c>
      <c r="B82" s="3">
        <v>46115</v>
      </c>
      <c r="C82" s="36" t="s">
        <v>78</v>
      </c>
      <c r="D82" s="2">
        <f>MONTH(ProductionData[[#This Row],[Month]])</f>
        <v>4</v>
      </c>
      <c r="E82" s="2" t="s">
        <v>125</v>
      </c>
      <c r="F82" s="2" t="s">
        <v>66</v>
      </c>
      <c r="G82" s="2" t="s">
        <v>195</v>
      </c>
      <c r="H82" s="2" t="s">
        <v>196</v>
      </c>
      <c r="I82" s="2" t="s">
        <v>197</v>
      </c>
      <c r="J82" s="2" t="s">
        <v>269</v>
      </c>
      <c r="K82" s="2" t="s">
        <v>270</v>
      </c>
      <c r="L82" s="2" t="s">
        <v>281</v>
      </c>
      <c r="M82" s="2" t="s">
        <v>73</v>
      </c>
      <c r="N82" s="2" t="s">
        <v>88</v>
      </c>
      <c r="O82" s="2">
        <v>14</v>
      </c>
      <c r="P82" s="2">
        <v>14</v>
      </c>
      <c r="Q82" s="4">
        <v>8500</v>
      </c>
      <c r="R82" s="4">
        <v>8250</v>
      </c>
      <c r="S82" s="4">
        <v>164</v>
      </c>
      <c r="T82" s="19">
        <f>(ProductionData[[#This Row],[Rejected_Qty]])/ProductionData[[#This Row],[Produced_Qty]]</f>
        <v>1.9878787878787878E-2</v>
      </c>
      <c r="U82" s="19">
        <f>ProductionData[[#This Row],[Produced_Qty]]/ProductionData[[#This Row],[Planned_Qty]]</f>
        <v>0.97058823529411764</v>
      </c>
      <c r="V82" s="2" t="s">
        <v>109</v>
      </c>
      <c r="W82" s="11">
        <v>0</v>
      </c>
      <c r="X82" s="13">
        <f>W82/60</f>
        <v>0</v>
      </c>
      <c r="Y82" s="2" t="s">
        <v>90</v>
      </c>
      <c r="Z82" s="2">
        <v>42</v>
      </c>
      <c r="AA82" s="2">
        <f>ProductionData[[#This Row],[Rejected_Qty]]*ProductionData[[#This Row],[Unit_Cost_INR]]</f>
        <v>6888</v>
      </c>
      <c r="AB82" s="4">
        <v>24634</v>
      </c>
      <c r="AC82" s="4">
        <v>7230</v>
      </c>
      <c r="AD82" s="4">
        <v>7230</v>
      </c>
      <c r="AE82" s="4">
        <v>25490</v>
      </c>
      <c r="AF82" s="4">
        <v>12000</v>
      </c>
    </row>
    <row r="83" spans="1:32">
      <c r="A83" s="2" t="s">
        <v>282</v>
      </c>
      <c r="B83" s="3">
        <v>46130</v>
      </c>
      <c r="C83" s="36" t="s">
        <v>78</v>
      </c>
      <c r="D83" s="2">
        <f>MONTH(ProductionData[[#This Row],[Month]])</f>
        <v>4</v>
      </c>
      <c r="E83" s="2" t="s">
        <v>65</v>
      </c>
      <c r="F83" s="2" t="s">
        <v>66</v>
      </c>
      <c r="G83" s="2" t="s">
        <v>195</v>
      </c>
      <c r="H83" s="2" t="s">
        <v>196</v>
      </c>
      <c r="I83" s="2" t="s">
        <v>197</v>
      </c>
      <c r="J83" s="2" t="s">
        <v>269</v>
      </c>
      <c r="K83" s="2" t="s">
        <v>270</v>
      </c>
      <c r="L83" s="2" t="s">
        <v>283</v>
      </c>
      <c r="M83" s="2" t="s">
        <v>73</v>
      </c>
      <c r="N83" s="2" t="s">
        <v>96</v>
      </c>
      <c r="O83" s="2">
        <v>14</v>
      </c>
      <c r="P83" s="2">
        <v>13</v>
      </c>
      <c r="Q83" s="4">
        <v>8250</v>
      </c>
      <c r="R83" s="4">
        <v>7860</v>
      </c>
      <c r="S83" s="4">
        <v>153</v>
      </c>
      <c r="T83" s="19">
        <f>(ProductionData[[#This Row],[Rejected_Qty]])/ProductionData[[#This Row],[Produced_Qty]]</f>
        <v>1.9465648854961833E-2</v>
      </c>
      <c r="U83" s="19">
        <f>ProductionData[[#This Row],[Produced_Qty]]/ProductionData[[#This Row],[Planned_Qty]]</f>
        <v>0.95272727272727276</v>
      </c>
      <c r="V83" s="2" t="s">
        <v>103</v>
      </c>
      <c r="W83" s="11">
        <v>17</v>
      </c>
      <c r="X83" s="13">
        <f>W83/60</f>
        <v>0.28333333333333333</v>
      </c>
      <c r="Y83" s="2" t="s">
        <v>182</v>
      </c>
      <c r="Z83" s="2">
        <v>42</v>
      </c>
      <c r="AA83" s="2">
        <f>ProductionData[[#This Row],[Rejected_Qty]]*ProductionData[[#This Row],[Unit_Cost_INR]]</f>
        <v>6426</v>
      </c>
      <c r="AB83" s="4">
        <v>24699</v>
      </c>
      <c r="AC83" s="4">
        <v>6920</v>
      </c>
      <c r="AD83" s="4">
        <v>6920</v>
      </c>
      <c r="AE83" s="4">
        <v>25486</v>
      </c>
      <c r="AF83" s="4">
        <v>12000</v>
      </c>
    </row>
    <row r="84" spans="1:32">
      <c r="A84" s="2" t="s">
        <v>284</v>
      </c>
      <c r="B84" s="3">
        <v>46120</v>
      </c>
      <c r="C84" s="36" t="s">
        <v>78</v>
      </c>
      <c r="D84" s="2">
        <f>MONTH(ProductionData[[#This Row],[Month]])</f>
        <v>4</v>
      </c>
      <c r="E84" s="2" t="s">
        <v>79</v>
      </c>
      <c r="F84" s="2" t="s">
        <v>93</v>
      </c>
      <c r="G84" s="2" t="s">
        <v>81</v>
      </c>
      <c r="H84" s="2" t="s">
        <v>82</v>
      </c>
      <c r="I84" s="2" t="s">
        <v>83</v>
      </c>
      <c r="J84" s="2" t="s">
        <v>166</v>
      </c>
      <c r="K84" s="2" t="s">
        <v>167</v>
      </c>
      <c r="L84" s="2" t="s">
        <v>285</v>
      </c>
      <c r="M84" s="2" t="s">
        <v>95</v>
      </c>
      <c r="N84" s="2" t="s">
        <v>96</v>
      </c>
      <c r="O84" s="2">
        <v>18</v>
      </c>
      <c r="P84" s="2">
        <v>17</v>
      </c>
      <c r="Q84" s="4">
        <v>7880</v>
      </c>
      <c r="R84" s="4">
        <v>7580</v>
      </c>
      <c r="S84" s="4">
        <v>256</v>
      </c>
      <c r="T84" s="19">
        <f>(ProductionData[[#This Row],[Rejected_Qty]])/ProductionData[[#This Row],[Produced_Qty]]</f>
        <v>3.3773087071240104E-2</v>
      </c>
      <c r="U84" s="19">
        <f>ProductionData[[#This Row],[Produced_Qty]]/ProductionData[[#This Row],[Planned_Qty]]</f>
        <v>0.96192893401015234</v>
      </c>
      <c r="V84" s="2" t="s">
        <v>103</v>
      </c>
      <c r="W84" s="11">
        <v>0</v>
      </c>
      <c r="X84" s="13">
        <f>W84/60</f>
        <v>0</v>
      </c>
      <c r="Y84" s="2" t="s">
        <v>90</v>
      </c>
      <c r="Z84" s="2">
        <v>17</v>
      </c>
      <c r="AA84" s="2">
        <f>ProductionData[[#This Row],[Rejected_Qty]]*ProductionData[[#This Row],[Unit_Cost_INR]]</f>
        <v>4352</v>
      </c>
      <c r="AB84" s="4">
        <v>26023</v>
      </c>
      <c r="AC84" s="4">
        <v>7950</v>
      </c>
      <c r="AD84" s="4">
        <v>7950</v>
      </c>
      <c r="AE84" s="4">
        <v>25397</v>
      </c>
      <c r="AF84" s="4">
        <v>13500</v>
      </c>
    </row>
    <row r="85" spans="1:32">
      <c r="A85" s="2" t="s">
        <v>286</v>
      </c>
      <c r="B85" s="3">
        <v>46116</v>
      </c>
      <c r="C85" s="36" t="s">
        <v>78</v>
      </c>
      <c r="D85" s="2">
        <f>MONTH(ProductionData[[#This Row],[Month]])</f>
        <v>4</v>
      </c>
      <c r="E85" s="2" t="s">
        <v>65</v>
      </c>
      <c r="F85" s="2" t="s">
        <v>80</v>
      </c>
      <c r="G85" s="2" t="s">
        <v>195</v>
      </c>
      <c r="H85" s="2" t="s">
        <v>196</v>
      </c>
      <c r="I85" s="2" t="s">
        <v>197</v>
      </c>
      <c r="J85" s="2" t="s">
        <v>269</v>
      </c>
      <c r="K85" s="2" t="s">
        <v>270</v>
      </c>
      <c r="L85" s="2" t="s">
        <v>287</v>
      </c>
      <c r="M85" s="2" t="s">
        <v>87</v>
      </c>
      <c r="N85" s="2" t="s">
        <v>88</v>
      </c>
      <c r="O85" s="2">
        <v>14</v>
      </c>
      <c r="P85" s="2">
        <v>14</v>
      </c>
      <c r="Q85" s="4">
        <v>8240</v>
      </c>
      <c r="R85" s="4">
        <v>7910</v>
      </c>
      <c r="S85" s="4">
        <v>155</v>
      </c>
      <c r="T85" s="19">
        <f>(ProductionData[[#This Row],[Rejected_Qty]])/ProductionData[[#This Row],[Produced_Qty]]</f>
        <v>1.9595448798988623E-2</v>
      </c>
      <c r="U85" s="19">
        <f>ProductionData[[#This Row],[Produced_Qty]]/ProductionData[[#This Row],[Planned_Qty]]</f>
        <v>0.95995145631067957</v>
      </c>
      <c r="V85" s="2" t="s">
        <v>103</v>
      </c>
      <c r="W85" s="11">
        <v>0</v>
      </c>
      <c r="X85" s="13">
        <f>W85/60</f>
        <v>0</v>
      </c>
      <c r="Y85" s="2" t="s">
        <v>90</v>
      </c>
      <c r="Z85" s="2">
        <v>42</v>
      </c>
      <c r="AA85" s="2">
        <f>ProductionData[[#This Row],[Rejected_Qty]]*ProductionData[[#This Row],[Unit_Cost_INR]]</f>
        <v>6510</v>
      </c>
      <c r="AB85" s="4">
        <v>24999</v>
      </c>
      <c r="AC85" s="4">
        <v>7460</v>
      </c>
      <c r="AD85" s="4">
        <v>7460</v>
      </c>
      <c r="AE85" s="4">
        <v>25294</v>
      </c>
      <c r="AF85" s="4">
        <v>12000</v>
      </c>
    </row>
    <row r="86" spans="1:32">
      <c r="A86" s="2" t="s">
        <v>288</v>
      </c>
      <c r="B86" s="3">
        <v>46123</v>
      </c>
      <c r="C86" s="36" t="s">
        <v>78</v>
      </c>
      <c r="D86" s="2">
        <f>MONTH(ProductionData[[#This Row],[Month]])</f>
        <v>4</v>
      </c>
      <c r="E86" s="2" t="s">
        <v>65</v>
      </c>
      <c r="F86" s="2" t="s">
        <v>93</v>
      </c>
      <c r="G86" s="2" t="s">
        <v>174</v>
      </c>
      <c r="H86" s="2" t="s">
        <v>175</v>
      </c>
      <c r="I86" s="2" t="s">
        <v>176</v>
      </c>
      <c r="J86" s="2" t="s">
        <v>177</v>
      </c>
      <c r="K86" s="2" t="s">
        <v>178</v>
      </c>
      <c r="L86" s="2" t="s">
        <v>289</v>
      </c>
      <c r="M86" s="2" t="s">
        <v>95</v>
      </c>
      <c r="N86" s="2" t="s">
        <v>96</v>
      </c>
      <c r="O86" s="2">
        <v>10</v>
      </c>
      <c r="P86" s="2">
        <v>9</v>
      </c>
      <c r="Q86" s="4">
        <v>7720</v>
      </c>
      <c r="R86" s="4">
        <v>7090</v>
      </c>
      <c r="S86" s="4">
        <v>205</v>
      </c>
      <c r="T86" s="19">
        <f>(ProductionData[[#This Row],[Rejected_Qty]])/ProductionData[[#This Row],[Produced_Qty]]</f>
        <v>2.8913963328631876E-2</v>
      </c>
      <c r="U86" s="19">
        <f>ProductionData[[#This Row],[Produced_Qty]]/ProductionData[[#This Row],[Planned_Qty]]</f>
        <v>0.91839378238341973</v>
      </c>
      <c r="V86" s="2" t="s">
        <v>89</v>
      </c>
      <c r="W86" s="11">
        <v>0</v>
      </c>
      <c r="X86" s="13">
        <f>W86/60</f>
        <v>0</v>
      </c>
      <c r="Y86" s="2" t="s">
        <v>90</v>
      </c>
      <c r="Z86" s="2">
        <v>24</v>
      </c>
      <c r="AA86" s="2">
        <f>ProductionData[[#This Row],[Rejected_Qty]]*ProductionData[[#This Row],[Unit_Cost_INR]]</f>
        <v>4920</v>
      </c>
      <c r="AB86" s="4">
        <v>25751</v>
      </c>
      <c r="AC86" s="4">
        <v>7420</v>
      </c>
      <c r="AD86" s="4">
        <v>7420</v>
      </c>
      <c r="AE86" s="4">
        <v>25216</v>
      </c>
      <c r="AF86" s="4">
        <v>12000</v>
      </c>
    </row>
    <row r="87" spans="1:32">
      <c r="A87" s="2" t="s">
        <v>290</v>
      </c>
      <c r="B87" s="3">
        <v>46140</v>
      </c>
      <c r="C87" s="36" t="s">
        <v>78</v>
      </c>
      <c r="D87" s="2">
        <f>MONTH(ProductionData[[#This Row],[Month]])</f>
        <v>4</v>
      </c>
      <c r="E87" s="2" t="s">
        <v>92</v>
      </c>
      <c r="F87" s="2" t="s">
        <v>80</v>
      </c>
      <c r="G87" s="2" t="s">
        <v>174</v>
      </c>
      <c r="H87" s="2" t="s">
        <v>175</v>
      </c>
      <c r="I87" s="2" t="s">
        <v>176</v>
      </c>
      <c r="J87" s="2" t="s">
        <v>177</v>
      </c>
      <c r="K87" s="2" t="s">
        <v>178</v>
      </c>
      <c r="L87" s="2" t="s">
        <v>291</v>
      </c>
      <c r="M87" s="2" t="s">
        <v>102</v>
      </c>
      <c r="N87" s="2" t="s">
        <v>88</v>
      </c>
      <c r="O87" s="2">
        <v>10</v>
      </c>
      <c r="P87" s="2">
        <v>8</v>
      </c>
      <c r="Q87" s="4">
        <v>7460</v>
      </c>
      <c r="R87" s="4">
        <v>6530</v>
      </c>
      <c r="S87" s="4">
        <v>172</v>
      </c>
      <c r="T87" s="19">
        <f>(ProductionData[[#This Row],[Rejected_Qty]])/ProductionData[[#This Row],[Produced_Qty]]</f>
        <v>2.6339969372128638E-2</v>
      </c>
      <c r="U87" s="19">
        <f>ProductionData[[#This Row],[Produced_Qty]]/ProductionData[[#This Row],[Planned_Qty]]</f>
        <v>0.87533512064343166</v>
      </c>
      <c r="V87" s="2" t="s">
        <v>75</v>
      </c>
      <c r="W87" s="11">
        <v>48</v>
      </c>
      <c r="X87" s="13">
        <f>W87/60</f>
        <v>0.8</v>
      </c>
      <c r="Y87" s="2" t="s">
        <v>76</v>
      </c>
      <c r="Z87" s="2">
        <v>24</v>
      </c>
      <c r="AA87" s="2">
        <f>ProductionData[[#This Row],[Rejected_Qty]]*ProductionData[[#This Row],[Unit_Cost_INR]]</f>
        <v>4128</v>
      </c>
      <c r="AB87" s="4">
        <v>25560</v>
      </c>
      <c r="AC87" s="4">
        <v>6720</v>
      </c>
      <c r="AD87" s="4">
        <v>6720</v>
      </c>
      <c r="AE87" s="4">
        <v>25198</v>
      </c>
      <c r="AF87" s="4">
        <v>12000</v>
      </c>
    </row>
    <row r="88" spans="1:32">
      <c r="A88" s="2" t="s">
        <v>292</v>
      </c>
      <c r="B88" s="3">
        <v>46114</v>
      </c>
      <c r="C88" s="36" t="s">
        <v>78</v>
      </c>
      <c r="D88" s="2">
        <f>MONTH(ProductionData[[#This Row],[Month]])</f>
        <v>4</v>
      </c>
      <c r="E88" s="2" t="s">
        <v>107</v>
      </c>
      <c r="F88" s="2" t="s">
        <v>93</v>
      </c>
      <c r="G88" s="2" t="s">
        <v>195</v>
      </c>
      <c r="H88" s="2" t="s">
        <v>196</v>
      </c>
      <c r="I88" s="2" t="s">
        <v>197</v>
      </c>
      <c r="J88" s="2" t="s">
        <v>198</v>
      </c>
      <c r="K88" s="2" t="s">
        <v>199</v>
      </c>
      <c r="L88" s="2" t="s">
        <v>293</v>
      </c>
      <c r="M88" s="2" t="s">
        <v>133</v>
      </c>
      <c r="N88" s="2" t="s">
        <v>88</v>
      </c>
      <c r="O88" s="2">
        <v>14</v>
      </c>
      <c r="P88" s="2">
        <v>12</v>
      </c>
      <c r="Q88" s="4">
        <v>8880</v>
      </c>
      <c r="R88" s="4">
        <v>7690</v>
      </c>
      <c r="S88" s="4">
        <v>319</v>
      </c>
      <c r="T88" s="19">
        <f>(ProductionData[[#This Row],[Rejected_Qty]])/ProductionData[[#This Row],[Produced_Qty]]</f>
        <v>4.1482444733420026E-2</v>
      </c>
      <c r="U88" s="19">
        <f>ProductionData[[#This Row],[Produced_Qty]]/ProductionData[[#This Row],[Planned_Qty]]</f>
        <v>0.86599099099099097</v>
      </c>
      <c r="V88" s="2" t="s">
        <v>89</v>
      </c>
      <c r="W88" s="11">
        <v>24</v>
      </c>
      <c r="X88" s="13">
        <f>W88/60</f>
        <v>0.4</v>
      </c>
      <c r="Y88" s="2" t="s">
        <v>76</v>
      </c>
      <c r="Z88" s="2">
        <v>38</v>
      </c>
      <c r="AA88" s="2">
        <f>ProductionData[[#This Row],[Rejected_Qty]]*ProductionData[[#This Row],[Unit_Cost_INR]]</f>
        <v>12122</v>
      </c>
      <c r="AB88" s="4">
        <v>26313</v>
      </c>
      <c r="AC88" s="4">
        <v>8560</v>
      </c>
      <c r="AD88" s="4">
        <v>8560</v>
      </c>
      <c r="AE88" s="4">
        <v>25124</v>
      </c>
      <c r="AF88" s="4">
        <v>13500</v>
      </c>
    </row>
    <row r="89" spans="1:32">
      <c r="A89" s="2" t="s">
        <v>294</v>
      </c>
      <c r="B89" s="3">
        <v>46137</v>
      </c>
      <c r="C89" s="36" t="s">
        <v>78</v>
      </c>
      <c r="D89" s="2">
        <f>MONTH(ProductionData[[#This Row],[Month]])</f>
        <v>4</v>
      </c>
      <c r="E89" s="2" t="s">
        <v>65</v>
      </c>
      <c r="F89" s="2" t="s">
        <v>93</v>
      </c>
      <c r="G89" s="2" t="s">
        <v>195</v>
      </c>
      <c r="H89" s="2" t="s">
        <v>196</v>
      </c>
      <c r="I89" s="2" t="s">
        <v>197</v>
      </c>
      <c r="J89" s="2" t="s">
        <v>198</v>
      </c>
      <c r="K89" s="2" t="s">
        <v>199</v>
      </c>
      <c r="L89" s="2" t="s">
        <v>295</v>
      </c>
      <c r="M89" s="2" t="s">
        <v>133</v>
      </c>
      <c r="N89" s="2" t="s">
        <v>96</v>
      </c>
      <c r="O89" s="2">
        <v>14</v>
      </c>
      <c r="P89" s="2">
        <v>13</v>
      </c>
      <c r="Q89" s="4">
        <v>8870</v>
      </c>
      <c r="R89" s="4">
        <v>8430</v>
      </c>
      <c r="S89" s="4">
        <v>123</v>
      </c>
      <c r="T89" s="19">
        <f>(ProductionData[[#This Row],[Rejected_Qty]])/ProductionData[[#This Row],[Produced_Qty]]</f>
        <v>1.4590747330960854E-2</v>
      </c>
      <c r="U89" s="19">
        <f>ProductionData[[#This Row],[Produced_Qty]]/ProductionData[[#This Row],[Planned_Qty]]</f>
        <v>0.95039458850056369</v>
      </c>
      <c r="V89" s="2" t="s">
        <v>109</v>
      </c>
      <c r="W89" s="11">
        <v>0</v>
      </c>
      <c r="X89" s="13">
        <f>W89/60</f>
        <v>0</v>
      </c>
      <c r="Y89" s="2" t="s">
        <v>90</v>
      </c>
      <c r="Z89" s="2">
        <v>38</v>
      </c>
      <c r="AA89" s="2">
        <f>ProductionData[[#This Row],[Rejected_Qty]]*ProductionData[[#This Row],[Unit_Cost_INR]]</f>
        <v>4674</v>
      </c>
      <c r="AB89" s="4">
        <v>24413</v>
      </c>
      <c r="AC89" s="4">
        <v>7620</v>
      </c>
      <c r="AD89" s="4">
        <v>7620</v>
      </c>
      <c r="AE89" s="4">
        <v>25100</v>
      </c>
      <c r="AF89" s="4">
        <v>13500</v>
      </c>
    </row>
    <row r="90" spans="1:32">
      <c r="A90" s="2" t="s">
        <v>296</v>
      </c>
      <c r="B90" s="3">
        <v>46136</v>
      </c>
      <c r="C90" s="36" t="s">
        <v>78</v>
      </c>
      <c r="D90" s="2">
        <f>MONTH(ProductionData[[#This Row],[Month]])</f>
        <v>4</v>
      </c>
      <c r="E90" s="2" t="s">
        <v>125</v>
      </c>
      <c r="F90" s="2" t="s">
        <v>93</v>
      </c>
      <c r="G90" s="2" t="s">
        <v>174</v>
      </c>
      <c r="H90" s="2" t="s">
        <v>175</v>
      </c>
      <c r="I90" s="2" t="s">
        <v>176</v>
      </c>
      <c r="J90" s="2" t="s">
        <v>177</v>
      </c>
      <c r="K90" s="2" t="s">
        <v>178</v>
      </c>
      <c r="L90" s="2" t="s">
        <v>297</v>
      </c>
      <c r="M90" s="2" t="s">
        <v>133</v>
      </c>
      <c r="N90" s="2" t="s">
        <v>96</v>
      </c>
      <c r="O90" s="2">
        <v>10</v>
      </c>
      <c r="P90" s="2">
        <v>9</v>
      </c>
      <c r="Q90" s="4">
        <v>7500</v>
      </c>
      <c r="R90" s="4">
        <v>7100</v>
      </c>
      <c r="S90" s="4">
        <v>118</v>
      </c>
      <c r="T90" s="19">
        <f>(ProductionData[[#This Row],[Rejected_Qty]])/ProductionData[[#This Row],[Produced_Qty]]</f>
        <v>1.6619718309859154E-2</v>
      </c>
      <c r="U90" s="19">
        <f>ProductionData[[#This Row],[Produced_Qty]]/ProductionData[[#This Row],[Planned_Qty]]</f>
        <v>0.94666666666666666</v>
      </c>
      <c r="V90" s="2" t="s">
        <v>103</v>
      </c>
      <c r="W90" s="11">
        <v>0</v>
      </c>
      <c r="X90" s="13">
        <f>W90/60</f>
        <v>0</v>
      </c>
      <c r="Y90" s="2" t="s">
        <v>90</v>
      </c>
      <c r="Z90" s="2">
        <v>24</v>
      </c>
      <c r="AA90" s="2">
        <f>ProductionData[[#This Row],[Rejected_Qty]]*ProductionData[[#This Row],[Unit_Cost_INR]]</f>
        <v>2832</v>
      </c>
      <c r="AB90" s="4">
        <v>24607</v>
      </c>
      <c r="AC90" s="4">
        <v>6500</v>
      </c>
      <c r="AD90" s="4">
        <v>6500</v>
      </c>
      <c r="AE90" s="4">
        <v>25089</v>
      </c>
      <c r="AF90" s="4">
        <v>12000</v>
      </c>
    </row>
    <row r="91" spans="1:32">
      <c r="A91" s="2" t="s">
        <v>298</v>
      </c>
      <c r="B91" s="3">
        <v>46117</v>
      </c>
      <c r="C91" s="36" t="s">
        <v>78</v>
      </c>
      <c r="D91" s="2">
        <f>MONTH(ProductionData[[#This Row],[Month]])</f>
        <v>4</v>
      </c>
      <c r="E91" s="2" t="s">
        <v>186</v>
      </c>
      <c r="F91" s="2" t="s">
        <v>66</v>
      </c>
      <c r="G91" s="2" t="s">
        <v>195</v>
      </c>
      <c r="H91" s="2" t="s">
        <v>196</v>
      </c>
      <c r="I91" s="2" t="s">
        <v>197</v>
      </c>
      <c r="J91" s="2" t="s">
        <v>198</v>
      </c>
      <c r="K91" s="2" t="s">
        <v>199</v>
      </c>
      <c r="L91" s="2" t="s">
        <v>299</v>
      </c>
      <c r="M91" s="2" t="s">
        <v>99</v>
      </c>
      <c r="N91" s="2" t="s">
        <v>96</v>
      </c>
      <c r="O91" s="2">
        <v>14</v>
      </c>
      <c r="P91" s="2">
        <v>12</v>
      </c>
      <c r="Q91" s="4">
        <v>6340</v>
      </c>
      <c r="R91" s="4">
        <v>5710</v>
      </c>
      <c r="S91" s="4">
        <v>180</v>
      </c>
      <c r="T91" s="19">
        <f>(ProductionData[[#This Row],[Rejected_Qty]])/ProductionData[[#This Row],[Produced_Qty]]</f>
        <v>3.1523642732049037E-2</v>
      </c>
      <c r="U91" s="19">
        <f>ProductionData[[#This Row],[Produced_Qty]]/ProductionData[[#This Row],[Planned_Qty]]</f>
        <v>0.90063091482649837</v>
      </c>
      <c r="V91" s="2" t="s">
        <v>113</v>
      </c>
      <c r="W91" s="11">
        <v>0</v>
      </c>
      <c r="X91" s="13">
        <f>W91/60</f>
        <v>0</v>
      </c>
      <c r="Y91" s="2" t="s">
        <v>90</v>
      </c>
      <c r="Z91" s="2">
        <v>38</v>
      </c>
      <c r="AA91" s="2">
        <f>ProductionData[[#This Row],[Rejected_Qty]]*ProductionData[[#This Row],[Unit_Cost_INR]]</f>
        <v>6840</v>
      </c>
      <c r="AB91" s="4">
        <v>25124</v>
      </c>
      <c r="AC91" s="4">
        <v>5590</v>
      </c>
      <c r="AD91" s="4">
        <v>5590</v>
      </c>
      <c r="AE91" s="4">
        <v>25064</v>
      </c>
      <c r="AF91" s="4">
        <v>13500</v>
      </c>
    </row>
    <row r="92" spans="1:32">
      <c r="A92" s="2" t="s">
        <v>300</v>
      </c>
      <c r="B92" s="3">
        <v>46124</v>
      </c>
      <c r="C92" s="36" t="s">
        <v>78</v>
      </c>
      <c r="D92" s="2">
        <f>MONTH(ProductionData[[#This Row],[Month]])</f>
        <v>4</v>
      </c>
      <c r="E92" s="2" t="s">
        <v>186</v>
      </c>
      <c r="F92" s="2" t="s">
        <v>66</v>
      </c>
      <c r="G92" s="2" t="s">
        <v>174</v>
      </c>
      <c r="H92" s="2" t="s">
        <v>175</v>
      </c>
      <c r="I92" s="2" t="s">
        <v>176</v>
      </c>
      <c r="J92" s="2" t="s">
        <v>177</v>
      </c>
      <c r="K92" s="2" t="s">
        <v>178</v>
      </c>
      <c r="L92" s="2" t="s">
        <v>301</v>
      </c>
      <c r="M92" s="2" t="s">
        <v>73</v>
      </c>
      <c r="N92" s="2" t="s">
        <v>96</v>
      </c>
      <c r="O92" s="2">
        <v>10</v>
      </c>
      <c r="P92" s="2">
        <v>9</v>
      </c>
      <c r="Q92" s="4">
        <v>5240</v>
      </c>
      <c r="R92" s="4">
        <v>4780</v>
      </c>
      <c r="S92" s="4">
        <v>132</v>
      </c>
      <c r="T92" s="19">
        <f>(ProductionData[[#This Row],[Rejected_Qty]])/ProductionData[[#This Row],[Produced_Qty]]</f>
        <v>2.7615062761506277E-2</v>
      </c>
      <c r="U92" s="19">
        <f>ProductionData[[#This Row],[Produced_Qty]]/ProductionData[[#This Row],[Planned_Qty]]</f>
        <v>0.91221374045801529</v>
      </c>
      <c r="V92" s="2" t="s">
        <v>113</v>
      </c>
      <c r="W92" s="11">
        <v>15</v>
      </c>
      <c r="X92" s="13">
        <f>W92/60</f>
        <v>0.25</v>
      </c>
      <c r="Y92" s="2" t="s">
        <v>110</v>
      </c>
      <c r="Z92" s="2">
        <v>24</v>
      </c>
      <c r="AA92" s="2">
        <f>ProductionData[[#This Row],[Rejected_Qty]]*ProductionData[[#This Row],[Unit_Cost_INR]]</f>
        <v>3168</v>
      </c>
      <c r="AB92" s="4">
        <v>25216</v>
      </c>
      <c r="AC92" s="4">
        <v>4800</v>
      </c>
      <c r="AD92" s="4">
        <v>4800</v>
      </c>
      <c r="AE92" s="4">
        <v>25064</v>
      </c>
      <c r="AF92" s="4">
        <v>12000</v>
      </c>
    </row>
    <row r="93" spans="1:32">
      <c r="A93" s="2" t="s">
        <v>302</v>
      </c>
      <c r="B93" s="3">
        <v>46122</v>
      </c>
      <c r="C93" s="36" t="s">
        <v>78</v>
      </c>
      <c r="D93" s="2">
        <f>MONTH(ProductionData[[#This Row],[Month]])</f>
        <v>4</v>
      </c>
      <c r="E93" s="2" t="s">
        <v>125</v>
      </c>
      <c r="F93" s="2" t="s">
        <v>80</v>
      </c>
      <c r="G93" s="2" t="s">
        <v>174</v>
      </c>
      <c r="H93" s="2" t="s">
        <v>175</v>
      </c>
      <c r="I93" s="2" t="s">
        <v>176</v>
      </c>
      <c r="J93" s="2" t="s">
        <v>177</v>
      </c>
      <c r="K93" s="2" t="s">
        <v>178</v>
      </c>
      <c r="L93" s="2" t="s">
        <v>303</v>
      </c>
      <c r="M93" s="2" t="s">
        <v>87</v>
      </c>
      <c r="N93" s="2" t="s">
        <v>96</v>
      </c>
      <c r="O93" s="2">
        <v>10</v>
      </c>
      <c r="P93" s="2">
        <v>9</v>
      </c>
      <c r="Q93" s="4">
        <v>8440</v>
      </c>
      <c r="R93" s="4">
        <v>7890</v>
      </c>
      <c r="S93" s="4">
        <v>235</v>
      </c>
      <c r="T93" s="19">
        <f>(ProductionData[[#This Row],[Rejected_Qty]])/ProductionData[[#This Row],[Produced_Qty]]</f>
        <v>2.9784537389100127E-2</v>
      </c>
      <c r="U93" s="19">
        <f>ProductionData[[#This Row],[Produced_Qty]]/ProductionData[[#This Row],[Planned_Qty]]</f>
        <v>0.93483412322274884</v>
      </c>
      <c r="V93" s="2" t="s">
        <v>103</v>
      </c>
      <c r="W93" s="11">
        <v>39</v>
      </c>
      <c r="X93" s="13">
        <f>W93/60</f>
        <v>0.65</v>
      </c>
      <c r="Y93" s="2" t="s">
        <v>76</v>
      </c>
      <c r="Z93" s="2">
        <v>24</v>
      </c>
      <c r="AA93" s="2">
        <f>ProductionData[[#This Row],[Rejected_Qty]]*ProductionData[[#This Row],[Unit_Cost_INR]]</f>
        <v>5640</v>
      </c>
      <c r="AB93" s="4">
        <v>24402</v>
      </c>
      <c r="AC93" s="4">
        <v>7040</v>
      </c>
      <c r="AD93" s="4">
        <v>7040</v>
      </c>
      <c r="AE93" s="4">
        <v>25017</v>
      </c>
      <c r="AF93" s="4">
        <v>12000</v>
      </c>
    </row>
    <row r="94" spans="1:32">
      <c r="A94" s="2" t="s">
        <v>304</v>
      </c>
      <c r="B94" s="3">
        <v>46115</v>
      </c>
      <c r="C94" s="36" t="s">
        <v>78</v>
      </c>
      <c r="D94" s="2">
        <f>MONTH(ProductionData[[#This Row],[Month]])</f>
        <v>4</v>
      </c>
      <c r="E94" s="2" t="s">
        <v>125</v>
      </c>
      <c r="F94" s="2" t="s">
        <v>93</v>
      </c>
      <c r="G94" s="2" t="s">
        <v>195</v>
      </c>
      <c r="H94" s="2" t="s">
        <v>196</v>
      </c>
      <c r="I94" s="2" t="s">
        <v>197</v>
      </c>
      <c r="J94" s="2" t="s">
        <v>269</v>
      </c>
      <c r="K94" s="2" t="s">
        <v>270</v>
      </c>
      <c r="L94" s="2" t="s">
        <v>305</v>
      </c>
      <c r="M94" s="2" t="s">
        <v>133</v>
      </c>
      <c r="N94" s="2" t="s">
        <v>88</v>
      </c>
      <c r="O94" s="2">
        <v>14</v>
      </c>
      <c r="P94" s="2">
        <v>11</v>
      </c>
      <c r="Q94" s="4">
        <v>7820</v>
      </c>
      <c r="R94" s="4">
        <v>6640</v>
      </c>
      <c r="S94" s="4">
        <v>61</v>
      </c>
      <c r="T94" s="19">
        <f>(ProductionData[[#This Row],[Rejected_Qty]])/ProductionData[[#This Row],[Produced_Qty]]</f>
        <v>9.186746987951808E-3</v>
      </c>
      <c r="U94" s="19">
        <f>ProductionData[[#This Row],[Produced_Qty]]/ProductionData[[#This Row],[Planned_Qty]]</f>
        <v>0.84910485933503832</v>
      </c>
      <c r="V94" s="2" t="s">
        <v>75</v>
      </c>
      <c r="W94" s="11">
        <v>0</v>
      </c>
      <c r="X94" s="13">
        <f>W94/60</f>
        <v>0</v>
      </c>
      <c r="Y94" s="2" t="s">
        <v>90</v>
      </c>
      <c r="Z94" s="2">
        <v>42</v>
      </c>
      <c r="AA94" s="2">
        <f>ProductionData[[#This Row],[Rejected_Qty]]*ProductionData[[#This Row],[Unit_Cost_INR]]</f>
        <v>2562</v>
      </c>
      <c r="AB94" s="4">
        <v>25490</v>
      </c>
      <c r="AC94" s="4">
        <v>7070</v>
      </c>
      <c r="AD94" s="4">
        <v>7070</v>
      </c>
      <c r="AE94" s="4">
        <v>24999</v>
      </c>
      <c r="AF94" s="4">
        <v>12000</v>
      </c>
    </row>
    <row r="95" spans="1:32">
      <c r="A95" s="2" t="s">
        <v>306</v>
      </c>
      <c r="B95" s="3">
        <v>46128</v>
      </c>
      <c r="C95" s="36" t="s">
        <v>78</v>
      </c>
      <c r="D95" s="2">
        <f>MONTH(ProductionData[[#This Row],[Month]])</f>
        <v>4</v>
      </c>
      <c r="E95" s="2" t="s">
        <v>107</v>
      </c>
      <c r="F95" s="2" t="s">
        <v>93</v>
      </c>
      <c r="G95" s="2" t="s">
        <v>195</v>
      </c>
      <c r="H95" s="2" t="s">
        <v>196</v>
      </c>
      <c r="I95" s="2" t="s">
        <v>197</v>
      </c>
      <c r="J95" s="2" t="s">
        <v>269</v>
      </c>
      <c r="K95" s="2" t="s">
        <v>270</v>
      </c>
      <c r="L95" s="2" t="s">
        <v>307</v>
      </c>
      <c r="M95" s="2" t="s">
        <v>133</v>
      </c>
      <c r="N95" s="2" t="s">
        <v>88</v>
      </c>
      <c r="O95" s="2">
        <v>14</v>
      </c>
      <c r="P95" s="2">
        <v>13</v>
      </c>
      <c r="Q95" s="4">
        <v>7880</v>
      </c>
      <c r="R95" s="4">
        <v>7260</v>
      </c>
      <c r="S95" s="4">
        <v>109</v>
      </c>
      <c r="T95" s="19">
        <f>(ProductionData[[#This Row],[Rejected_Qty]])/ProductionData[[#This Row],[Produced_Qty]]</f>
        <v>1.5013774104683195E-2</v>
      </c>
      <c r="U95" s="19">
        <f>ProductionData[[#This Row],[Produced_Qty]]/ProductionData[[#This Row],[Planned_Qty]]</f>
        <v>0.92131979695431476</v>
      </c>
      <c r="V95" s="2" t="s">
        <v>89</v>
      </c>
      <c r="W95" s="11">
        <v>0</v>
      </c>
      <c r="X95" s="13">
        <f>W95/60</f>
        <v>0</v>
      </c>
      <c r="Y95" s="2" t="s">
        <v>90</v>
      </c>
      <c r="Z95" s="2">
        <v>42</v>
      </c>
      <c r="AA95" s="2">
        <f>ProductionData[[#This Row],[Rejected_Qty]]*ProductionData[[#This Row],[Unit_Cost_INR]]</f>
        <v>4578</v>
      </c>
      <c r="AB95" s="4">
        <v>24477</v>
      </c>
      <c r="AC95" s="4">
        <v>6700</v>
      </c>
      <c r="AD95" s="4">
        <v>6700</v>
      </c>
      <c r="AE95" s="4">
        <v>24928</v>
      </c>
      <c r="AF95" s="4">
        <v>12000</v>
      </c>
    </row>
    <row r="96" spans="1:32">
      <c r="A96" s="2" t="s">
        <v>308</v>
      </c>
      <c r="B96" s="3">
        <v>46120</v>
      </c>
      <c r="C96" s="36" t="s">
        <v>78</v>
      </c>
      <c r="D96" s="2">
        <f>MONTH(ProductionData[[#This Row],[Month]])</f>
        <v>4</v>
      </c>
      <c r="E96" s="2" t="s">
        <v>79</v>
      </c>
      <c r="F96" s="2" t="s">
        <v>80</v>
      </c>
      <c r="G96" s="2" t="s">
        <v>174</v>
      </c>
      <c r="H96" s="2" t="s">
        <v>175</v>
      </c>
      <c r="I96" s="2" t="s">
        <v>176</v>
      </c>
      <c r="J96" s="2" t="s">
        <v>177</v>
      </c>
      <c r="K96" s="2" t="s">
        <v>178</v>
      </c>
      <c r="L96" s="2" t="s">
        <v>309</v>
      </c>
      <c r="M96" s="2" t="s">
        <v>102</v>
      </c>
      <c r="N96" s="2" t="s">
        <v>88</v>
      </c>
      <c r="O96" s="2">
        <v>10</v>
      </c>
      <c r="P96" s="2">
        <v>9</v>
      </c>
      <c r="Q96" s="4">
        <v>8450</v>
      </c>
      <c r="R96" s="4">
        <v>7980</v>
      </c>
      <c r="S96" s="4">
        <v>157</v>
      </c>
      <c r="T96" s="19">
        <f>(ProductionData[[#This Row],[Rejected_Qty]])/ProductionData[[#This Row],[Produced_Qty]]</f>
        <v>1.967418546365915E-2</v>
      </c>
      <c r="U96" s="19">
        <f>ProductionData[[#This Row],[Produced_Qty]]/ProductionData[[#This Row],[Planned_Qty]]</f>
        <v>0.9443786982248521</v>
      </c>
      <c r="V96" s="2" t="s">
        <v>113</v>
      </c>
      <c r="W96" s="11">
        <v>0</v>
      </c>
      <c r="X96" s="13">
        <f>W96/60</f>
        <v>0</v>
      </c>
      <c r="Y96" s="2" t="s">
        <v>90</v>
      </c>
      <c r="Z96" s="2">
        <v>24</v>
      </c>
      <c r="AA96" s="2">
        <f>ProductionData[[#This Row],[Rejected_Qty]]*ProductionData[[#This Row],[Unit_Cost_INR]]</f>
        <v>3768</v>
      </c>
      <c r="AB96" s="4">
        <v>24342</v>
      </c>
      <c r="AC96" s="4">
        <v>7320</v>
      </c>
      <c r="AD96" s="4">
        <v>7320</v>
      </c>
      <c r="AE96" s="4">
        <v>24845</v>
      </c>
      <c r="AF96" s="4">
        <v>12000</v>
      </c>
    </row>
    <row r="97" spans="1:32">
      <c r="A97" s="2" t="s">
        <v>310</v>
      </c>
      <c r="B97" s="3">
        <v>46120</v>
      </c>
      <c r="C97" s="36" t="s">
        <v>78</v>
      </c>
      <c r="D97" s="2">
        <f>MONTH(ProductionData[[#This Row],[Month]])</f>
        <v>4</v>
      </c>
      <c r="E97" s="2" t="s">
        <v>79</v>
      </c>
      <c r="F97" s="2" t="s">
        <v>66</v>
      </c>
      <c r="G97" s="2" t="s">
        <v>195</v>
      </c>
      <c r="H97" s="2" t="s">
        <v>196</v>
      </c>
      <c r="I97" s="2" t="s">
        <v>197</v>
      </c>
      <c r="J97" s="2" t="s">
        <v>269</v>
      </c>
      <c r="K97" s="2" t="s">
        <v>270</v>
      </c>
      <c r="L97" s="2" t="s">
        <v>311</v>
      </c>
      <c r="M97" s="2" t="s">
        <v>73</v>
      </c>
      <c r="N97" s="2" t="s">
        <v>88</v>
      </c>
      <c r="O97" s="2">
        <v>14</v>
      </c>
      <c r="P97" s="2">
        <v>13</v>
      </c>
      <c r="Q97" s="4">
        <v>7730</v>
      </c>
      <c r="R97" s="4">
        <v>7190</v>
      </c>
      <c r="S97" s="4">
        <v>176</v>
      </c>
      <c r="T97" s="19">
        <f>(ProductionData[[#This Row],[Rejected_Qty]])/ProductionData[[#This Row],[Produced_Qty]]</f>
        <v>2.4478442280945759E-2</v>
      </c>
      <c r="U97" s="19">
        <f>ProductionData[[#This Row],[Produced_Qty]]/ProductionData[[#This Row],[Planned_Qty]]</f>
        <v>0.93014230271668819</v>
      </c>
      <c r="V97" s="2" t="s">
        <v>103</v>
      </c>
      <c r="W97" s="11">
        <v>0</v>
      </c>
      <c r="X97" s="13">
        <f>W97/60</f>
        <v>0</v>
      </c>
      <c r="Y97" s="2" t="s">
        <v>90</v>
      </c>
      <c r="Z97" s="2">
        <v>42</v>
      </c>
      <c r="AA97" s="2">
        <f>ProductionData[[#This Row],[Rejected_Qty]]*ProductionData[[#This Row],[Unit_Cost_INR]]</f>
        <v>7392</v>
      </c>
      <c r="AB97" s="4">
        <v>24475</v>
      </c>
      <c r="AC97" s="4">
        <v>6750</v>
      </c>
      <c r="AD97" s="4">
        <v>6750</v>
      </c>
      <c r="AE97" s="4">
        <v>24739</v>
      </c>
      <c r="AF97" s="4">
        <v>12000</v>
      </c>
    </row>
    <row r="98" spans="1:32">
      <c r="A98" s="2" t="s">
        <v>312</v>
      </c>
      <c r="B98" s="3">
        <v>46116</v>
      </c>
      <c r="C98" s="36" t="s">
        <v>78</v>
      </c>
      <c r="D98" s="2">
        <f>MONTH(ProductionData[[#This Row],[Month]])</f>
        <v>4</v>
      </c>
      <c r="E98" s="2" t="s">
        <v>65</v>
      </c>
      <c r="F98" s="2" t="s">
        <v>93</v>
      </c>
      <c r="G98" s="2" t="s">
        <v>195</v>
      </c>
      <c r="H98" s="2" t="s">
        <v>196</v>
      </c>
      <c r="I98" s="2" t="s">
        <v>197</v>
      </c>
      <c r="J98" s="2" t="s">
        <v>269</v>
      </c>
      <c r="K98" s="2" t="s">
        <v>270</v>
      </c>
      <c r="L98" s="2" t="s">
        <v>313</v>
      </c>
      <c r="M98" s="2" t="s">
        <v>95</v>
      </c>
      <c r="N98" s="2" t="s">
        <v>88</v>
      </c>
      <c r="O98" s="2">
        <v>14</v>
      </c>
      <c r="P98" s="2">
        <v>11</v>
      </c>
      <c r="Q98" s="4">
        <v>7190</v>
      </c>
      <c r="R98" s="4">
        <v>6050</v>
      </c>
      <c r="S98" s="4">
        <v>167</v>
      </c>
      <c r="T98" s="19">
        <f>(ProductionData[[#This Row],[Rejected_Qty]])/ProductionData[[#This Row],[Produced_Qty]]</f>
        <v>2.7603305785123967E-2</v>
      </c>
      <c r="U98" s="19">
        <f>ProductionData[[#This Row],[Produced_Qty]]/ProductionData[[#This Row],[Planned_Qty]]</f>
        <v>0.84144645340751045</v>
      </c>
      <c r="V98" s="2" t="s">
        <v>75</v>
      </c>
      <c r="W98" s="11">
        <v>71</v>
      </c>
      <c r="X98" s="13">
        <f>W98/60</f>
        <v>1.1833333333333333</v>
      </c>
      <c r="Y98" s="2" t="s">
        <v>182</v>
      </c>
      <c r="Z98" s="2">
        <v>42</v>
      </c>
      <c r="AA98" s="2">
        <f>ProductionData[[#This Row],[Rejected_Qty]]*ProductionData[[#This Row],[Unit_Cost_INR]]</f>
        <v>7014</v>
      </c>
      <c r="AB98" s="4">
        <v>25294</v>
      </c>
      <c r="AC98" s="4">
        <v>6450</v>
      </c>
      <c r="AD98" s="4">
        <v>6450</v>
      </c>
      <c r="AE98" s="4">
        <v>24727</v>
      </c>
      <c r="AF98" s="4">
        <v>12000</v>
      </c>
    </row>
    <row r="99" spans="1:32">
      <c r="A99" s="2" t="s">
        <v>314</v>
      </c>
      <c r="B99" s="3">
        <v>46129</v>
      </c>
      <c r="C99" s="36" t="s">
        <v>78</v>
      </c>
      <c r="D99" s="2">
        <f>MONTH(ProductionData[[#This Row],[Month]])</f>
        <v>4</v>
      </c>
      <c r="E99" s="2" t="s">
        <v>125</v>
      </c>
      <c r="F99" s="2" t="s">
        <v>93</v>
      </c>
      <c r="G99" s="2" t="s">
        <v>195</v>
      </c>
      <c r="H99" s="2" t="s">
        <v>196</v>
      </c>
      <c r="I99" s="2" t="s">
        <v>197</v>
      </c>
      <c r="J99" s="2" t="s">
        <v>269</v>
      </c>
      <c r="K99" s="2" t="s">
        <v>270</v>
      </c>
      <c r="L99" s="2" t="s">
        <v>315</v>
      </c>
      <c r="M99" s="2" t="s">
        <v>133</v>
      </c>
      <c r="N99" s="2" t="s">
        <v>96</v>
      </c>
      <c r="O99" s="2">
        <v>14</v>
      </c>
      <c r="P99" s="2">
        <v>13</v>
      </c>
      <c r="Q99" s="4">
        <v>7210</v>
      </c>
      <c r="R99" s="4">
        <v>6860</v>
      </c>
      <c r="S99" s="4">
        <v>109</v>
      </c>
      <c r="T99" s="19">
        <f>(ProductionData[[#This Row],[Rejected_Qty]])/ProductionData[[#This Row],[Produced_Qty]]</f>
        <v>1.5889212827988337E-2</v>
      </c>
      <c r="U99" s="19">
        <f>ProductionData[[#This Row],[Produced_Qty]]/ProductionData[[#This Row],[Planned_Qty]]</f>
        <v>0.95145631067961167</v>
      </c>
      <c r="V99" s="2" t="s">
        <v>109</v>
      </c>
      <c r="W99" s="11">
        <v>0</v>
      </c>
      <c r="X99" s="13">
        <f>W99/60</f>
        <v>0</v>
      </c>
      <c r="Y99" s="2" t="s">
        <v>90</v>
      </c>
      <c r="Z99" s="2">
        <v>42</v>
      </c>
      <c r="AA99" s="2">
        <f>ProductionData[[#This Row],[Rejected_Qty]]*ProductionData[[#This Row],[Unit_Cost_INR]]</f>
        <v>4578</v>
      </c>
      <c r="AB99" s="4">
        <v>24928</v>
      </c>
      <c r="AC99" s="4">
        <v>6980</v>
      </c>
      <c r="AD99" s="4">
        <v>6980</v>
      </c>
      <c r="AE99" s="4">
        <v>24699</v>
      </c>
      <c r="AF99" s="4">
        <v>12000</v>
      </c>
    </row>
    <row r="100" spans="1:32">
      <c r="A100" s="2" t="s">
        <v>316</v>
      </c>
      <c r="B100" s="3">
        <v>46114</v>
      </c>
      <c r="C100" s="36" t="s">
        <v>78</v>
      </c>
      <c r="D100" s="2">
        <f>MONTH(ProductionData[[#This Row],[Month]])</f>
        <v>4</v>
      </c>
      <c r="E100" s="2" t="s">
        <v>107</v>
      </c>
      <c r="F100" s="2" t="s">
        <v>66</v>
      </c>
      <c r="G100" s="2" t="s">
        <v>195</v>
      </c>
      <c r="H100" s="2" t="s">
        <v>196</v>
      </c>
      <c r="I100" s="2" t="s">
        <v>197</v>
      </c>
      <c r="J100" s="2" t="s">
        <v>269</v>
      </c>
      <c r="K100" s="2" t="s">
        <v>270</v>
      </c>
      <c r="L100" s="2" t="s">
        <v>317</v>
      </c>
      <c r="M100" s="2" t="s">
        <v>99</v>
      </c>
      <c r="N100" s="2" t="s">
        <v>96</v>
      </c>
      <c r="O100" s="2">
        <v>14</v>
      </c>
      <c r="P100" s="2">
        <v>14</v>
      </c>
      <c r="Q100" s="4">
        <v>8180</v>
      </c>
      <c r="R100" s="4">
        <v>7890</v>
      </c>
      <c r="S100" s="4">
        <v>201</v>
      </c>
      <c r="T100" s="19">
        <f>(ProductionData[[#This Row],[Rejected_Qty]])/ProductionData[[#This Row],[Produced_Qty]]</f>
        <v>2.547528517110266E-2</v>
      </c>
      <c r="U100" s="19">
        <f>ProductionData[[#This Row],[Produced_Qty]]/ProductionData[[#This Row],[Planned_Qty]]</f>
        <v>0.96454767726161372</v>
      </c>
      <c r="V100" s="2" t="s">
        <v>113</v>
      </c>
      <c r="W100" s="11">
        <v>44</v>
      </c>
      <c r="X100" s="13">
        <f>W100/60</f>
        <v>0.73333333333333328</v>
      </c>
      <c r="Y100" s="2" t="s">
        <v>136</v>
      </c>
      <c r="Z100" s="2">
        <v>42</v>
      </c>
      <c r="AA100" s="2">
        <f>ProductionData[[#This Row],[Rejected_Qty]]*ProductionData[[#This Row],[Unit_Cost_INR]]</f>
        <v>8442</v>
      </c>
      <c r="AB100" s="4">
        <v>24045</v>
      </c>
      <c r="AC100" s="4">
        <v>7100</v>
      </c>
      <c r="AD100" s="4">
        <v>7100</v>
      </c>
      <c r="AE100" s="4">
        <v>24634</v>
      </c>
      <c r="AF100" s="4">
        <v>12000</v>
      </c>
    </row>
    <row r="101" spans="1:32">
      <c r="A101" s="2" t="s">
        <v>318</v>
      </c>
      <c r="B101" s="3">
        <v>46136</v>
      </c>
      <c r="C101" s="36" t="s">
        <v>78</v>
      </c>
      <c r="D101" s="2">
        <f>MONTH(ProductionData[[#This Row],[Month]])</f>
        <v>4</v>
      </c>
      <c r="E101" s="2" t="s">
        <v>125</v>
      </c>
      <c r="F101" s="2" t="s">
        <v>80</v>
      </c>
      <c r="G101" s="2" t="s">
        <v>174</v>
      </c>
      <c r="H101" s="2" t="s">
        <v>175</v>
      </c>
      <c r="I101" s="2" t="s">
        <v>176</v>
      </c>
      <c r="J101" s="2" t="s">
        <v>177</v>
      </c>
      <c r="K101" s="2" t="s">
        <v>178</v>
      </c>
      <c r="L101" s="2" t="s">
        <v>319</v>
      </c>
      <c r="M101" s="2" t="s">
        <v>102</v>
      </c>
      <c r="N101" s="2" t="s">
        <v>96</v>
      </c>
      <c r="O101" s="2">
        <v>10</v>
      </c>
      <c r="P101" s="2">
        <v>7</v>
      </c>
      <c r="Q101" s="4">
        <v>8300</v>
      </c>
      <c r="R101" s="4">
        <v>6810</v>
      </c>
      <c r="S101" s="4">
        <v>160</v>
      </c>
      <c r="T101" s="19">
        <f>(ProductionData[[#This Row],[Rejected_Qty]])/ProductionData[[#This Row],[Produced_Qty]]</f>
        <v>2.3494860499265784E-2</v>
      </c>
      <c r="U101" s="19">
        <f>ProductionData[[#This Row],[Produced_Qty]]/ProductionData[[#This Row],[Planned_Qty]]</f>
        <v>0.82048192771084338</v>
      </c>
      <c r="V101" s="2" t="s">
        <v>89</v>
      </c>
      <c r="W101" s="11">
        <v>0</v>
      </c>
      <c r="X101" s="13">
        <f>W101/60</f>
        <v>0</v>
      </c>
      <c r="Y101" s="2" t="s">
        <v>90</v>
      </c>
      <c r="Z101" s="2">
        <v>24</v>
      </c>
      <c r="AA101" s="2">
        <f>ProductionData[[#This Row],[Rejected_Qty]]*ProductionData[[#This Row],[Unit_Cost_INR]]</f>
        <v>3840</v>
      </c>
      <c r="AB101" s="4">
        <v>25527</v>
      </c>
      <c r="AC101" s="4">
        <v>7570</v>
      </c>
      <c r="AD101" s="4">
        <v>7570</v>
      </c>
      <c r="AE101" s="4">
        <v>24607</v>
      </c>
      <c r="AF101" s="4">
        <v>12000</v>
      </c>
    </row>
    <row r="102" spans="1:32">
      <c r="A102" s="2" t="s">
        <v>320</v>
      </c>
      <c r="B102" s="3">
        <v>46113</v>
      </c>
      <c r="C102" s="36" t="s">
        <v>78</v>
      </c>
      <c r="D102" s="2">
        <f>MONTH(ProductionData[[#This Row],[Month]])</f>
        <v>4</v>
      </c>
      <c r="E102" s="2" t="s">
        <v>79</v>
      </c>
      <c r="F102" s="2" t="s">
        <v>80</v>
      </c>
      <c r="G102" s="2" t="s">
        <v>174</v>
      </c>
      <c r="H102" s="2" t="s">
        <v>175</v>
      </c>
      <c r="I102" s="2" t="s">
        <v>176</v>
      </c>
      <c r="J102" s="2" t="s">
        <v>177</v>
      </c>
      <c r="K102" s="2" t="s">
        <v>178</v>
      </c>
      <c r="L102" s="2" t="s">
        <v>321</v>
      </c>
      <c r="M102" s="2" t="s">
        <v>87</v>
      </c>
      <c r="N102" s="2" t="s">
        <v>88</v>
      </c>
      <c r="O102" s="2">
        <v>10</v>
      </c>
      <c r="P102" s="2">
        <v>10</v>
      </c>
      <c r="Q102" s="4">
        <v>8600</v>
      </c>
      <c r="R102" s="4">
        <v>8940</v>
      </c>
      <c r="S102" s="4">
        <v>166</v>
      </c>
      <c r="T102" s="19">
        <f>(ProductionData[[#This Row],[Rejected_Qty]])/ProductionData[[#This Row],[Produced_Qty]]</f>
        <v>1.8568232662192395E-2</v>
      </c>
      <c r="U102" s="19">
        <f>ProductionData[[#This Row],[Produced_Qty]]/ProductionData[[#This Row],[Planned_Qty]]</f>
        <v>1.0395348837209302</v>
      </c>
      <c r="V102" s="2" t="s">
        <v>75</v>
      </c>
      <c r="W102" s="11">
        <v>33</v>
      </c>
      <c r="X102" s="13">
        <f>W102/60</f>
        <v>0.55000000000000004</v>
      </c>
      <c r="Y102" s="2" t="s">
        <v>110</v>
      </c>
      <c r="Z102" s="2">
        <v>24</v>
      </c>
      <c r="AA102" s="2">
        <f>ProductionData[[#This Row],[Rejected_Qty]]*ProductionData[[#This Row],[Unit_Cost_INR]]</f>
        <v>3984</v>
      </c>
      <c r="AB102" s="4">
        <v>24000</v>
      </c>
      <c r="AC102" s="4">
        <v>8190</v>
      </c>
      <c r="AD102" s="4">
        <v>8190</v>
      </c>
      <c r="AE102" s="4">
        <v>24584</v>
      </c>
      <c r="AF102" s="4">
        <v>12000</v>
      </c>
    </row>
    <row r="103" spans="1:32">
      <c r="A103" s="2" t="s">
        <v>322</v>
      </c>
      <c r="B103" s="3">
        <v>46136</v>
      </c>
      <c r="C103" s="36" t="s">
        <v>78</v>
      </c>
      <c r="D103" s="2">
        <f>MONTH(ProductionData[[#This Row],[Month]])</f>
        <v>4</v>
      </c>
      <c r="E103" s="2" t="s">
        <v>125</v>
      </c>
      <c r="F103" s="2" t="s">
        <v>66</v>
      </c>
      <c r="G103" s="2" t="s">
        <v>195</v>
      </c>
      <c r="H103" s="2" t="s">
        <v>196</v>
      </c>
      <c r="I103" s="2" t="s">
        <v>197</v>
      </c>
      <c r="J103" s="2" t="s">
        <v>198</v>
      </c>
      <c r="K103" s="2" t="s">
        <v>199</v>
      </c>
      <c r="L103" s="2" t="s">
        <v>323</v>
      </c>
      <c r="M103" s="2" t="s">
        <v>99</v>
      </c>
      <c r="N103" s="2" t="s">
        <v>88</v>
      </c>
      <c r="O103" s="2">
        <v>14</v>
      </c>
      <c r="P103" s="2">
        <v>12</v>
      </c>
      <c r="Q103" s="4">
        <v>9600</v>
      </c>
      <c r="R103" s="4">
        <v>8860</v>
      </c>
      <c r="S103" s="4">
        <v>243</v>
      </c>
      <c r="T103" s="19">
        <f>(ProductionData[[#This Row],[Rejected_Qty]])/ProductionData[[#This Row],[Produced_Qty]]</f>
        <v>2.7426636568848757E-2</v>
      </c>
      <c r="U103" s="19">
        <f>ProductionData[[#This Row],[Produced_Qty]]/ProductionData[[#This Row],[Planned_Qty]]</f>
        <v>0.92291666666666672</v>
      </c>
      <c r="V103" s="2" t="s">
        <v>89</v>
      </c>
      <c r="W103" s="11">
        <v>0</v>
      </c>
      <c r="X103" s="13">
        <f>W103/60</f>
        <v>0</v>
      </c>
      <c r="Y103" s="2" t="s">
        <v>90</v>
      </c>
      <c r="Z103" s="2">
        <v>38</v>
      </c>
      <c r="AA103" s="2">
        <f>ProductionData[[#This Row],[Rejected_Qty]]*ProductionData[[#This Row],[Unit_Cost_INR]]</f>
        <v>9234</v>
      </c>
      <c r="AB103" s="4">
        <v>23913</v>
      </c>
      <c r="AC103" s="4">
        <v>7960</v>
      </c>
      <c r="AD103" s="4">
        <v>7960</v>
      </c>
      <c r="AE103" s="4">
        <v>24570</v>
      </c>
      <c r="AF103" s="4">
        <v>13500</v>
      </c>
    </row>
    <row r="104" spans="1:32">
      <c r="A104" s="2" t="s">
        <v>324</v>
      </c>
      <c r="B104" s="3">
        <v>46120</v>
      </c>
      <c r="C104" s="36" t="s">
        <v>78</v>
      </c>
      <c r="D104" s="2">
        <f>MONTH(ProductionData[[#This Row],[Month]])</f>
        <v>4</v>
      </c>
      <c r="E104" s="2" t="s">
        <v>79</v>
      </c>
      <c r="F104" s="2" t="s">
        <v>93</v>
      </c>
      <c r="G104" s="2" t="s">
        <v>174</v>
      </c>
      <c r="H104" s="2" t="s">
        <v>175</v>
      </c>
      <c r="I104" s="2" t="s">
        <v>176</v>
      </c>
      <c r="J104" s="2" t="s">
        <v>177</v>
      </c>
      <c r="K104" s="2" t="s">
        <v>178</v>
      </c>
      <c r="L104" s="2" t="s">
        <v>325</v>
      </c>
      <c r="M104" s="2" t="s">
        <v>133</v>
      </c>
      <c r="N104" s="2" t="s">
        <v>96</v>
      </c>
      <c r="O104" s="2">
        <v>10</v>
      </c>
      <c r="P104" s="2">
        <v>8</v>
      </c>
      <c r="Q104" s="4">
        <v>7100</v>
      </c>
      <c r="R104" s="4">
        <v>6050</v>
      </c>
      <c r="S104" s="4">
        <v>123</v>
      </c>
      <c r="T104" s="19">
        <f>(ProductionData[[#This Row],[Rejected_Qty]])/ProductionData[[#This Row],[Produced_Qty]]</f>
        <v>2.0330578512396693E-2</v>
      </c>
      <c r="U104" s="19">
        <f>ProductionData[[#This Row],[Produced_Qty]]/ProductionData[[#This Row],[Planned_Qty]]</f>
        <v>0.852112676056338</v>
      </c>
      <c r="V104" s="2" t="s">
        <v>89</v>
      </c>
      <c r="W104" s="11">
        <v>0</v>
      </c>
      <c r="X104" s="13">
        <f>W104/60</f>
        <v>0</v>
      </c>
      <c r="Y104" s="2" t="s">
        <v>90</v>
      </c>
      <c r="Z104" s="2">
        <v>24</v>
      </c>
      <c r="AA104" s="2">
        <f>ProductionData[[#This Row],[Rejected_Qty]]*ProductionData[[#This Row],[Unit_Cost_INR]]</f>
        <v>2952</v>
      </c>
      <c r="AB104" s="4">
        <v>24845</v>
      </c>
      <c r="AC104" s="4">
        <v>6210</v>
      </c>
      <c r="AD104" s="4">
        <v>6210</v>
      </c>
      <c r="AE104" s="4">
        <v>24562</v>
      </c>
      <c r="AF104" s="4">
        <v>12000</v>
      </c>
    </row>
    <row r="105" spans="1:32">
      <c r="A105" s="2" t="s">
        <v>326</v>
      </c>
      <c r="B105" s="3">
        <v>46113</v>
      </c>
      <c r="C105" s="36" t="s">
        <v>78</v>
      </c>
      <c r="D105" s="2">
        <f>MONTH(ProductionData[[#This Row],[Month]])</f>
        <v>4</v>
      </c>
      <c r="E105" s="2" t="s">
        <v>79</v>
      </c>
      <c r="F105" s="2" t="s">
        <v>93</v>
      </c>
      <c r="G105" s="2" t="s">
        <v>174</v>
      </c>
      <c r="H105" s="2" t="s">
        <v>175</v>
      </c>
      <c r="I105" s="2" t="s">
        <v>176</v>
      </c>
      <c r="J105" s="2" t="s">
        <v>177</v>
      </c>
      <c r="K105" s="2" t="s">
        <v>178</v>
      </c>
      <c r="L105" s="2" t="s">
        <v>327</v>
      </c>
      <c r="M105" s="2" t="s">
        <v>95</v>
      </c>
      <c r="N105" s="2" t="s">
        <v>88</v>
      </c>
      <c r="O105" s="2">
        <v>10</v>
      </c>
      <c r="P105" s="2">
        <v>8</v>
      </c>
      <c r="Q105" s="4">
        <v>7890</v>
      </c>
      <c r="R105" s="4">
        <v>7020</v>
      </c>
      <c r="S105" s="4">
        <v>179</v>
      </c>
      <c r="T105" s="19">
        <f>(ProductionData[[#This Row],[Rejected_Qty]])/ProductionData[[#This Row],[Produced_Qty]]</f>
        <v>2.5498575498575499E-2</v>
      </c>
      <c r="U105" s="19">
        <f>ProductionData[[#This Row],[Produced_Qty]]/ProductionData[[#This Row],[Planned_Qty]]</f>
        <v>0.88973384030418246</v>
      </c>
      <c r="V105" s="2" t="s">
        <v>75</v>
      </c>
      <c r="W105" s="11">
        <v>60</v>
      </c>
      <c r="X105" s="13">
        <f>W105/60</f>
        <v>1</v>
      </c>
      <c r="Y105" s="2" t="s">
        <v>76</v>
      </c>
      <c r="Z105" s="2">
        <v>24</v>
      </c>
      <c r="AA105" s="2">
        <f>ProductionData[[#This Row],[Rejected_Qty]]*ProductionData[[#This Row],[Unit_Cost_INR]]</f>
        <v>4296</v>
      </c>
      <c r="AB105" s="4">
        <v>24584</v>
      </c>
      <c r="AC105" s="4">
        <v>6880</v>
      </c>
      <c r="AD105" s="4">
        <v>6880</v>
      </c>
      <c r="AE105" s="4">
        <v>24545</v>
      </c>
      <c r="AF105" s="4">
        <v>12000</v>
      </c>
    </row>
    <row r="106" spans="1:32">
      <c r="A106" s="2" t="s">
        <v>328</v>
      </c>
      <c r="B106" s="3">
        <v>46128</v>
      </c>
      <c r="C106" s="36" t="s">
        <v>78</v>
      </c>
      <c r="D106" s="2">
        <f>MONTH(ProductionData[[#This Row],[Month]])</f>
        <v>4</v>
      </c>
      <c r="E106" s="2" t="s">
        <v>107</v>
      </c>
      <c r="F106" s="2" t="s">
        <v>80</v>
      </c>
      <c r="G106" s="2" t="s">
        <v>195</v>
      </c>
      <c r="H106" s="2" t="s">
        <v>196</v>
      </c>
      <c r="I106" s="2" t="s">
        <v>197</v>
      </c>
      <c r="J106" s="2" t="s">
        <v>269</v>
      </c>
      <c r="K106" s="2" t="s">
        <v>270</v>
      </c>
      <c r="L106" s="2" t="s">
        <v>329</v>
      </c>
      <c r="M106" s="2" t="s">
        <v>87</v>
      </c>
      <c r="N106" s="2" t="s">
        <v>88</v>
      </c>
      <c r="O106" s="2">
        <v>14</v>
      </c>
      <c r="P106" s="2">
        <v>13</v>
      </c>
      <c r="Q106" s="4">
        <v>7810</v>
      </c>
      <c r="R106" s="4">
        <v>7400</v>
      </c>
      <c r="S106" s="4">
        <v>237</v>
      </c>
      <c r="T106" s="19">
        <f>(ProductionData[[#This Row],[Rejected_Qty]])/ProductionData[[#This Row],[Produced_Qty]]</f>
        <v>3.2027027027027026E-2</v>
      </c>
      <c r="U106" s="19">
        <f>ProductionData[[#This Row],[Produced_Qty]]/ProductionData[[#This Row],[Planned_Qty]]</f>
        <v>0.94750320102432783</v>
      </c>
      <c r="V106" s="2" t="s">
        <v>89</v>
      </c>
      <c r="W106" s="11">
        <v>15</v>
      </c>
      <c r="X106" s="13">
        <f>W106/60</f>
        <v>0.25</v>
      </c>
      <c r="Y106" s="2" t="s">
        <v>182</v>
      </c>
      <c r="Z106" s="2">
        <v>42</v>
      </c>
      <c r="AA106" s="2">
        <f>ProductionData[[#This Row],[Rejected_Qty]]*ProductionData[[#This Row],[Unit_Cost_INR]]</f>
        <v>9954</v>
      </c>
      <c r="AB106" s="4">
        <v>23744</v>
      </c>
      <c r="AC106" s="4">
        <v>6430</v>
      </c>
      <c r="AD106" s="4">
        <v>6430</v>
      </c>
      <c r="AE106" s="4">
        <v>24477</v>
      </c>
      <c r="AF106" s="4">
        <v>12000</v>
      </c>
    </row>
    <row r="107" spans="1:32">
      <c r="A107" s="2" t="s">
        <v>330</v>
      </c>
      <c r="B107" s="3">
        <v>46119</v>
      </c>
      <c r="C107" s="36" t="s">
        <v>78</v>
      </c>
      <c r="D107" s="2">
        <f>MONTH(ProductionData[[#This Row],[Month]])</f>
        <v>4</v>
      </c>
      <c r="E107" s="2" t="s">
        <v>92</v>
      </c>
      <c r="F107" s="2" t="s">
        <v>66</v>
      </c>
      <c r="G107" s="2" t="s">
        <v>195</v>
      </c>
      <c r="H107" s="2" t="s">
        <v>196</v>
      </c>
      <c r="I107" s="2" t="s">
        <v>197</v>
      </c>
      <c r="J107" s="2" t="s">
        <v>269</v>
      </c>
      <c r="K107" s="2" t="s">
        <v>270</v>
      </c>
      <c r="L107" s="2" t="s">
        <v>331</v>
      </c>
      <c r="M107" s="2" t="s">
        <v>99</v>
      </c>
      <c r="N107" s="2" t="s">
        <v>88</v>
      </c>
      <c r="O107" s="2">
        <v>14</v>
      </c>
      <c r="P107" s="2">
        <v>14</v>
      </c>
      <c r="Q107" s="4">
        <v>8380</v>
      </c>
      <c r="R107" s="4">
        <v>8220</v>
      </c>
      <c r="S107" s="4">
        <v>167</v>
      </c>
      <c r="T107" s="19">
        <f>(ProductionData[[#This Row],[Rejected_Qty]])/ProductionData[[#This Row],[Produced_Qty]]</f>
        <v>2.0316301703163016E-2</v>
      </c>
      <c r="U107" s="19">
        <f>ProductionData[[#This Row],[Produced_Qty]]/ProductionData[[#This Row],[Planned_Qty]]</f>
        <v>0.98090692124105017</v>
      </c>
      <c r="V107" s="2" t="s">
        <v>109</v>
      </c>
      <c r="W107" s="11">
        <v>0</v>
      </c>
      <c r="X107" s="13">
        <f>W107/60</f>
        <v>0</v>
      </c>
      <c r="Y107" s="2" t="s">
        <v>90</v>
      </c>
      <c r="Z107" s="2">
        <v>42</v>
      </c>
      <c r="AA107" s="2">
        <f>ProductionData[[#This Row],[Rejected_Qty]]*ProductionData[[#This Row],[Unit_Cost_INR]]</f>
        <v>7014</v>
      </c>
      <c r="AB107" s="4">
        <v>23492</v>
      </c>
      <c r="AC107" s="4">
        <v>7070</v>
      </c>
      <c r="AD107" s="4">
        <v>7070</v>
      </c>
      <c r="AE107" s="4">
        <v>24475</v>
      </c>
      <c r="AF107" s="4">
        <v>12000</v>
      </c>
    </row>
    <row r="108" spans="1:32">
      <c r="A108" s="2" t="s">
        <v>332</v>
      </c>
      <c r="B108" s="3">
        <v>46117</v>
      </c>
      <c r="C108" s="36" t="s">
        <v>78</v>
      </c>
      <c r="D108" s="2">
        <f>MONTH(ProductionData[[#This Row],[Month]])</f>
        <v>4</v>
      </c>
      <c r="E108" s="2" t="s">
        <v>186</v>
      </c>
      <c r="F108" s="2" t="s">
        <v>80</v>
      </c>
      <c r="G108" s="2" t="s">
        <v>195</v>
      </c>
      <c r="H108" s="2" t="s">
        <v>196</v>
      </c>
      <c r="I108" s="2" t="s">
        <v>197</v>
      </c>
      <c r="J108" s="2" t="s">
        <v>269</v>
      </c>
      <c r="K108" s="2" t="s">
        <v>270</v>
      </c>
      <c r="L108" s="2" t="s">
        <v>333</v>
      </c>
      <c r="M108" s="2" t="s">
        <v>87</v>
      </c>
      <c r="N108" s="2" t="s">
        <v>88</v>
      </c>
      <c r="O108" s="2">
        <v>14</v>
      </c>
      <c r="P108" s="2">
        <v>12</v>
      </c>
      <c r="Q108" s="4">
        <v>5360</v>
      </c>
      <c r="R108" s="4">
        <v>5010</v>
      </c>
      <c r="S108" s="4">
        <v>155</v>
      </c>
      <c r="T108" s="19">
        <f>(ProductionData[[#This Row],[Rejected_Qty]])/ProductionData[[#This Row],[Produced_Qty]]</f>
        <v>3.0938123752495009E-2</v>
      </c>
      <c r="U108" s="19">
        <f>ProductionData[[#This Row],[Produced_Qty]]/ProductionData[[#This Row],[Planned_Qty]]</f>
        <v>0.93470149253731338</v>
      </c>
      <c r="V108" s="2" t="s">
        <v>109</v>
      </c>
      <c r="W108" s="11">
        <v>15</v>
      </c>
      <c r="X108" s="13">
        <f>W108/60</f>
        <v>0.25</v>
      </c>
      <c r="Y108" s="2" t="s">
        <v>110</v>
      </c>
      <c r="Z108" s="2">
        <v>42</v>
      </c>
      <c r="AA108" s="2">
        <f>ProductionData[[#This Row],[Rejected_Qty]]*ProductionData[[#This Row],[Unit_Cost_INR]]</f>
        <v>6510</v>
      </c>
      <c r="AB108" s="4">
        <v>24727</v>
      </c>
      <c r="AC108" s="4">
        <v>5160</v>
      </c>
      <c r="AD108" s="4">
        <v>5160</v>
      </c>
      <c r="AE108" s="4">
        <v>24422</v>
      </c>
      <c r="AF108" s="4">
        <v>12000</v>
      </c>
    </row>
    <row r="109" spans="1:32">
      <c r="A109" s="2" t="s">
        <v>334</v>
      </c>
      <c r="B109" s="3">
        <v>46137</v>
      </c>
      <c r="C109" s="36" t="s">
        <v>78</v>
      </c>
      <c r="D109" s="2">
        <f>MONTH(ProductionData[[#This Row],[Month]])</f>
        <v>4</v>
      </c>
      <c r="E109" s="2" t="s">
        <v>65</v>
      </c>
      <c r="F109" s="2" t="s">
        <v>66</v>
      </c>
      <c r="G109" s="2" t="s">
        <v>195</v>
      </c>
      <c r="H109" s="2" t="s">
        <v>196</v>
      </c>
      <c r="I109" s="2" t="s">
        <v>197</v>
      </c>
      <c r="J109" s="2" t="s">
        <v>198</v>
      </c>
      <c r="K109" s="2" t="s">
        <v>199</v>
      </c>
      <c r="L109" s="2" t="s">
        <v>335</v>
      </c>
      <c r="M109" s="2" t="s">
        <v>73</v>
      </c>
      <c r="N109" s="2" t="s">
        <v>96</v>
      </c>
      <c r="O109" s="2">
        <v>14</v>
      </c>
      <c r="P109" s="2">
        <v>13</v>
      </c>
      <c r="Q109" s="4">
        <v>9490</v>
      </c>
      <c r="R109" s="4">
        <v>9170</v>
      </c>
      <c r="S109" s="4">
        <v>308</v>
      </c>
      <c r="T109" s="19">
        <f>(ProductionData[[#This Row],[Rejected_Qty]])/ProductionData[[#This Row],[Produced_Qty]]</f>
        <v>3.3587786259541987E-2</v>
      </c>
      <c r="U109" s="19">
        <f>ProductionData[[#This Row],[Produced_Qty]]/ProductionData[[#This Row],[Planned_Qty]]</f>
        <v>0.9662802950474183</v>
      </c>
      <c r="V109" s="2" t="s">
        <v>103</v>
      </c>
      <c r="W109" s="11">
        <v>0</v>
      </c>
      <c r="X109" s="13">
        <f>W109/60</f>
        <v>0</v>
      </c>
      <c r="Y109" s="2" t="s">
        <v>90</v>
      </c>
      <c r="Z109" s="2">
        <v>38</v>
      </c>
      <c r="AA109" s="2">
        <f>ProductionData[[#This Row],[Rejected_Qty]]*ProductionData[[#This Row],[Unit_Cost_INR]]</f>
        <v>11704</v>
      </c>
      <c r="AB109" s="4">
        <v>24111</v>
      </c>
      <c r="AC109" s="4">
        <v>8560</v>
      </c>
      <c r="AD109" s="4">
        <v>8560</v>
      </c>
      <c r="AE109" s="4">
        <v>24413</v>
      </c>
      <c r="AF109" s="4">
        <v>13500</v>
      </c>
    </row>
    <row r="110" spans="1:32">
      <c r="A110" s="2" t="s">
        <v>336</v>
      </c>
      <c r="B110" s="3">
        <v>46122</v>
      </c>
      <c r="C110" s="36" t="s">
        <v>78</v>
      </c>
      <c r="D110" s="2">
        <f>MONTH(ProductionData[[#This Row],[Month]])</f>
        <v>4</v>
      </c>
      <c r="E110" s="2" t="s">
        <v>125</v>
      </c>
      <c r="F110" s="2" t="s">
        <v>66</v>
      </c>
      <c r="G110" s="2" t="s">
        <v>174</v>
      </c>
      <c r="H110" s="2" t="s">
        <v>175</v>
      </c>
      <c r="I110" s="2" t="s">
        <v>176</v>
      </c>
      <c r="J110" s="2" t="s">
        <v>177</v>
      </c>
      <c r="K110" s="2" t="s">
        <v>178</v>
      </c>
      <c r="L110" s="2" t="s">
        <v>337</v>
      </c>
      <c r="M110" s="2" t="s">
        <v>99</v>
      </c>
      <c r="N110" s="2" t="s">
        <v>88</v>
      </c>
      <c r="O110" s="2">
        <v>10</v>
      </c>
      <c r="P110" s="2">
        <v>10</v>
      </c>
      <c r="Q110" s="4">
        <v>8260</v>
      </c>
      <c r="R110" s="4">
        <v>8120</v>
      </c>
      <c r="S110" s="4">
        <v>120</v>
      </c>
      <c r="T110" s="19">
        <f>(ProductionData[[#This Row],[Rejected_Qty]])/ProductionData[[#This Row],[Produced_Qty]]</f>
        <v>1.4778325123152709E-2</v>
      </c>
      <c r="U110" s="19">
        <f>ProductionData[[#This Row],[Produced_Qty]]/ProductionData[[#This Row],[Planned_Qty]]</f>
        <v>0.98305084745762716</v>
      </c>
      <c r="V110" s="2" t="s">
        <v>103</v>
      </c>
      <c r="W110" s="11">
        <v>0</v>
      </c>
      <c r="X110" s="13">
        <f>W110/60</f>
        <v>0</v>
      </c>
      <c r="Y110" s="2" t="s">
        <v>90</v>
      </c>
      <c r="Z110" s="2">
        <v>24</v>
      </c>
      <c r="AA110" s="2">
        <f>ProductionData[[#This Row],[Rejected_Qty]]*ProductionData[[#This Row],[Unit_Cost_INR]]</f>
        <v>2880</v>
      </c>
      <c r="AB110" s="4">
        <v>24562</v>
      </c>
      <c r="AC110" s="4">
        <v>8160</v>
      </c>
      <c r="AD110" s="4">
        <v>8160</v>
      </c>
      <c r="AE110" s="4">
        <v>24402</v>
      </c>
      <c r="AF110" s="4">
        <v>12000</v>
      </c>
    </row>
    <row r="111" spans="1:32">
      <c r="A111" s="2" t="s">
        <v>338</v>
      </c>
      <c r="B111" s="3">
        <v>46120</v>
      </c>
      <c r="C111" s="36" t="s">
        <v>78</v>
      </c>
      <c r="D111" s="2">
        <f>MONTH(ProductionData[[#This Row],[Month]])</f>
        <v>4</v>
      </c>
      <c r="E111" s="2" t="s">
        <v>79</v>
      </c>
      <c r="F111" s="2" t="s">
        <v>66</v>
      </c>
      <c r="G111" s="2" t="s">
        <v>174</v>
      </c>
      <c r="H111" s="2" t="s">
        <v>175</v>
      </c>
      <c r="I111" s="2" t="s">
        <v>176</v>
      </c>
      <c r="J111" s="2" t="s">
        <v>177</v>
      </c>
      <c r="K111" s="2" t="s">
        <v>178</v>
      </c>
      <c r="L111" s="2" t="s">
        <v>339</v>
      </c>
      <c r="M111" s="2" t="s">
        <v>73</v>
      </c>
      <c r="N111" s="2" t="s">
        <v>88</v>
      </c>
      <c r="O111" s="2">
        <v>10</v>
      </c>
      <c r="P111" s="2">
        <v>9</v>
      </c>
      <c r="Q111" s="4">
        <v>8350</v>
      </c>
      <c r="R111" s="4">
        <v>8100</v>
      </c>
      <c r="S111" s="4">
        <v>150</v>
      </c>
      <c r="T111" s="19">
        <f>(ProductionData[[#This Row],[Rejected_Qty]])/ProductionData[[#This Row],[Produced_Qty]]</f>
        <v>1.8518518518518517E-2</v>
      </c>
      <c r="U111" s="19">
        <f>ProductionData[[#This Row],[Produced_Qty]]/ProductionData[[#This Row],[Planned_Qty]]</f>
        <v>0.97005988023952094</v>
      </c>
      <c r="V111" s="2" t="s">
        <v>103</v>
      </c>
      <c r="W111" s="11">
        <v>0</v>
      </c>
      <c r="X111" s="13">
        <f>W111/60</f>
        <v>0</v>
      </c>
      <c r="Y111" s="2" t="s">
        <v>90</v>
      </c>
      <c r="Z111" s="2">
        <v>24</v>
      </c>
      <c r="AA111" s="2">
        <f>ProductionData[[#This Row],[Rejected_Qty]]*ProductionData[[#This Row],[Unit_Cost_INR]]</f>
        <v>3600</v>
      </c>
      <c r="AB111" s="4">
        <v>23332</v>
      </c>
      <c r="AC111" s="4">
        <v>6940</v>
      </c>
      <c r="AD111" s="4">
        <v>6940</v>
      </c>
      <c r="AE111" s="4">
        <v>24342</v>
      </c>
      <c r="AF111" s="4">
        <v>12000</v>
      </c>
    </row>
    <row r="112" spans="1:32">
      <c r="A112" s="2" t="s">
        <v>340</v>
      </c>
      <c r="B112" s="3">
        <v>46114</v>
      </c>
      <c r="C112" s="36" t="s">
        <v>78</v>
      </c>
      <c r="D112" s="2">
        <f>MONTH(ProductionData[[#This Row],[Month]])</f>
        <v>4</v>
      </c>
      <c r="E112" s="2" t="s">
        <v>107</v>
      </c>
      <c r="F112" s="2" t="s">
        <v>93</v>
      </c>
      <c r="G112" s="2" t="s">
        <v>174</v>
      </c>
      <c r="H112" s="2" t="s">
        <v>175</v>
      </c>
      <c r="I112" s="2" t="s">
        <v>176</v>
      </c>
      <c r="J112" s="2" t="s">
        <v>177</v>
      </c>
      <c r="K112" s="2" t="s">
        <v>178</v>
      </c>
      <c r="L112" s="2" t="s">
        <v>341</v>
      </c>
      <c r="M112" s="2" t="s">
        <v>95</v>
      </c>
      <c r="N112" s="2" t="s">
        <v>96</v>
      </c>
      <c r="O112" s="2">
        <v>10</v>
      </c>
      <c r="P112" s="2">
        <v>8</v>
      </c>
      <c r="Q112" s="4">
        <v>8020</v>
      </c>
      <c r="R112" s="4">
        <v>7260</v>
      </c>
      <c r="S112" s="4">
        <v>195</v>
      </c>
      <c r="T112" s="19">
        <f>(ProductionData[[#This Row],[Rejected_Qty]])/ProductionData[[#This Row],[Produced_Qty]]</f>
        <v>2.6859504132231406E-2</v>
      </c>
      <c r="U112" s="19">
        <f>ProductionData[[#This Row],[Produced_Qty]]/ProductionData[[#This Row],[Planned_Qty]]</f>
        <v>0.90523690773067333</v>
      </c>
      <c r="V112" s="2" t="s">
        <v>89</v>
      </c>
      <c r="W112" s="11">
        <v>0</v>
      </c>
      <c r="X112" s="13">
        <f>W112/60</f>
        <v>0</v>
      </c>
      <c r="Y112" s="2" t="s">
        <v>90</v>
      </c>
      <c r="Z112" s="2">
        <v>24</v>
      </c>
      <c r="AA112" s="2">
        <f>ProductionData[[#This Row],[Rejected_Qty]]*ProductionData[[#This Row],[Unit_Cost_INR]]</f>
        <v>4680</v>
      </c>
      <c r="AB112" s="4">
        <v>24545</v>
      </c>
      <c r="AC112" s="4">
        <v>7280</v>
      </c>
      <c r="AD112" s="4">
        <v>7280</v>
      </c>
      <c r="AE112" s="4">
        <v>24330</v>
      </c>
      <c r="AF112" s="4">
        <v>12000</v>
      </c>
    </row>
    <row r="113" spans="1:32">
      <c r="A113" s="2" t="s">
        <v>342</v>
      </c>
      <c r="B113" s="3">
        <v>46118</v>
      </c>
      <c r="C113" s="36" t="s">
        <v>78</v>
      </c>
      <c r="D113" s="2">
        <f>MONTH(ProductionData[[#This Row],[Month]])</f>
        <v>4</v>
      </c>
      <c r="E113" s="2" t="s">
        <v>116</v>
      </c>
      <c r="F113" s="2" t="s">
        <v>66</v>
      </c>
      <c r="G113" s="2" t="s">
        <v>195</v>
      </c>
      <c r="H113" s="2" t="s">
        <v>196</v>
      </c>
      <c r="I113" s="2" t="s">
        <v>197</v>
      </c>
      <c r="J113" s="2" t="s">
        <v>198</v>
      </c>
      <c r="K113" s="2" t="s">
        <v>199</v>
      </c>
      <c r="L113" s="2" t="s">
        <v>343</v>
      </c>
      <c r="M113" s="2" t="s">
        <v>99</v>
      </c>
      <c r="N113" s="2" t="s">
        <v>96</v>
      </c>
      <c r="O113" s="2">
        <v>14</v>
      </c>
      <c r="P113" s="2">
        <v>14</v>
      </c>
      <c r="Q113" s="4">
        <v>8320</v>
      </c>
      <c r="R113" s="4">
        <v>8150</v>
      </c>
      <c r="S113" s="4">
        <v>93</v>
      </c>
      <c r="T113" s="19">
        <f>(ProductionData[[#This Row],[Rejected_Qty]])/ProductionData[[#This Row],[Produced_Qty]]</f>
        <v>1.1411042944785276E-2</v>
      </c>
      <c r="U113" s="19">
        <f>ProductionData[[#This Row],[Produced_Qty]]/ProductionData[[#This Row],[Planned_Qty]]</f>
        <v>0.97956730769230771</v>
      </c>
      <c r="V113" s="2" t="s">
        <v>109</v>
      </c>
      <c r="W113" s="11">
        <v>0</v>
      </c>
      <c r="X113" s="13">
        <f>W113/60</f>
        <v>0</v>
      </c>
      <c r="Y113" s="2" t="s">
        <v>90</v>
      </c>
      <c r="Z113" s="2">
        <v>38</v>
      </c>
      <c r="AA113" s="2">
        <f>ProductionData[[#This Row],[Rejected_Qty]]*ProductionData[[#This Row],[Unit_Cost_INR]]</f>
        <v>3534</v>
      </c>
      <c r="AB113" s="4">
        <v>25064</v>
      </c>
      <c r="AC113" s="4">
        <v>8810</v>
      </c>
      <c r="AD113" s="4">
        <v>8810</v>
      </c>
      <c r="AE113" s="4">
        <v>24311</v>
      </c>
      <c r="AF113" s="4">
        <v>13500</v>
      </c>
    </row>
    <row r="114" spans="1:32">
      <c r="A114" s="2" t="s">
        <v>344</v>
      </c>
      <c r="B114" s="3">
        <v>46121</v>
      </c>
      <c r="C114" s="36" t="s">
        <v>78</v>
      </c>
      <c r="D114" s="2">
        <f>MONTH(ProductionData[[#This Row],[Month]])</f>
        <v>4</v>
      </c>
      <c r="E114" s="2" t="s">
        <v>107</v>
      </c>
      <c r="F114" s="2" t="s">
        <v>93</v>
      </c>
      <c r="G114" s="2" t="s">
        <v>195</v>
      </c>
      <c r="H114" s="2" t="s">
        <v>196</v>
      </c>
      <c r="I114" s="2" t="s">
        <v>197</v>
      </c>
      <c r="J114" s="2" t="s">
        <v>269</v>
      </c>
      <c r="K114" s="2" t="s">
        <v>270</v>
      </c>
      <c r="L114" s="2" t="s">
        <v>345</v>
      </c>
      <c r="M114" s="2" t="s">
        <v>133</v>
      </c>
      <c r="N114" s="2" t="s">
        <v>96</v>
      </c>
      <c r="O114" s="2">
        <v>14</v>
      </c>
      <c r="P114" s="2">
        <v>12</v>
      </c>
      <c r="Q114" s="4">
        <v>7160</v>
      </c>
      <c r="R114" s="4">
        <v>6630</v>
      </c>
      <c r="S114" s="4">
        <v>69</v>
      </c>
      <c r="T114" s="19">
        <f>(ProductionData[[#This Row],[Rejected_Qty]])/ProductionData[[#This Row],[Produced_Qty]]</f>
        <v>1.0407239819004524E-2</v>
      </c>
      <c r="U114" s="19">
        <f>ProductionData[[#This Row],[Produced_Qty]]/ProductionData[[#This Row],[Planned_Qty]]</f>
        <v>0.92597765363128492</v>
      </c>
      <c r="V114" s="2" t="s">
        <v>75</v>
      </c>
      <c r="W114" s="11">
        <v>0</v>
      </c>
      <c r="X114" s="13">
        <f>W114/60</f>
        <v>0</v>
      </c>
      <c r="Y114" s="2" t="s">
        <v>90</v>
      </c>
      <c r="Z114" s="2">
        <v>42</v>
      </c>
      <c r="AA114" s="2">
        <f>ProductionData[[#This Row],[Rejected_Qty]]*ProductionData[[#This Row],[Unit_Cost_INR]]</f>
        <v>2898</v>
      </c>
      <c r="AB114" s="4">
        <v>24739</v>
      </c>
      <c r="AC114" s="4">
        <v>7010</v>
      </c>
      <c r="AD114" s="4">
        <v>7010</v>
      </c>
      <c r="AE114" s="4">
        <v>24290</v>
      </c>
      <c r="AF114" s="4">
        <v>12000</v>
      </c>
    </row>
    <row r="115" spans="1:32">
      <c r="A115" s="2" t="s">
        <v>346</v>
      </c>
      <c r="B115" s="3">
        <v>46116</v>
      </c>
      <c r="C115" s="36" t="s">
        <v>78</v>
      </c>
      <c r="D115" s="2">
        <f>MONTH(ProductionData[[#This Row],[Month]])</f>
        <v>4</v>
      </c>
      <c r="E115" s="2" t="s">
        <v>65</v>
      </c>
      <c r="F115" s="2" t="s">
        <v>80</v>
      </c>
      <c r="G115" s="2" t="s">
        <v>174</v>
      </c>
      <c r="H115" s="2" t="s">
        <v>175</v>
      </c>
      <c r="I115" s="2" t="s">
        <v>176</v>
      </c>
      <c r="J115" s="2" t="s">
        <v>177</v>
      </c>
      <c r="K115" s="2" t="s">
        <v>178</v>
      </c>
      <c r="L115" s="2" t="s">
        <v>347</v>
      </c>
      <c r="M115" s="2" t="s">
        <v>102</v>
      </c>
      <c r="N115" s="2" t="s">
        <v>88</v>
      </c>
      <c r="O115" s="2">
        <v>10</v>
      </c>
      <c r="P115" s="2">
        <v>10</v>
      </c>
      <c r="Q115" s="4">
        <v>7980</v>
      </c>
      <c r="R115" s="4">
        <v>7750</v>
      </c>
      <c r="S115" s="4">
        <v>68</v>
      </c>
      <c r="T115" s="19">
        <f>(ProductionData[[#This Row],[Rejected_Qty]])/ProductionData[[#This Row],[Produced_Qty]]</f>
        <v>8.7741935483870975E-3</v>
      </c>
      <c r="U115" s="19">
        <f>ProductionData[[#This Row],[Produced_Qty]]/ProductionData[[#This Row],[Planned_Qty]]</f>
        <v>0.97117794486215536</v>
      </c>
      <c r="V115" s="2" t="s">
        <v>103</v>
      </c>
      <c r="W115" s="11">
        <v>0</v>
      </c>
      <c r="X115" s="13">
        <f>W115/60</f>
        <v>0</v>
      </c>
      <c r="Y115" s="2" t="s">
        <v>90</v>
      </c>
      <c r="Z115" s="2">
        <v>24</v>
      </c>
      <c r="AA115" s="2">
        <f>ProductionData[[#This Row],[Rejected_Qty]]*ProductionData[[#This Row],[Unit_Cost_INR]]</f>
        <v>1632</v>
      </c>
      <c r="AB115" s="4">
        <v>23880</v>
      </c>
      <c r="AC115" s="4">
        <v>7280</v>
      </c>
      <c r="AD115" s="4">
        <v>7280</v>
      </c>
      <c r="AE115" s="4">
        <v>24282</v>
      </c>
      <c r="AF115" s="4">
        <v>12000</v>
      </c>
    </row>
    <row r="116" spans="1:32">
      <c r="A116" s="2" t="s">
        <v>348</v>
      </c>
      <c r="B116" s="3">
        <v>46115</v>
      </c>
      <c r="C116" s="36" t="s">
        <v>78</v>
      </c>
      <c r="D116" s="2">
        <f>MONTH(ProductionData[[#This Row],[Month]])</f>
        <v>4</v>
      </c>
      <c r="E116" s="2" t="s">
        <v>125</v>
      </c>
      <c r="F116" s="2" t="s">
        <v>80</v>
      </c>
      <c r="G116" s="2" t="s">
        <v>174</v>
      </c>
      <c r="H116" s="2" t="s">
        <v>175</v>
      </c>
      <c r="I116" s="2" t="s">
        <v>176</v>
      </c>
      <c r="J116" s="2" t="s">
        <v>177</v>
      </c>
      <c r="K116" s="2" t="s">
        <v>178</v>
      </c>
      <c r="L116" s="2" t="s">
        <v>349</v>
      </c>
      <c r="M116" s="2" t="s">
        <v>102</v>
      </c>
      <c r="N116" s="2" t="s">
        <v>88</v>
      </c>
      <c r="O116" s="2">
        <v>10</v>
      </c>
      <c r="P116" s="2">
        <v>10</v>
      </c>
      <c r="Q116" s="4">
        <v>8200</v>
      </c>
      <c r="R116" s="4">
        <v>7770</v>
      </c>
      <c r="S116" s="4">
        <v>162</v>
      </c>
      <c r="T116" s="19">
        <f>(ProductionData[[#This Row],[Rejected_Qty]])/ProductionData[[#This Row],[Produced_Qty]]</f>
        <v>2.084942084942085E-2</v>
      </c>
      <c r="U116" s="19">
        <f>ProductionData[[#This Row],[Produced_Qty]]/ProductionData[[#This Row],[Planned_Qty]]</f>
        <v>0.94756097560975605</v>
      </c>
      <c r="V116" s="2" t="s">
        <v>113</v>
      </c>
      <c r="W116" s="11">
        <v>0</v>
      </c>
      <c r="X116" s="13">
        <f>W116/60</f>
        <v>0</v>
      </c>
      <c r="Y116" s="2" t="s">
        <v>90</v>
      </c>
      <c r="Z116" s="2">
        <v>24</v>
      </c>
      <c r="AA116" s="2">
        <f>ProductionData[[#This Row],[Rejected_Qty]]*ProductionData[[#This Row],[Unit_Cost_INR]]</f>
        <v>3888</v>
      </c>
      <c r="AB116" s="4">
        <v>24330</v>
      </c>
      <c r="AC116" s="4">
        <v>7670</v>
      </c>
      <c r="AD116" s="4">
        <v>7670</v>
      </c>
      <c r="AE116" s="4">
        <v>24268</v>
      </c>
      <c r="AF116" s="4">
        <v>12000</v>
      </c>
    </row>
    <row r="117" spans="1:32">
      <c r="A117" s="2" t="s">
        <v>350</v>
      </c>
      <c r="B117" s="3">
        <v>46141</v>
      </c>
      <c r="C117" s="36" t="s">
        <v>78</v>
      </c>
      <c r="D117" s="2">
        <f>MONTH(ProductionData[[#This Row],[Month]])</f>
        <v>4</v>
      </c>
      <c r="E117" s="2" t="s">
        <v>79</v>
      </c>
      <c r="F117" s="2" t="s">
        <v>66</v>
      </c>
      <c r="G117" s="2" t="s">
        <v>195</v>
      </c>
      <c r="H117" s="2" t="s">
        <v>196</v>
      </c>
      <c r="I117" s="2" t="s">
        <v>197</v>
      </c>
      <c r="J117" s="2" t="s">
        <v>269</v>
      </c>
      <c r="K117" s="2" t="s">
        <v>270</v>
      </c>
      <c r="L117" s="2" t="s">
        <v>351</v>
      </c>
      <c r="M117" s="2" t="s">
        <v>73</v>
      </c>
      <c r="N117" s="2" t="s">
        <v>96</v>
      </c>
      <c r="O117" s="2">
        <v>14</v>
      </c>
      <c r="P117" s="2">
        <v>14</v>
      </c>
      <c r="Q117" s="4">
        <v>7540</v>
      </c>
      <c r="R117" s="4">
        <v>7580</v>
      </c>
      <c r="S117" s="4">
        <v>187</v>
      </c>
      <c r="T117" s="19">
        <f>(ProductionData[[#This Row],[Rejected_Qty]])/ProductionData[[#This Row],[Produced_Qty]]</f>
        <v>2.4670184696569921E-2</v>
      </c>
      <c r="U117" s="19">
        <f>ProductionData[[#This Row],[Produced_Qty]]/ProductionData[[#This Row],[Planned_Qty]]</f>
        <v>1.0053050397877985</v>
      </c>
      <c r="V117" s="2" t="s">
        <v>89</v>
      </c>
      <c r="W117" s="11">
        <v>21</v>
      </c>
      <c r="X117" s="13">
        <f>W117/60</f>
        <v>0.35</v>
      </c>
      <c r="Y117" s="2" t="s">
        <v>110</v>
      </c>
      <c r="Z117" s="2">
        <v>42</v>
      </c>
      <c r="AA117" s="2">
        <f>ProductionData[[#This Row],[Rejected_Qty]]*ProductionData[[#This Row],[Unit_Cost_INR]]</f>
        <v>7854</v>
      </c>
      <c r="AB117" s="4">
        <v>23693</v>
      </c>
      <c r="AC117" s="4">
        <v>6860</v>
      </c>
      <c r="AD117" s="4">
        <v>6860</v>
      </c>
      <c r="AE117" s="4">
        <v>24226</v>
      </c>
      <c r="AF117" s="4">
        <v>12000</v>
      </c>
    </row>
    <row r="118" spans="1:32">
      <c r="A118" s="2" t="s">
        <v>352</v>
      </c>
      <c r="B118" s="3">
        <v>46125</v>
      </c>
      <c r="C118" s="36" t="s">
        <v>78</v>
      </c>
      <c r="D118" s="2">
        <f>MONTH(ProductionData[[#This Row],[Month]])</f>
        <v>4</v>
      </c>
      <c r="E118" s="2" t="s">
        <v>116</v>
      </c>
      <c r="F118" s="2" t="s">
        <v>66</v>
      </c>
      <c r="G118" s="2" t="s">
        <v>195</v>
      </c>
      <c r="H118" s="2" t="s">
        <v>196</v>
      </c>
      <c r="I118" s="2" t="s">
        <v>197</v>
      </c>
      <c r="J118" s="2" t="s">
        <v>269</v>
      </c>
      <c r="K118" s="2" t="s">
        <v>270</v>
      </c>
      <c r="L118" s="2" t="s">
        <v>353</v>
      </c>
      <c r="M118" s="2" t="s">
        <v>99</v>
      </c>
      <c r="N118" s="2" t="s">
        <v>88</v>
      </c>
      <c r="O118" s="2">
        <v>14</v>
      </c>
      <c r="P118" s="2">
        <v>14</v>
      </c>
      <c r="Q118" s="4">
        <v>8000</v>
      </c>
      <c r="R118" s="4">
        <v>7710</v>
      </c>
      <c r="S118" s="4">
        <v>190</v>
      </c>
      <c r="T118" s="19">
        <f>(ProductionData[[#This Row],[Rejected_Qty]])/ProductionData[[#This Row],[Produced_Qty]]</f>
        <v>2.464332036316472E-2</v>
      </c>
      <c r="U118" s="19">
        <f>ProductionData[[#This Row],[Produced_Qty]]/ProductionData[[#This Row],[Planned_Qty]]</f>
        <v>0.96375</v>
      </c>
      <c r="V118" s="2" t="s">
        <v>109</v>
      </c>
      <c r="W118" s="11">
        <v>0</v>
      </c>
      <c r="X118" s="13">
        <f>W118/60</f>
        <v>0</v>
      </c>
      <c r="Y118" s="2" t="s">
        <v>90</v>
      </c>
      <c r="Z118" s="2">
        <v>42</v>
      </c>
      <c r="AA118" s="2">
        <f>ProductionData[[#This Row],[Rejected_Qty]]*ProductionData[[#This Row],[Unit_Cost_INR]]</f>
        <v>7980</v>
      </c>
      <c r="AB118" s="4">
        <v>23265</v>
      </c>
      <c r="AC118" s="4">
        <v>6580</v>
      </c>
      <c r="AD118" s="4">
        <v>6580</v>
      </c>
      <c r="AE118" s="4">
        <v>24205</v>
      </c>
      <c r="AF118" s="4">
        <v>12000</v>
      </c>
    </row>
    <row r="119" spans="1:32">
      <c r="A119" s="2" t="s">
        <v>354</v>
      </c>
      <c r="B119" s="3">
        <v>46136</v>
      </c>
      <c r="C119" s="36" t="s">
        <v>78</v>
      </c>
      <c r="D119" s="2">
        <f>MONTH(ProductionData[[#This Row],[Month]])</f>
        <v>4</v>
      </c>
      <c r="E119" s="2" t="s">
        <v>125</v>
      </c>
      <c r="F119" s="2" t="s">
        <v>80</v>
      </c>
      <c r="G119" s="2" t="s">
        <v>195</v>
      </c>
      <c r="H119" s="2" t="s">
        <v>196</v>
      </c>
      <c r="I119" s="2" t="s">
        <v>197</v>
      </c>
      <c r="J119" s="2" t="s">
        <v>198</v>
      </c>
      <c r="K119" s="2" t="s">
        <v>199</v>
      </c>
      <c r="L119" s="2" t="s">
        <v>355</v>
      </c>
      <c r="M119" s="2" t="s">
        <v>87</v>
      </c>
      <c r="N119" s="2" t="s">
        <v>96</v>
      </c>
      <c r="O119" s="2">
        <v>14</v>
      </c>
      <c r="P119" s="2">
        <v>13</v>
      </c>
      <c r="Q119" s="4">
        <v>9160</v>
      </c>
      <c r="R119" s="4">
        <v>8320</v>
      </c>
      <c r="S119" s="4">
        <v>269</v>
      </c>
      <c r="T119" s="19">
        <f>(ProductionData[[#This Row],[Rejected_Qty]])/ProductionData[[#This Row],[Produced_Qty]]</f>
        <v>3.2331730769230772E-2</v>
      </c>
      <c r="U119" s="19">
        <f>ProductionData[[#This Row],[Produced_Qty]]/ProductionData[[#This Row],[Planned_Qty]]</f>
        <v>0.90829694323144106</v>
      </c>
      <c r="V119" s="2" t="s">
        <v>75</v>
      </c>
      <c r="W119" s="11">
        <v>68</v>
      </c>
      <c r="X119" s="13">
        <f>W119/60</f>
        <v>1.1333333333333333</v>
      </c>
      <c r="Y119" s="2" t="s">
        <v>110</v>
      </c>
      <c r="Z119" s="2">
        <v>38</v>
      </c>
      <c r="AA119" s="2">
        <f>ProductionData[[#This Row],[Rejected_Qty]]*ProductionData[[#This Row],[Unit_Cost_INR]]</f>
        <v>10222</v>
      </c>
      <c r="AB119" s="4">
        <v>24570</v>
      </c>
      <c r="AC119" s="4">
        <v>8510</v>
      </c>
      <c r="AD119" s="4">
        <v>8510</v>
      </c>
      <c r="AE119" s="4">
        <v>24111</v>
      </c>
      <c r="AF119" s="4">
        <v>13500</v>
      </c>
    </row>
    <row r="120" spans="1:32">
      <c r="A120" s="2" t="s">
        <v>356</v>
      </c>
      <c r="B120" s="3">
        <v>46113</v>
      </c>
      <c r="C120" s="36" t="s">
        <v>78</v>
      </c>
      <c r="D120" s="2">
        <f>MONTH(ProductionData[[#This Row],[Month]])</f>
        <v>4</v>
      </c>
      <c r="E120" s="2" t="s">
        <v>79</v>
      </c>
      <c r="F120" s="2" t="s">
        <v>80</v>
      </c>
      <c r="G120" s="2" t="s">
        <v>195</v>
      </c>
      <c r="H120" s="2" t="s">
        <v>196</v>
      </c>
      <c r="I120" s="2" t="s">
        <v>197</v>
      </c>
      <c r="J120" s="2" t="s">
        <v>269</v>
      </c>
      <c r="K120" s="2" t="s">
        <v>270</v>
      </c>
      <c r="L120" s="2" t="s">
        <v>357</v>
      </c>
      <c r="M120" s="2" t="s">
        <v>87</v>
      </c>
      <c r="N120" s="2" t="s">
        <v>96</v>
      </c>
      <c r="O120" s="2">
        <v>14</v>
      </c>
      <c r="P120" s="2">
        <v>12</v>
      </c>
      <c r="Q120" s="4">
        <v>7490</v>
      </c>
      <c r="R120" s="4">
        <v>7110</v>
      </c>
      <c r="S120" s="4">
        <v>205</v>
      </c>
      <c r="T120" s="19">
        <f>(ProductionData[[#This Row],[Rejected_Qty]])/ProductionData[[#This Row],[Produced_Qty]]</f>
        <v>2.8832630098452883E-2</v>
      </c>
      <c r="U120" s="19">
        <f>ProductionData[[#This Row],[Produced_Qty]]/ProductionData[[#This Row],[Planned_Qty]]</f>
        <v>0.94926568758344454</v>
      </c>
      <c r="V120" s="2" t="s">
        <v>113</v>
      </c>
      <c r="W120" s="11">
        <v>27</v>
      </c>
      <c r="X120" s="13">
        <f>W120/60</f>
        <v>0.45</v>
      </c>
      <c r="Y120" s="2" t="s">
        <v>136</v>
      </c>
      <c r="Z120" s="2">
        <v>42</v>
      </c>
      <c r="AA120" s="2">
        <f>ProductionData[[#This Row],[Rejected_Qty]]*ProductionData[[#This Row],[Unit_Cost_INR]]</f>
        <v>8610</v>
      </c>
      <c r="AB120" s="4">
        <v>24000</v>
      </c>
      <c r="AC120" s="4">
        <v>6860</v>
      </c>
      <c r="AD120" s="4">
        <v>6860</v>
      </c>
      <c r="AE120" s="4">
        <v>24045</v>
      </c>
      <c r="AF120" s="4">
        <v>12000</v>
      </c>
    </row>
    <row r="121" spans="1:32">
      <c r="A121" s="2" t="s">
        <v>358</v>
      </c>
      <c r="B121" s="3">
        <v>46118</v>
      </c>
      <c r="C121" s="36" t="s">
        <v>78</v>
      </c>
      <c r="D121" s="2">
        <f>MONTH(ProductionData[[#This Row],[Month]])</f>
        <v>4</v>
      </c>
      <c r="E121" s="2" t="s">
        <v>116</v>
      </c>
      <c r="F121" s="2" t="s">
        <v>66</v>
      </c>
      <c r="G121" s="2" t="s">
        <v>174</v>
      </c>
      <c r="H121" s="2" t="s">
        <v>175</v>
      </c>
      <c r="I121" s="2" t="s">
        <v>176</v>
      </c>
      <c r="J121" s="2" t="s">
        <v>177</v>
      </c>
      <c r="K121" s="2" t="s">
        <v>178</v>
      </c>
      <c r="L121" s="2" t="s">
        <v>359</v>
      </c>
      <c r="M121" s="2" t="s">
        <v>99</v>
      </c>
      <c r="N121" s="2" t="s">
        <v>96</v>
      </c>
      <c r="O121" s="2">
        <v>10</v>
      </c>
      <c r="P121" s="2">
        <v>9</v>
      </c>
      <c r="Q121" s="4">
        <v>7850</v>
      </c>
      <c r="R121" s="4">
        <v>7280</v>
      </c>
      <c r="S121" s="4">
        <v>166</v>
      </c>
      <c r="T121" s="19">
        <f>(ProductionData[[#This Row],[Rejected_Qty]])/ProductionData[[#This Row],[Produced_Qty]]</f>
        <v>2.2802197802197801E-2</v>
      </c>
      <c r="U121" s="19">
        <f>ProductionData[[#This Row],[Produced_Qty]]/ProductionData[[#This Row],[Planned_Qty]]</f>
        <v>0.92738853503184715</v>
      </c>
      <c r="V121" s="2" t="s">
        <v>103</v>
      </c>
      <c r="W121" s="11">
        <v>20</v>
      </c>
      <c r="X121" s="13">
        <f>W121/60</f>
        <v>0.33333333333333331</v>
      </c>
      <c r="Y121" s="2" t="s">
        <v>136</v>
      </c>
      <c r="Z121" s="2">
        <v>24</v>
      </c>
      <c r="AA121" s="2">
        <f>ProductionData[[#This Row],[Rejected_Qty]]*ProductionData[[#This Row],[Unit_Cost_INR]]</f>
        <v>3984</v>
      </c>
      <c r="AB121" s="4">
        <v>24282</v>
      </c>
      <c r="AC121" s="4">
        <v>7480</v>
      </c>
      <c r="AD121" s="4">
        <v>7480</v>
      </c>
      <c r="AE121" s="4">
        <v>23916</v>
      </c>
      <c r="AF121" s="4">
        <v>12000</v>
      </c>
    </row>
    <row r="122" spans="1:32">
      <c r="A122" s="2" t="s">
        <v>360</v>
      </c>
      <c r="B122" s="3">
        <v>46133</v>
      </c>
      <c r="C122" s="36" t="s">
        <v>78</v>
      </c>
      <c r="D122" s="2">
        <f>MONTH(ProductionData[[#This Row],[Month]])</f>
        <v>4</v>
      </c>
      <c r="E122" s="2" t="s">
        <v>92</v>
      </c>
      <c r="F122" s="2" t="s">
        <v>66</v>
      </c>
      <c r="G122" s="2" t="s">
        <v>195</v>
      </c>
      <c r="H122" s="2" t="s">
        <v>196</v>
      </c>
      <c r="I122" s="2" t="s">
        <v>197</v>
      </c>
      <c r="J122" s="2" t="s">
        <v>198</v>
      </c>
      <c r="K122" s="2" t="s">
        <v>199</v>
      </c>
      <c r="L122" s="2" t="s">
        <v>361</v>
      </c>
      <c r="M122" s="2" t="s">
        <v>73</v>
      </c>
      <c r="N122" s="2" t="s">
        <v>88</v>
      </c>
      <c r="O122" s="2">
        <v>14</v>
      </c>
      <c r="P122" s="2">
        <v>14</v>
      </c>
      <c r="Q122" s="4">
        <v>8370</v>
      </c>
      <c r="R122" s="4">
        <v>8270</v>
      </c>
      <c r="S122" s="4">
        <v>129</v>
      </c>
      <c r="T122" s="19">
        <f>(ProductionData[[#This Row],[Rejected_Qty]])/ProductionData[[#This Row],[Produced_Qty]]</f>
        <v>1.5598548972188634E-2</v>
      </c>
      <c r="U122" s="19">
        <f>ProductionData[[#This Row],[Produced_Qty]]/ProductionData[[#This Row],[Planned_Qty]]</f>
        <v>0.98805256869772995</v>
      </c>
      <c r="V122" s="2" t="s">
        <v>103</v>
      </c>
      <c r="W122" s="11">
        <v>0</v>
      </c>
      <c r="X122" s="13">
        <f>W122/60</f>
        <v>0</v>
      </c>
      <c r="Y122" s="2" t="s">
        <v>90</v>
      </c>
      <c r="Z122" s="2">
        <v>38</v>
      </c>
      <c r="AA122" s="2">
        <f>ProductionData[[#This Row],[Rejected_Qty]]*ProductionData[[#This Row],[Unit_Cost_INR]]</f>
        <v>4902</v>
      </c>
      <c r="AB122" s="4">
        <v>22092</v>
      </c>
      <c r="AC122" s="4">
        <v>6320</v>
      </c>
      <c r="AD122" s="4">
        <v>6320</v>
      </c>
      <c r="AE122" s="4">
        <v>23913</v>
      </c>
      <c r="AF122" s="4">
        <v>13500</v>
      </c>
    </row>
    <row r="123" spans="1:32">
      <c r="A123" s="2" t="s">
        <v>362</v>
      </c>
      <c r="B123" s="3">
        <v>46115</v>
      </c>
      <c r="C123" s="36" t="s">
        <v>78</v>
      </c>
      <c r="D123" s="2">
        <f>MONTH(ProductionData[[#This Row],[Month]])</f>
        <v>4</v>
      </c>
      <c r="E123" s="2" t="s">
        <v>125</v>
      </c>
      <c r="F123" s="2" t="s">
        <v>93</v>
      </c>
      <c r="G123" s="2" t="s">
        <v>174</v>
      </c>
      <c r="H123" s="2" t="s">
        <v>175</v>
      </c>
      <c r="I123" s="2" t="s">
        <v>176</v>
      </c>
      <c r="J123" s="2" t="s">
        <v>177</v>
      </c>
      <c r="K123" s="2" t="s">
        <v>178</v>
      </c>
      <c r="L123" s="2" t="s">
        <v>363</v>
      </c>
      <c r="M123" s="2" t="s">
        <v>95</v>
      </c>
      <c r="N123" s="2" t="s">
        <v>96</v>
      </c>
      <c r="O123" s="2">
        <v>10</v>
      </c>
      <c r="P123" s="2">
        <v>9</v>
      </c>
      <c r="Q123" s="4">
        <v>7830</v>
      </c>
      <c r="R123" s="4">
        <v>6870</v>
      </c>
      <c r="S123" s="4">
        <v>118</v>
      </c>
      <c r="T123" s="19">
        <f>(ProductionData[[#This Row],[Rejected_Qty]])/ProductionData[[#This Row],[Produced_Qty]]</f>
        <v>1.717612809315866E-2</v>
      </c>
      <c r="U123" s="19">
        <f>ProductionData[[#This Row],[Produced_Qty]]/ProductionData[[#This Row],[Planned_Qty]]</f>
        <v>0.87739463601532564</v>
      </c>
      <c r="V123" s="2" t="s">
        <v>89</v>
      </c>
      <c r="W123" s="11">
        <v>70</v>
      </c>
      <c r="X123" s="13">
        <f>W123/60</f>
        <v>1.1666666666666667</v>
      </c>
      <c r="Y123" s="2" t="s">
        <v>182</v>
      </c>
      <c r="Z123" s="2">
        <v>24</v>
      </c>
      <c r="AA123" s="2">
        <f>ProductionData[[#This Row],[Rejected_Qty]]*ProductionData[[#This Row],[Unit_Cost_INR]]</f>
        <v>2832</v>
      </c>
      <c r="AB123" s="4">
        <v>24268</v>
      </c>
      <c r="AC123" s="4">
        <v>7140</v>
      </c>
      <c r="AD123" s="4">
        <v>7140</v>
      </c>
      <c r="AE123" s="4">
        <v>23880</v>
      </c>
      <c r="AF123" s="4">
        <v>12000</v>
      </c>
    </row>
    <row r="124" spans="1:32">
      <c r="A124" s="2" t="s">
        <v>364</v>
      </c>
      <c r="B124" s="3">
        <v>46134</v>
      </c>
      <c r="C124" s="36" t="s">
        <v>78</v>
      </c>
      <c r="D124" s="2">
        <f>MONTH(ProductionData[[#This Row],[Month]])</f>
        <v>4</v>
      </c>
      <c r="E124" s="2" t="s">
        <v>79</v>
      </c>
      <c r="F124" s="2" t="s">
        <v>93</v>
      </c>
      <c r="G124" s="2" t="s">
        <v>195</v>
      </c>
      <c r="H124" s="2" t="s">
        <v>196</v>
      </c>
      <c r="I124" s="2" t="s">
        <v>197</v>
      </c>
      <c r="J124" s="2" t="s">
        <v>269</v>
      </c>
      <c r="K124" s="2" t="s">
        <v>270</v>
      </c>
      <c r="L124" s="2" t="s">
        <v>365</v>
      </c>
      <c r="M124" s="2" t="s">
        <v>95</v>
      </c>
      <c r="N124" s="2" t="s">
        <v>88</v>
      </c>
      <c r="O124" s="2">
        <v>14</v>
      </c>
      <c r="P124" s="2">
        <v>14</v>
      </c>
      <c r="Q124" s="4">
        <v>7290</v>
      </c>
      <c r="R124" s="4">
        <v>7400</v>
      </c>
      <c r="S124" s="4">
        <v>162</v>
      </c>
      <c r="T124" s="19">
        <f>(ProductionData[[#This Row],[Rejected_Qty]])/ProductionData[[#This Row],[Produced_Qty]]</f>
        <v>2.189189189189189E-2</v>
      </c>
      <c r="U124" s="19">
        <f>ProductionData[[#This Row],[Produced_Qty]]/ProductionData[[#This Row],[Planned_Qty]]</f>
        <v>1.0150891632373114</v>
      </c>
      <c r="V124" s="2" t="s">
        <v>89</v>
      </c>
      <c r="W124" s="11">
        <v>0</v>
      </c>
      <c r="X124" s="13">
        <f>W124/60</f>
        <v>0</v>
      </c>
      <c r="Y124" s="2" t="s">
        <v>90</v>
      </c>
      <c r="Z124" s="2">
        <v>42</v>
      </c>
      <c r="AA124" s="2">
        <f>ProductionData[[#This Row],[Rejected_Qty]]*ProductionData[[#This Row],[Unit_Cost_INR]]</f>
        <v>6804</v>
      </c>
      <c r="AB124" s="4">
        <v>23621</v>
      </c>
      <c r="AC124" s="4">
        <v>7030</v>
      </c>
      <c r="AD124" s="4">
        <v>7030</v>
      </c>
      <c r="AE124" s="4">
        <v>23829</v>
      </c>
      <c r="AF124" s="4">
        <v>12000</v>
      </c>
    </row>
    <row r="125" spans="1:32">
      <c r="A125" s="2" t="s">
        <v>366</v>
      </c>
      <c r="B125" s="3">
        <v>46137</v>
      </c>
      <c r="C125" s="36" t="s">
        <v>78</v>
      </c>
      <c r="D125" s="2">
        <f>MONTH(ProductionData[[#This Row],[Month]])</f>
        <v>4</v>
      </c>
      <c r="E125" s="2" t="s">
        <v>65</v>
      </c>
      <c r="F125" s="2" t="s">
        <v>80</v>
      </c>
      <c r="G125" s="2" t="s">
        <v>195</v>
      </c>
      <c r="H125" s="2" t="s">
        <v>196</v>
      </c>
      <c r="I125" s="2" t="s">
        <v>197</v>
      </c>
      <c r="J125" s="2" t="s">
        <v>269</v>
      </c>
      <c r="K125" s="2" t="s">
        <v>270</v>
      </c>
      <c r="L125" s="2" t="s">
        <v>367</v>
      </c>
      <c r="M125" s="2" t="s">
        <v>87</v>
      </c>
      <c r="N125" s="2" t="s">
        <v>96</v>
      </c>
      <c r="O125" s="2">
        <v>14</v>
      </c>
      <c r="P125" s="2">
        <v>14</v>
      </c>
      <c r="Q125" s="4">
        <v>7850</v>
      </c>
      <c r="R125" s="4">
        <v>7620</v>
      </c>
      <c r="S125" s="4">
        <v>120</v>
      </c>
      <c r="T125" s="19">
        <f>(ProductionData[[#This Row],[Rejected_Qty]])/ProductionData[[#This Row],[Produced_Qty]]</f>
        <v>1.5748031496062992E-2</v>
      </c>
      <c r="U125" s="19">
        <f>ProductionData[[#This Row],[Produced_Qty]]/ProductionData[[#This Row],[Planned_Qty]]</f>
        <v>0.97070063694267517</v>
      </c>
      <c r="V125" s="2" t="s">
        <v>103</v>
      </c>
      <c r="W125" s="11">
        <v>40</v>
      </c>
      <c r="X125" s="13">
        <f>W125/60</f>
        <v>0.66666666666666663</v>
      </c>
      <c r="Y125" s="2" t="s">
        <v>76</v>
      </c>
      <c r="Z125" s="2">
        <v>42</v>
      </c>
      <c r="AA125" s="2">
        <f>ProductionData[[#This Row],[Rejected_Qty]]*ProductionData[[#This Row],[Unit_Cost_INR]]</f>
        <v>5040</v>
      </c>
      <c r="AB125" s="4">
        <v>23289</v>
      </c>
      <c r="AC125" s="4">
        <v>7030</v>
      </c>
      <c r="AD125" s="4">
        <v>7030</v>
      </c>
      <c r="AE125" s="4">
        <v>23759</v>
      </c>
      <c r="AF125" s="4">
        <v>12000</v>
      </c>
    </row>
    <row r="126" spans="1:32">
      <c r="A126" s="2" t="s">
        <v>368</v>
      </c>
      <c r="B126" s="3">
        <v>46135</v>
      </c>
      <c r="C126" s="36" t="s">
        <v>78</v>
      </c>
      <c r="D126" s="2">
        <f>MONTH(ProductionData[[#This Row],[Month]])</f>
        <v>4</v>
      </c>
      <c r="E126" s="2" t="s">
        <v>107</v>
      </c>
      <c r="F126" s="2" t="s">
        <v>80</v>
      </c>
      <c r="G126" s="2" t="s">
        <v>195</v>
      </c>
      <c r="H126" s="2" t="s">
        <v>196</v>
      </c>
      <c r="I126" s="2" t="s">
        <v>197</v>
      </c>
      <c r="J126" s="2" t="s">
        <v>269</v>
      </c>
      <c r="K126" s="2" t="s">
        <v>270</v>
      </c>
      <c r="L126" s="2" t="s">
        <v>369</v>
      </c>
      <c r="M126" s="2" t="s">
        <v>87</v>
      </c>
      <c r="N126" s="2" t="s">
        <v>88</v>
      </c>
      <c r="O126" s="2">
        <v>14</v>
      </c>
      <c r="P126" s="2">
        <v>12</v>
      </c>
      <c r="Q126" s="4">
        <v>7660</v>
      </c>
      <c r="R126" s="4">
        <v>7240</v>
      </c>
      <c r="S126" s="4">
        <v>195</v>
      </c>
      <c r="T126" s="19">
        <f>(ProductionData[[#This Row],[Rejected_Qty]])/ProductionData[[#This Row],[Produced_Qty]]</f>
        <v>2.6933701657458564E-2</v>
      </c>
      <c r="U126" s="19">
        <f>ProductionData[[#This Row],[Produced_Qty]]/ProductionData[[#This Row],[Planned_Qty]]</f>
        <v>0.94516971279373363</v>
      </c>
      <c r="V126" s="2" t="s">
        <v>109</v>
      </c>
      <c r="W126" s="11">
        <v>25</v>
      </c>
      <c r="X126" s="13">
        <f>W126/60</f>
        <v>0.41666666666666669</v>
      </c>
      <c r="Y126" s="2" t="s">
        <v>76</v>
      </c>
      <c r="Z126" s="2">
        <v>42</v>
      </c>
      <c r="AA126" s="2">
        <f>ProductionData[[#This Row],[Rejected_Qty]]*ProductionData[[#This Row],[Unit_Cost_INR]]</f>
        <v>8190</v>
      </c>
      <c r="AB126" s="4">
        <v>23829</v>
      </c>
      <c r="AC126" s="4">
        <v>7120</v>
      </c>
      <c r="AD126" s="4">
        <v>7120</v>
      </c>
      <c r="AE126" s="4">
        <v>23754</v>
      </c>
      <c r="AF126" s="4">
        <v>12000</v>
      </c>
    </row>
    <row r="127" spans="1:32">
      <c r="A127" s="2" t="s">
        <v>370</v>
      </c>
      <c r="B127" s="3">
        <v>46130</v>
      </c>
      <c r="C127" s="36" t="s">
        <v>78</v>
      </c>
      <c r="D127" s="2">
        <f>MONTH(ProductionData[[#This Row],[Month]])</f>
        <v>4</v>
      </c>
      <c r="E127" s="2" t="s">
        <v>65</v>
      </c>
      <c r="F127" s="2" t="s">
        <v>93</v>
      </c>
      <c r="G127" s="2" t="s">
        <v>195</v>
      </c>
      <c r="H127" s="2" t="s">
        <v>196</v>
      </c>
      <c r="I127" s="2" t="s">
        <v>197</v>
      </c>
      <c r="J127" s="2" t="s">
        <v>269</v>
      </c>
      <c r="K127" s="2" t="s">
        <v>270</v>
      </c>
      <c r="L127" s="2" t="s">
        <v>371</v>
      </c>
      <c r="M127" s="2" t="s">
        <v>133</v>
      </c>
      <c r="N127" s="2" t="s">
        <v>96</v>
      </c>
      <c r="O127" s="2">
        <v>14</v>
      </c>
      <c r="P127" s="2">
        <v>10</v>
      </c>
      <c r="Q127" s="4">
        <v>7320</v>
      </c>
      <c r="R127" s="4">
        <v>5760</v>
      </c>
      <c r="S127" s="4">
        <v>191</v>
      </c>
      <c r="T127" s="19">
        <f>(ProductionData[[#This Row],[Rejected_Qty]])/ProductionData[[#This Row],[Produced_Qty]]</f>
        <v>3.3159722222222222E-2</v>
      </c>
      <c r="U127" s="19">
        <f>ProductionData[[#This Row],[Produced_Qty]]/ProductionData[[#This Row],[Planned_Qty]]</f>
        <v>0.78688524590163933</v>
      </c>
      <c r="V127" s="2" t="s">
        <v>113</v>
      </c>
      <c r="W127" s="11">
        <v>0</v>
      </c>
      <c r="X127" s="13">
        <f>W127/60</f>
        <v>0</v>
      </c>
      <c r="Y127" s="2" t="s">
        <v>90</v>
      </c>
      <c r="Z127" s="2">
        <v>42</v>
      </c>
      <c r="AA127" s="2">
        <f>ProductionData[[#This Row],[Rejected_Qty]]*ProductionData[[#This Row],[Unit_Cost_INR]]</f>
        <v>8022</v>
      </c>
      <c r="AB127" s="4">
        <v>25563</v>
      </c>
      <c r="AC127" s="4">
        <v>7380</v>
      </c>
      <c r="AD127" s="4">
        <v>7380</v>
      </c>
      <c r="AE127" s="4">
        <v>23752</v>
      </c>
      <c r="AF127" s="4">
        <v>12000</v>
      </c>
    </row>
    <row r="128" spans="1:32">
      <c r="A128" s="2" t="s">
        <v>372</v>
      </c>
      <c r="B128" s="3">
        <v>46127</v>
      </c>
      <c r="C128" s="36" t="s">
        <v>78</v>
      </c>
      <c r="D128" s="2">
        <f>MONTH(ProductionData[[#This Row],[Month]])</f>
        <v>4</v>
      </c>
      <c r="E128" s="2" t="s">
        <v>79</v>
      </c>
      <c r="F128" s="2" t="s">
        <v>93</v>
      </c>
      <c r="G128" s="2" t="s">
        <v>195</v>
      </c>
      <c r="H128" s="2" t="s">
        <v>196</v>
      </c>
      <c r="I128" s="2" t="s">
        <v>197</v>
      </c>
      <c r="J128" s="2" t="s">
        <v>269</v>
      </c>
      <c r="K128" s="2" t="s">
        <v>270</v>
      </c>
      <c r="L128" s="2" t="s">
        <v>373</v>
      </c>
      <c r="M128" s="2" t="s">
        <v>133</v>
      </c>
      <c r="N128" s="2" t="s">
        <v>88</v>
      </c>
      <c r="O128" s="2">
        <v>14</v>
      </c>
      <c r="P128" s="2">
        <v>11</v>
      </c>
      <c r="Q128" s="4">
        <v>7440</v>
      </c>
      <c r="R128" s="4">
        <v>6690</v>
      </c>
      <c r="S128" s="4">
        <v>113</v>
      </c>
      <c r="T128" s="19">
        <f>(ProductionData[[#This Row],[Rejected_Qty]])/ProductionData[[#This Row],[Produced_Qty]]</f>
        <v>1.6890881913303436E-2</v>
      </c>
      <c r="U128" s="19">
        <f>ProductionData[[#This Row],[Produced_Qty]]/ProductionData[[#This Row],[Planned_Qty]]</f>
        <v>0.89919354838709675</v>
      </c>
      <c r="V128" s="2" t="s">
        <v>89</v>
      </c>
      <c r="W128" s="11">
        <v>46</v>
      </c>
      <c r="X128" s="13">
        <f>W128/60</f>
        <v>0.76666666666666672</v>
      </c>
      <c r="Y128" s="2" t="s">
        <v>136</v>
      </c>
      <c r="Z128" s="2">
        <v>42</v>
      </c>
      <c r="AA128" s="2">
        <f>ProductionData[[#This Row],[Rejected_Qty]]*ProductionData[[#This Row],[Unit_Cost_INR]]</f>
        <v>4746</v>
      </c>
      <c r="AB128" s="4">
        <v>23707</v>
      </c>
      <c r="AC128" s="4">
        <v>6540</v>
      </c>
      <c r="AD128" s="4">
        <v>6540</v>
      </c>
      <c r="AE128" s="4">
        <v>23744</v>
      </c>
      <c r="AF128" s="4">
        <v>12000</v>
      </c>
    </row>
    <row r="129" spans="1:32">
      <c r="A129" s="2" t="s">
        <v>374</v>
      </c>
      <c r="B129" s="3">
        <v>46127</v>
      </c>
      <c r="C129" s="36" t="s">
        <v>78</v>
      </c>
      <c r="D129" s="2">
        <f>MONTH(ProductionData[[#This Row],[Month]])</f>
        <v>4</v>
      </c>
      <c r="E129" s="2" t="s">
        <v>79</v>
      </c>
      <c r="F129" s="2" t="s">
        <v>80</v>
      </c>
      <c r="G129" s="2" t="s">
        <v>195</v>
      </c>
      <c r="H129" s="2" t="s">
        <v>196</v>
      </c>
      <c r="I129" s="2" t="s">
        <v>197</v>
      </c>
      <c r="J129" s="2" t="s">
        <v>269</v>
      </c>
      <c r="K129" s="2" t="s">
        <v>270</v>
      </c>
      <c r="L129" s="2" t="s">
        <v>375</v>
      </c>
      <c r="M129" s="2" t="s">
        <v>87</v>
      </c>
      <c r="N129" s="2" t="s">
        <v>88</v>
      </c>
      <c r="O129" s="2">
        <v>14</v>
      </c>
      <c r="P129" s="2">
        <v>14</v>
      </c>
      <c r="Q129" s="4">
        <v>7390</v>
      </c>
      <c r="R129" s="4">
        <v>7260</v>
      </c>
      <c r="S129" s="4">
        <v>168</v>
      </c>
      <c r="T129" s="19">
        <f>(ProductionData[[#This Row],[Rejected_Qty]])/ProductionData[[#This Row],[Produced_Qty]]</f>
        <v>2.3140495867768594E-2</v>
      </c>
      <c r="U129" s="19">
        <f>ProductionData[[#This Row],[Produced_Qty]]/ProductionData[[#This Row],[Planned_Qty]]</f>
        <v>0.98240866035182683</v>
      </c>
      <c r="V129" s="2" t="s">
        <v>75</v>
      </c>
      <c r="W129" s="11">
        <v>0</v>
      </c>
      <c r="X129" s="13">
        <f>W129/60</f>
        <v>0</v>
      </c>
      <c r="Y129" s="2" t="s">
        <v>90</v>
      </c>
      <c r="Z129" s="2">
        <v>42</v>
      </c>
      <c r="AA129" s="2">
        <f>ProductionData[[#This Row],[Rejected_Qty]]*ProductionData[[#This Row],[Unit_Cost_INR]]</f>
        <v>7056</v>
      </c>
      <c r="AB129" s="4">
        <v>24205</v>
      </c>
      <c r="AC129" s="4">
        <v>7590</v>
      </c>
      <c r="AD129" s="4">
        <v>7590</v>
      </c>
      <c r="AE129" s="4">
        <v>23707</v>
      </c>
      <c r="AF129" s="4">
        <v>12000</v>
      </c>
    </row>
    <row r="130" spans="1:32">
      <c r="A130" s="2" t="s">
        <v>376</v>
      </c>
      <c r="B130" s="3">
        <v>46140</v>
      </c>
      <c r="C130" s="36" t="s">
        <v>78</v>
      </c>
      <c r="D130" s="2">
        <f>MONTH(ProductionData[[#This Row],[Month]])</f>
        <v>4</v>
      </c>
      <c r="E130" s="2" t="s">
        <v>92</v>
      </c>
      <c r="F130" s="2" t="s">
        <v>80</v>
      </c>
      <c r="G130" s="2" t="s">
        <v>195</v>
      </c>
      <c r="H130" s="2" t="s">
        <v>196</v>
      </c>
      <c r="I130" s="2" t="s">
        <v>197</v>
      </c>
      <c r="J130" s="2" t="s">
        <v>269</v>
      </c>
      <c r="K130" s="2" t="s">
        <v>270</v>
      </c>
      <c r="L130" s="2" t="s">
        <v>377</v>
      </c>
      <c r="M130" s="2" t="s">
        <v>87</v>
      </c>
      <c r="N130" s="2" t="s">
        <v>88</v>
      </c>
      <c r="O130" s="2">
        <v>14</v>
      </c>
      <c r="P130" s="2">
        <v>14</v>
      </c>
      <c r="Q130" s="4">
        <v>7720</v>
      </c>
      <c r="R130" s="4">
        <v>7540</v>
      </c>
      <c r="S130" s="4">
        <v>118</v>
      </c>
      <c r="T130" s="19">
        <f>(ProductionData[[#This Row],[Rejected_Qty]])/ProductionData[[#This Row],[Produced_Qty]]</f>
        <v>1.5649867374005304E-2</v>
      </c>
      <c r="U130" s="19">
        <f>ProductionData[[#This Row],[Produced_Qty]]/ProductionData[[#This Row],[Planned_Qty]]</f>
        <v>0.97668393782383423</v>
      </c>
      <c r="V130" s="2" t="s">
        <v>75</v>
      </c>
      <c r="W130" s="11">
        <v>0</v>
      </c>
      <c r="X130" s="13">
        <f>W130/60</f>
        <v>0</v>
      </c>
      <c r="Y130" s="2" t="s">
        <v>90</v>
      </c>
      <c r="Z130" s="2">
        <v>42</v>
      </c>
      <c r="AA130" s="2">
        <f>ProductionData[[#This Row],[Rejected_Qty]]*ProductionData[[#This Row],[Unit_Cost_INR]]</f>
        <v>4956</v>
      </c>
      <c r="AB130" s="4">
        <v>23541</v>
      </c>
      <c r="AC130" s="4">
        <v>7270</v>
      </c>
      <c r="AD130" s="4">
        <v>7270</v>
      </c>
      <c r="AE130" s="4">
        <v>23693</v>
      </c>
      <c r="AF130" s="4">
        <v>12000</v>
      </c>
    </row>
    <row r="131" spans="1:32">
      <c r="A131" s="2" t="s">
        <v>378</v>
      </c>
      <c r="B131" s="3">
        <v>46131</v>
      </c>
      <c r="C131" s="36" t="s">
        <v>78</v>
      </c>
      <c r="D131" s="2">
        <f>MONTH(ProductionData[[#This Row],[Month]])</f>
        <v>4</v>
      </c>
      <c r="E131" s="2" t="s">
        <v>186</v>
      </c>
      <c r="F131" s="2" t="s">
        <v>66</v>
      </c>
      <c r="G131" s="2" t="s">
        <v>195</v>
      </c>
      <c r="H131" s="2" t="s">
        <v>196</v>
      </c>
      <c r="I131" s="2" t="s">
        <v>197</v>
      </c>
      <c r="J131" s="2" t="s">
        <v>269</v>
      </c>
      <c r="K131" s="2" t="s">
        <v>270</v>
      </c>
      <c r="L131" s="2" t="s">
        <v>379</v>
      </c>
      <c r="M131" s="2" t="s">
        <v>99</v>
      </c>
      <c r="N131" s="2" t="s">
        <v>88</v>
      </c>
      <c r="O131" s="2">
        <v>14</v>
      </c>
      <c r="P131" s="2">
        <v>14</v>
      </c>
      <c r="Q131" s="4">
        <v>5710</v>
      </c>
      <c r="R131" s="4">
        <v>5350</v>
      </c>
      <c r="S131" s="4">
        <v>151</v>
      </c>
      <c r="T131" s="19">
        <f>(ProductionData[[#This Row],[Rejected_Qty]])/ProductionData[[#This Row],[Produced_Qty]]</f>
        <v>2.8224299065420559E-2</v>
      </c>
      <c r="U131" s="19">
        <f>ProductionData[[#This Row],[Produced_Qty]]/ProductionData[[#This Row],[Planned_Qty]]</f>
        <v>0.9369527145359019</v>
      </c>
      <c r="V131" s="2" t="s">
        <v>113</v>
      </c>
      <c r="W131" s="11">
        <v>0</v>
      </c>
      <c r="X131" s="13">
        <f>W131/60</f>
        <v>0</v>
      </c>
      <c r="Y131" s="2" t="s">
        <v>90</v>
      </c>
      <c r="Z131" s="2">
        <v>42</v>
      </c>
      <c r="AA131" s="2">
        <f>ProductionData[[#This Row],[Rejected_Qty]]*ProductionData[[#This Row],[Unit_Cost_INR]]</f>
        <v>6342</v>
      </c>
      <c r="AB131" s="4">
        <v>23752</v>
      </c>
      <c r="AC131" s="4">
        <v>5330</v>
      </c>
      <c r="AD131" s="4">
        <v>5330</v>
      </c>
      <c r="AE131" s="4">
        <v>23621</v>
      </c>
      <c r="AF131" s="4">
        <v>12000</v>
      </c>
    </row>
    <row r="132" spans="1:32">
      <c r="A132" s="2" t="s">
        <v>380</v>
      </c>
      <c r="B132" s="3">
        <v>46139</v>
      </c>
      <c r="C132" s="36" t="s">
        <v>78</v>
      </c>
      <c r="D132" s="2">
        <f>MONTH(ProductionData[[#This Row],[Month]])</f>
        <v>4</v>
      </c>
      <c r="E132" s="2" t="s">
        <v>116</v>
      </c>
      <c r="F132" s="2" t="s">
        <v>93</v>
      </c>
      <c r="G132" s="2" t="s">
        <v>195</v>
      </c>
      <c r="H132" s="2" t="s">
        <v>196</v>
      </c>
      <c r="I132" s="2" t="s">
        <v>197</v>
      </c>
      <c r="J132" s="2" t="s">
        <v>269</v>
      </c>
      <c r="K132" s="2" t="s">
        <v>270</v>
      </c>
      <c r="L132" s="2" t="s">
        <v>381</v>
      </c>
      <c r="M132" s="2" t="s">
        <v>133</v>
      </c>
      <c r="N132" s="2" t="s">
        <v>96</v>
      </c>
      <c r="O132" s="2">
        <v>14</v>
      </c>
      <c r="P132" s="2">
        <v>13</v>
      </c>
      <c r="Q132" s="4">
        <v>7640</v>
      </c>
      <c r="R132" s="4">
        <v>7370</v>
      </c>
      <c r="S132" s="4">
        <v>98</v>
      </c>
      <c r="T132" s="19">
        <f>(ProductionData[[#This Row],[Rejected_Qty]])/ProductionData[[#This Row],[Produced_Qty]]</f>
        <v>1.3297150610583446E-2</v>
      </c>
      <c r="U132" s="19">
        <f>ProductionData[[#This Row],[Produced_Qty]]/ProductionData[[#This Row],[Planned_Qty]]</f>
        <v>0.96465968586387429</v>
      </c>
      <c r="V132" s="2" t="s">
        <v>113</v>
      </c>
      <c r="W132" s="11">
        <v>0</v>
      </c>
      <c r="X132" s="13">
        <f>W132/60</f>
        <v>0</v>
      </c>
      <c r="Y132" s="2" t="s">
        <v>90</v>
      </c>
      <c r="Z132" s="2">
        <v>42</v>
      </c>
      <c r="AA132" s="2">
        <f>ProductionData[[#This Row],[Rejected_Qty]]*ProductionData[[#This Row],[Unit_Cost_INR]]</f>
        <v>4116</v>
      </c>
      <c r="AB132" s="4">
        <v>23759</v>
      </c>
      <c r="AC132" s="4">
        <v>7490</v>
      </c>
      <c r="AD132" s="4">
        <v>7490</v>
      </c>
      <c r="AE132" s="4">
        <v>23541</v>
      </c>
      <c r="AF132" s="4">
        <v>12000</v>
      </c>
    </row>
    <row r="133" spans="1:32">
      <c r="A133" s="2" t="s">
        <v>382</v>
      </c>
      <c r="B133" s="3">
        <v>46126</v>
      </c>
      <c r="C133" s="36" t="s">
        <v>78</v>
      </c>
      <c r="D133" s="2">
        <f>MONTH(ProductionData[[#This Row],[Month]])</f>
        <v>4</v>
      </c>
      <c r="E133" s="2" t="s">
        <v>92</v>
      </c>
      <c r="F133" s="2" t="s">
        <v>93</v>
      </c>
      <c r="G133" s="2" t="s">
        <v>195</v>
      </c>
      <c r="H133" s="2" t="s">
        <v>196</v>
      </c>
      <c r="I133" s="2" t="s">
        <v>197</v>
      </c>
      <c r="J133" s="2" t="s">
        <v>198</v>
      </c>
      <c r="K133" s="2" t="s">
        <v>199</v>
      </c>
      <c r="L133" s="2" t="s">
        <v>383</v>
      </c>
      <c r="M133" s="2" t="s">
        <v>133</v>
      </c>
      <c r="N133" s="2" t="s">
        <v>96</v>
      </c>
      <c r="O133" s="2">
        <v>14</v>
      </c>
      <c r="P133" s="2">
        <v>12</v>
      </c>
      <c r="Q133" s="4">
        <v>8030</v>
      </c>
      <c r="R133" s="4">
        <v>7350</v>
      </c>
      <c r="S133" s="4">
        <v>94</v>
      </c>
      <c r="T133" s="19">
        <f>(ProductionData[[#This Row],[Rejected_Qty]])/ProductionData[[#This Row],[Produced_Qty]]</f>
        <v>1.2789115646258504E-2</v>
      </c>
      <c r="U133" s="19">
        <f>ProductionData[[#This Row],[Produced_Qty]]/ProductionData[[#This Row],[Planned_Qty]]</f>
        <v>0.91531755915317559</v>
      </c>
      <c r="V133" s="2" t="s">
        <v>109</v>
      </c>
      <c r="W133" s="11">
        <v>54</v>
      </c>
      <c r="X133" s="13">
        <f>W133/60</f>
        <v>0.9</v>
      </c>
      <c r="Y133" s="2" t="s">
        <v>110</v>
      </c>
      <c r="Z133" s="2">
        <v>38</v>
      </c>
      <c r="AA133" s="2">
        <f>ProductionData[[#This Row],[Rejected_Qty]]*ProductionData[[#This Row],[Unit_Cost_INR]]</f>
        <v>3572</v>
      </c>
      <c r="AB133" s="4">
        <v>23227</v>
      </c>
      <c r="AC133" s="4">
        <v>6990</v>
      </c>
      <c r="AD133" s="4">
        <v>6990</v>
      </c>
      <c r="AE133" s="4">
        <v>23493</v>
      </c>
      <c r="AF133" s="4">
        <v>13500</v>
      </c>
    </row>
    <row r="134" spans="1:32">
      <c r="A134" s="2" t="s">
        <v>384</v>
      </c>
      <c r="B134" s="3">
        <v>46118</v>
      </c>
      <c r="C134" s="36" t="s">
        <v>78</v>
      </c>
      <c r="D134" s="2">
        <f>MONTH(ProductionData[[#This Row],[Month]])</f>
        <v>4</v>
      </c>
      <c r="E134" s="2" t="s">
        <v>116</v>
      </c>
      <c r="F134" s="2" t="s">
        <v>93</v>
      </c>
      <c r="G134" s="2" t="s">
        <v>195</v>
      </c>
      <c r="H134" s="2" t="s">
        <v>196</v>
      </c>
      <c r="I134" s="2" t="s">
        <v>197</v>
      </c>
      <c r="J134" s="2" t="s">
        <v>269</v>
      </c>
      <c r="K134" s="2" t="s">
        <v>270</v>
      </c>
      <c r="L134" s="2" t="s">
        <v>385</v>
      </c>
      <c r="M134" s="2" t="s">
        <v>95</v>
      </c>
      <c r="N134" s="2" t="s">
        <v>88</v>
      </c>
      <c r="O134" s="2">
        <v>14</v>
      </c>
      <c r="P134" s="2">
        <v>10</v>
      </c>
      <c r="Q134" s="4">
        <v>7990</v>
      </c>
      <c r="R134" s="4">
        <v>6620</v>
      </c>
      <c r="S134" s="4">
        <v>190</v>
      </c>
      <c r="T134" s="19">
        <f>(ProductionData[[#This Row],[Rejected_Qty]])/ProductionData[[#This Row],[Produced_Qty]]</f>
        <v>2.8700906344410877E-2</v>
      </c>
      <c r="U134" s="19">
        <f>ProductionData[[#This Row],[Produced_Qty]]/ProductionData[[#This Row],[Planned_Qty]]</f>
        <v>0.82853566958698377</v>
      </c>
      <c r="V134" s="2" t="s">
        <v>75</v>
      </c>
      <c r="W134" s="11">
        <v>0</v>
      </c>
      <c r="X134" s="13">
        <f>W134/60</f>
        <v>0</v>
      </c>
      <c r="Y134" s="2" t="s">
        <v>90</v>
      </c>
      <c r="Z134" s="2">
        <v>42</v>
      </c>
      <c r="AA134" s="2">
        <f>ProductionData[[#This Row],[Rejected_Qty]]*ProductionData[[#This Row],[Unit_Cost_INR]]</f>
        <v>7980</v>
      </c>
      <c r="AB134" s="4">
        <v>24422</v>
      </c>
      <c r="AC134" s="4">
        <v>7360</v>
      </c>
      <c r="AD134" s="4">
        <v>7360</v>
      </c>
      <c r="AE134" s="4">
        <v>23492</v>
      </c>
      <c r="AF134" s="4">
        <v>12000</v>
      </c>
    </row>
    <row r="135" spans="1:32">
      <c r="A135" s="2" t="s">
        <v>386</v>
      </c>
      <c r="B135" s="3">
        <v>46128</v>
      </c>
      <c r="C135" s="36" t="s">
        <v>78</v>
      </c>
      <c r="D135" s="2">
        <f>MONTH(ProductionData[[#This Row],[Month]])</f>
        <v>4</v>
      </c>
      <c r="E135" s="2" t="s">
        <v>107</v>
      </c>
      <c r="F135" s="2" t="s">
        <v>66</v>
      </c>
      <c r="G135" s="2" t="s">
        <v>195</v>
      </c>
      <c r="H135" s="2" t="s">
        <v>196</v>
      </c>
      <c r="I135" s="2" t="s">
        <v>197</v>
      </c>
      <c r="J135" s="2" t="s">
        <v>198</v>
      </c>
      <c r="K135" s="2" t="s">
        <v>199</v>
      </c>
      <c r="L135" s="2" t="s">
        <v>387</v>
      </c>
      <c r="M135" s="2" t="s">
        <v>73</v>
      </c>
      <c r="N135" s="2" t="s">
        <v>96</v>
      </c>
      <c r="O135" s="2">
        <v>14</v>
      </c>
      <c r="P135" s="2">
        <v>14</v>
      </c>
      <c r="Q135" s="4">
        <v>9090</v>
      </c>
      <c r="R135" s="4">
        <v>8780</v>
      </c>
      <c r="S135" s="4">
        <v>190</v>
      </c>
      <c r="T135" s="19">
        <f>(ProductionData[[#This Row],[Rejected_Qty]])/ProductionData[[#This Row],[Produced_Qty]]</f>
        <v>2.164009111617312E-2</v>
      </c>
      <c r="U135" s="19">
        <f>ProductionData[[#This Row],[Produced_Qty]]/ProductionData[[#This Row],[Planned_Qty]]</f>
        <v>0.96589658965896585</v>
      </c>
      <c r="V135" s="2" t="s">
        <v>75</v>
      </c>
      <c r="W135" s="11">
        <v>0</v>
      </c>
      <c r="X135" s="13">
        <f>W135/60</f>
        <v>0</v>
      </c>
      <c r="Y135" s="2" t="s">
        <v>90</v>
      </c>
      <c r="Z135" s="2">
        <v>38</v>
      </c>
      <c r="AA135" s="2">
        <f>ProductionData[[#This Row],[Rejected_Qty]]*ProductionData[[#This Row],[Unit_Cost_INR]]</f>
        <v>7220</v>
      </c>
      <c r="AB135" s="4">
        <v>23493</v>
      </c>
      <c r="AC135" s="4">
        <v>8700</v>
      </c>
      <c r="AD135" s="4">
        <v>8700</v>
      </c>
      <c r="AE135" s="4">
        <v>23383</v>
      </c>
      <c r="AF135" s="4">
        <v>13500</v>
      </c>
    </row>
    <row r="136" spans="1:32">
      <c r="A136" s="2" t="s">
        <v>388</v>
      </c>
      <c r="B136" s="3">
        <v>46119</v>
      </c>
      <c r="C136" s="36" t="s">
        <v>78</v>
      </c>
      <c r="D136" s="2">
        <f>MONTH(ProductionData[[#This Row],[Month]])</f>
        <v>4</v>
      </c>
      <c r="E136" s="2" t="s">
        <v>92</v>
      </c>
      <c r="F136" s="2" t="s">
        <v>80</v>
      </c>
      <c r="G136" s="2" t="s">
        <v>174</v>
      </c>
      <c r="H136" s="2" t="s">
        <v>175</v>
      </c>
      <c r="I136" s="2" t="s">
        <v>176</v>
      </c>
      <c r="J136" s="2" t="s">
        <v>177</v>
      </c>
      <c r="K136" s="2" t="s">
        <v>178</v>
      </c>
      <c r="L136" s="2" t="s">
        <v>389</v>
      </c>
      <c r="M136" s="2" t="s">
        <v>102</v>
      </c>
      <c r="N136" s="2" t="s">
        <v>88</v>
      </c>
      <c r="O136" s="2">
        <v>10</v>
      </c>
      <c r="P136" s="2">
        <v>10</v>
      </c>
      <c r="Q136" s="4">
        <v>7890</v>
      </c>
      <c r="R136" s="4">
        <v>7790</v>
      </c>
      <c r="S136" s="4">
        <v>184</v>
      </c>
      <c r="T136" s="19">
        <f>(ProductionData[[#This Row],[Rejected_Qty]])/ProductionData[[#This Row],[Produced_Qty]]</f>
        <v>2.3620025673940951E-2</v>
      </c>
      <c r="U136" s="19">
        <f>ProductionData[[#This Row],[Produced_Qty]]/ProductionData[[#This Row],[Planned_Qty]]</f>
        <v>0.98732572877059566</v>
      </c>
      <c r="V136" s="2" t="s">
        <v>113</v>
      </c>
      <c r="W136" s="11">
        <v>0</v>
      </c>
      <c r="X136" s="13">
        <f>W136/60</f>
        <v>0</v>
      </c>
      <c r="Y136" s="2" t="s">
        <v>90</v>
      </c>
      <c r="Z136" s="2">
        <v>24</v>
      </c>
      <c r="AA136" s="2">
        <f>ProductionData[[#This Row],[Rejected_Qty]]*ProductionData[[#This Row],[Unit_Cost_INR]]</f>
        <v>4416</v>
      </c>
      <c r="AB136" s="4">
        <v>23916</v>
      </c>
      <c r="AC136" s="4">
        <v>8190</v>
      </c>
      <c r="AD136" s="4">
        <v>8190</v>
      </c>
      <c r="AE136" s="4">
        <v>23332</v>
      </c>
      <c r="AF136" s="4">
        <v>12000</v>
      </c>
    </row>
    <row r="137" spans="1:32">
      <c r="A137" s="2" t="s">
        <v>390</v>
      </c>
      <c r="B137" s="3">
        <v>46136</v>
      </c>
      <c r="C137" s="36" t="s">
        <v>78</v>
      </c>
      <c r="D137" s="2">
        <f>MONTH(ProductionData[[#This Row],[Month]])</f>
        <v>4</v>
      </c>
      <c r="E137" s="2" t="s">
        <v>125</v>
      </c>
      <c r="F137" s="2" t="s">
        <v>93</v>
      </c>
      <c r="G137" s="2" t="s">
        <v>195</v>
      </c>
      <c r="H137" s="2" t="s">
        <v>196</v>
      </c>
      <c r="I137" s="2" t="s">
        <v>197</v>
      </c>
      <c r="J137" s="2" t="s">
        <v>269</v>
      </c>
      <c r="K137" s="2" t="s">
        <v>270</v>
      </c>
      <c r="L137" s="2" t="s">
        <v>391</v>
      </c>
      <c r="M137" s="2" t="s">
        <v>133</v>
      </c>
      <c r="N137" s="2" t="s">
        <v>88</v>
      </c>
      <c r="O137" s="2">
        <v>14</v>
      </c>
      <c r="P137" s="2">
        <v>11</v>
      </c>
      <c r="Q137" s="4">
        <v>7450</v>
      </c>
      <c r="R137" s="4">
        <v>6400</v>
      </c>
      <c r="S137" s="4">
        <v>105</v>
      </c>
      <c r="T137" s="19">
        <f>(ProductionData[[#This Row],[Rejected_Qty]])/ProductionData[[#This Row],[Produced_Qty]]</f>
        <v>1.6406250000000001E-2</v>
      </c>
      <c r="U137" s="19">
        <f>ProductionData[[#This Row],[Produced_Qty]]/ProductionData[[#This Row],[Planned_Qty]]</f>
        <v>0.85906040268456374</v>
      </c>
      <c r="V137" s="2" t="s">
        <v>113</v>
      </c>
      <c r="W137" s="11">
        <v>0</v>
      </c>
      <c r="X137" s="13">
        <f>W137/60</f>
        <v>0</v>
      </c>
      <c r="Y137" s="2" t="s">
        <v>90</v>
      </c>
      <c r="Z137" s="2">
        <v>42</v>
      </c>
      <c r="AA137" s="2">
        <f>ProductionData[[#This Row],[Rejected_Qty]]*ProductionData[[#This Row],[Unit_Cost_INR]]</f>
        <v>4410</v>
      </c>
      <c r="AB137" s="4">
        <v>23754</v>
      </c>
      <c r="AC137" s="4">
        <v>6760</v>
      </c>
      <c r="AD137" s="4">
        <v>6760</v>
      </c>
      <c r="AE137" s="4">
        <v>23289</v>
      </c>
      <c r="AF137" s="4">
        <v>12000</v>
      </c>
    </row>
    <row r="138" spans="1:32">
      <c r="A138" s="2" t="s">
        <v>392</v>
      </c>
      <c r="B138" s="3">
        <v>46123</v>
      </c>
      <c r="C138" s="36" t="s">
        <v>78</v>
      </c>
      <c r="D138" s="2">
        <f>MONTH(ProductionData[[#This Row],[Month]])</f>
        <v>4</v>
      </c>
      <c r="E138" s="2" t="s">
        <v>65</v>
      </c>
      <c r="F138" s="2" t="s">
        <v>66</v>
      </c>
      <c r="G138" s="2" t="s">
        <v>195</v>
      </c>
      <c r="H138" s="2" t="s">
        <v>196</v>
      </c>
      <c r="I138" s="2" t="s">
        <v>197</v>
      </c>
      <c r="J138" s="2" t="s">
        <v>269</v>
      </c>
      <c r="K138" s="2" t="s">
        <v>270</v>
      </c>
      <c r="L138" s="2" t="s">
        <v>393</v>
      </c>
      <c r="M138" s="2" t="s">
        <v>99</v>
      </c>
      <c r="N138" s="2" t="s">
        <v>96</v>
      </c>
      <c r="O138" s="2">
        <v>14</v>
      </c>
      <c r="P138" s="2">
        <v>14</v>
      </c>
      <c r="Q138" s="4">
        <v>7790</v>
      </c>
      <c r="R138" s="4">
        <v>7730</v>
      </c>
      <c r="S138" s="4">
        <v>101</v>
      </c>
      <c r="T138" s="19">
        <f>(ProductionData[[#This Row],[Rejected_Qty]])/ProductionData[[#This Row],[Produced_Qty]]</f>
        <v>1.3065976714100905E-2</v>
      </c>
      <c r="U138" s="19">
        <f>ProductionData[[#This Row],[Produced_Qty]]/ProductionData[[#This Row],[Planned_Qty]]</f>
        <v>0.99229781771501924</v>
      </c>
      <c r="V138" s="2" t="s">
        <v>75</v>
      </c>
      <c r="W138" s="11">
        <v>0</v>
      </c>
      <c r="X138" s="13">
        <f>W138/60</f>
        <v>0</v>
      </c>
      <c r="Y138" s="2" t="s">
        <v>90</v>
      </c>
      <c r="Z138" s="2">
        <v>42</v>
      </c>
      <c r="AA138" s="2">
        <f>ProductionData[[#This Row],[Rejected_Qty]]*ProductionData[[#This Row],[Unit_Cost_INR]]</f>
        <v>4242</v>
      </c>
      <c r="AB138" s="4">
        <v>22696</v>
      </c>
      <c r="AC138" s="4">
        <v>7060</v>
      </c>
      <c r="AD138" s="4">
        <v>7060</v>
      </c>
      <c r="AE138" s="4">
        <v>23265</v>
      </c>
      <c r="AF138" s="4">
        <v>12000</v>
      </c>
    </row>
    <row r="139" spans="1:32">
      <c r="A139" s="2" t="s">
        <v>394</v>
      </c>
      <c r="B139" s="3">
        <v>46126</v>
      </c>
      <c r="C139" s="36" t="s">
        <v>78</v>
      </c>
      <c r="D139" s="2">
        <f>MONTH(ProductionData[[#This Row],[Month]])</f>
        <v>4</v>
      </c>
      <c r="E139" s="2" t="s">
        <v>92</v>
      </c>
      <c r="F139" s="2" t="s">
        <v>80</v>
      </c>
      <c r="G139" s="2" t="s">
        <v>195</v>
      </c>
      <c r="H139" s="2" t="s">
        <v>196</v>
      </c>
      <c r="I139" s="2" t="s">
        <v>197</v>
      </c>
      <c r="J139" s="2" t="s">
        <v>198</v>
      </c>
      <c r="K139" s="2" t="s">
        <v>199</v>
      </c>
      <c r="L139" s="2" t="s">
        <v>395</v>
      </c>
      <c r="M139" s="2" t="s">
        <v>102</v>
      </c>
      <c r="N139" s="2" t="s">
        <v>88</v>
      </c>
      <c r="O139" s="2">
        <v>14</v>
      </c>
      <c r="P139" s="2">
        <v>13</v>
      </c>
      <c r="Q139" s="4">
        <v>9410</v>
      </c>
      <c r="R139" s="4">
        <v>9430</v>
      </c>
      <c r="S139" s="4">
        <v>269</v>
      </c>
      <c r="T139" s="19">
        <f>(ProductionData[[#This Row],[Rejected_Qty]])/ProductionData[[#This Row],[Produced_Qty]]</f>
        <v>2.8525980911983034E-2</v>
      </c>
      <c r="U139" s="19">
        <f>ProductionData[[#This Row],[Produced_Qty]]/ProductionData[[#This Row],[Planned_Qty]]</f>
        <v>1.0021253985122209</v>
      </c>
      <c r="V139" s="2" t="s">
        <v>103</v>
      </c>
      <c r="W139" s="11">
        <v>0</v>
      </c>
      <c r="X139" s="13">
        <f>W139/60</f>
        <v>0</v>
      </c>
      <c r="Y139" s="2" t="s">
        <v>90</v>
      </c>
      <c r="Z139" s="2">
        <v>38</v>
      </c>
      <c r="AA139" s="2">
        <f>ProductionData[[#This Row],[Rejected_Qty]]*ProductionData[[#This Row],[Unit_Cost_INR]]</f>
        <v>10222</v>
      </c>
      <c r="AB139" s="4">
        <v>22566</v>
      </c>
      <c r="AC139" s="4">
        <v>8500</v>
      </c>
      <c r="AD139" s="4">
        <v>8500</v>
      </c>
      <c r="AE139" s="4">
        <v>23227</v>
      </c>
      <c r="AF139" s="4">
        <v>13500</v>
      </c>
    </row>
    <row r="140" spans="1:32">
      <c r="A140" s="2" t="s">
        <v>396</v>
      </c>
      <c r="B140" s="3">
        <v>46122</v>
      </c>
      <c r="C140" s="36" t="s">
        <v>78</v>
      </c>
      <c r="D140" s="2">
        <f>MONTH(ProductionData[[#This Row],[Month]])</f>
        <v>4</v>
      </c>
      <c r="E140" s="2" t="s">
        <v>125</v>
      </c>
      <c r="F140" s="2" t="s">
        <v>66</v>
      </c>
      <c r="G140" s="2" t="s">
        <v>195</v>
      </c>
      <c r="H140" s="2" t="s">
        <v>196</v>
      </c>
      <c r="I140" s="2" t="s">
        <v>197</v>
      </c>
      <c r="J140" s="2" t="s">
        <v>198</v>
      </c>
      <c r="K140" s="2" t="s">
        <v>199</v>
      </c>
      <c r="L140" s="2" t="s">
        <v>397</v>
      </c>
      <c r="M140" s="2" t="s">
        <v>99</v>
      </c>
      <c r="N140" s="2" t="s">
        <v>88</v>
      </c>
      <c r="O140" s="2">
        <v>14</v>
      </c>
      <c r="P140" s="2">
        <v>14</v>
      </c>
      <c r="Q140" s="4">
        <v>9430</v>
      </c>
      <c r="R140" s="4">
        <v>9290</v>
      </c>
      <c r="S140" s="4">
        <v>229</v>
      </c>
      <c r="T140" s="19">
        <f>(ProductionData[[#This Row],[Rejected_Qty]])/ProductionData[[#This Row],[Produced_Qty]]</f>
        <v>2.465016146393972E-2</v>
      </c>
      <c r="U140" s="19">
        <f>ProductionData[[#This Row],[Produced_Qty]]/ProductionData[[#This Row],[Planned_Qty]]</f>
        <v>0.98515376458112403</v>
      </c>
      <c r="V140" s="2" t="s">
        <v>89</v>
      </c>
      <c r="W140" s="11">
        <v>0</v>
      </c>
      <c r="X140" s="13">
        <f>W140/60</f>
        <v>0</v>
      </c>
      <c r="Y140" s="2" t="s">
        <v>90</v>
      </c>
      <c r="Z140" s="2">
        <v>38</v>
      </c>
      <c r="AA140" s="2">
        <f>ProductionData[[#This Row],[Rejected_Qty]]*ProductionData[[#This Row],[Unit_Cost_INR]]</f>
        <v>8702</v>
      </c>
      <c r="AB140" s="4">
        <v>23094</v>
      </c>
      <c r="AC140" s="4">
        <v>8980</v>
      </c>
      <c r="AD140" s="4">
        <v>8980</v>
      </c>
      <c r="AE140" s="4">
        <v>23175</v>
      </c>
      <c r="AF140" s="4">
        <v>13500</v>
      </c>
    </row>
    <row r="141" spans="1:32">
      <c r="A141" s="2" t="s">
        <v>398</v>
      </c>
      <c r="B141" s="3">
        <v>46142</v>
      </c>
      <c r="C141" s="36" t="s">
        <v>78</v>
      </c>
      <c r="D141" s="2">
        <f>MONTH(ProductionData[[#This Row],[Month]])</f>
        <v>4</v>
      </c>
      <c r="E141" s="2" t="s">
        <v>107</v>
      </c>
      <c r="F141" s="2" t="s">
        <v>93</v>
      </c>
      <c r="G141" s="2" t="s">
        <v>195</v>
      </c>
      <c r="H141" s="2" t="s">
        <v>196</v>
      </c>
      <c r="I141" s="2" t="s">
        <v>197</v>
      </c>
      <c r="J141" s="2" t="s">
        <v>269</v>
      </c>
      <c r="K141" s="2" t="s">
        <v>270</v>
      </c>
      <c r="L141" s="2" t="s">
        <v>399</v>
      </c>
      <c r="M141" s="2" t="s">
        <v>133</v>
      </c>
      <c r="N141" s="2" t="s">
        <v>96</v>
      </c>
      <c r="O141" s="2">
        <v>14</v>
      </c>
      <c r="P141" s="2">
        <v>11</v>
      </c>
      <c r="Q141" s="4">
        <v>7560</v>
      </c>
      <c r="R141" s="4">
        <v>6570</v>
      </c>
      <c r="S141" s="4">
        <v>150</v>
      </c>
      <c r="T141" s="19">
        <f>(ProductionData[[#This Row],[Rejected_Qty]])/ProductionData[[#This Row],[Produced_Qty]]</f>
        <v>2.2831050228310501E-2</v>
      </c>
      <c r="U141" s="19">
        <f>ProductionData[[#This Row],[Produced_Qty]]/ProductionData[[#This Row],[Planned_Qty]]</f>
        <v>0.86904761904761907</v>
      </c>
      <c r="V141" s="2" t="s">
        <v>109</v>
      </c>
      <c r="W141" s="11">
        <v>0</v>
      </c>
      <c r="X141" s="13">
        <f>W141/60</f>
        <v>0</v>
      </c>
      <c r="Y141" s="2" t="s">
        <v>90</v>
      </c>
      <c r="Z141" s="2">
        <v>42</v>
      </c>
      <c r="AA141" s="2">
        <f>ProductionData[[#This Row],[Rejected_Qty]]*ProductionData[[#This Row],[Unit_Cost_INR]]</f>
        <v>6300</v>
      </c>
      <c r="AB141" s="4">
        <v>24226</v>
      </c>
      <c r="AC141" s="4">
        <v>7510</v>
      </c>
      <c r="AD141" s="4">
        <v>7510</v>
      </c>
      <c r="AE141" s="4">
        <v>23136</v>
      </c>
      <c r="AF141" s="4">
        <v>12000</v>
      </c>
    </row>
    <row r="142" spans="1:32">
      <c r="A142" s="2" t="s">
        <v>400</v>
      </c>
      <c r="B142" s="3">
        <v>46121</v>
      </c>
      <c r="C142" s="36" t="s">
        <v>78</v>
      </c>
      <c r="D142" s="2">
        <f>MONTH(ProductionData[[#This Row],[Month]])</f>
        <v>4</v>
      </c>
      <c r="E142" s="2" t="s">
        <v>107</v>
      </c>
      <c r="F142" s="2" t="s">
        <v>80</v>
      </c>
      <c r="G142" s="2" t="s">
        <v>195</v>
      </c>
      <c r="H142" s="2" t="s">
        <v>196</v>
      </c>
      <c r="I142" s="2" t="s">
        <v>197</v>
      </c>
      <c r="J142" s="2" t="s">
        <v>198</v>
      </c>
      <c r="K142" s="2" t="s">
        <v>199</v>
      </c>
      <c r="L142" s="2" t="s">
        <v>401</v>
      </c>
      <c r="M142" s="2" t="s">
        <v>102</v>
      </c>
      <c r="N142" s="2" t="s">
        <v>96</v>
      </c>
      <c r="O142" s="2">
        <v>14</v>
      </c>
      <c r="P142" s="2">
        <v>13</v>
      </c>
      <c r="Q142" s="4">
        <v>9130</v>
      </c>
      <c r="R142" s="4">
        <v>8040</v>
      </c>
      <c r="S142" s="4">
        <v>217</v>
      </c>
      <c r="T142" s="19">
        <f>(ProductionData[[#This Row],[Rejected_Qty]])/ProductionData[[#This Row],[Produced_Qty]]</f>
        <v>2.6990049751243781E-2</v>
      </c>
      <c r="U142" s="19">
        <f>ProductionData[[#This Row],[Produced_Qty]]/ProductionData[[#This Row],[Planned_Qty]]</f>
        <v>0.88061336254107336</v>
      </c>
      <c r="V142" s="2" t="s">
        <v>109</v>
      </c>
      <c r="W142" s="11">
        <v>0</v>
      </c>
      <c r="X142" s="13">
        <f>W142/60</f>
        <v>0</v>
      </c>
      <c r="Y142" s="2" t="s">
        <v>90</v>
      </c>
      <c r="Z142" s="2">
        <v>38</v>
      </c>
      <c r="AA142" s="2">
        <f>ProductionData[[#This Row],[Rejected_Qty]]*ProductionData[[#This Row],[Unit_Cost_INR]]</f>
        <v>8246</v>
      </c>
      <c r="AB142" s="4">
        <v>24311</v>
      </c>
      <c r="AC142" s="4">
        <v>9040</v>
      </c>
      <c r="AD142" s="4">
        <v>9040</v>
      </c>
      <c r="AE142" s="4">
        <v>23094</v>
      </c>
      <c r="AF142" s="4">
        <v>13500</v>
      </c>
    </row>
    <row r="143" spans="1:32">
      <c r="A143" s="2" t="s">
        <v>402</v>
      </c>
      <c r="B143" s="3">
        <v>46142</v>
      </c>
      <c r="C143" s="36" t="s">
        <v>78</v>
      </c>
      <c r="D143" s="2">
        <f>MONTH(ProductionData[[#This Row],[Month]])</f>
        <v>4</v>
      </c>
      <c r="E143" s="2" t="s">
        <v>107</v>
      </c>
      <c r="F143" s="2" t="s">
        <v>66</v>
      </c>
      <c r="G143" s="2" t="s">
        <v>67</v>
      </c>
      <c r="H143" s="2" t="s">
        <v>68</v>
      </c>
      <c r="I143" s="2" t="s">
        <v>69</v>
      </c>
      <c r="J143" s="2" t="s">
        <v>403</v>
      </c>
      <c r="K143" s="2" t="s">
        <v>404</v>
      </c>
      <c r="L143" s="2" t="s">
        <v>405</v>
      </c>
      <c r="M143" s="2" t="s">
        <v>99</v>
      </c>
      <c r="N143" s="2" t="s">
        <v>96</v>
      </c>
      <c r="O143" s="2">
        <v>16</v>
      </c>
      <c r="P143" s="2">
        <v>16</v>
      </c>
      <c r="Q143" s="4">
        <v>5830</v>
      </c>
      <c r="R143" s="4">
        <v>5680</v>
      </c>
      <c r="S143" s="4">
        <v>25</v>
      </c>
      <c r="T143" s="19">
        <f>(ProductionData[[#This Row],[Rejected_Qty]])/ProductionData[[#This Row],[Produced_Qty]]</f>
        <v>4.4014084507042256E-3</v>
      </c>
      <c r="U143" s="19">
        <f>ProductionData[[#This Row],[Produced_Qty]]/ProductionData[[#This Row],[Planned_Qty]]</f>
        <v>0.97427101200686106</v>
      </c>
      <c r="V143" s="2" t="s">
        <v>113</v>
      </c>
      <c r="W143" s="11">
        <v>0</v>
      </c>
      <c r="X143" s="13">
        <f>W143/60</f>
        <v>0</v>
      </c>
      <c r="Y143" s="2" t="s">
        <v>90</v>
      </c>
      <c r="Z143" s="2">
        <v>58</v>
      </c>
      <c r="AA143" s="2">
        <f>ProductionData[[#This Row],[Rejected_Qty]]*ProductionData[[#This Row],[Unit_Cost_INR]]</f>
        <v>1450</v>
      </c>
      <c r="AB143" s="4">
        <v>21937</v>
      </c>
      <c r="AC143" s="4">
        <v>4530</v>
      </c>
      <c r="AD143" s="4">
        <v>4530</v>
      </c>
      <c r="AE143" s="4">
        <v>23062</v>
      </c>
      <c r="AF143" s="4">
        <v>9000</v>
      </c>
    </row>
    <row r="144" spans="1:32">
      <c r="A144" s="2" t="s">
        <v>406</v>
      </c>
      <c r="B144" s="3">
        <v>46133</v>
      </c>
      <c r="C144" s="36" t="s">
        <v>78</v>
      </c>
      <c r="D144" s="2">
        <f>MONTH(ProductionData[[#This Row],[Month]])</f>
        <v>4</v>
      </c>
      <c r="E144" s="2" t="s">
        <v>92</v>
      </c>
      <c r="F144" s="2" t="s">
        <v>80</v>
      </c>
      <c r="G144" s="2" t="s">
        <v>67</v>
      </c>
      <c r="H144" s="2" t="s">
        <v>68</v>
      </c>
      <c r="I144" s="2" t="s">
        <v>69</v>
      </c>
      <c r="J144" s="2" t="s">
        <v>70</v>
      </c>
      <c r="K144" s="2" t="s">
        <v>71</v>
      </c>
      <c r="L144" s="2" t="s">
        <v>407</v>
      </c>
      <c r="M144" s="2" t="s">
        <v>102</v>
      </c>
      <c r="N144" s="2" t="s">
        <v>88</v>
      </c>
      <c r="O144" s="2">
        <v>16</v>
      </c>
      <c r="P144" s="2">
        <v>16</v>
      </c>
      <c r="Q144" s="4">
        <v>7070</v>
      </c>
      <c r="R144" s="4">
        <v>6470</v>
      </c>
      <c r="S144" s="4">
        <v>146</v>
      </c>
      <c r="T144" s="19">
        <f>(ProductionData[[#This Row],[Rejected_Qty]])/ProductionData[[#This Row],[Produced_Qty]]</f>
        <v>2.2565687789799074E-2</v>
      </c>
      <c r="U144" s="19">
        <f>ProductionData[[#This Row],[Produced_Qty]]/ProductionData[[#This Row],[Planned_Qty]]</f>
        <v>0.91513437057991509</v>
      </c>
      <c r="V144" s="2" t="s">
        <v>103</v>
      </c>
      <c r="W144" s="11">
        <v>0</v>
      </c>
      <c r="X144" s="13">
        <f>W144/60</f>
        <v>0</v>
      </c>
      <c r="Y144" s="2" t="s">
        <v>90</v>
      </c>
      <c r="Z144" s="2">
        <v>46</v>
      </c>
      <c r="AA144" s="2">
        <f>ProductionData[[#This Row],[Rejected_Qty]]*ProductionData[[#This Row],[Unit_Cost_INR]]</f>
        <v>6716</v>
      </c>
      <c r="AB144" s="4">
        <v>22470</v>
      </c>
      <c r="AC144" s="4">
        <v>5870</v>
      </c>
      <c r="AD144" s="4">
        <v>5870</v>
      </c>
      <c r="AE144" s="4">
        <v>22924</v>
      </c>
      <c r="AF144" s="4">
        <v>10500</v>
      </c>
    </row>
    <row r="145" spans="1:32">
      <c r="A145" s="2" t="s">
        <v>408</v>
      </c>
      <c r="B145" s="3">
        <v>46135</v>
      </c>
      <c r="C145" s="36" t="s">
        <v>78</v>
      </c>
      <c r="D145" s="2">
        <f>MONTH(ProductionData[[#This Row],[Month]])</f>
        <v>4</v>
      </c>
      <c r="E145" s="2" t="s">
        <v>107</v>
      </c>
      <c r="F145" s="2" t="s">
        <v>66</v>
      </c>
      <c r="G145" s="2" t="s">
        <v>67</v>
      </c>
      <c r="H145" s="2" t="s">
        <v>68</v>
      </c>
      <c r="I145" s="2" t="s">
        <v>69</v>
      </c>
      <c r="J145" s="2" t="s">
        <v>70</v>
      </c>
      <c r="K145" s="2" t="s">
        <v>71</v>
      </c>
      <c r="L145" s="2" t="s">
        <v>409</v>
      </c>
      <c r="M145" s="2" t="s">
        <v>99</v>
      </c>
      <c r="N145" s="2" t="s">
        <v>96</v>
      </c>
      <c r="O145" s="2">
        <v>16</v>
      </c>
      <c r="P145" s="2">
        <v>15</v>
      </c>
      <c r="Q145" s="4">
        <v>7330</v>
      </c>
      <c r="R145" s="4">
        <v>6790</v>
      </c>
      <c r="S145" s="4">
        <v>213</v>
      </c>
      <c r="T145" s="19">
        <f>(ProductionData[[#This Row],[Rejected_Qty]])/ProductionData[[#This Row],[Produced_Qty]]</f>
        <v>3.1369661266568483E-2</v>
      </c>
      <c r="U145" s="19">
        <f>ProductionData[[#This Row],[Produced_Qty]]/ProductionData[[#This Row],[Planned_Qty]]</f>
        <v>0.92633015006821284</v>
      </c>
      <c r="V145" s="2" t="s">
        <v>89</v>
      </c>
      <c r="W145" s="11">
        <v>0</v>
      </c>
      <c r="X145" s="13">
        <f>W145/60</f>
        <v>0</v>
      </c>
      <c r="Y145" s="2" t="s">
        <v>90</v>
      </c>
      <c r="Z145" s="2">
        <v>46</v>
      </c>
      <c r="AA145" s="2">
        <f>ProductionData[[#This Row],[Rejected_Qty]]*ProductionData[[#This Row],[Unit_Cost_INR]]</f>
        <v>9798</v>
      </c>
      <c r="AB145" s="4">
        <v>22470</v>
      </c>
      <c r="AC145" s="4">
        <v>6250</v>
      </c>
      <c r="AD145" s="4">
        <v>6250</v>
      </c>
      <c r="AE145" s="4">
        <v>22797</v>
      </c>
      <c r="AF145" s="4">
        <v>10500</v>
      </c>
    </row>
    <row r="146" spans="1:32">
      <c r="A146" s="2" t="s">
        <v>410</v>
      </c>
      <c r="B146" s="3">
        <v>46122</v>
      </c>
      <c r="C146" s="36" t="s">
        <v>78</v>
      </c>
      <c r="D146" s="2">
        <f>MONTH(ProductionData[[#This Row],[Month]])</f>
        <v>4</v>
      </c>
      <c r="E146" s="2" t="s">
        <v>125</v>
      </c>
      <c r="F146" s="2" t="s">
        <v>80</v>
      </c>
      <c r="G146" s="2" t="s">
        <v>195</v>
      </c>
      <c r="H146" s="2" t="s">
        <v>196</v>
      </c>
      <c r="I146" s="2" t="s">
        <v>197</v>
      </c>
      <c r="J146" s="2" t="s">
        <v>269</v>
      </c>
      <c r="K146" s="2" t="s">
        <v>270</v>
      </c>
      <c r="L146" s="2" t="s">
        <v>411</v>
      </c>
      <c r="M146" s="2" t="s">
        <v>102</v>
      </c>
      <c r="N146" s="2" t="s">
        <v>88</v>
      </c>
      <c r="O146" s="2">
        <v>14</v>
      </c>
      <c r="P146" s="2">
        <v>12</v>
      </c>
      <c r="Q146" s="4">
        <v>8250</v>
      </c>
      <c r="R146" s="4">
        <v>7060</v>
      </c>
      <c r="S146" s="4">
        <v>114</v>
      </c>
      <c r="T146" s="19">
        <f>(ProductionData[[#This Row],[Rejected_Qty]])/ProductionData[[#This Row],[Produced_Qty]]</f>
        <v>1.614730878186969E-2</v>
      </c>
      <c r="U146" s="19">
        <f>ProductionData[[#This Row],[Produced_Qty]]/ProductionData[[#This Row],[Planned_Qty]]</f>
        <v>0.85575757575757572</v>
      </c>
      <c r="V146" s="2" t="s">
        <v>89</v>
      </c>
      <c r="W146" s="11">
        <v>0</v>
      </c>
      <c r="X146" s="13">
        <f>W146/60</f>
        <v>0</v>
      </c>
      <c r="Y146" s="2" t="s">
        <v>90</v>
      </c>
      <c r="Z146" s="2">
        <v>42</v>
      </c>
      <c r="AA146" s="2">
        <f>ProductionData[[#This Row],[Rejected_Qty]]*ProductionData[[#This Row],[Unit_Cost_INR]]</f>
        <v>4788</v>
      </c>
      <c r="AB146" s="4">
        <v>24290</v>
      </c>
      <c r="AC146" s="4">
        <v>8540</v>
      </c>
      <c r="AD146" s="4">
        <v>8540</v>
      </c>
      <c r="AE146" s="4">
        <v>22696</v>
      </c>
      <c r="AF146" s="4">
        <v>12000</v>
      </c>
    </row>
    <row r="147" spans="1:32">
      <c r="A147" s="2" t="s">
        <v>412</v>
      </c>
      <c r="B147" s="3">
        <v>46141</v>
      </c>
      <c r="C147" s="36" t="s">
        <v>78</v>
      </c>
      <c r="D147" s="2">
        <f>MONTH(ProductionData[[#This Row],[Month]])</f>
        <v>4</v>
      </c>
      <c r="E147" s="2" t="s">
        <v>79</v>
      </c>
      <c r="F147" s="2" t="s">
        <v>66</v>
      </c>
      <c r="G147" s="2" t="s">
        <v>67</v>
      </c>
      <c r="H147" s="2" t="s">
        <v>68</v>
      </c>
      <c r="I147" s="2" t="s">
        <v>69</v>
      </c>
      <c r="J147" s="2" t="s">
        <v>403</v>
      </c>
      <c r="K147" s="2" t="s">
        <v>404</v>
      </c>
      <c r="L147" s="2" t="s">
        <v>413</v>
      </c>
      <c r="M147" s="2" t="s">
        <v>73</v>
      </c>
      <c r="N147" s="2" t="s">
        <v>88</v>
      </c>
      <c r="O147" s="2">
        <v>16</v>
      </c>
      <c r="P147" s="2">
        <v>15</v>
      </c>
      <c r="Q147" s="4">
        <v>5950</v>
      </c>
      <c r="R147" s="4">
        <v>5580</v>
      </c>
      <c r="S147" s="4">
        <v>152</v>
      </c>
      <c r="T147" s="19">
        <f>(ProductionData[[#This Row],[Rejected_Qty]])/ProductionData[[#This Row],[Produced_Qty]]</f>
        <v>2.7240143369175629E-2</v>
      </c>
      <c r="U147" s="19">
        <f>ProductionData[[#This Row],[Produced_Qty]]/ProductionData[[#This Row],[Planned_Qty]]</f>
        <v>0.93781512605042017</v>
      </c>
      <c r="V147" s="2" t="s">
        <v>75</v>
      </c>
      <c r="W147" s="11">
        <v>0</v>
      </c>
      <c r="X147" s="13">
        <f>W147/60</f>
        <v>0</v>
      </c>
      <c r="Y147" s="2" t="s">
        <v>90</v>
      </c>
      <c r="Z147" s="2">
        <v>58</v>
      </c>
      <c r="AA147" s="2">
        <f>ProductionData[[#This Row],[Rejected_Qty]]*ProductionData[[#This Row],[Unit_Cost_INR]]</f>
        <v>8816</v>
      </c>
      <c r="AB147" s="4">
        <v>22280</v>
      </c>
      <c r="AC147" s="4">
        <v>5110</v>
      </c>
      <c r="AD147" s="4">
        <v>5110</v>
      </c>
      <c r="AE147" s="4">
        <v>22598</v>
      </c>
      <c r="AF147" s="4">
        <v>9000</v>
      </c>
    </row>
    <row r="148" spans="1:32">
      <c r="A148" s="2" t="s">
        <v>414</v>
      </c>
      <c r="B148" s="3">
        <v>46139</v>
      </c>
      <c r="C148" s="36" t="s">
        <v>78</v>
      </c>
      <c r="D148" s="2">
        <f>MONTH(ProductionData[[#This Row],[Month]])</f>
        <v>4</v>
      </c>
      <c r="E148" s="2" t="s">
        <v>116</v>
      </c>
      <c r="F148" s="2" t="s">
        <v>66</v>
      </c>
      <c r="G148" s="2" t="s">
        <v>67</v>
      </c>
      <c r="H148" s="2" t="s">
        <v>68</v>
      </c>
      <c r="I148" s="2" t="s">
        <v>69</v>
      </c>
      <c r="J148" s="2" t="s">
        <v>403</v>
      </c>
      <c r="K148" s="2" t="s">
        <v>404</v>
      </c>
      <c r="L148" s="2" t="s">
        <v>415</v>
      </c>
      <c r="M148" s="2" t="s">
        <v>99</v>
      </c>
      <c r="N148" s="2" t="s">
        <v>88</v>
      </c>
      <c r="O148" s="2">
        <v>16</v>
      </c>
      <c r="P148" s="2">
        <v>14</v>
      </c>
      <c r="Q148" s="4">
        <v>6340</v>
      </c>
      <c r="R148" s="4">
        <v>6070</v>
      </c>
      <c r="S148" s="4">
        <v>148</v>
      </c>
      <c r="T148" s="19">
        <f>(ProductionData[[#This Row],[Rejected_Qty]])/ProductionData[[#This Row],[Produced_Qty]]</f>
        <v>2.4382207578253708E-2</v>
      </c>
      <c r="U148" s="19">
        <f>ProductionData[[#This Row],[Produced_Qty]]/ProductionData[[#This Row],[Planned_Qty]]</f>
        <v>0.95741324921135651</v>
      </c>
      <c r="V148" s="2" t="s">
        <v>89</v>
      </c>
      <c r="W148" s="11">
        <v>0</v>
      </c>
      <c r="X148" s="13">
        <f>W148/60</f>
        <v>0</v>
      </c>
      <c r="Y148" s="2" t="s">
        <v>90</v>
      </c>
      <c r="Z148" s="2">
        <v>58</v>
      </c>
      <c r="AA148" s="2">
        <f>ProductionData[[#This Row],[Rejected_Qty]]*ProductionData[[#This Row],[Unit_Cost_INR]]</f>
        <v>8584</v>
      </c>
      <c r="AB148" s="4">
        <v>22215</v>
      </c>
      <c r="AC148" s="4">
        <v>5570</v>
      </c>
      <c r="AD148" s="4">
        <v>5570</v>
      </c>
      <c r="AE148" s="4">
        <v>22567</v>
      </c>
      <c r="AF148" s="4">
        <v>9000</v>
      </c>
    </row>
    <row r="149" spans="1:32">
      <c r="A149" s="2" t="s">
        <v>416</v>
      </c>
      <c r="B149" s="3">
        <v>46125</v>
      </c>
      <c r="C149" s="36" t="s">
        <v>78</v>
      </c>
      <c r="D149" s="2">
        <f>MONTH(ProductionData[[#This Row],[Month]])</f>
        <v>4</v>
      </c>
      <c r="E149" s="2" t="s">
        <v>116</v>
      </c>
      <c r="F149" s="2" t="s">
        <v>80</v>
      </c>
      <c r="G149" s="2" t="s">
        <v>195</v>
      </c>
      <c r="H149" s="2" t="s">
        <v>196</v>
      </c>
      <c r="I149" s="2" t="s">
        <v>197</v>
      </c>
      <c r="J149" s="2" t="s">
        <v>198</v>
      </c>
      <c r="K149" s="2" t="s">
        <v>199</v>
      </c>
      <c r="L149" s="2" t="s">
        <v>417</v>
      </c>
      <c r="M149" s="2" t="s">
        <v>102</v>
      </c>
      <c r="N149" s="2" t="s">
        <v>96</v>
      </c>
      <c r="O149" s="2">
        <v>14</v>
      </c>
      <c r="P149" s="2">
        <v>14</v>
      </c>
      <c r="Q149" s="4">
        <v>9020</v>
      </c>
      <c r="R149" s="4">
        <v>8770</v>
      </c>
      <c r="S149" s="4">
        <v>286</v>
      </c>
      <c r="T149" s="19">
        <f>(ProductionData[[#This Row],[Rejected_Qty]])/ProductionData[[#This Row],[Produced_Qty]]</f>
        <v>3.2611174458380847E-2</v>
      </c>
      <c r="U149" s="19">
        <f>ProductionData[[#This Row],[Produced_Qty]]/ProductionData[[#This Row],[Planned_Qty]]</f>
        <v>0.97228381374722839</v>
      </c>
      <c r="V149" s="2" t="s">
        <v>89</v>
      </c>
      <c r="W149" s="11">
        <v>0</v>
      </c>
      <c r="X149" s="13">
        <f>W149/60</f>
        <v>0</v>
      </c>
      <c r="Y149" s="2" t="s">
        <v>90</v>
      </c>
      <c r="Z149" s="2">
        <v>38</v>
      </c>
      <c r="AA149" s="2">
        <f>ProductionData[[#This Row],[Rejected_Qty]]*ProductionData[[#This Row],[Unit_Cost_INR]]</f>
        <v>10868</v>
      </c>
      <c r="AB149" s="4">
        <v>22422</v>
      </c>
      <c r="AC149" s="4">
        <v>8340</v>
      </c>
      <c r="AD149" s="4">
        <v>8340</v>
      </c>
      <c r="AE149" s="4">
        <v>22566</v>
      </c>
      <c r="AF149" s="4">
        <v>13500</v>
      </c>
    </row>
    <row r="150" spans="1:32">
      <c r="A150" s="2" t="s">
        <v>418</v>
      </c>
      <c r="B150" s="3">
        <v>46132</v>
      </c>
      <c r="C150" s="36" t="s">
        <v>78</v>
      </c>
      <c r="D150" s="2">
        <f>MONTH(ProductionData[[#This Row],[Month]])</f>
        <v>4</v>
      </c>
      <c r="E150" s="2" t="s">
        <v>116</v>
      </c>
      <c r="F150" s="2" t="s">
        <v>93</v>
      </c>
      <c r="G150" s="2" t="s">
        <v>67</v>
      </c>
      <c r="H150" s="2" t="s">
        <v>68</v>
      </c>
      <c r="I150" s="2" t="s">
        <v>69</v>
      </c>
      <c r="J150" s="2" t="s">
        <v>70</v>
      </c>
      <c r="K150" s="2" t="s">
        <v>71</v>
      </c>
      <c r="L150" s="2" t="s">
        <v>419</v>
      </c>
      <c r="M150" s="2" t="s">
        <v>95</v>
      </c>
      <c r="N150" s="2" t="s">
        <v>88</v>
      </c>
      <c r="O150" s="2">
        <v>16</v>
      </c>
      <c r="P150" s="2">
        <v>16</v>
      </c>
      <c r="Q150" s="4">
        <v>6380</v>
      </c>
      <c r="R150" s="4">
        <v>6160</v>
      </c>
      <c r="S150" s="4">
        <v>187</v>
      </c>
      <c r="T150" s="19">
        <f>(ProductionData[[#This Row],[Rejected_Qty]])/ProductionData[[#This Row],[Produced_Qty]]</f>
        <v>3.0357142857142857E-2</v>
      </c>
      <c r="U150" s="19">
        <f>ProductionData[[#This Row],[Produced_Qty]]/ProductionData[[#This Row],[Planned_Qty]]</f>
        <v>0.96551724137931039</v>
      </c>
      <c r="V150" s="2" t="s">
        <v>113</v>
      </c>
      <c r="W150" s="11">
        <v>0</v>
      </c>
      <c r="X150" s="13">
        <f>W150/60</f>
        <v>0</v>
      </c>
      <c r="Y150" s="2" t="s">
        <v>90</v>
      </c>
      <c r="Z150" s="2">
        <v>46</v>
      </c>
      <c r="AA150" s="2">
        <f>ProductionData[[#This Row],[Rejected_Qty]]*ProductionData[[#This Row],[Unit_Cost_INR]]</f>
        <v>8602</v>
      </c>
      <c r="AB150" s="4">
        <v>22397</v>
      </c>
      <c r="AC150" s="4">
        <v>5900</v>
      </c>
      <c r="AD150" s="4">
        <v>5900</v>
      </c>
      <c r="AE150" s="4">
        <v>22470</v>
      </c>
      <c r="AF150" s="4">
        <v>10500</v>
      </c>
    </row>
    <row r="151" spans="1:32">
      <c r="A151" s="2" t="s">
        <v>420</v>
      </c>
      <c r="B151" s="3">
        <v>46134</v>
      </c>
      <c r="C151" s="36" t="s">
        <v>78</v>
      </c>
      <c r="D151" s="2">
        <f>MONTH(ProductionData[[#This Row],[Month]])</f>
        <v>4</v>
      </c>
      <c r="E151" s="2" t="s">
        <v>79</v>
      </c>
      <c r="F151" s="2" t="s">
        <v>93</v>
      </c>
      <c r="G151" s="2" t="s">
        <v>67</v>
      </c>
      <c r="H151" s="2" t="s">
        <v>68</v>
      </c>
      <c r="I151" s="2" t="s">
        <v>69</v>
      </c>
      <c r="J151" s="2" t="s">
        <v>70</v>
      </c>
      <c r="K151" s="2" t="s">
        <v>71</v>
      </c>
      <c r="L151" s="2" t="s">
        <v>421</v>
      </c>
      <c r="M151" s="2" t="s">
        <v>133</v>
      </c>
      <c r="N151" s="2" t="s">
        <v>96</v>
      </c>
      <c r="O151" s="2">
        <v>16</v>
      </c>
      <c r="P151" s="2">
        <v>13</v>
      </c>
      <c r="Q151" s="4">
        <v>6290</v>
      </c>
      <c r="R151" s="4">
        <v>5500</v>
      </c>
      <c r="S151" s="4">
        <v>114</v>
      </c>
      <c r="T151" s="19">
        <f>(ProductionData[[#This Row],[Rejected_Qty]])/ProductionData[[#This Row],[Produced_Qty]]</f>
        <v>2.0727272727272726E-2</v>
      </c>
      <c r="U151" s="19">
        <f>ProductionData[[#This Row],[Produced_Qty]]/ProductionData[[#This Row],[Planned_Qty]]</f>
        <v>0.87440381558028613</v>
      </c>
      <c r="V151" s="2" t="s">
        <v>103</v>
      </c>
      <c r="W151" s="11">
        <v>15</v>
      </c>
      <c r="X151" s="13">
        <f>W151/60</f>
        <v>0.25</v>
      </c>
      <c r="Y151" s="2" t="s">
        <v>182</v>
      </c>
      <c r="Z151" s="2">
        <v>46</v>
      </c>
      <c r="AA151" s="2">
        <f>ProductionData[[#This Row],[Rejected_Qty]]*ProductionData[[#This Row],[Unit_Cost_INR]]</f>
        <v>5244</v>
      </c>
      <c r="AB151" s="4">
        <v>22924</v>
      </c>
      <c r="AC151" s="4">
        <v>5840</v>
      </c>
      <c r="AD151" s="4">
        <v>5840</v>
      </c>
      <c r="AE151" s="4">
        <v>22470</v>
      </c>
      <c r="AF151" s="4">
        <v>10500</v>
      </c>
    </row>
    <row r="152" spans="1:32">
      <c r="A152" s="2" t="s">
        <v>422</v>
      </c>
      <c r="B152" s="3">
        <v>46136</v>
      </c>
      <c r="C152" s="36" t="s">
        <v>78</v>
      </c>
      <c r="D152" s="2">
        <f>MONTH(ProductionData[[#This Row],[Month]])</f>
        <v>4</v>
      </c>
      <c r="E152" s="2" t="s">
        <v>125</v>
      </c>
      <c r="F152" s="2" t="s">
        <v>66</v>
      </c>
      <c r="G152" s="2" t="s">
        <v>67</v>
      </c>
      <c r="H152" s="2" t="s">
        <v>68</v>
      </c>
      <c r="I152" s="2" t="s">
        <v>69</v>
      </c>
      <c r="J152" s="2" t="s">
        <v>70</v>
      </c>
      <c r="K152" s="2" t="s">
        <v>71</v>
      </c>
      <c r="L152" s="2" t="s">
        <v>423</v>
      </c>
      <c r="M152" s="2" t="s">
        <v>73</v>
      </c>
      <c r="N152" s="2" t="s">
        <v>88</v>
      </c>
      <c r="O152" s="2">
        <v>16</v>
      </c>
      <c r="P152" s="2">
        <v>15</v>
      </c>
      <c r="Q152" s="4">
        <v>6900</v>
      </c>
      <c r="R152" s="4">
        <v>6000</v>
      </c>
      <c r="S152" s="4">
        <v>212</v>
      </c>
      <c r="T152" s="19">
        <f>(ProductionData[[#This Row],[Rejected_Qty]])/ProductionData[[#This Row],[Produced_Qty]]</f>
        <v>3.5333333333333335E-2</v>
      </c>
      <c r="U152" s="19">
        <f>ProductionData[[#This Row],[Produced_Qty]]/ProductionData[[#This Row],[Planned_Qty]]</f>
        <v>0.86956521739130432</v>
      </c>
      <c r="V152" s="2" t="s">
        <v>103</v>
      </c>
      <c r="W152" s="11">
        <v>0</v>
      </c>
      <c r="X152" s="13">
        <f>W152/60</f>
        <v>0</v>
      </c>
      <c r="Y152" s="2" t="s">
        <v>90</v>
      </c>
      <c r="Z152" s="2">
        <v>46</v>
      </c>
      <c r="AA152" s="2">
        <f>ProductionData[[#This Row],[Rejected_Qty]]*ProductionData[[#This Row],[Unit_Cost_INR]]</f>
        <v>9752</v>
      </c>
      <c r="AB152" s="4">
        <v>22095</v>
      </c>
      <c r="AC152" s="4">
        <v>5450</v>
      </c>
      <c r="AD152" s="4">
        <v>5450</v>
      </c>
      <c r="AE152" s="4">
        <v>22433</v>
      </c>
      <c r="AF152" s="4">
        <v>10500</v>
      </c>
    </row>
    <row r="153" spans="1:32">
      <c r="A153" s="2" t="s">
        <v>424</v>
      </c>
      <c r="B153" s="3">
        <v>46122</v>
      </c>
      <c r="C153" s="36" t="s">
        <v>78</v>
      </c>
      <c r="D153" s="2">
        <f>MONTH(ProductionData[[#This Row],[Month]])</f>
        <v>4</v>
      </c>
      <c r="E153" s="2" t="s">
        <v>125</v>
      </c>
      <c r="F153" s="2" t="s">
        <v>93</v>
      </c>
      <c r="G153" s="2" t="s">
        <v>195</v>
      </c>
      <c r="H153" s="2" t="s">
        <v>196</v>
      </c>
      <c r="I153" s="2" t="s">
        <v>197</v>
      </c>
      <c r="J153" s="2" t="s">
        <v>198</v>
      </c>
      <c r="K153" s="2" t="s">
        <v>199</v>
      </c>
      <c r="L153" s="2" t="s">
        <v>425</v>
      </c>
      <c r="M153" s="2" t="s">
        <v>95</v>
      </c>
      <c r="N153" s="2" t="s">
        <v>88</v>
      </c>
      <c r="O153" s="2">
        <v>14</v>
      </c>
      <c r="P153" s="2">
        <v>12</v>
      </c>
      <c r="Q153" s="4">
        <v>8350</v>
      </c>
      <c r="R153" s="4">
        <v>7420</v>
      </c>
      <c r="S153" s="4">
        <v>123</v>
      </c>
      <c r="T153" s="19">
        <f>(ProductionData[[#This Row],[Rejected_Qty]])/ProductionData[[#This Row],[Produced_Qty]]</f>
        <v>1.6576819407008087E-2</v>
      </c>
      <c r="U153" s="19">
        <f>ProductionData[[#This Row],[Produced_Qty]]/ProductionData[[#This Row],[Planned_Qty]]</f>
        <v>0.88862275449101802</v>
      </c>
      <c r="V153" s="2" t="s">
        <v>109</v>
      </c>
      <c r="W153" s="11">
        <v>68</v>
      </c>
      <c r="X153" s="13">
        <f>W153/60</f>
        <v>1.1333333333333333</v>
      </c>
      <c r="Y153" s="2" t="s">
        <v>110</v>
      </c>
      <c r="Z153" s="2">
        <v>38</v>
      </c>
      <c r="AA153" s="2">
        <f>ProductionData[[#This Row],[Rejected_Qty]]*ProductionData[[#This Row],[Unit_Cost_INR]]</f>
        <v>4674</v>
      </c>
      <c r="AB153" s="4">
        <v>23175</v>
      </c>
      <c r="AC153" s="4">
        <v>8050</v>
      </c>
      <c r="AD153" s="4">
        <v>8050</v>
      </c>
      <c r="AE153" s="4">
        <v>22422</v>
      </c>
      <c r="AF153" s="4">
        <v>13500</v>
      </c>
    </row>
    <row r="154" spans="1:32">
      <c r="A154" s="2" t="s">
        <v>426</v>
      </c>
      <c r="B154" s="3">
        <v>46130</v>
      </c>
      <c r="C154" s="36" t="s">
        <v>78</v>
      </c>
      <c r="D154" s="2">
        <f>MONTH(ProductionData[[#This Row],[Month]])</f>
        <v>4</v>
      </c>
      <c r="E154" s="2" t="s">
        <v>65</v>
      </c>
      <c r="F154" s="2" t="s">
        <v>80</v>
      </c>
      <c r="G154" s="2" t="s">
        <v>67</v>
      </c>
      <c r="H154" s="2" t="s">
        <v>68</v>
      </c>
      <c r="I154" s="2" t="s">
        <v>69</v>
      </c>
      <c r="J154" s="2" t="s">
        <v>70</v>
      </c>
      <c r="K154" s="2" t="s">
        <v>71</v>
      </c>
      <c r="L154" s="2" t="s">
        <v>427</v>
      </c>
      <c r="M154" s="2" t="s">
        <v>102</v>
      </c>
      <c r="N154" s="2" t="s">
        <v>88</v>
      </c>
      <c r="O154" s="2">
        <v>16</v>
      </c>
      <c r="P154" s="2">
        <v>15</v>
      </c>
      <c r="Q154" s="4">
        <v>6450</v>
      </c>
      <c r="R154" s="4">
        <v>6120</v>
      </c>
      <c r="S154" s="4">
        <v>233</v>
      </c>
      <c r="T154" s="19">
        <f>(ProductionData[[#This Row],[Rejected_Qty]])/ProductionData[[#This Row],[Produced_Qty]]</f>
        <v>3.8071895424836598E-2</v>
      </c>
      <c r="U154" s="19">
        <f>ProductionData[[#This Row],[Produced_Qty]]/ProductionData[[#This Row],[Planned_Qty]]</f>
        <v>0.94883720930232562</v>
      </c>
      <c r="V154" s="2" t="s">
        <v>103</v>
      </c>
      <c r="W154" s="11">
        <v>0</v>
      </c>
      <c r="X154" s="13">
        <f>W154/60</f>
        <v>0</v>
      </c>
      <c r="Y154" s="2" t="s">
        <v>90</v>
      </c>
      <c r="Z154" s="2">
        <v>46</v>
      </c>
      <c r="AA154" s="2">
        <f>ProductionData[[#This Row],[Rejected_Qty]]*ProductionData[[#This Row],[Unit_Cost_INR]]</f>
        <v>10718</v>
      </c>
      <c r="AB154" s="4">
        <v>21670</v>
      </c>
      <c r="AC154" s="4">
        <v>5160</v>
      </c>
      <c r="AD154" s="4">
        <v>5160</v>
      </c>
      <c r="AE154" s="4">
        <v>22397</v>
      </c>
      <c r="AF154" s="4">
        <v>10500</v>
      </c>
    </row>
    <row r="155" spans="1:32">
      <c r="A155" s="2" t="s">
        <v>428</v>
      </c>
      <c r="B155" s="3">
        <v>46140</v>
      </c>
      <c r="C155" s="36" t="s">
        <v>78</v>
      </c>
      <c r="D155" s="2">
        <f>MONTH(ProductionData[[#This Row],[Month]])</f>
        <v>4</v>
      </c>
      <c r="E155" s="2" t="s">
        <v>92</v>
      </c>
      <c r="F155" s="2" t="s">
        <v>80</v>
      </c>
      <c r="G155" s="2" t="s">
        <v>67</v>
      </c>
      <c r="H155" s="2" t="s">
        <v>68</v>
      </c>
      <c r="I155" s="2" t="s">
        <v>69</v>
      </c>
      <c r="J155" s="2" t="s">
        <v>403</v>
      </c>
      <c r="K155" s="2" t="s">
        <v>404</v>
      </c>
      <c r="L155" s="2" t="s">
        <v>429</v>
      </c>
      <c r="M155" s="2" t="s">
        <v>102</v>
      </c>
      <c r="N155" s="2" t="s">
        <v>96</v>
      </c>
      <c r="O155" s="2">
        <v>16</v>
      </c>
      <c r="P155" s="2">
        <v>15</v>
      </c>
      <c r="Q155" s="4">
        <v>5770</v>
      </c>
      <c r="R155" s="4">
        <v>5200</v>
      </c>
      <c r="S155" s="4">
        <v>167</v>
      </c>
      <c r="T155" s="19">
        <f>(ProductionData[[#This Row],[Rejected_Qty]])/ProductionData[[#This Row],[Produced_Qty]]</f>
        <v>3.2115384615384615E-2</v>
      </c>
      <c r="U155" s="19">
        <f>ProductionData[[#This Row],[Produced_Qty]]/ProductionData[[#This Row],[Planned_Qty]]</f>
        <v>0.901213171577123</v>
      </c>
      <c r="V155" s="2" t="s">
        <v>75</v>
      </c>
      <c r="W155" s="11">
        <v>0</v>
      </c>
      <c r="X155" s="13">
        <f>W155/60</f>
        <v>0</v>
      </c>
      <c r="Y155" s="2" t="s">
        <v>90</v>
      </c>
      <c r="Z155" s="2">
        <v>58</v>
      </c>
      <c r="AA155" s="2">
        <f>ProductionData[[#This Row],[Rejected_Qty]]*ProductionData[[#This Row],[Unit_Cost_INR]]</f>
        <v>9686</v>
      </c>
      <c r="AB155" s="4">
        <v>22567</v>
      </c>
      <c r="AC155" s="4">
        <v>5320</v>
      </c>
      <c r="AD155" s="4">
        <v>5320</v>
      </c>
      <c r="AE155" s="4">
        <v>22280</v>
      </c>
      <c r="AF155" s="4">
        <v>9000</v>
      </c>
    </row>
    <row r="156" spans="1:32">
      <c r="A156" s="2" t="s">
        <v>430</v>
      </c>
      <c r="B156" s="3">
        <v>46137</v>
      </c>
      <c r="C156" s="36" t="s">
        <v>78</v>
      </c>
      <c r="D156" s="2">
        <f>MONTH(ProductionData[[#This Row],[Month]])</f>
        <v>4</v>
      </c>
      <c r="E156" s="2" t="s">
        <v>65</v>
      </c>
      <c r="F156" s="2" t="s">
        <v>93</v>
      </c>
      <c r="G156" s="2" t="s">
        <v>67</v>
      </c>
      <c r="H156" s="2" t="s">
        <v>68</v>
      </c>
      <c r="I156" s="2" t="s">
        <v>69</v>
      </c>
      <c r="J156" s="2" t="s">
        <v>403</v>
      </c>
      <c r="K156" s="2" t="s">
        <v>404</v>
      </c>
      <c r="L156" s="2" t="s">
        <v>431</v>
      </c>
      <c r="M156" s="2" t="s">
        <v>95</v>
      </c>
      <c r="N156" s="2" t="s">
        <v>88</v>
      </c>
      <c r="O156" s="2">
        <v>16</v>
      </c>
      <c r="P156" s="2">
        <v>16</v>
      </c>
      <c r="Q156" s="4">
        <v>5450</v>
      </c>
      <c r="R156" s="4">
        <v>5380</v>
      </c>
      <c r="S156" s="4">
        <v>122</v>
      </c>
      <c r="T156" s="19">
        <f>(ProductionData[[#This Row],[Rejected_Qty]])/ProductionData[[#This Row],[Produced_Qty]]</f>
        <v>2.2676579925650558E-2</v>
      </c>
      <c r="U156" s="19">
        <f>ProductionData[[#This Row],[Produced_Qty]]/ProductionData[[#This Row],[Planned_Qty]]</f>
        <v>0.98715596330275235</v>
      </c>
      <c r="V156" s="2" t="s">
        <v>113</v>
      </c>
      <c r="W156" s="11">
        <v>23</v>
      </c>
      <c r="X156" s="13">
        <f>W156/60</f>
        <v>0.38333333333333336</v>
      </c>
      <c r="Y156" s="2" t="s">
        <v>76</v>
      </c>
      <c r="Z156" s="2">
        <v>58</v>
      </c>
      <c r="AA156" s="2">
        <f>ProductionData[[#This Row],[Rejected_Qty]]*ProductionData[[#This Row],[Unit_Cost_INR]]</f>
        <v>7076</v>
      </c>
      <c r="AB156" s="4">
        <v>21857</v>
      </c>
      <c r="AC156" s="4">
        <v>4900</v>
      </c>
      <c r="AD156" s="4">
        <v>4900</v>
      </c>
      <c r="AE156" s="4">
        <v>22215</v>
      </c>
      <c r="AF156" s="4">
        <v>9000</v>
      </c>
    </row>
    <row r="157" spans="1:32">
      <c r="A157" s="2" t="s">
        <v>432</v>
      </c>
      <c r="B157" s="3">
        <v>46139</v>
      </c>
      <c r="C157" s="36" t="s">
        <v>78</v>
      </c>
      <c r="D157" s="2">
        <f>MONTH(ProductionData[[#This Row],[Month]])</f>
        <v>4</v>
      </c>
      <c r="E157" s="2" t="s">
        <v>116</v>
      </c>
      <c r="F157" s="2" t="s">
        <v>80</v>
      </c>
      <c r="G157" s="2" t="s">
        <v>67</v>
      </c>
      <c r="H157" s="2" t="s">
        <v>68</v>
      </c>
      <c r="I157" s="2" t="s">
        <v>69</v>
      </c>
      <c r="J157" s="2" t="s">
        <v>70</v>
      </c>
      <c r="K157" s="2" t="s">
        <v>71</v>
      </c>
      <c r="L157" s="2" t="s">
        <v>433</v>
      </c>
      <c r="M157" s="2" t="s">
        <v>102</v>
      </c>
      <c r="N157" s="2" t="s">
        <v>96</v>
      </c>
      <c r="O157" s="2">
        <v>16</v>
      </c>
      <c r="P157" s="2">
        <v>16</v>
      </c>
      <c r="Q157" s="4">
        <v>6680</v>
      </c>
      <c r="R157" s="4">
        <v>6720</v>
      </c>
      <c r="S157" s="4">
        <v>188</v>
      </c>
      <c r="T157" s="19">
        <f>(ProductionData[[#This Row],[Rejected_Qty]])/ProductionData[[#This Row],[Produced_Qty]]</f>
        <v>2.7976190476190477E-2</v>
      </c>
      <c r="U157" s="19">
        <f>ProductionData[[#This Row],[Produced_Qty]]/ProductionData[[#This Row],[Planned_Qty]]</f>
        <v>1.0059880239520957</v>
      </c>
      <c r="V157" s="2" t="s">
        <v>113</v>
      </c>
      <c r="W157" s="11">
        <v>0</v>
      </c>
      <c r="X157" s="13">
        <f>W157/60</f>
        <v>0</v>
      </c>
      <c r="Y157" s="2" t="s">
        <v>90</v>
      </c>
      <c r="Z157" s="2">
        <v>46</v>
      </c>
      <c r="AA157" s="2">
        <f>ProductionData[[#This Row],[Rejected_Qty]]*ProductionData[[#This Row],[Unit_Cost_INR]]</f>
        <v>8648</v>
      </c>
      <c r="AB157" s="4">
        <v>22433</v>
      </c>
      <c r="AC157" s="4">
        <v>6750</v>
      </c>
      <c r="AD157" s="4">
        <v>6750</v>
      </c>
      <c r="AE157" s="4">
        <v>22215</v>
      </c>
      <c r="AF157" s="4">
        <v>10500</v>
      </c>
    </row>
    <row r="158" spans="1:32">
      <c r="A158" s="2" t="s">
        <v>434</v>
      </c>
      <c r="B158" s="3">
        <v>46136</v>
      </c>
      <c r="C158" s="36" t="s">
        <v>78</v>
      </c>
      <c r="D158" s="2">
        <f>MONTH(ProductionData[[#This Row],[Month]])</f>
        <v>4</v>
      </c>
      <c r="E158" s="2" t="s">
        <v>125</v>
      </c>
      <c r="F158" s="2" t="s">
        <v>93</v>
      </c>
      <c r="G158" s="2" t="s">
        <v>67</v>
      </c>
      <c r="H158" s="2" t="s">
        <v>68</v>
      </c>
      <c r="I158" s="2" t="s">
        <v>69</v>
      </c>
      <c r="J158" s="2" t="s">
        <v>403</v>
      </c>
      <c r="K158" s="2" t="s">
        <v>404</v>
      </c>
      <c r="L158" s="2" t="s">
        <v>435</v>
      </c>
      <c r="M158" s="2" t="s">
        <v>133</v>
      </c>
      <c r="N158" s="2" t="s">
        <v>96</v>
      </c>
      <c r="O158" s="2">
        <v>16</v>
      </c>
      <c r="P158" s="2">
        <v>13</v>
      </c>
      <c r="Q158" s="4">
        <v>5880</v>
      </c>
      <c r="R158" s="4">
        <v>5320</v>
      </c>
      <c r="S158" s="4">
        <v>106</v>
      </c>
      <c r="T158" s="19">
        <f>(ProductionData[[#This Row],[Rejected_Qty]])/ProductionData[[#This Row],[Produced_Qty]]</f>
        <v>1.9924812030075189E-2</v>
      </c>
      <c r="U158" s="19">
        <f>ProductionData[[#This Row],[Produced_Qty]]/ProductionData[[#This Row],[Planned_Qty]]</f>
        <v>0.90476190476190477</v>
      </c>
      <c r="V158" s="2" t="s">
        <v>109</v>
      </c>
      <c r="W158" s="11">
        <v>0</v>
      </c>
      <c r="X158" s="13">
        <f>W158/60</f>
        <v>0</v>
      </c>
      <c r="Y158" s="2" t="s">
        <v>90</v>
      </c>
      <c r="Z158" s="2">
        <v>58</v>
      </c>
      <c r="AA158" s="2">
        <f>ProductionData[[#This Row],[Rejected_Qty]]*ProductionData[[#This Row],[Unit_Cost_INR]]</f>
        <v>6148</v>
      </c>
      <c r="AB158" s="4">
        <v>21801</v>
      </c>
      <c r="AC158" s="4">
        <v>4830</v>
      </c>
      <c r="AD158" s="4">
        <v>4830</v>
      </c>
      <c r="AE158" s="4">
        <v>22185</v>
      </c>
      <c r="AF158" s="4">
        <v>9000</v>
      </c>
    </row>
    <row r="159" spans="1:32">
      <c r="A159" s="2" t="s">
        <v>436</v>
      </c>
      <c r="B159" s="3">
        <v>46137</v>
      </c>
      <c r="C159" s="36" t="s">
        <v>78</v>
      </c>
      <c r="D159" s="2">
        <f>MONTH(ProductionData[[#This Row],[Month]])</f>
        <v>4</v>
      </c>
      <c r="E159" s="2" t="s">
        <v>65</v>
      </c>
      <c r="F159" s="2" t="s">
        <v>66</v>
      </c>
      <c r="G159" s="2" t="s">
        <v>67</v>
      </c>
      <c r="H159" s="2" t="s">
        <v>68</v>
      </c>
      <c r="I159" s="2" t="s">
        <v>69</v>
      </c>
      <c r="J159" s="2" t="s">
        <v>403</v>
      </c>
      <c r="K159" s="2" t="s">
        <v>404</v>
      </c>
      <c r="L159" s="2" t="s">
        <v>437</v>
      </c>
      <c r="M159" s="2" t="s">
        <v>73</v>
      </c>
      <c r="N159" s="2" t="s">
        <v>96</v>
      </c>
      <c r="O159" s="2">
        <v>16</v>
      </c>
      <c r="P159" s="2">
        <v>16</v>
      </c>
      <c r="Q159" s="4">
        <v>6230</v>
      </c>
      <c r="R159" s="4">
        <v>6090</v>
      </c>
      <c r="S159" s="4">
        <v>189</v>
      </c>
      <c r="T159" s="19">
        <f>(ProductionData[[#This Row],[Rejected_Qty]])/ProductionData[[#This Row],[Produced_Qty]]</f>
        <v>3.1034482758620689E-2</v>
      </c>
      <c r="U159" s="19">
        <f>ProductionData[[#This Row],[Produced_Qty]]/ProductionData[[#This Row],[Planned_Qty]]</f>
        <v>0.97752808988764039</v>
      </c>
      <c r="V159" s="2" t="s">
        <v>89</v>
      </c>
      <c r="W159" s="11">
        <v>0</v>
      </c>
      <c r="X159" s="13">
        <f>W159/60</f>
        <v>0</v>
      </c>
      <c r="Y159" s="2" t="s">
        <v>90</v>
      </c>
      <c r="Z159" s="2">
        <v>58</v>
      </c>
      <c r="AA159" s="2">
        <f>ProductionData[[#This Row],[Rejected_Qty]]*ProductionData[[#This Row],[Unit_Cost_INR]]</f>
        <v>10962</v>
      </c>
      <c r="AB159" s="4">
        <v>22185</v>
      </c>
      <c r="AC159" s="4">
        <v>5930</v>
      </c>
      <c r="AD159" s="4">
        <v>5930</v>
      </c>
      <c r="AE159" s="4">
        <v>22156</v>
      </c>
      <c r="AF159" s="4">
        <v>9000</v>
      </c>
    </row>
    <row r="160" spans="1:32">
      <c r="A160" s="2" t="s">
        <v>438</v>
      </c>
      <c r="B160" s="3">
        <v>46135</v>
      </c>
      <c r="C160" s="36" t="s">
        <v>78</v>
      </c>
      <c r="D160" s="2">
        <f>MONTH(ProductionData[[#This Row],[Month]])</f>
        <v>4</v>
      </c>
      <c r="E160" s="2" t="s">
        <v>107</v>
      </c>
      <c r="F160" s="2" t="s">
        <v>93</v>
      </c>
      <c r="G160" s="2" t="s">
        <v>67</v>
      </c>
      <c r="H160" s="2" t="s">
        <v>68</v>
      </c>
      <c r="I160" s="2" t="s">
        <v>69</v>
      </c>
      <c r="J160" s="2" t="s">
        <v>70</v>
      </c>
      <c r="K160" s="2" t="s">
        <v>71</v>
      </c>
      <c r="L160" s="2" t="s">
        <v>439</v>
      </c>
      <c r="M160" s="2" t="s">
        <v>95</v>
      </c>
      <c r="N160" s="2" t="s">
        <v>96</v>
      </c>
      <c r="O160" s="2">
        <v>16</v>
      </c>
      <c r="P160" s="2">
        <v>12</v>
      </c>
      <c r="Q160" s="4">
        <v>6520</v>
      </c>
      <c r="R160" s="4">
        <v>5620</v>
      </c>
      <c r="S160" s="4">
        <v>122</v>
      </c>
      <c r="T160" s="19">
        <f>(ProductionData[[#This Row],[Rejected_Qty]])/ProductionData[[#This Row],[Produced_Qty]]</f>
        <v>2.1708185053380784E-2</v>
      </c>
      <c r="U160" s="19">
        <f>ProductionData[[#This Row],[Produced_Qty]]/ProductionData[[#This Row],[Planned_Qty]]</f>
        <v>0.8619631901840491</v>
      </c>
      <c r="V160" s="2" t="s">
        <v>75</v>
      </c>
      <c r="W160" s="11">
        <v>0</v>
      </c>
      <c r="X160" s="13">
        <f>W160/60</f>
        <v>0</v>
      </c>
      <c r="Y160" s="2" t="s">
        <v>90</v>
      </c>
      <c r="Z160" s="2">
        <v>46</v>
      </c>
      <c r="AA160" s="2">
        <f>ProductionData[[#This Row],[Rejected_Qty]]*ProductionData[[#This Row],[Unit_Cost_INR]]</f>
        <v>5612</v>
      </c>
      <c r="AB160" s="4">
        <v>22797</v>
      </c>
      <c r="AC160" s="4">
        <v>6200</v>
      </c>
      <c r="AD160" s="4">
        <v>6200</v>
      </c>
      <c r="AE160" s="4">
        <v>22095</v>
      </c>
      <c r="AF160" s="4">
        <v>10500</v>
      </c>
    </row>
    <row r="161" spans="1:32">
      <c r="A161" s="2" t="s">
        <v>440</v>
      </c>
      <c r="B161" s="3">
        <v>46132</v>
      </c>
      <c r="C161" s="36" t="s">
        <v>78</v>
      </c>
      <c r="D161" s="2">
        <f>MONTH(ProductionData[[#This Row],[Month]])</f>
        <v>4</v>
      </c>
      <c r="E161" s="2" t="s">
        <v>116</v>
      </c>
      <c r="F161" s="2" t="s">
        <v>80</v>
      </c>
      <c r="G161" s="2" t="s">
        <v>195</v>
      </c>
      <c r="H161" s="2" t="s">
        <v>196</v>
      </c>
      <c r="I161" s="2" t="s">
        <v>197</v>
      </c>
      <c r="J161" s="2" t="s">
        <v>198</v>
      </c>
      <c r="K161" s="2" t="s">
        <v>199</v>
      </c>
      <c r="L161" s="2" t="s">
        <v>441</v>
      </c>
      <c r="M161" s="2" t="s">
        <v>102</v>
      </c>
      <c r="N161" s="2" t="s">
        <v>88</v>
      </c>
      <c r="O161" s="2">
        <v>14</v>
      </c>
      <c r="P161" s="2">
        <v>12</v>
      </c>
      <c r="Q161" s="4">
        <v>8740</v>
      </c>
      <c r="R161" s="4">
        <v>7580</v>
      </c>
      <c r="S161" s="4">
        <v>251</v>
      </c>
      <c r="T161" s="19">
        <f>(ProductionData[[#This Row],[Rejected_Qty]])/ProductionData[[#This Row],[Produced_Qty]]</f>
        <v>3.3113456464379951E-2</v>
      </c>
      <c r="U161" s="19">
        <f>ProductionData[[#This Row],[Produced_Qty]]/ProductionData[[#This Row],[Planned_Qty]]</f>
        <v>0.86727688787185353</v>
      </c>
      <c r="V161" s="2" t="s">
        <v>89</v>
      </c>
      <c r="W161" s="11">
        <v>0</v>
      </c>
      <c r="X161" s="13">
        <f>W161/60</f>
        <v>0</v>
      </c>
      <c r="Y161" s="2" t="s">
        <v>90</v>
      </c>
      <c r="Z161" s="2">
        <v>38</v>
      </c>
      <c r="AA161" s="2">
        <f>ProductionData[[#This Row],[Rejected_Qty]]*ProductionData[[#This Row],[Unit_Cost_INR]]</f>
        <v>9538</v>
      </c>
      <c r="AB161" s="4">
        <v>23383</v>
      </c>
      <c r="AC161" s="4">
        <v>8620</v>
      </c>
      <c r="AD161" s="4">
        <v>8620</v>
      </c>
      <c r="AE161" s="4">
        <v>22092</v>
      </c>
      <c r="AF161" s="4">
        <v>13500</v>
      </c>
    </row>
    <row r="162" spans="1:32">
      <c r="A162" s="2" t="s">
        <v>442</v>
      </c>
      <c r="B162" s="3">
        <v>46142</v>
      </c>
      <c r="C162" s="36" t="s">
        <v>78</v>
      </c>
      <c r="D162" s="2">
        <f>MONTH(ProductionData[[#This Row],[Month]])</f>
        <v>4</v>
      </c>
      <c r="E162" s="2" t="s">
        <v>107</v>
      </c>
      <c r="F162" s="2" t="s">
        <v>66</v>
      </c>
      <c r="G162" s="2" t="s">
        <v>174</v>
      </c>
      <c r="H162" s="2" t="s">
        <v>175</v>
      </c>
      <c r="I162" s="2" t="s">
        <v>176</v>
      </c>
      <c r="J162" s="2" t="s">
        <v>443</v>
      </c>
      <c r="K162" s="2" t="s">
        <v>444</v>
      </c>
      <c r="L162" s="2" t="s">
        <v>445</v>
      </c>
      <c r="M162" s="2" t="s">
        <v>99</v>
      </c>
      <c r="N162" s="2" t="s">
        <v>96</v>
      </c>
      <c r="O162" s="2">
        <v>10</v>
      </c>
      <c r="P162" s="2">
        <v>10</v>
      </c>
      <c r="Q162" s="4">
        <v>6930</v>
      </c>
      <c r="R162" s="4">
        <v>6630</v>
      </c>
      <c r="S162" s="4">
        <v>153</v>
      </c>
      <c r="T162" s="19">
        <f>(ProductionData[[#This Row],[Rejected_Qty]])/ProductionData[[#This Row],[Produced_Qty]]</f>
        <v>2.3076923076923078E-2</v>
      </c>
      <c r="U162" s="19">
        <f>ProductionData[[#This Row],[Produced_Qty]]/ProductionData[[#This Row],[Planned_Qty]]</f>
        <v>0.95670995670995673</v>
      </c>
      <c r="V162" s="2" t="s">
        <v>75</v>
      </c>
      <c r="W162" s="11">
        <v>0</v>
      </c>
      <c r="X162" s="13">
        <f>W162/60</f>
        <v>0</v>
      </c>
      <c r="Y162" s="2" t="s">
        <v>90</v>
      </c>
      <c r="Z162" s="2">
        <v>33</v>
      </c>
      <c r="AA162" s="2">
        <f>ProductionData[[#This Row],[Rejected_Qty]]*ProductionData[[#This Row],[Unit_Cost_INR]]</f>
        <v>5049</v>
      </c>
      <c r="AB162" s="4">
        <v>21819</v>
      </c>
      <c r="AC162" s="4">
        <v>6320</v>
      </c>
      <c r="AD162" s="4">
        <v>6320</v>
      </c>
      <c r="AE162" s="4">
        <v>21976</v>
      </c>
      <c r="AF162" s="4">
        <v>9750</v>
      </c>
    </row>
    <row r="163" spans="1:32">
      <c r="A163" s="2" t="s">
        <v>446</v>
      </c>
      <c r="B163" s="3">
        <v>46141</v>
      </c>
      <c r="C163" s="36" t="s">
        <v>78</v>
      </c>
      <c r="D163" s="2">
        <f>MONTH(ProductionData[[#This Row],[Month]])</f>
        <v>4</v>
      </c>
      <c r="E163" s="2" t="s">
        <v>79</v>
      </c>
      <c r="F163" s="2" t="s">
        <v>93</v>
      </c>
      <c r="G163" s="2" t="s">
        <v>67</v>
      </c>
      <c r="H163" s="2" t="s">
        <v>68</v>
      </c>
      <c r="I163" s="2" t="s">
        <v>69</v>
      </c>
      <c r="J163" s="2" t="s">
        <v>403</v>
      </c>
      <c r="K163" s="2" t="s">
        <v>404</v>
      </c>
      <c r="L163" s="2" t="s">
        <v>447</v>
      </c>
      <c r="M163" s="2" t="s">
        <v>133</v>
      </c>
      <c r="N163" s="2" t="s">
        <v>96</v>
      </c>
      <c r="O163" s="2">
        <v>16</v>
      </c>
      <c r="P163" s="2">
        <v>13</v>
      </c>
      <c r="Q163" s="4">
        <v>6110</v>
      </c>
      <c r="R163" s="4">
        <v>5190</v>
      </c>
      <c r="S163" s="4">
        <v>61</v>
      </c>
      <c r="T163" s="19">
        <f>(ProductionData[[#This Row],[Rejected_Qty]])/ProductionData[[#This Row],[Produced_Qty]]</f>
        <v>1.1753371868978806E-2</v>
      </c>
      <c r="U163" s="19">
        <f>ProductionData[[#This Row],[Produced_Qty]]/ProductionData[[#This Row],[Planned_Qty]]</f>
        <v>0.84942716857610479</v>
      </c>
      <c r="V163" s="2" t="s">
        <v>75</v>
      </c>
      <c r="W163" s="11">
        <v>0</v>
      </c>
      <c r="X163" s="13">
        <f>W163/60</f>
        <v>0</v>
      </c>
      <c r="Y163" s="2" t="s">
        <v>90</v>
      </c>
      <c r="Z163" s="2">
        <v>58</v>
      </c>
      <c r="AA163" s="2">
        <f>ProductionData[[#This Row],[Rejected_Qty]]*ProductionData[[#This Row],[Unit_Cost_INR]]</f>
        <v>3538</v>
      </c>
      <c r="AB163" s="4">
        <v>22598</v>
      </c>
      <c r="AC163" s="4">
        <v>5790</v>
      </c>
      <c r="AD163" s="4">
        <v>5790</v>
      </c>
      <c r="AE163" s="4">
        <v>21937</v>
      </c>
      <c r="AF163" s="4">
        <v>9000</v>
      </c>
    </row>
    <row r="164" spans="1:32">
      <c r="A164" s="2" t="s">
        <v>448</v>
      </c>
      <c r="B164" s="3">
        <v>46137</v>
      </c>
      <c r="C164" s="36" t="s">
        <v>78</v>
      </c>
      <c r="D164" s="2">
        <f>MONTH(ProductionData[[#This Row],[Month]])</f>
        <v>4</v>
      </c>
      <c r="E164" s="2" t="s">
        <v>65</v>
      </c>
      <c r="F164" s="2" t="s">
        <v>80</v>
      </c>
      <c r="G164" s="2" t="s">
        <v>67</v>
      </c>
      <c r="H164" s="2" t="s">
        <v>68</v>
      </c>
      <c r="I164" s="2" t="s">
        <v>69</v>
      </c>
      <c r="J164" s="2" t="s">
        <v>403</v>
      </c>
      <c r="K164" s="2" t="s">
        <v>404</v>
      </c>
      <c r="L164" s="2" t="s">
        <v>449</v>
      </c>
      <c r="M164" s="2" t="s">
        <v>102</v>
      </c>
      <c r="N164" s="2" t="s">
        <v>88</v>
      </c>
      <c r="O164" s="2">
        <v>16</v>
      </c>
      <c r="P164" s="2">
        <v>15</v>
      </c>
      <c r="Q164" s="4">
        <v>6160</v>
      </c>
      <c r="R164" s="4">
        <v>5700</v>
      </c>
      <c r="S164" s="4">
        <v>109</v>
      </c>
      <c r="T164" s="19">
        <f>(ProductionData[[#This Row],[Rejected_Qty]])/ProductionData[[#This Row],[Produced_Qty]]</f>
        <v>1.9122807017543861E-2</v>
      </c>
      <c r="U164" s="19">
        <f>ProductionData[[#This Row],[Produced_Qty]]/ProductionData[[#This Row],[Planned_Qty]]</f>
        <v>0.92532467532467533</v>
      </c>
      <c r="V164" s="2" t="s">
        <v>113</v>
      </c>
      <c r="W164" s="11">
        <v>21</v>
      </c>
      <c r="X164" s="13">
        <f>W164/60</f>
        <v>0.35</v>
      </c>
      <c r="Y164" s="2" t="s">
        <v>182</v>
      </c>
      <c r="Z164" s="2">
        <v>58</v>
      </c>
      <c r="AA164" s="2">
        <f>ProductionData[[#This Row],[Rejected_Qty]]*ProductionData[[#This Row],[Unit_Cost_INR]]</f>
        <v>6322</v>
      </c>
      <c r="AB164" s="4">
        <v>22156</v>
      </c>
      <c r="AC164" s="4">
        <v>5890</v>
      </c>
      <c r="AD164" s="4">
        <v>5890</v>
      </c>
      <c r="AE164" s="4">
        <v>21857</v>
      </c>
      <c r="AF164" s="4">
        <v>9000</v>
      </c>
    </row>
    <row r="165" spans="1:32">
      <c r="A165" s="2" t="s">
        <v>450</v>
      </c>
      <c r="B165" s="3">
        <v>46140</v>
      </c>
      <c r="C165" s="36" t="s">
        <v>78</v>
      </c>
      <c r="D165" s="2">
        <f>MONTH(ProductionData[[#This Row],[Month]])</f>
        <v>4</v>
      </c>
      <c r="E165" s="2" t="s">
        <v>92</v>
      </c>
      <c r="F165" s="2" t="s">
        <v>66</v>
      </c>
      <c r="G165" s="2" t="s">
        <v>174</v>
      </c>
      <c r="H165" s="2" t="s">
        <v>175</v>
      </c>
      <c r="I165" s="2" t="s">
        <v>176</v>
      </c>
      <c r="J165" s="2" t="s">
        <v>443</v>
      </c>
      <c r="K165" s="2" t="s">
        <v>444</v>
      </c>
      <c r="L165" s="2" t="s">
        <v>451</v>
      </c>
      <c r="M165" s="2" t="s">
        <v>99</v>
      </c>
      <c r="N165" s="2" t="s">
        <v>88</v>
      </c>
      <c r="O165" s="2">
        <v>10</v>
      </c>
      <c r="P165" s="2">
        <v>10</v>
      </c>
      <c r="Q165" s="4">
        <v>6350</v>
      </c>
      <c r="R165" s="4">
        <v>6370</v>
      </c>
      <c r="S165" s="4">
        <v>119</v>
      </c>
      <c r="T165" s="19">
        <f>(ProductionData[[#This Row],[Rejected_Qty]])/ProductionData[[#This Row],[Produced_Qty]]</f>
        <v>1.8681318681318681E-2</v>
      </c>
      <c r="U165" s="19">
        <f>ProductionData[[#This Row],[Produced_Qty]]/ProductionData[[#This Row],[Planned_Qty]]</f>
        <v>1.0031496062992127</v>
      </c>
      <c r="V165" s="2" t="s">
        <v>113</v>
      </c>
      <c r="W165" s="11">
        <v>0</v>
      </c>
      <c r="X165" s="13">
        <f>W165/60</f>
        <v>0</v>
      </c>
      <c r="Y165" s="2" t="s">
        <v>90</v>
      </c>
      <c r="Z165" s="2">
        <v>33</v>
      </c>
      <c r="AA165" s="2">
        <f>ProductionData[[#This Row],[Rejected_Qty]]*ProductionData[[#This Row],[Unit_Cost_INR]]</f>
        <v>3927</v>
      </c>
      <c r="AB165" s="4">
        <v>20768</v>
      </c>
      <c r="AC165" s="4">
        <v>5200</v>
      </c>
      <c r="AD165" s="4">
        <v>5200</v>
      </c>
      <c r="AE165" s="4">
        <v>21819</v>
      </c>
      <c r="AF165" s="4">
        <v>9750</v>
      </c>
    </row>
    <row r="166" spans="1:32">
      <c r="A166" s="2" t="s">
        <v>452</v>
      </c>
      <c r="B166" s="3">
        <v>46136</v>
      </c>
      <c r="C166" s="36" t="s">
        <v>78</v>
      </c>
      <c r="D166" s="2">
        <f>MONTH(ProductionData[[#This Row],[Month]])</f>
        <v>4</v>
      </c>
      <c r="E166" s="2" t="s">
        <v>125</v>
      </c>
      <c r="F166" s="2" t="s">
        <v>80</v>
      </c>
      <c r="G166" s="2" t="s">
        <v>67</v>
      </c>
      <c r="H166" s="2" t="s">
        <v>68</v>
      </c>
      <c r="I166" s="2" t="s">
        <v>69</v>
      </c>
      <c r="J166" s="2" t="s">
        <v>403</v>
      </c>
      <c r="K166" s="2" t="s">
        <v>404</v>
      </c>
      <c r="L166" s="2" t="s">
        <v>453</v>
      </c>
      <c r="M166" s="2" t="s">
        <v>87</v>
      </c>
      <c r="N166" s="2" t="s">
        <v>96</v>
      </c>
      <c r="O166" s="2">
        <v>16</v>
      </c>
      <c r="P166" s="2">
        <v>15</v>
      </c>
      <c r="Q166" s="4">
        <v>6440</v>
      </c>
      <c r="R166" s="4">
        <v>6280</v>
      </c>
      <c r="S166" s="4">
        <v>155</v>
      </c>
      <c r="T166" s="19">
        <f>(ProductionData[[#This Row],[Rejected_Qty]])/ProductionData[[#This Row],[Produced_Qty]]</f>
        <v>2.4681528662420384E-2</v>
      </c>
      <c r="U166" s="19">
        <f>ProductionData[[#This Row],[Produced_Qty]]/ProductionData[[#This Row],[Planned_Qty]]</f>
        <v>0.97515527950310554</v>
      </c>
      <c r="V166" s="2" t="s">
        <v>113</v>
      </c>
      <c r="W166" s="11">
        <v>37</v>
      </c>
      <c r="X166" s="13">
        <f>W166/60</f>
        <v>0.6166666666666667</v>
      </c>
      <c r="Y166" s="2" t="s">
        <v>110</v>
      </c>
      <c r="Z166" s="2">
        <v>58</v>
      </c>
      <c r="AA166" s="2">
        <f>ProductionData[[#This Row],[Rejected_Qty]]*ProductionData[[#This Row],[Unit_Cost_INR]]</f>
        <v>8990</v>
      </c>
      <c r="AB166" s="4">
        <v>20896</v>
      </c>
      <c r="AC166" s="4">
        <v>5220</v>
      </c>
      <c r="AD166" s="4">
        <v>5220</v>
      </c>
      <c r="AE166" s="4">
        <v>21801</v>
      </c>
      <c r="AF166" s="4">
        <v>9000</v>
      </c>
    </row>
    <row r="167" spans="1:32">
      <c r="A167" s="2" t="s">
        <v>454</v>
      </c>
      <c r="B167" s="3">
        <v>46122</v>
      </c>
      <c r="C167" s="36" t="s">
        <v>78</v>
      </c>
      <c r="D167" s="2">
        <f>MONTH(ProductionData[[#This Row],[Month]])</f>
        <v>4</v>
      </c>
      <c r="E167" s="2" t="s">
        <v>125</v>
      </c>
      <c r="F167" s="2" t="s">
        <v>80</v>
      </c>
      <c r="G167" s="2" t="s">
        <v>67</v>
      </c>
      <c r="H167" s="2" t="s">
        <v>68</v>
      </c>
      <c r="I167" s="2" t="s">
        <v>69</v>
      </c>
      <c r="J167" s="2" t="s">
        <v>70</v>
      </c>
      <c r="K167" s="2" t="s">
        <v>71</v>
      </c>
      <c r="L167" s="2" t="s">
        <v>455</v>
      </c>
      <c r="M167" s="2" t="s">
        <v>102</v>
      </c>
      <c r="N167" s="2" t="s">
        <v>88</v>
      </c>
      <c r="O167" s="2">
        <v>16</v>
      </c>
      <c r="P167" s="2">
        <v>16</v>
      </c>
      <c r="Q167" s="4">
        <v>7150</v>
      </c>
      <c r="R167" s="4">
        <v>7110</v>
      </c>
      <c r="S167" s="4">
        <v>193</v>
      </c>
      <c r="T167" s="19">
        <f>(ProductionData[[#This Row],[Rejected_Qty]])/ProductionData[[#This Row],[Produced_Qty]]</f>
        <v>2.7144866385372713E-2</v>
      </c>
      <c r="U167" s="19">
        <f>ProductionData[[#This Row],[Produced_Qty]]/ProductionData[[#This Row],[Planned_Qty]]</f>
        <v>0.9944055944055944</v>
      </c>
      <c r="V167" s="2" t="s">
        <v>103</v>
      </c>
      <c r="W167" s="11">
        <v>0</v>
      </c>
      <c r="X167" s="13">
        <f>W167/60</f>
        <v>0</v>
      </c>
      <c r="Y167" s="2" t="s">
        <v>90</v>
      </c>
      <c r="Z167" s="2">
        <v>46</v>
      </c>
      <c r="AA167" s="2">
        <f>ProductionData[[#This Row],[Rejected_Qty]]*ProductionData[[#This Row],[Unit_Cost_INR]]</f>
        <v>8878</v>
      </c>
      <c r="AB167" s="4">
        <v>21540</v>
      </c>
      <c r="AC167" s="4">
        <v>6680</v>
      </c>
      <c r="AD167" s="4">
        <v>6680</v>
      </c>
      <c r="AE167" s="4">
        <v>21777</v>
      </c>
      <c r="AF167" s="4">
        <v>10500</v>
      </c>
    </row>
    <row r="168" spans="1:32">
      <c r="A168" s="2" t="s">
        <v>456</v>
      </c>
      <c r="B168" s="3">
        <v>46130</v>
      </c>
      <c r="C168" s="36" t="s">
        <v>78</v>
      </c>
      <c r="D168" s="2">
        <f>MONTH(ProductionData[[#This Row],[Month]])</f>
        <v>4</v>
      </c>
      <c r="E168" s="2" t="s">
        <v>65</v>
      </c>
      <c r="F168" s="2" t="s">
        <v>66</v>
      </c>
      <c r="G168" s="2" t="s">
        <v>67</v>
      </c>
      <c r="H168" s="2" t="s">
        <v>68</v>
      </c>
      <c r="I168" s="2" t="s">
        <v>69</v>
      </c>
      <c r="J168" s="2" t="s">
        <v>70</v>
      </c>
      <c r="K168" s="2" t="s">
        <v>71</v>
      </c>
      <c r="L168" s="2" t="s">
        <v>457</v>
      </c>
      <c r="M168" s="2" t="s">
        <v>99</v>
      </c>
      <c r="N168" s="2" t="s">
        <v>88</v>
      </c>
      <c r="O168" s="2">
        <v>16</v>
      </c>
      <c r="P168" s="2">
        <v>14</v>
      </c>
      <c r="Q168" s="4">
        <v>7470</v>
      </c>
      <c r="R168" s="4">
        <v>6780</v>
      </c>
      <c r="S168" s="4">
        <v>190</v>
      </c>
      <c r="T168" s="19">
        <f>(ProductionData[[#This Row],[Rejected_Qty]])/ProductionData[[#This Row],[Produced_Qty]]</f>
        <v>2.8023598820058997E-2</v>
      </c>
      <c r="U168" s="19">
        <f>ProductionData[[#This Row],[Produced_Qty]]/ProductionData[[#This Row],[Planned_Qty]]</f>
        <v>0.90763052208835338</v>
      </c>
      <c r="V168" s="2" t="s">
        <v>89</v>
      </c>
      <c r="W168" s="11">
        <v>0</v>
      </c>
      <c r="X168" s="13">
        <f>W168/60</f>
        <v>0</v>
      </c>
      <c r="Y168" s="2" t="s">
        <v>90</v>
      </c>
      <c r="Z168" s="2">
        <v>46</v>
      </c>
      <c r="AA168" s="2">
        <f>ProductionData[[#This Row],[Rejected_Qty]]*ProductionData[[#This Row],[Unit_Cost_INR]]</f>
        <v>8740</v>
      </c>
      <c r="AB168" s="4">
        <v>21110</v>
      </c>
      <c r="AC168" s="4">
        <v>6030</v>
      </c>
      <c r="AD168" s="4">
        <v>6030</v>
      </c>
      <c r="AE168" s="4">
        <v>21670</v>
      </c>
      <c r="AF168" s="4">
        <v>10500</v>
      </c>
    </row>
    <row r="169" spans="1:32">
      <c r="A169" s="2" t="s">
        <v>458</v>
      </c>
      <c r="B169" s="3">
        <v>46113</v>
      </c>
      <c r="C169" s="36" t="s">
        <v>78</v>
      </c>
      <c r="D169" s="2">
        <f>MONTH(ProductionData[[#This Row],[Month]])</f>
        <v>4</v>
      </c>
      <c r="E169" s="2" t="s">
        <v>79</v>
      </c>
      <c r="F169" s="2" t="s">
        <v>80</v>
      </c>
      <c r="G169" s="2" t="s">
        <v>67</v>
      </c>
      <c r="H169" s="2" t="s">
        <v>68</v>
      </c>
      <c r="I169" s="2" t="s">
        <v>69</v>
      </c>
      <c r="J169" s="2" t="s">
        <v>70</v>
      </c>
      <c r="K169" s="2" t="s">
        <v>71</v>
      </c>
      <c r="L169" s="2" t="s">
        <v>459</v>
      </c>
      <c r="M169" s="2" t="s">
        <v>102</v>
      </c>
      <c r="N169" s="2" t="s">
        <v>88</v>
      </c>
      <c r="O169" s="2">
        <v>16</v>
      </c>
      <c r="P169" s="2">
        <v>14</v>
      </c>
      <c r="Q169" s="4">
        <v>6650</v>
      </c>
      <c r="R169" s="4">
        <v>6240</v>
      </c>
      <c r="S169" s="4">
        <v>94</v>
      </c>
      <c r="T169" s="19">
        <f>(ProductionData[[#This Row],[Rejected_Qty]])/ProductionData[[#This Row],[Produced_Qty]]</f>
        <v>1.5064102564102564E-2</v>
      </c>
      <c r="U169" s="19">
        <f>ProductionData[[#This Row],[Produced_Qty]]/ProductionData[[#This Row],[Planned_Qty]]</f>
        <v>0.93834586466165415</v>
      </c>
      <c r="V169" s="2" t="s">
        <v>89</v>
      </c>
      <c r="W169" s="11">
        <v>0</v>
      </c>
      <c r="X169" s="13">
        <f>W169/60</f>
        <v>0</v>
      </c>
      <c r="Y169" s="2" t="s">
        <v>90</v>
      </c>
      <c r="Z169" s="2">
        <v>46</v>
      </c>
      <c r="AA169" s="2">
        <f>ProductionData[[#This Row],[Rejected_Qty]]*ProductionData[[#This Row],[Unit_Cost_INR]]</f>
        <v>4324</v>
      </c>
      <c r="AB169" s="4">
        <v>20593</v>
      </c>
      <c r="AC169" s="4">
        <v>5120</v>
      </c>
      <c r="AD169" s="4">
        <v>5120</v>
      </c>
      <c r="AE169" s="4">
        <v>21619</v>
      </c>
      <c r="AF169" s="4">
        <v>10500</v>
      </c>
    </row>
    <row r="170" spans="1:32">
      <c r="A170" s="2" t="s">
        <v>460</v>
      </c>
      <c r="B170" s="3">
        <v>46121</v>
      </c>
      <c r="C170" s="36" t="s">
        <v>78</v>
      </c>
      <c r="D170" s="2">
        <f>MONTH(ProductionData[[#This Row],[Month]])</f>
        <v>4</v>
      </c>
      <c r="E170" s="2" t="s">
        <v>107</v>
      </c>
      <c r="F170" s="2" t="s">
        <v>80</v>
      </c>
      <c r="G170" s="2" t="s">
        <v>67</v>
      </c>
      <c r="H170" s="2" t="s">
        <v>68</v>
      </c>
      <c r="I170" s="2" t="s">
        <v>69</v>
      </c>
      <c r="J170" s="2" t="s">
        <v>70</v>
      </c>
      <c r="K170" s="2" t="s">
        <v>71</v>
      </c>
      <c r="L170" s="2" t="s">
        <v>461</v>
      </c>
      <c r="M170" s="2" t="s">
        <v>102</v>
      </c>
      <c r="N170" s="2" t="s">
        <v>96</v>
      </c>
      <c r="O170" s="2">
        <v>16</v>
      </c>
      <c r="P170" s="2">
        <v>16</v>
      </c>
      <c r="Q170" s="4">
        <v>6520</v>
      </c>
      <c r="R170" s="4">
        <v>6500</v>
      </c>
      <c r="S170" s="4">
        <v>222</v>
      </c>
      <c r="T170" s="19">
        <f>(ProductionData[[#This Row],[Rejected_Qty]])/ProductionData[[#This Row],[Produced_Qty]]</f>
        <v>3.4153846153846153E-2</v>
      </c>
      <c r="U170" s="19">
        <f>ProductionData[[#This Row],[Produced_Qty]]/ProductionData[[#This Row],[Planned_Qty]]</f>
        <v>0.99693251533742333</v>
      </c>
      <c r="V170" s="2" t="s">
        <v>103</v>
      </c>
      <c r="W170" s="11">
        <v>0</v>
      </c>
      <c r="X170" s="13">
        <f>W170/60</f>
        <v>0</v>
      </c>
      <c r="Y170" s="2" t="s">
        <v>90</v>
      </c>
      <c r="Z170" s="2">
        <v>46</v>
      </c>
      <c r="AA170" s="2">
        <f>ProductionData[[#This Row],[Rejected_Qty]]*ProductionData[[#This Row],[Unit_Cost_INR]]</f>
        <v>10212</v>
      </c>
      <c r="AB170" s="4">
        <v>20939</v>
      </c>
      <c r="AC170" s="4">
        <v>5630</v>
      </c>
      <c r="AD170" s="4">
        <v>5630</v>
      </c>
      <c r="AE170" s="4">
        <v>21587</v>
      </c>
      <c r="AF170" s="4">
        <v>10500</v>
      </c>
    </row>
    <row r="171" spans="1:32">
      <c r="A171" s="2" t="s">
        <v>462</v>
      </c>
      <c r="B171" s="3">
        <v>46121</v>
      </c>
      <c r="C171" s="36" t="s">
        <v>78</v>
      </c>
      <c r="D171" s="2">
        <f>MONTH(ProductionData[[#This Row],[Month]])</f>
        <v>4</v>
      </c>
      <c r="E171" s="2" t="s">
        <v>107</v>
      </c>
      <c r="F171" s="2" t="s">
        <v>93</v>
      </c>
      <c r="G171" s="2" t="s">
        <v>67</v>
      </c>
      <c r="H171" s="2" t="s">
        <v>68</v>
      </c>
      <c r="I171" s="2" t="s">
        <v>69</v>
      </c>
      <c r="J171" s="2" t="s">
        <v>70</v>
      </c>
      <c r="K171" s="2" t="s">
        <v>71</v>
      </c>
      <c r="L171" s="2" t="s">
        <v>463</v>
      </c>
      <c r="M171" s="2" t="s">
        <v>133</v>
      </c>
      <c r="N171" s="2" t="s">
        <v>88</v>
      </c>
      <c r="O171" s="2">
        <v>16</v>
      </c>
      <c r="P171" s="2">
        <v>14</v>
      </c>
      <c r="Q171" s="4">
        <v>6360</v>
      </c>
      <c r="R171" s="4">
        <v>5650</v>
      </c>
      <c r="S171" s="4">
        <v>57</v>
      </c>
      <c r="T171" s="19">
        <f>(ProductionData[[#This Row],[Rejected_Qty]])/ProductionData[[#This Row],[Produced_Qty]]</f>
        <v>1.0088495575221238E-2</v>
      </c>
      <c r="U171" s="19">
        <f>ProductionData[[#This Row],[Produced_Qty]]/ProductionData[[#This Row],[Planned_Qty]]</f>
        <v>0.88836477987421381</v>
      </c>
      <c r="V171" s="2" t="s">
        <v>103</v>
      </c>
      <c r="W171" s="11">
        <v>59</v>
      </c>
      <c r="X171" s="13">
        <f>W171/60</f>
        <v>0.98333333333333328</v>
      </c>
      <c r="Y171" s="2" t="s">
        <v>76</v>
      </c>
      <c r="Z171" s="2">
        <v>46</v>
      </c>
      <c r="AA171" s="2">
        <f>ProductionData[[#This Row],[Rejected_Qty]]*ProductionData[[#This Row],[Unit_Cost_INR]]</f>
        <v>2622</v>
      </c>
      <c r="AB171" s="4">
        <v>21587</v>
      </c>
      <c r="AC171" s="4">
        <v>5640</v>
      </c>
      <c r="AD171" s="4">
        <v>5640</v>
      </c>
      <c r="AE171" s="4">
        <v>21540</v>
      </c>
      <c r="AF171" s="4">
        <v>10500</v>
      </c>
    </row>
    <row r="172" spans="1:32">
      <c r="A172" s="2" t="s">
        <v>464</v>
      </c>
      <c r="B172" s="3">
        <v>46119</v>
      </c>
      <c r="C172" s="36" t="s">
        <v>78</v>
      </c>
      <c r="D172" s="2">
        <f>MONTH(ProductionData[[#This Row],[Month]])</f>
        <v>4</v>
      </c>
      <c r="E172" s="2" t="s">
        <v>92</v>
      </c>
      <c r="F172" s="2" t="s">
        <v>66</v>
      </c>
      <c r="G172" s="2" t="s">
        <v>174</v>
      </c>
      <c r="H172" s="2" t="s">
        <v>175</v>
      </c>
      <c r="I172" s="2" t="s">
        <v>176</v>
      </c>
      <c r="J172" s="2" t="s">
        <v>443</v>
      </c>
      <c r="K172" s="2" t="s">
        <v>444</v>
      </c>
      <c r="L172" s="2" t="s">
        <v>465</v>
      </c>
      <c r="M172" s="2" t="s">
        <v>73</v>
      </c>
      <c r="N172" s="2" t="s">
        <v>96</v>
      </c>
      <c r="O172" s="2">
        <v>10</v>
      </c>
      <c r="P172" s="2">
        <v>10</v>
      </c>
      <c r="Q172" s="4">
        <v>6000</v>
      </c>
      <c r="R172" s="4">
        <v>5710</v>
      </c>
      <c r="S172" s="4">
        <v>45</v>
      </c>
      <c r="T172" s="19">
        <f>(ProductionData[[#This Row],[Rejected_Qty]])/ProductionData[[#This Row],[Produced_Qty]]</f>
        <v>7.8809106830122592E-3</v>
      </c>
      <c r="U172" s="19">
        <f>ProductionData[[#This Row],[Produced_Qty]]/ProductionData[[#This Row],[Planned_Qty]]</f>
        <v>0.95166666666666666</v>
      </c>
      <c r="V172" s="2" t="s">
        <v>109</v>
      </c>
      <c r="W172" s="11">
        <v>71</v>
      </c>
      <c r="X172" s="13">
        <f>W172/60</f>
        <v>1.1833333333333333</v>
      </c>
      <c r="Y172" s="2" t="s">
        <v>110</v>
      </c>
      <c r="Z172" s="2">
        <v>33</v>
      </c>
      <c r="AA172" s="2">
        <f>ProductionData[[#This Row],[Rejected_Qty]]*ProductionData[[#This Row],[Unit_Cost_INR]]</f>
        <v>1485</v>
      </c>
      <c r="AB172" s="4">
        <v>21260</v>
      </c>
      <c r="AC172" s="4">
        <v>5420</v>
      </c>
      <c r="AD172" s="4">
        <v>5420</v>
      </c>
      <c r="AE172" s="4">
        <v>21505</v>
      </c>
      <c r="AF172" s="4">
        <v>9750</v>
      </c>
    </row>
    <row r="173" spans="1:32">
      <c r="A173" s="2" t="s">
        <v>466</v>
      </c>
      <c r="B173" s="3">
        <v>46116</v>
      </c>
      <c r="C173" s="36" t="s">
        <v>78</v>
      </c>
      <c r="D173" s="2">
        <f>MONTH(ProductionData[[#This Row],[Month]])</f>
        <v>4</v>
      </c>
      <c r="E173" s="2" t="s">
        <v>65</v>
      </c>
      <c r="F173" s="2" t="s">
        <v>66</v>
      </c>
      <c r="G173" s="2" t="s">
        <v>174</v>
      </c>
      <c r="H173" s="2" t="s">
        <v>175</v>
      </c>
      <c r="I173" s="2" t="s">
        <v>176</v>
      </c>
      <c r="J173" s="2" t="s">
        <v>443</v>
      </c>
      <c r="K173" s="2" t="s">
        <v>444</v>
      </c>
      <c r="L173" s="2" t="s">
        <v>467</v>
      </c>
      <c r="M173" s="2" t="s">
        <v>73</v>
      </c>
      <c r="N173" s="2" t="s">
        <v>96</v>
      </c>
      <c r="O173" s="2">
        <v>10</v>
      </c>
      <c r="P173" s="2">
        <v>10</v>
      </c>
      <c r="Q173" s="4">
        <v>6070</v>
      </c>
      <c r="R173" s="4">
        <v>6070</v>
      </c>
      <c r="S173" s="4">
        <v>148</v>
      </c>
      <c r="T173" s="19">
        <f>(ProductionData[[#This Row],[Rejected_Qty]])/ProductionData[[#This Row],[Produced_Qty]]</f>
        <v>2.4382207578253708E-2</v>
      </c>
      <c r="U173" s="19">
        <f>ProductionData[[#This Row],[Produced_Qty]]/ProductionData[[#This Row],[Planned_Qty]]</f>
        <v>1</v>
      </c>
      <c r="V173" s="2" t="s">
        <v>89</v>
      </c>
      <c r="W173" s="11">
        <v>0</v>
      </c>
      <c r="X173" s="13">
        <f>W173/60</f>
        <v>0</v>
      </c>
      <c r="Y173" s="2" t="s">
        <v>90</v>
      </c>
      <c r="Z173" s="2">
        <v>33</v>
      </c>
      <c r="AA173" s="2">
        <f>ProductionData[[#This Row],[Rejected_Qty]]*ProductionData[[#This Row],[Unit_Cost_INR]]</f>
        <v>4884</v>
      </c>
      <c r="AB173" s="4">
        <v>20436</v>
      </c>
      <c r="AC173" s="4">
        <v>4880</v>
      </c>
      <c r="AD173" s="4">
        <v>4880</v>
      </c>
      <c r="AE173" s="4">
        <v>21478</v>
      </c>
      <c r="AF173" s="4">
        <v>9750</v>
      </c>
    </row>
    <row r="174" spans="1:32">
      <c r="A174" s="2" t="s">
        <v>468</v>
      </c>
      <c r="B174" s="3">
        <v>46140</v>
      </c>
      <c r="C174" s="36" t="s">
        <v>78</v>
      </c>
      <c r="D174" s="2">
        <f>MONTH(ProductionData[[#This Row],[Month]])</f>
        <v>4</v>
      </c>
      <c r="E174" s="2" t="s">
        <v>92</v>
      </c>
      <c r="F174" s="2" t="s">
        <v>93</v>
      </c>
      <c r="G174" s="2" t="s">
        <v>67</v>
      </c>
      <c r="H174" s="2" t="s">
        <v>68</v>
      </c>
      <c r="I174" s="2" t="s">
        <v>69</v>
      </c>
      <c r="J174" s="2" t="s">
        <v>70</v>
      </c>
      <c r="K174" s="2" t="s">
        <v>71</v>
      </c>
      <c r="L174" s="2" t="s">
        <v>469</v>
      </c>
      <c r="M174" s="2" t="s">
        <v>95</v>
      </c>
      <c r="N174" s="2" t="s">
        <v>88</v>
      </c>
      <c r="O174" s="2">
        <v>16</v>
      </c>
      <c r="P174" s="2">
        <v>14</v>
      </c>
      <c r="Q174" s="4">
        <v>7000</v>
      </c>
      <c r="R174" s="4">
        <v>6260</v>
      </c>
      <c r="S174" s="4">
        <v>119</v>
      </c>
      <c r="T174" s="19">
        <f>(ProductionData[[#This Row],[Rejected_Qty]])/ProductionData[[#This Row],[Produced_Qty]]</f>
        <v>1.9009584664536741E-2</v>
      </c>
      <c r="U174" s="19">
        <f>ProductionData[[#This Row],[Produced_Qty]]/ProductionData[[#This Row],[Planned_Qty]]</f>
        <v>0.89428571428571424</v>
      </c>
      <c r="V174" s="2" t="s">
        <v>113</v>
      </c>
      <c r="W174" s="11">
        <v>30</v>
      </c>
      <c r="X174" s="13">
        <f>W174/60</f>
        <v>0.5</v>
      </c>
      <c r="Y174" s="2" t="s">
        <v>110</v>
      </c>
      <c r="Z174" s="2">
        <v>46</v>
      </c>
      <c r="AA174" s="2">
        <f>ProductionData[[#This Row],[Rejected_Qty]]*ProductionData[[#This Row],[Unit_Cost_INR]]</f>
        <v>5474</v>
      </c>
      <c r="AB174" s="4">
        <v>22215</v>
      </c>
      <c r="AC174" s="4">
        <v>6890</v>
      </c>
      <c r="AD174" s="4">
        <v>6890</v>
      </c>
      <c r="AE174" s="4">
        <v>21466</v>
      </c>
      <c r="AF174" s="4">
        <v>10500</v>
      </c>
    </row>
    <row r="175" spans="1:32">
      <c r="A175" s="2" t="s">
        <v>470</v>
      </c>
      <c r="B175" s="3">
        <v>46123</v>
      </c>
      <c r="C175" s="36" t="s">
        <v>78</v>
      </c>
      <c r="D175" s="2">
        <f>MONTH(ProductionData[[#This Row],[Month]])</f>
        <v>4</v>
      </c>
      <c r="E175" s="2" t="s">
        <v>65</v>
      </c>
      <c r="F175" s="2" t="s">
        <v>66</v>
      </c>
      <c r="G175" s="2" t="s">
        <v>67</v>
      </c>
      <c r="H175" s="2" t="s">
        <v>68</v>
      </c>
      <c r="I175" s="2" t="s">
        <v>69</v>
      </c>
      <c r="J175" s="2" t="s">
        <v>70</v>
      </c>
      <c r="K175" s="2" t="s">
        <v>71</v>
      </c>
      <c r="L175" s="2" t="s">
        <v>471</v>
      </c>
      <c r="M175" s="2" t="s">
        <v>73</v>
      </c>
      <c r="N175" s="2" t="s">
        <v>88</v>
      </c>
      <c r="O175" s="2">
        <v>16</v>
      </c>
      <c r="P175" s="2">
        <v>15</v>
      </c>
      <c r="Q175" s="4">
        <v>6640</v>
      </c>
      <c r="R175" s="4">
        <v>6340</v>
      </c>
      <c r="S175" s="4">
        <v>133</v>
      </c>
      <c r="T175" s="19">
        <f>(ProductionData[[#This Row],[Rejected_Qty]])/ProductionData[[#This Row],[Produced_Qty]]</f>
        <v>2.0977917981072555E-2</v>
      </c>
      <c r="U175" s="19">
        <f>ProductionData[[#This Row],[Produced_Qty]]/ProductionData[[#This Row],[Planned_Qty]]</f>
        <v>0.95481927710843373</v>
      </c>
      <c r="V175" s="2" t="s">
        <v>113</v>
      </c>
      <c r="W175" s="11">
        <v>30</v>
      </c>
      <c r="X175" s="13">
        <f>W175/60</f>
        <v>0.5</v>
      </c>
      <c r="Y175" s="2" t="s">
        <v>182</v>
      </c>
      <c r="Z175" s="2">
        <v>46</v>
      </c>
      <c r="AA175" s="2">
        <f>ProductionData[[#This Row],[Rejected_Qty]]*ProductionData[[#This Row],[Unit_Cost_INR]]</f>
        <v>6118</v>
      </c>
      <c r="AB175" s="4">
        <v>21777</v>
      </c>
      <c r="AC175" s="4">
        <v>6540</v>
      </c>
      <c r="AD175" s="4">
        <v>6540</v>
      </c>
      <c r="AE175" s="4">
        <v>21444</v>
      </c>
      <c r="AF175" s="4">
        <v>10500</v>
      </c>
    </row>
    <row r="176" spans="1:32">
      <c r="A176" s="2" t="s">
        <v>472</v>
      </c>
      <c r="B176" s="3">
        <v>46123</v>
      </c>
      <c r="C176" s="36" t="s">
        <v>78</v>
      </c>
      <c r="D176" s="2">
        <f>MONTH(ProductionData[[#This Row],[Month]])</f>
        <v>4</v>
      </c>
      <c r="E176" s="2" t="s">
        <v>65</v>
      </c>
      <c r="F176" s="2" t="s">
        <v>80</v>
      </c>
      <c r="G176" s="2" t="s">
        <v>174</v>
      </c>
      <c r="H176" s="2" t="s">
        <v>175</v>
      </c>
      <c r="I176" s="2" t="s">
        <v>176</v>
      </c>
      <c r="J176" s="2" t="s">
        <v>443</v>
      </c>
      <c r="K176" s="2" t="s">
        <v>444</v>
      </c>
      <c r="L176" s="2" t="s">
        <v>473</v>
      </c>
      <c r="M176" s="2" t="s">
        <v>102</v>
      </c>
      <c r="N176" s="2" t="s">
        <v>88</v>
      </c>
      <c r="O176" s="2">
        <v>10</v>
      </c>
      <c r="P176" s="2">
        <v>9</v>
      </c>
      <c r="Q176" s="4">
        <v>6590</v>
      </c>
      <c r="R176" s="4">
        <v>5980</v>
      </c>
      <c r="S176" s="4">
        <v>139</v>
      </c>
      <c r="T176" s="19">
        <f>(ProductionData[[#This Row],[Rejected_Qty]])/ProductionData[[#This Row],[Produced_Qty]]</f>
        <v>2.3244147157190635E-2</v>
      </c>
      <c r="U176" s="19">
        <f>ProductionData[[#This Row],[Produced_Qty]]/ProductionData[[#This Row],[Planned_Qty]]</f>
        <v>0.90743550834597875</v>
      </c>
      <c r="V176" s="2" t="s">
        <v>89</v>
      </c>
      <c r="W176" s="11">
        <v>0</v>
      </c>
      <c r="X176" s="13">
        <f>W176/60</f>
        <v>0</v>
      </c>
      <c r="Y176" s="2" t="s">
        <v>90</v>
      </c>
      <c r="Z176" s="2">
        <v>33</v>
      </c>
      <c r="AA176" s="2">
        <f>ProductionData[[#This Row],[Rejected_Qty]]*ProductionData[[#This Row],[Unit_Cost_INR]]</f>
        <v>4587</v>
      </c>
      <c r="AB176" s="4">
        <v>21505</v>
      </c>
      <c r="AC176" s="4">
        <v>5930</v>
      </c>
      <c r="AD176" s="4">
        <v>5930</v>
      </c>
      <c r="AE176" s="4">
        <v>21416</v>
      </c>
      <c r="AF176" s="4">
        <v>9750</v>
      </c>
    </row>
    <row r="177" spans="1:32">
      <c r="A177" s="2" t="s">
        <v>474</v>
      </c>
      <c r="B177" s="3">
        <v>46142</v>
      </c>
      <c r="C177" s="36" t="s">
        <v>78</v>
      </c>
      <c r="D177" s="2">
        <f>MONTH(ProductionData[[#This Row],[Month]])</f>
        <v>4</v>
      </c>
      <c r="E177" s="2" t="s">
        <v>107</v>
      </c>
      <c r="F177" s="2" t="s">
        <v>80</v>
      </c>
      <c r="G177" s="2" t="s">
        <v>67</v>
      </c>
      <c r="H177" s="2" t="s">
        <v>68</v>
      </c>
      <c r="I177" s="2" t="s">
        <v>69</v>
      </c>
      <c r="J177" s="2" t="s">
        <v>70</v>
      </c>
      <c r="K177" s="2" t="s">
        <v>71</v>
      </c>
      <c r="L177" s="2" t="s">
        <v>475</v>
      </c>
      <c r="M177" s="2" t="s">
        <v>87</v>
      </c>
      <c r="N177" s="2" t="s">
        <v>88</v>
      </c>
      <c r="O177" s="2">
        <v>16</v>
      </c>
      <c r="P177" s="2">
        <v>16</v>
      </c>
      <c r="Q177" s="4">
        <v>6820</v>
      </c>
      <c r="R177" s="4">
        <v>6340</v>
      </c>
      <c r="S177" s="4">
        <v>210</v>
      </c>
      <c r="T177" s="19">
        <f>(ProductionData[[#This Row],[Rejected_Qty]])/ProductionData[[#This Row],[Produced_Qty]]</f>
        <v>3.3123028391167195E-2</v>
      </c>
      <c r="U177" s="19">
        <f>ProductionData[[#This Row],[Produced_Qty]]/ProductionData[[#This Row],[Planned_Qty]]</f>
        <v>0.9296187683284457</v>
      </c>
      <c r="V177" s="2" t="s">
        <v>89</v>
      </c>
      <c r="W177" s="11">
        <v>0</v>
      </c>
      <c r="X177" s="13">
        <f>W177/60</f>
        <v>0</v>
      </c>
      <c r="Y177" s="2" t="s">
        <v>90</v>
      </c>
      <c r="Z177" s="2">
        <v>46</v>
      </c>
      <c r="AA177" s="2">
        <f>ProductionData[[#This Row],[Rejected_Qty]]*ProductionData[[#This Row],[Unit_Cost_INR]]</f>
        <v>9660</v>
      </c>
      <c r="AB177" s="4">
        <v>21466</v>
      </c>
      <c r="AC177" s="4">
        <v>6280</v>
      </c>
      <c r="AD177" s="4">
        <v>6280</v>
      </c>
      <c r="AE177" s="4">
        <v>21316</v>
      </c>
      <c r="AF177" s="4">
        <v>10500</v>
      </c>
    </row>
    <row r="178" spans="1:32">
      <c r="A178" s="2" t="s">
        <v>476</v>
      </c>
      <c r="B178" s="3">
        <v>46118</v>
      </c>
      <c r="C178" s="36" t="s">
        <v>78</v>
      </c>
      <c r="D178" s="2">
        <f>MONTH(ProductionData[[#This Row],[Month]])</f>
        <v>4</v>
      </c>
      <c r="E178" s="2" t="s">
        <v>116</v>
      </c>
      <c r="F178" s="2" t="s">
        <v>80</v>
      </c>
      <c r="G178" s="2" t="s">
        <v>174</v>
      </c>
      <c r="H178" s="2" t="s">
        <v>175</v>
      </c>
      <c r="I178" s="2" t="s">
        <v>176</v>
      </c>
      <c r="J178" s="2" t="s">
        <v>443</v>
      </c>
      <c r="K178" s="2" t="s">
        <v>444</v>
      </c>
      <c r="L178" s="2" t="s">
        <v>477</v>
      </c>
      <c r="M178" s="2" t="s">
        <v>87</v>
      </c>
      <c r="N178" s="2" t="s">
        <v>88</v>
      </c>
      <c r="O178" s="2">
        <v>10</v>
      </c>
      <c r="P178" s="2">
        <v>8</v>
      </c>
      <c r="Q178" s="4">
        <v>6890</v>
      </c>
      <c r="R178" s="4">
        <v>5830</v>
      </c>
      <c r="S178" s="4">
        <v>138</v>
      </c>
      <c r="T178" s="19">
        <f>(ProductionData[[#This Row],[Rejected_Qty]])/ProductionData[[#This Row],[Produced_Qty]]</f>
        <v>2.3670668953687822E-2</v>
      </c>
      <c r="U178" s="19">
        <f>ProductionData[[#This Row],[Produced_Qty]]/ProductionData[[#This Row],[Planned_Qty]]</f>
        <v>0.84615384615384615</v>
      </c>
      <c r="V178" s="2" t="s">
        <v>103</v>
      </c>
      <c r="W178" s="11">
        <v>0</v>
      </c>
      <c r="X178" s="13">
        <f>W178/60</f>
        <v>0</v>
      </c>
      <c r="Y178" s="2" t="s">
        <v>90</v>
      </c>
      <c r="Z178" s="2">
        <v>33</v>
      </c>
      <c r="AA178" s="2">
        <f>ProductionData[[#This Row],[Rejected_Qty]]*ProductionData[[#This Row],[Unit_Cost_INR]]</f>
        <v>4554</v>
      </c>
      <c r="AB178" s="4">
        <v>21478</v>
      </c>
      <c r="AC178" s="4">
        <v>5910</v>
      </c>
      <c r="AD178" s="4">
        <v>5910</v>
      </c>
      <c r="AE178" s="4">
        <v>21260</v>
      </c>
      <c r="AF178" s="4">
        <v>9750</v>
      </c>
    </row>
    <row r="179" spans="1:32">
      <c r="A179" s="2" t="s">
        <v>478</v>
      </c>
      <c r="B179" s="3">
        <v>46125</v>
      </c>
      <c r="C179" s="36" t="s">
        <v>78</v>
      </c>
      <c r="D179" s="2">
        <f>MONTH(ProductionData[[#This Row],[Month]])</f>
        <v>4</v>
      </c>
      <c r="E179" s="2" t="s">
        <v>116</v>
      </c>
      <c r="F179" s="2" t="s">
        <v>80</v>
      </c>
      <c r="G179" s="2" t="s">
        <v>67</v>
      </c>
      <c r="H179" s="2" t="s">
        <v>68</v>
      </c>
      <c r="I179" s="2" t="s">
        <v>69</v>
      </c>
      <c r="J179" s="2" t="s">
        <v>70</v>
      </c>
      <c r="K179" s="2" t="s">
        <v>71</v>
      </c>
      <c r="L179" s="2" t="s">
        <v>479</v>
      </c>
      <c r="M179" s="2" t="s">
        <v>87</v>
      </c>
      <c r="N179" s="2" t="s">
        <v>88</v>
      </c>
      <c r="O179" s="2">
        <v>16</v>
      </c>
      <c r="P179" s="2">
        <v>16</v>
      </c>
      <c r="Q179" s="4">
        <v>6570</v>
      </c>
      <c r="R179" s="4">
        <v>6430</v>
      </c>
      <c r="S179" s="4">
        <v>216</v>
      </c>
      <c r="T179" s="19">
        <f>(ProductionData[[#This Row],[Rejected_Qty]])/ProductionData[[#This Row],[Produced_Qty]]</f>
        <v>3.3592534992223949E-2</v>
      </c>
      <c r="U179" s="19">
        <f>ProductionData[[#This Row],[Produced_Qty]]/ProductionData[[#This Row],[Planned_Qty]]</f>
        <v>0.9786910197869102</v>
      </c>
      <c r="V179" s="2" t="s">
        <v>75</v>
      </c>
      <c r="W179" s="11">
        <v>0</v>
      </c>
      <c r="X179" s="13">
        <f>W179/60</f>
        <v>0</v>
      </c>
      <c r="Y179" s="2" t="s">
        <v>90</v>
      </c>
      <c r="Z179" s="2">
        <v>46</v>
      </c>
      <c r="AA179" s="2">
        <f>ProductionData[[#This Row],[Rejected_Qty]]*ProductionData[[#This Row],[Unit_Cost_INR]]</f>
        <v>9936</v>
      </c>
      <c r="AB179" s="4">
        <v>21444</v>
      </c>
      <c r="AC179" s="4">
        <v>6450</v>
      </c>
      <c r="AD179" s="4">
        <v>6450</v>
      </c>
      <c r="AE179" s="4">
        <v>21208</v>
      </c>
      <c r="AF179" s="4">
        <v>10500</v>
      </c>
    </row>
    <row r="180" spans="1:32">
      <c r="A180" s="2" t="s">
        <v>480</v>
      </c>
      <c r="B180" s="3">
        <v>46129</v>
      </c>
      <c r="C180" s="36" t="s">
        <v>78</v>
      </c>
      <c r="D180" s="2">
        <f>MONTH(ProductionData[[#This Row],[Month]])</f>
        <v>4</v>
      </c>
      <c r="E180" s="2" t="s">
        <v>125</v>
      </c>
      <c r="F180" s="2" t="s">
        <v>93</v>
      </c>
      <c r="G180" s="2" t="s">
        <v>67</v>
      </c>
      <c r="H180" s="2" t="s">
        <v>68</v>
      </c>
      <c r="I180" s="2" t="s">
        <v>69</v>
      </c>
      <c r="J180" s="2" t="s">
        <v>70</v>
      </c>
      <c r="K180" s="2" t="s">
        <v>71</v>
      </c>
      <c r="L180" s="2" t="s">
        <v>481</v>
      </c>
      <c r="M180" s="2" t="s">
        <v>95</v>
      </c>
      <c r="N180" s="2" t="s">
        <v>96</v>
      </c>
      <c r="O180" s="2">
        <v>16</v>
      </c>
      <c r="P180" s="2">
        <v>16</v>
      </c>
      <c r="Q180" s="4">
        <v>6340</v>
      </c>
      <c r="R180" s="4">
        <v>6380</v>
      </c>
      <c r="S180" s="4">
        <v>152</v>
      </c>
      <c r="T180" s="19">
        <f>(ProductionData[[#This Row],[Rejected_Qty]])/ProductionData[[#This Row],[Produced_Qty]]</f>
        <v>2.3824451410658306E-2</v>
      </c>
      <c r="U180" s="19">
        <f>ProductionData[[#This Row],[Produced_Qty]]/ProductionData[[#This Row],[Planned_Qty]]</f>
        <v>1.0063091482649842</v>
      </c>
      <c r="V180" s="2" t="s">
        <v>89</v>
      </c>
      <c r="W180" s="11">
        <v>0</v>
      </c>
      <c r="X180" s="13">
        <f>W180/60</f>
        <v>0</v>
      </c>
      <c r="Y180" s="2" t="s">
        <v>90</v>
      </c>
      <c r="Z180" s="2">
        <v>46</v>
      </c>
      <c r="AA180" s="2">
        <f>ProductionData[[#This Row],[Rejected_Qty]]*ProductionData[[#This Row],[Unit_Cost_INR]]</f>
        <v>6992</v>
      </c>
      <c r="AB180" s="4">
        <v>20562</v>
      </c>
      <c r="AC180" s="4">
        <v>5680</v>
      </c>
      <c r="AD180" s="4">
        <v>5680</v>
      </c>
      <c r="AE180" s="4">
        <v>21110</v>
      </c>
      <c r="AF180" s="4">
        <v>10500</v>
      </c>
    </row>
    <row r="181" spans="1:32">
      <c r="A181" s="2" t="s">
        <v>482</v>
      </c>
      <c r="B181" s="3">
        <v>46133</v>
      </c>
      <c r="C181" s="36" t="s">
        <v>78</v>
      </c>
      <c r="D181" s="2">
        <f>MONTH(ProductionData[[#This Row],[Month]])</f>
        <v>4</v>
      </c>
      <c r="E181" s="2" t="s">
        <v>92</v>
      </c>
      <c r="F181" s="2" t="s">
        <v>66</v>
      </c>
      <c r="G181" s="2" t="s">
        <v>67</v>
      </c>
      <c r="H181" s="2" t="s">
        <v>68</v>
      </c>
      <c r="I181" s="2" t="s">
        <v>69</v>
      </c>
      <c r="J181" s="2" t="s">
        <v>403</v>
      </c>
      <c r="K181" s="2" t="s">
        <v>404</v>
      </c>
      <c r="L181" s="2" t="s">
        <v>483</v>
      </c>
      <c r="M181" s="2" t="s">
        <v>73</v>
      </c>
      <c r="N181" s="2" t="s">
        <v>96</v>
      </c>
      <c r="O181" s="2">
        <v>16</v>
      </c>
      <c r="P181" s="2">
        <v>15</v>
      </c>
      <c r="Q181" s="4">
        <v>5860</v>
      </c>
      <c r="R181" s="4">
        <v>5690</v>
      </c>
      <c r="S181" s="4">
        <v>169</v>
      </c>
      <c r="T181" s="19">
        <f>(ProductionData[[#This Row],[Rejected_Qty]])/ProductionData[[#This Row],[Produced_Qty]]</f>
        <v>2.9701230228471001E-2</v>
      </c>
      <c r="U181" s="19">
        <f>ProductionData[[#This Row],[Produced_Qty]]/ProductionData[[#This Row],[Planned_Qty]]</f>
        <v>0.97098976109215018</v>
      </c>
      <c r="V181" s="2" t="s">
        <v>75</v>
      </c>
      <c r="W181" s="11">
        <v>0</v>
      </c>
      <c r="X181" s="13">
        <f>W181/60</f>
        <v>0</v>
      </c>
      <c r="Y181" s="2" t="s">
        <v>90</v>
      </c>
      <c r="Z181" s="2">
        <v>58</v>
      </c>
      <c r="AA181" s="2">
        <f>ProductionData[[#This Row],[Rejected_Qty]]*ProductionData[[#This Row],[Unit_Cost_INR]]</f>
        <v>9802</v>
      </c>
      <c r="AB181" s="4">
        <v>20407</v>
      </c>
      <c r="AC181" s="4">
        <v>4870</v>
      </c>
      <c r="AD181" s="4">
        <v>4870</v>
      </c>
      <c r="AE181" s="4">
        <v>21058</v>
      </c>
      <c r="AF181" s="4">
        <v>9000</v>
      </c>
    </row>
    <row r="182" spans="1:32">
      <c r="A182" s="2" t="s">
        <v>484</v>
      </c>
      <c r="B182" s="3">
        <v>46119</v>
      </c>
      <c r="C182" s="36" t="s">
        <v>78</v>
      </c>
      <c r="D182" s="2">
        <f>MONTH(ProductionData[[#This Row],[Month]])</f>
        <v>4</v>
      </c>
      <c r="E182" s="2" t="s">
        <v>92</v>
      </c>
      <c r="F182" s="2" t="s">
        <v>80</v>
      </c>
      <c r="G182" s="2" t="s">
        <v>67</v>
      </c>
      <c r="H182" s="2" t="s">
        <v>68</v>
      </c>
      <c r="I182" s="2" t="s">
        <v>69</v>
      </c>
      <c r="J182" s="2" t="s">
        <v>70</v>
      </c>
      <c r="K182" s="2" t="s">
        <v>71</v>
      </c>
      <c r="L182" s="2" t="s">
        <v>485</v>
      </c>
      <c r="M182" s="2" t="s">
        <v>102</v>
      </c>
      <c r="N182" s="2" t="s">
        <v>96</v>
      </c>
      <c r="O182" s="2">
        <v>16</v>
      </c>
      <c r="P182" s="2">
        <v>15</v>
      </c>
      <c r="Q182" s="4">
        <v>7250</v>
      </c>
      <c r="R182" s="4">
        <v>6800</v>
      </c>
      <c r="S182" s="4">
        <v>191</v>
      </c>
      <c r="T182" s="19">
        <f>(ProductionData[[#This Row],[Rejected_Qty]])/ProductionData[[#This Row],[Produced_Qty]]</f>
        <v>2.8088235294117646E-2</v>
      </c>
      <c r="U182" s="19">
        <f>ProductionData[[#This Row],[Produced_Qty]]/ProductionData[[#This Row],[Planned_Qty]]</f>
        <v>0.93793103448275861</v>
      </c>
      <c r="V182" s="2" t="s">
        <v>75</v>
      </c>
      <c r="W182" s="11">
        <v>0</v>
      </c>
      <c r="X182" s="13">
        <f>W182/60</f>
        <v>0</v>
      </c>
      <c r="Y182" s="2" t="s">
        <v>90</v>
      </c>
      <c r="Z182" s="2">
        <v>46</v>
      </c>
      <c r="AA182" s="2">
        <f>ProductionData[[#This Row],[Rejected_Qty]]*ProductionData[[#This Row],[Unit_Cost_INR]]</f>
        <v>8786</v>
      </c>
      <c r="AB182" s="4">
        <v>20890</v>
      </c>
      <c r="AC182" s="4">
        <v>6560</v>
      </c>
      <c r="AD182" s="4">
        <v>6560</v>
      </c>
      <c r="AE182" s="4">
        <v>20939</v>
      </c>
      <c r="AF182" s="4">
        <v>10500</v>
      </c>
    </row>
    <row r="183" spans="1:32">
      <c r="A183" s="2" t="s">
        <v>486</v>
      </c>
      <c r="B183" s="3">
        <v>46133</v>
      </c>
      <c r="C183" s="36" t="s">
        <v>78</v>
      </c>
      <c r="D183" s="2">
        <f>MONTH(ProductionData[[#This Row],[Month]])</f>
        <v>4</v>
      </c>
      <c r="E183" s="2" t="s">
        <v>92</v>
      </c>
      <c r="F183" s="2" t="s">
        <v>93</v>
      </c>
      <c r="G183" s="2" t="s">
        <v>67</v>
      </c>
      <c r="H183" s="2" t="s">
        <v>68</v>
      </c>
      <c r="I183" s="2" t="s">
        <v>69</v>
      </c>
      <c r="J183" s="2" t="s">
        <v>403</v>
      </c>
      <c r="K183" s="2" t="s">
        <v>404</v>
      </c>
      <c r="L183" s="2" t="s">
        <v>487</v>
      </c>
      <c r="M183" s="2" t="s">
        <v>95</v>
      </c>
      <c r="N183" s="2" t="s">
        <v>88</v>
      </c>
      <c r="O183" s="2">
        <v>16</v>
      </c>
      <c r="P183" s="2">
        <v>14</v>
      </c>
      <c r="Q183" s="4">
        <v>6100</v>
      </c>
      <c r="R183" s="4">
        <v>5530</v>
      </c>
      <c r="S183" s="4">
        <v>173</v>
      </c>
      <c r="T183" s="19">
        <f>(ProductionData[[#This Row],[Rejected_Qty]])/ProductionData[[#This Row],[Produced_Qty]]</f>
        <v>3.1283905967450273E-2</v>
      </c>
      <c r="U183" s="19">
        <f>ProductionData[[#This Row],[Produced_Qty]]/ProductionData[[#This Row],[Planned_Qty]]</f>
        <v>0.90655737704918038</v>
      </c>
      <c r="V183" s="2" t="s">
        <v>113</v>
      </c>
      <c r="W183" s="11">
        <v>70</v>
      </c>
      <c r="X183" s="13">
        <f>W183/60</f>
        <v>1.1666666666666667</v>
      </c>
      <c r="Y183" s="2" t="s">
        <v>110</v>
      </c>
      <c r="Z183" s="2">
        <v>58</v>
      </c>
      <c r="AA183" s="2">
        <f>ProductionData[[#This Row],[Rejected_Qty]]*ProductionData[[#This Row],[Unit_Cost_INR]]</f>
        <v>10034</v>
      </c>
      <c r="AB183" s="4">
        <v>21058</v>
      </c>
      <c r="AC183" s="4">
        <v>5480</v>
      </c>
      <c r="AD183" s="4">
        <v>5480</v>
      </c>
      <c r="AE183" s="4">
        <v>20935</v>
      </c>
      <c r="AF183" s="4">
        <v>9000</v>
      </c>
    </row>
    <row r="184" spans="1:32">
      <c r="A184" s="2" t="s">
        <v>488</v>
      </c>
      <c r="B184" s="3">
        <v>46135</v>
      </c>
      <c r="C184" s="36" t="s">
        <v>78</v>
      </c>
      <c r="D184" s="2">
        <f>MONTH(ProductionData[[#This Row],[Month]])</f>
        <v>4</v>
      </c>
      <c r="E184" s="2" t="s">
        <v>107</v>
      </c>
      <c r="F184" s="2" t="s">
        <v>80</v>
      </c>
      <c r="G184" s="2" t="s">
        <v>67</v>
      </c>
      <c r="H184" s="2" t="s">
        <v>68</v>
      </c>
      <c r="I184" s="2" t="s">
        <v>69</v>
      </c>
      <c r="J184" s="2" t="s">
        <v>403</v>
      </c>
      <c r="K184" s="2" t="s">
        <v>404</v>
      </c>
      <c r="L184" s="2" t="s">
        <v>489</v>
      </c>
      <c r="M184" s="2" t="s">
        <v>102</v>
      </c>
      <c r="N184" s="2" t="s">
        <v>96</v>
      </c>
      <c r="O184" s="2">
        <v>16</v>
      </c>
      <c r="P184" s="2">
        <v>16</v>
      </c>
      <c r="Q184" s="4">
        <v>6460</v>
      </c>
      <c r="R184" s="4">
        <v>6110</v>
      </c>
      <c r="S184" s="4">
        <v>128</v>
      </c>
      <c r="T184" s="19">
        <f>(ProductionData[[#This Row],[Rejected_Qty]])/ProductionData[[#This Row],[Produced_Qty]]</f>
        <v>2.0949263502454993E-2</v>
      </c>
      <c r="U184" s="19">
        <f>ProductionData[[#This Row],[Produced_Qty]]/ProductionData[[#This Row],[Planned_Qty]]</f>
        <v>0.94582043343653255</v>
      </c>
      <c r="V184" s="2" t="s">
        <v>109</v>
      </c>
      <c r="W184" s="11">
        <v>0</v>
      </c>
      <c r="X184" s="13">
        <f>W184/60</f>
        <v>0</v>
      </c>
      <c r="Y184" s="2" t="s">
        <v>90</v>
      </c>
      <c r="Z184" s="2">
        <v>58</v>
      </c>
      <c r="AA184" s="2">
        <f>ProductionData[[#This Row],[Rejected_Qty]]*ProductionData[[#This Row],[Unit_Cost_INR]]</f>
        <v>7424</v>
      </c>
      <c r="AB184" s="4">
        <v>20794</v>
      </c>
      <c r="AC184" s="4">
        <v>5880</v>
      </c>
      <c r="AD184" s="4">
        <v>5880</v>
      </c>
      <c r="AE184" s="4">
        <v>20896</v>
      </c>
      <c r="AF184" s="4">
        <v>9000</v>
      </c>
    </row>
    <row r="185" spans="1:32">
      <c r="A185" s="2" t="s">
        <v>490</v>
      </c>
      <c r="B185" s="3">
        <v>46118</v>
      </c>
      <c r="C185" s="36" t="s">
        <v>78</v>
      </c>
      <c r="D185" s="2">
        <f>MONTH(ProductionData[[#This Row],[Month]])</f>
        <v>4</v>
      </c>
      <c r="E185" s="2" t="s">
        <v>116</v>
      </c>
      <c r="F185" s="2" t="s">
        <v>66</v>
      </c>
      <c r="G185" s="2" t="s">
        <v>67</v>
      </c>
      <c r="H185" s="2" t="s">
        <v>68</v>
      </c>
      <c r="I185" s="2" t="s">
        <v>69</v>
      </c>
      <c r="J185" s="2" t="s">
        <v>70</v>
      </c>
      <c r="K185" s="2" t="s">
        <v>71</v>
      </c>
      <c r="L185" s="2" t="s">
        <v>491</v>
      </c>
      <c r="M185" s="2" t="s">
        <v>99</v>
      </c>
      <c r="N185" s="2" t="s">
        <v>88</v>
      </c>
      <c r="O185" s="2">
        <v>16</v>
      </c>
      <c r="P185" s="2">
        <v>16</v>
      </c>
      <c r="Q185" s="4">
        <v>6860</v>
      </c>
      <c r="R185" s="4">
        <v>6860</v>
      </c>
      <c r="S185" s="4">
        <v>222</v>
      </c>
      <c r="T185" s="19">
        <f>(ProductionData[[#This Row],[Rejected_Qty]])/ProductionData[[#This Row],[Produced_Qty]]</f>
        <v>3.2361516034985424E-2</v>
      </c>
      <c r="U185" s="19">
        <f>ProductionData[[#This Row],[Produced_Qty]]/ProductionData[[#This Row],[Planned_Qty]]</f>
        <v>1</v>
      </c>
      <c r="V185" s="2" t="s">
        <v>109</v>
      </c>
      <c r="W185" s="11">
        <v>0</v>
      </c>
      <c r="X185" s="13">
        <f>W185/60</f>
        <v>0</v>
      </c>
      <c r="Y185" s="2" t="s">
        <v>90</v>
      </c>
      <c r="Z185" s="2">
        <v>46</v>
      </c>
      <c r="AA185" s="2">
        <f>ProductionData[[#This Row],[Rejected_Qty]]*ProductionData[[#This Row],[Unit_Cost_INR]]</f>
        <v>10212</v>
      </c>
      <c r="AB185" s="4">
        <v>20382</v>
      </c>
      <c r="AC185" s="4">
        <v>6130</v>
      </c>
      <c r="AD185" s="4">
        <v>6130</v>
      </c>
      <c r="AE185" s="4">
        <v>20890</v>
      </c>
      <c r="AF185" s="4">
        <v>10500</v>
      </c>
    </row>
    <row r="186" spans="1:32">
      <c r="A186" s="2" t="s">
        <v>492</v>
      </c>
      <c r="B186" s="3">
        <v>46134</v>
      </c>
      <c r="C186" s="36" t="s">
        <v>78</v>
      </c>
      <c r="D186" s="2">
        <f>MONTH(ProductionData[[#This Row],[Month]])</f>
        <v>4</v>
      </c>
      <c r="E186" s="2" t="s">
        <v>79</v>
      </c>
      <c r="F186" s="2" t="s">
        <v>80</v>
      </c>
      <c r="G186" s="2" t="s">
        <v>67</v>
      </c>
      <c r="H186" s="2" t="s">
        <v>68</v>
      </c>
      <c r="I186" s="2" t="s">
        <v>69</v>
      </c>
      <c r="J186" s="2" t="s">
        <v>403</v>
      </c>
      <c r="K186" s="2" t="s">
        <v>404</v>
      </c>
      <c r="L186" s="2" t="s">
        <v>493</v>
      </c>
      <c r="M186" s="2" t="s">
        <v>87</v>
      </c>
      <c r="N186" s="2" t="s">
        <v>88</v>
      </c>
      <c r="O186" s="2">
        <v>16</v>
      </c>
      <c r="P186" s="2">
        <v>16</v>
      </c>
      <c r="Q186" s="4">
        <v>6050</v>
      </c>
      <c r="R186" s="4">
        <v>5820</v>
      </c>
      <c r="S186" s="4">
        <v>81</v>
      </c>
      <c r="T186" s="19">
        <f>(ProductionData[[#This Row],[Rejected_Qty]])/ProductionData[[#This Row],[Produced_Qty]]</f>
        <v>1.3917525773195877E-2</v>
      </c>
      <c r="U186" s="19">
        <f>ProductionData[[#This Row],[Produced_Qty]]/ProductionData[[#This Row],[Planned_Qty]]</f>
        <v>0.9619834710743802</v>
      </c>
      <c r="V186" s="2" t="s">
        <v>89</v>
      </c>
      <c r="W186" s="11">
        <v>0</v>
      </c>
      <c r="X186" s="13">
        <f>W186/60</f>
        <v>0</v>
      </c>
      <c r="Y186" s="2" t="s">
        <v>90</v>
      </c>
      <c r="Z186" s="2">
        <v>58</v>
      </c>
      <c r="AA186" s="2">
        <f>ProductionData[[#This Row],[Rejected_Qty]]*ProductionData[[#This Row],[Unit_Cost_INR]]</f>
        <v>4698</v>
      </c>
      <c r="AB186" s="4">
        <v>20935</v>
      </c>
      <c r="AC186" s="4">
        <v>5880</v>
      </c>
      <c r="AD186" s="4">
        <v>5880</v>
      </c>
      <c r="AE186" s="4">
        <v>20794</v>
      </c>
      <c r="AF186" s="4">
        <v>9000</v>
      </c>
    </row>
    <row r="187" spans="1:32">
      <c r="A187" s="2" t="s">
        <v>494</v>
      </c>
      <c r="B187" s="3">
        <v>46138</v>
      </c>
      <c r="C187" s="36" t="s">
        <v>78</v>
      </c>
      <c r="D187" s="2">
        <f>MONTH(ProductionData[[#This Row],[Month]])</f>
        <v>4</v>
      </c>
      <c r="E187" s="2" t="s">
        <v>186</v>
      </c>
      <c r="F187" s="2" t="s">
        <v>66</v>
      </c>
      <c r="G187" s="2" t="s">
        <v>174</v>
      </c>
      <c r="H187" s="2" t="s">
        <v>175</v>
      </c>
      <c r="I187" s="2" t="s">
        <v>176</v>
      </c>
      <c r="J187" s="2" t="s">
        <v>443</v>
      </c>
      <c r="K187" s="2" t="s">
        <v>444</v>
      </c>
      <c r="L187" s="2" t="s">
        <v>495</v>
      </c>
      <c r="M187" s="2" t="s">
        <v>99</v>
      </c>
      <c r="N187" s="2" t="s">
        <v>88</v>
      </c>
      <c r="O187" s="2">
        <v>10</v>
      </c>
      <c r="P187" s="2">
        <v>9</v>
      </c>
      <c r="Q187" s="4">
        <v>4270</v>
      </c>
      <c r="R187" s="4">
        <v>4090</v>
      </c>
      <c r="S187" s="4">
        <v>55</v>
      </c>
      <c r="T187" s="19">
        <f>(ProductionData[[#This Row],[Rejected_Qty]])/ProductionData[[#This Row],[Produced_Qty]]</f>
        <v>1.3447432762836185E-2</v>
      </c>
      <c r="U187" s="19">
        <f>ProductionData[[#This Row],[Produced_Qty]]/ProductionData[[#This Row],[Planned_Qty]]</f>
        <v>0.95784543325526927</v>
      </c>
      <c r="V187" s="2" t="s">
        <v>109</v>
      </c>
      <c r="W187" s="11">
        <v>0</v>
      </c>
      <c r="X187" s="13">
        <f>W187/60</f>
        <v>0</v>
      </c>
      <c r="Y187" s="2" t="s">
        <v>90</v>
      </c>
      <c r="Z187" s="2">
        <v>33</v>
      </c>
      <c r="AA187" s="2">
        <f>ProductionData[[#This Row],[Rejected_Qty]]*ProductionData[[#This Row],[Unit_Cost_INR]]</f>
        <v>1815</v>
      </c>
      <c r="AB187" s="4">
        <v>20733</v>
      </c>
      <c r="AC187" s="4">
        <v>4000</v>
      </c>
      <c r="AD187" s="4">
        <v>4000</v>
      </c>
      <c r="AE187" s="4">
        <v>20768</v>
      </c>
      <c r="AF187" s="4">
        <v>9750</v>
      </c>
    </row>
    <row r="188" spans="1:32">
      <c r="A188" s="2" t="s">
        <v>496</v>
      </c>
      <c r="B188" s="3">
        <v>46113</v>
      </c>
      <c r="C188" s="36" t="s">
        <v>78</v>
      </c>
      <c r="D188" s="2">
        <f>MONTH(ProductionData[[#This Row],[Month]])</f>
        <v>4</v>
      </c>
      <c r="E188" s="2" t="s">
        <v>79</v>
      </c>
      <c r="F188" s="2" t="s">
        <v>93</v>
      </c>
      <c r="G188" s="2" t="s">
        <v>67</v>
      </c>
      <c r="H188" s="2" t="s">
        <v>68</v>
      </c>
      <c r="I188" s="2" t="s">
        <v>69</v>
      </c>
      <c r="J188" s="2" t="s">
        <v>70</v>
      </c>
      <c r="K188" s="2" t="s">
        <v>71</v>
      </c>
      <c r="L188" s="2" t="s">
        <v>497</v>
      </c>
      <c r="M188" s="2" t="s">
        <v>95</v>
      </c>
      <c r="N188" s="2" t="s">
        <v>88</v>
      </c>
      <c r="O188" s="2">
        <v>16</v>
      </c>
      <c r="P188" s="2">
        <v>14</v>
      </c>
      <c r="Q188" s="4">
        <v>6710</v>
      </c>
      <c r="R188" s="4">
        <v>5420</v>
      </c>
      <c r="S188" s="4">
        <v>157</v>
      </c>
      <c r="T188" s="19">
        <f>(ProductionData[[#This Row],[Rejected_Qty]])/ProductionData[[#This Row],[Produced_Qty]]</f>
        <v>2.8966789667896679E-2</v>
      </c>
      <c r="U188" s="19">
        <f>ProductionData[[#This Row],[Produced_Qty]]/ProductionData[[#This Row],[Planned_Qty]]</f>
        <v>0.8077496274217586</v>
      </c>
      <c r="V188" s="2" t="s">
        <v>89</v>
      </c>
      <c r="W188" s="11">
        <v>0</v>
      </c>
      <c r="X188" s="13">
        <f>W188/60</f>
        <v>0</v>
      </c>
      <c r="Y188" s="2" t="s">
        <v>90</v>
      </c>
      <c r="Z188" s="2">
        <v>46</v>
      </c>
      <c r="AA188" s="2">
        <f>ProductionData[[#This Row],[Rejected_Qty]]*ProductionData[[#This Row],[Unit_Cost_INR]]</f>
        <v>7222</v>
      </c>
      <c r="AB188" s="4">
        <v>21619</v>
      </c>
      <c r="AC188" s="4">
        <v>6120</v>
      </c>
      <c r="AD188" s="4">
        <v>6120</v>
      </c>
      <c r="AE188" s="4">
        <v>20762</v>
      </c>
      <c r="AF188" s="4">
        <v>10500</v>
      </c>
    </row>
    <row r="189" spans="1:32">
      <c r="A189" s="2" t="s">
        <v>498</v>
      </c>
      <c r="B189" s="3">
        <v>46114</v>
      </c>
      <c r="C189" s="36" t="s">
        <v>78</v>
      </c>
      <c r="D189" s="2">
        <f>MONTH(ProductionData[[#This Row],[Month]])</f>
        <v>4</v>
      </c>
      <c r="E189" s="2" t="s">
        <v>107</v>
      </c>
      <c r="F189" s="2" t="s">
        <v>93</v>
      </c>
      <c r="G189" s="2" t="s">
        <v>67</v>
      </c>
      <c r="H189" s="2" t="s">
        <v>68</v>
      </c>
      <c r="I189" s="2" t="s">
        <v>69</v>
      </c>
      <c r="J189" s="2" t="s">
        <v>70</v>
      </c>
      <c r="K189" s="2" t="s">
        <v>71</v>
      </c>
      <c r="L189" s="2" t="s">
        <v>499</v>
      </c>
      <c r="M189" s="2" t="s">
        <v>95</v>
      </c>
      <c r="N189" s="2" t="s">
        <v>88</v>
      </c>
      <c r="O189" s="2">
        <v>16</v>
      </c>
      <c r="P189" s="2">
        <v>15</v>
      </c>
      <c r="Q189" s="4">
        <v>6690</v>
      </c>
      <c r="R189" s="4">
        <v>6350</v>
      </c>
      <c r="S189" s="4">
        <v>118</v>
      </c>
      <c r="T189" s="19">
        <f>(ProductionData[[#This Row],[Rejected_Qty]])/ProductionData[[#This Row],[Produced_Qty]]</f>
        <v>1.858267716535433E-2</v>
      </c>
      <c r="U189" s="19">
        <f>ProductionData[[#This Row],[Produced_Qty]]/ProductionData[[#This Row],[Planned_Qty]]</f>
        <v>0.94917787742899851</v>
      </c>
      <c r="V189" s="2" t="s">
        <v>113</v>
      </c>
      <c r="W189" s="11">
        <v>0</v>
      </c>
      <c r="X189" s="13">
        <f>W189/60</f>
        <v>0</v>
      </c>
      <c r="Y189" s="2" t="s">
        <v>90</v>
      </c>
      <c r="Z189" s="2">
        <v>46</v>
      </c>
      <c r="AA189" s="2">
        <f>ProductionData[[#This Row],[Rejected_Qty]]*ProductionData[[#This Row],[Unit_Cost_INR]]</f>
        <v>5428</v>
      </c>
      <c r="AB189" s="4">
        <v>20762</v>
      </c>
      <c r="AC189" s="4">
        <v>6250</v>
      </c>
      <c r="AD189" s="4">
        <v>6250</v>
      </c>
      <c r="AE189" s="4">
        <v>20744</v>
      </c>
      <c r="AF189" s="4">
        <v>10500</v>
      </c>
    </row>
    <row r="190" spans="1:32">
      <c r="A190" s="2" t="s">
        <v>500</v>
      </c>
      <c r="B190" s="3">
        <v>46137</v>
      </c>
      <c r="C190" s="36" t="s">
        <v>78</v>
      </c>
      <c r="D190" s="2">
        <f>MONTH(ProductionData[[#This Row],[Month]])</f>
        <v>4</v>
      </c>
      <c r="E190" s="2" t="s">
        <v>65</v>
      </c>
      <c r="F190" s="2" t="s">
        <v>80</v>
      </c>
      <c r="G190" s="2" t="s">
        <v>174</v>
      </c>
      <c r="H190" s="2" t="s">
        <v>175</v>
      </c>
      <c r="I190" s="2" t="s">
        <v>176</v>
      </c>
      <c r="J190" s="2" t="s">
        <v>443</v>
      </c>
      <c r="K190" s="2" t="s">
        <v>444</v>
      </c>
      <c r="L190" s="2" t="s">
        <v>501</v>
      </c>
      <c r="M190" s="2" t="s">
        <v>102</v>
      </c>
      <c r="N190" s="2" t="s">
        <v>96</v>
      </c>
      <c r="O190" s="2">
        <v>10</v>
      </c>
      <c r="P190" s="2">
        <v>10</v>
      </c>
      <c r="Q190" s="4">
        <v>6000</v>
      </c>
      <c r="R190" s="4">
        <v>5680</v>
      </c>
      <c r="S190" s="4">
        <v>212</v>
      </c>
      <c r="T190" s="19">
        <f>(ProductionData[[#This Row],[Rejected_Qty]])/ProductionData[[#This Row],[Produced_Qty]]</f>
        <v>3.732394366197183E-2</v>
      </c>
      <c r="U190" s="19">
        <f>ProductionData[[#This Row],[Produced_Qty]]/ProductionData[[#This Row],[Planned_Qty]]</f>
        <v>0.94666666666666666</v>
      </c>
      <c r="V190" s="2" t="s">
        <v>103</v>
      </c>
      <c r="W190" s="11">
        <v>53</v>
      </c>
      <c r="X190" s="13">
        <f>W190/60</f>
        <v>0.8833333333333333</v>
      </c>
      <c r="Y190" s="2" t="s">
        <v>76</v>
      </c>
      <c r="Z190" s="2">
        <v>33</v>
      </c>
      <c r="AA190" s="2">
        <f>ProductionData[[#This Row],[Rejected_Qty]]*ProductionData[[#This Row],[Unit_Cost_INR]]</f>
        <v>6996</v>
      </c>
      <c r="AB190" s="4">
        <v>20235</v>
      </c>
      <c r="AC190" s="4">
        <v>4970</v>
      </c>
      <c r="AD190" s="4">
        <v>4970</v>
      </c>
      <c r="AE190" s="4">
        <v>20733</v>
      </c>
      <c r="AF190" s="4">
        <v>9750</v>
      </c>
    </row>
    <row r="191" spans="1:32">
      <c r="A191" s="2" t="s">
        <v>502</v>
      </c>
      <c r="B191" s="3">
        <v>46125</v>
      </c>
      <c r="C191" s="36" t="s">
        <v>78</v>
      </c>
      <c r="D191" s="2">
        <f>MONTH(ProductionData[[#This Row],[Month]])</f>
        <v>4</v>
      </c>
      <c r="E191" s="2" t="s">
        <v>116</v>
      </c>
      <c r="F191" s="2" t="s">
        <v>93</v>
      </c>
      <c r="G191" s="2" t="s">
        <v>67</v>
      </c>
      <c r="H191" s="2" t="s">
        <v>68</v>
      </c>
      <c r="I191" s="2" t="s">
        <v>69</v>
      </c>
      <c r="J191" s="2" t="s">
        <v>70</v>
      </c>
      <c r="K191" s="2" t="s">
        <v>71</v>
      </c>
      <c r="L191" s="2" t="s">
        <v>503</v>
      </c>
      <c r="M191" s="2" t="s">
        <v>133</v>
      </c>
      <c r="N191" s="2" t="s">
        <v>96</v>
      </c>
      <c r="O191" s="2">
        <v>16</v>
      </c>
      <c r="P191" s="2">
        <v>12</v>
      </c>
      <c r="Q191" s="4">
        <v>6940</v>
      </c>
      <c r="R191" s="4">
        <v>6100</v>
      </c>
      <c r="S191" s="4">
        <v>179</v>
      </c>
      <c r="T191" s="19">
        <f>(ProductionData[[#This Row],[Rejected_Qty]])/ProductionData[[#This Row],[Produced_Qty]]</f>
        <v>2.9344262295081969E-2</v>
      </c>
      <c r="U191" s="19">
        <f>ProductionData[[#This Row],[Produced_Qty]]/ProductionData[[#This Row],[Planned_Qty]]</f>
        <v>0.87896253602305474</v>
      </c>
      <c r="V191" s="2" t="s">
        <v>103</v>
      </c>
      <c r="W191" s="11">
        <v>0</v>
      </c>
      <c r="X191" s="13">
        <f>W191/60</f>
        <v>0</v>
      </c>
      <c r="Y191" s="2" t="s">
        <v>90</v>
      </c>
      <c r="Z191" s="2">
        <v>46</v>
      </c>
      <c r="AA191" s="2">
        <f>ProductionData[[#This Row],[Rejected_Qty]]*ProductionData[[#This Row],[Unit_Cost_INR]]</f>
        <v>8234</v>
      </c>
      <c r="AB191" s="4">
        <v>21208</v>
      </c>
      <c r="AC191" s="4">
        <v>6470</v>
      </c>
      <c r="AD191" s="4">
        <v>6470</v>
      </c>
      <c r="AE191" s="4">
        <v>20659</v>
      </c>
      <c r="AF191" s="4">
        <v>10500</v>
      </c>
    </row>
    <row r="192" spans="1:32">
      <c r="A192" s="2" t="s">
        <v>504</v>
      </c>
      <c r="B192" s="3">
        <v>46126</v>
      </c>
      <c r="C192" s="36" t="s">
        <v>78</v>
      </c>
      <c r="D192" s="2">
        <f>MONTH(ProductionData[[#This Row],[Month]])</f>
        <v>4</v>
      </c>
      <c r="E192" s="2" t="s">
        <v>92</v>
      </c>
      <c r="F192" s="2" t="s">
        <v>80</v>
      </c>
      <c r="G192" s="2" t="s">
        <v>174</v>
      </c>
      <c r="H192" s="2" t="s">
        <v>175</v>
      </c>
      <c r="I192" s="2" t="s">
        <v>176</v>
      </c>
      <c r="J192" s="2" t="s">
        <v>443</v>
      </c>
      <c r="K192" s="2" t="s">
        <v>444</v>
      </c>
      <c r="L192" s="2" t="s">
        <v>505</v>
      </c>
      <c r="M192" s="2" t="s">
        <v>87</v>
      </c>
      <c r="N192" s="2" t="s">
        <v>96</v>
      </c>
      <c r="O192" s="2">
        <v>10</v>
      </c>
      <c r="P192" s="2">
        <v>9</v>
      </c>
      <c r="Q192" s="4">
        <v>6330</v>
      </c>
      <c r="R192" s="4">
        <v>5390</v>
      </c>
      <c r="S192" s="4">
        <v>161</v>
      </c>
      <c r="T192" s="19">
        <f>(ProductionData[[#This Row],[Rejected_Qty]])/ProductionData[[#This Row],[Produced_Qty]]</f>
        <v>2.987012987012987E-2</v>
      </c>
      <c r="U192" s="19">
        <f>ProductionData[[#This Row],[Produced_Qty]]/ProductionData[[#This Row],[Planned_Qty]]</f>
        <v>0.85150078988941547</v>
      </c>
      <c r="V192" s="2" t="s">
        <v>89</v>
      </c>
      <c r="W192" s="11">
        <v>0</v>
      </c>
      <c r="X192" s="13">
        <f>W192/60</f>
        <v>0</v>
      </c>
      <c r="Y192" s="2" t="s">
        <v>90</v>
      </c>
      <c r="Z192" s="2">
        <v>33</v>
      </c>
      <c r="AA192" s="2">
        <f>ProductionData[[#This Row],[Rejected_Qty]]*ProductionData[[#This Row],[Unit_Cost_INR]]</f>
        <v>5313</v>
      </c>
      <c r="AB192" s="4">
        <v>21416</v>
      </c>
      <c r="AC192" s="4">
        <v>6040</v>
      </c>
      <c r="AD192" s="4">
        <v>6040</v>
      </c>
      <c r="AE192" s="4">
        <v>20605</v>
      </c>
      <c r="AF192" s="4">
        <v>9750</v>
      </c>
    </row>
    <row r="193" spans="1:32">
      <c r="A193" s="2" t="s">
        <v>506</v>
      </c>
      <c r="B193" s="3">
        <v>46113</v>
      </c>
      <c r="C193" s="36" t="s">
        <v>78</v>
      </c>
      <c r="D193" s="2">
        <f>MONTH(ProductionData[[#This Row],[Month]])</f>
        <v>4</v>
      </c>
      <c r="E193" s="2" t="s">
        <v>79</v>
      </c>
      <c r="F193" s="2" t="s">
        <v>66</v>
      </c>
      <c r="G193" s="2" t="s">
        <v>67</v>
      </c>
      <c r="H193" s="2" t="s">
        <v>68</v>
      </c>
      <c r="I193" s="2" t="s">
        <v>69</v>
      </c>
      <c r="J193" s="2" t="s">
        <v>70</v>
      </c>
      <c r="K193" s="2" t="s">
        <v>71</v>
      </c>
      <c r="L193" s="2" t="s">
        <v>507</v>
      </c>
      <c r="M193" s="2" t="s">
        <v>73</v>
      </c>
      <c r="N193" s="2" t="s">
        <v>88</v>
      </c>
      <c r="O193" s="2">
        <v>16</v>
      </c>
      <c r="P193" s="2">
        <v>15</v>
      </c>
      <c r="Q193" s="4">
        <v>6790</v>
      </c>
      <c r="R193" s="4">
        <v>6290</v>
      </c>
      <c r="S193" s="4">
        <v>127</v>
      </c>
      <c r="T193" s="19">
        <f>(ProductionData[[#This Row],[Rejected_Qty]])/ProductionData[[#This Row],[Produced_Qty]]</f>
        <v>2.0190779014308425E-2</v>
      </c>
      <c r="U193" s="19">
        <f>ProductionData[[#This Row],[Produced_Qty]]/ProductionData[[#This Row],[Planned_Qty]]</f>
        <v>0.92636229749631815</v>
      </c>
      <c r="V193" s="2" t="s">
        <v>113</v>
      </c>
      <c r="W193" s="11">
        <v>0</v>
      </c>
      <c r="X193" s="13">
        <f>W193/60</f>
        <v>0</v>
      </c>
      <c r="Y193" s="2" t="s">
        <v>90</v>
      </c>
      <c r="Z193" s="2">
        <v>46</v>
      </c>
      <c r="AA193" s="2">
        <f>ProductionData[[#This Row],[Rejected_Qty]]*ProductionData[[#This Row],[Unit_Cost_INR]]</f>
        <v>5842</v>
      </c>
      <c r="AB193" s="4">
        <v>21000</v>
      </c>
      <c r="AC193" s="4">
        <v>6570</v>
      </c>
      <c r="AD193" s="4">
        <v>6570</v>
      </c>
      <c r="AE193" s="4">
        <v>20593</v>
      </c>
      <c r="AF193" s="4">
        <v>10500</v>
      </c>
    </row>
    <row r="194" spans="1:32">
      <c r="A194" s="2" t="s">
        <v>508</v>
      </c>
      <c r="B194" s="3">
        <v>46126</v>
      </c>
      <c r="C194" s="36" t="s">
        <v>78</v>
      </c>
      <c r="D194" s="2">
        <f>MONTH(ProductionData[[#This Row],[Month]])</f>
        <v>4</v>
      </c>
      <c r="E194" s="2" t="s">
        <v>92</v>
      </c>
      <c r="F194" s="2" t="s">
        <v>80</v>
      </c>
      <c r="G194" s="2" t="s">
        <v>67</v>
      </c>
      <c r="H194" s="2" t="s">
        <v>68</v>
      </c>
      <c r="I194" s="2" t="s">
        <v>69</v>
      </c>
      <c r="J194" s="2" t="s">
        <v>70</v>
      </c>
      <c r="K194" s="2" t="s">
        <v>71</v>
      </c>
      <c r="L194" s="2" t="s">
        <v>509</v>
      </c>
      <c r="M194" s="2" t="s">
        <v>102</v>
      </c>
      <c r="N194" s="2" t="s">
        <v>96</v>
      </c>
      <c r="O194" s="2">
        <v>16</v>
      </c>
      <c r="P194" s="2">
        <v>16</v>
      </c>
      <c r="Q194" s="4">
        <v>6640</v>
      </c>
      <c r="R194" s="4">
        <v>6260</v>
      </c>
      <c r="S194" s="4">
        <v>215</v>
      </c>
      <c r="T194" s="19">
        <f>(ProductionData[[#This Row],[Rejected_Qty]])/ProductionData[[#This Row],[Produced_Qty]]</f>
        <v>3.4345047923322686E-2</v>
      </c>
      <c r="U194" s="19">
        <f>ProductionData[[#This Row],[Produced_Qty]]/ProductionData[[#This Row],[Planned_Qty]]</f>
        <v>0.94277108433734935</v>
      </c>
      <c r="V194" s="2" t="s">
        <v>113</v>
      </c>
      <c r="W194" s="11">
        <v>0</v>
      </c>
      <c r="X194" s="13">
        <f>W194/60</f>
        <v>0</v>
      </c>
      <c r="Y194" s="2" t="s">
        <v>90</v>
      </c>
      <c r="Z194" s="2">
        <v>46</v>
      </c>
      <c r="AA194" s="2">
        <f>ProductionData[[#This Row],[Rejected_Qty]]*ProductionData[[#This Row],[Unit_Cost_INR]]</f>
        <v>9890</v>
      </c>
      <c r="AB194" s="4">
        <v>20057</v>
      </c>
      <c r="AC194" s="4">
        <v>5540</v>
      </c>
      <c r="AD194" s="4">
        <v>5540</v>
      </c>
      <c r="AE194" s="4">
        <v>20562</v>
      </c>
      <c r="AF194" s="4">
        <v>10500</v>
      </c>
    </row>
    <row r="195" spans="1:32">
      <c r="A195" s="2" t="s">
        <v>510</v>
      </c>
      <c r="B195" s="3">
        <v>46135</v>
      </c>
      <c r="C195" s="36" t="s">
        <v>78</v>
      </c>
      <c r="D195" s="2">
        <f>MONTH(ProductionData[[#This Row],[Month]])</f>
        <v>4</v>
      </c>
      <c r="E195" s="2" t="s">
        <v>107</v>
      </c>
      <c r="F195" s="2" t="s">
        <v>80</v>
      </c>
      <c r="G195" s="2" t="s">
        <v>174</v>
      </c>
      <c r="H195" s="2" t="s">
        <v>175</v>
      </c>
      <c r="I195" s="2" t="s">
        <v>176</v>
      </c>
      <c r="J195" s="2" t="s">
        <v>443</v>
      </c>
      <c r="K195" s="2" t="s">
        <v>444</v>
      </c>
      <c r="L195" s="2" t="s">
        <v>511</v>
      </c>
      <c r="M195" s="2" t="s">
        <v>102</v>
      </c>
      <c r="N195" s="2" t="s">
        <v>88</v>
      </c>
      <c r="O195" s="2">
        <v>10</v>
      </c>
      <c r="P195" s="2">
        <v>9</v>
      </c>
      <c r="Q195" s="4">
        <v>6780</v>
      </c>
      <c r="R195" s="4">
        <v>6230</v>
      </c>
      <c r="S195" s="4">
        <v>177</v>
      </c>
      <c r="T195" s="19">
        <f>(ProductionData[[#This Row],[Rejected_Qty]])/ProductionData[[#This Row],[Produced_Qty]]</f>
        <v>2.8410914927768861E-2</v>
      </c>
      <c r="U195" s="19">
        <f>ProductionData[[#This Row],[Produced_Qty]]/ProductionData[[#This Row],[Planned_Qty]]</f>
        <v>0.91887905604719766</v>
      </c>
      <c r="V195" s="2" t="s">
        <v>89</v>
      </c>
      <c r="W195" s="11">
        <v>49</v>
      </c>
      <c r="X195" s="13">
        <f>W195/60</f>
        <v>0.81666666666666665</v>
      </c>
      <c r="Y195" s="2" t="s">
        <v>182</v>
      </c>
      <c r="Z195" s="2">
        <v>33</v>
      </c>
      <c r="AA195" s="2">
        <f>ProductionData[[#This Row],[Rejected_Qty]]*ProductionData[[#This Row],[Unit_Cost_INR]]</f>
        <v>5841</v>
      </c>
      <c r="AB195" s="4">
        <v>20068</v>
      </c>
      <c r="AC195" s="4">
        <v>5590</v>
      </c>
      <c r="AD195" s="4">
        <v>5590</v>
      </c>
      <c r="AE195" s="4">
        <v>20531</v>
      </c>
      <c r="AF195" s="4">
        <v>9750</v>
      </c>
    </row>
    <row r="196" spans="1:32">
      <c r="A196" s="2" t="s">
        <v>512</v>
      </c>
      <c r="B196" s="3">
        <v>46127</v>
      </c>
      <c r="C196" s="36" t="s">
        <v>78</v>
      </c>
      <c r="D196" s="2">
        <f>MONTH(ProductionData[[#This Row],[Month]])</f>
        <v>4</v>
      </c>
      <c r="E196" s="2" t="s">
        <v>79</v>
      </c>
      <c r="F196" s="2" t="s">
        <v>66</v>
      </c>
      <c r="G196" s="2" t="s">
        <v>174</v>
      </c>
      <c r="H196" s="2" t="s">
        <v>175</v>
      </c>
      <c r="I196" s="2" t="s">
        <v>176</v>
      </c>
      <c r="J196" s="2" t="s">
        <v>443</v>
      </c>
      <c r="K196" s="2" t="s">
        <v>444</v>
      </c>
      <c r="L196" s="2" t="s">
        <v>513</v>
      </c>
      <c r="M196" s="2" t="s">
        <v>99</v>
      </c>
      <c r="N196" s="2" t="s">
        <v>88</v>
      </c>
      <c r="O196" s="2">
        <v>10</v>
      </c>
      <c r="P196" s="2">
        <v>10</v>
      </c>
      <c r="Q196" s="4">
        <v>6950</v>
      </c>
      <c r="R196" s="4">
        <v>6580</v>
      </c>
      <c r="S196" s="4">
        <v>111</v>
      </c>
      <c r="T196" s="19">
        <f>(ProductionData[[#This Row],[Rejected_Qty]])/ProductionData[[#This Row],[Produced_Qty]]</f>
        <v>1.6869300911854103E-2</v>
      </c>
      <c r="U196" s="19">
        <f>ProductionData[[#This Row],[Produced_Qty]]/ProductionData[[#This Row],[Planned_Qty]]</f>
        <v>0.94676258992805751</v>
      </c>
      <c r="V196" s="2" t="s">
        <v>103</v>
      </c>
      <c r="W196" s="11">
        <v>0</v>
      </c>
      <c r="X196" s="13">
        <f>W196/60</f>
        <v>0</v>
      </c>
      <c r="Y196" s="2" t="s">
        <v>90</v>
      </c>
      <c r="Z196" s="2">
        <v>33</v>
      </c>
      <c r="AA196" s="2">
        <f>ProductionData[[#This Row],[Rejected_Qty]]*ProductionData[[#This Row],[Unit_Cost_INR]]</f>
        <v>3663</v>
      </c>
      <c r="AB196" s="4">
        <v>20605</v>
      </c>
      <c r="AC196" s="4">
        <v>6570</v>
      </c>
      <c r="AD196" s="4">
        <v>6570</v>
      </c>
      <c r="AE196" s="4">
        <v>20504</v>
      </c>
      <c r="AF196" s="4">
        <v>9750</v>
      </c>
    </row>
    <row r="197" spans="1:32">
      <c r="A197" s="2" t="s">
        <v>514</v>
      </c>
      <c r="B197" s="3">
        <v>46115</v>
      </c>
      <c r="C197" s="36" t="s">
        <v>78</v>
      </c>
      <c r="D197" s="2">
        <f>MONTH(ProductionData[[#This Row],[Month]])</f>
        <v>4</v>
      </c>
      <c r="E197" s="2" t="s">
        <v>125</v>
      </c>
      <c r="F197" s="2" t="s">
        <v>66</v>
      </c>
      <c r="G197" s="2" t="s">
        <v>174</v>
      </c>
      <c r="H197" s="2" t="s">
        <v>175</v>
      </c>
      <c r="I197" s="2" t="s">
        <v>176</v>
      </c>
      <c r="J197" s="2" t="s">
        <v>443</v>
      </c>
      <c r="K197" s="2" t="s">
        <v>444</v>
      </c>
      <c r="L197" s="2" t="s">
        <v>515</v>
      </c>
      <c r="M197" s="2" t="s">
        <v>73</v>
      </c>
      <c r="N197" s="2" t="s">
        <v>96</v>
      </c>
      <c r="O197" s="2">
        <v>10</v>
      </c>
      <c r="P197" s="2">
        <v>10</v>
      </c>
      <c r="Q197" s="4">
        <v>6750</v>
      </c>
      <c r="R197" s="4">
        <v>6590</v>
      </c>
      <c r="S197" s="4">
        <v>182</v>
      </c>
      <c r="T197" s="19">
        <f>(ProductionData[[#This Row],[Rejected_Qty]])/ProductionData[[#This Row],[Produced_Qty]]</f>
        <v>2.7617602427921092E-2</v>
      </c>
      <c r="U197" s="19">
        <f>ProductionData[[#This Row],[Produced_Qty]]/ProductionData[[#This Row],[Planned_Qty]]</f>
        <v>0.97629629629629633</v>
      </c>
      <c r="V197" s="2" t="s">
        <v>103</v>
      </c>
      <c r="W197" s="11">
        <v>44</v>
      </c>
      <c r="X197" s="13">
        <f>W197/60</f>
        <v>0.73333333333333328</v>
      </c>
      <c r="Y197" s="2" t="s">
        <v>76</v>
      </c>
      <c r="Z197" s="2">
        <v>33</v>
      </c>
      <c r="AA197" s="2">
        <f>ProductionData[[#This Row],[Rejected_Qty]]*ProductionData[[#This Row],[Unit_Cost_INR]]</f>
        <v>6006</v>
      </c>
      <c r="AB197" s="4">
        <v>19628</v>
      </c>
      <c r="AC197" s="4">
        <v>5600</v>
      </c>
      <c r="AD197" s="4">
        <v>5600</v>
      </c>
      <c r="AE197" s="4">
        <v>20436</v>
      </c>
      <c r="AF197" s="4">
        <v>9750</v>
      </c>
    </row>
    <row r="198" spans="1:32">
      <c r="A198" s="2" t="s">
        <v>516</v>
      </c>
      <c r="B198" s="3">
        <v>46132</v>
      </c>
      <c r="C198" s="36" t="s">
        <v>78</v>
      </c>
      <c r="D198" s="2">
        <f>MONTH(ProductionData[[#This Row],[Month]])</f>
        <v>4</v>
      </c>
      <c r="E198" s="2" t="s">
        <v>116</v>
      </c>
      <c r="F198" s="2" t="s">
        <v>80</v>
      </c>
      <c r="G198" s="2" t="s">
        <v>67</v>
      </c>
      <c r="H198" s="2" t="s">
        <v>68</v>
      </c>
      <c r="I198" s="2" t="s">
        <v>69</v>
      </c>
      <c r="J198" s="2" t="s">
        <v>403</v>
      </c>
      <c r="K198" s="2" t="s">
        <v>404</v>
      </c>
      <c r="L198" s="2" t="s">
        <v>517</v>
      </c>
      <c r="M198" s="2" t="s">
        <v>102</v>
      </c>
      <c r="N198" s="2" t="s">
        <v>96</v>
      </c>
      <c r="O198" s="2">
        <v>16</v>
      </c>
      <c r="P198" s="2">
        <v>15</v>
      </c>
      <c r="Q198" s="4">
        <v>6100</v>
      </c>
      <c r="R198" s="4">
        <v>6100</v>
      </c>
      <c r="S198" s="4">
        <v>123</v>
      </c>
      <c r="T198" s="19">
        <f>(ProductionData[[#This Row],[Rejected_Qty]])/ProductionData[[#This Row],[Produced_Qty]]</f>
        <v>2.0163934426229508E-2</v>
      </c>
      <c r="U198" s="19">
        <f>ProductionData[[#This Row],[Produced_Qty]]/ProductionData[[#This Row],[Planned_Qty]]</f>
        <v>1</v>
      </c>
      <c r="V198" s="2" t="s">
        <v>109</v>
      </c>
      <c r="W198" s="11">
        <v>19</v>
      </c>
      <c r="X198" s="13">
        <f>W198/60</f>
        <v>0.31666666666666665</v>
      </c>
      <c r="Y198" s="2" t="s">
        <v>76</v>
      </c>
      <c r="Z198" s="2">
        <v>58</v>
      </c>
      <c r="AA198" s="2">
        <f>ProductionData[[#This Row],[Rejected_Qty]]*ProductionData[[#This Row],[Unit_Cost_INR]]</f>
        <v>7134</v>
      </c>
      <c r="AB198" s="4">
        <v>20210</v>
      </c>
      <c r="AC198" s="4">
        <v>5780</v>
      </c>
      <c r="AD198" s="4">
        <v>5780</v>
      </c>
      <c r="AE198" s="4">
        <v>20407</v>
      </c>
      <c r="AF198" s="4">
        <v>9000</v>
      </c>
    </row>
    <row r="199" spans="1:32">
      <c r="A199" s="2" t="s">
        <v>518</v>
      </c>
      <c r="B199" s="3">
        <v>46117</v>
      </c>
      <c r="C199" s="36" t="s">
        <v>78</v>
      </c>
      <c r="D199" s="2">
        <f>MONTH(ProductionData[[#This Row],[Month]])</f>
        <v>4</v>
      </c>
      <c r="E199" s="2" t="s">
        <v>186</v>
      </c>
      <c r="F199" s="2" t="s">
        <v>66</v>
      </c>
      <c r="G199" s="2" t="s">
        <v>67</v>
      </c>
      <c r="H199" s="2" t="s">
        <v>68</v>
      </c>
      <c r="I199" s="2" t="s">
        <v>69</v>
      </c>
      <c r="J199" s="2" t="s">
        <v>70</v>
      </c>
      <c r="K199" s="2" t="s">
        <v>71</v>
      </c>
      <c r="L199" s="2" t="s">
        <v>519</v>
      </c>
      <c r="M199" s="2" t="s">
        <v>99</v>
      </c>
      <c r="N199" s="2" t="s">
        <v>88</v>
      </c>
      <c r="O199" s="2">
        <v>16</v>
      </c>
      <c r="P199" s="2">
        <v>16</v>
      </c>
      <c r="Q199" s="4">
        <v>5100</v>
      </c>
      <c r="R199" s="4">
        <v>5190</v>
      </c>
      <c r="S199" s="4">
        <v>131</v>
      </c>
      <c r="T199" s="19">
        <f>(ProductionData[[#This Row],[Rejected_Qty]])/ProductionData[[#This Row],[Produced_Qty]]</f>
        <v>2.5240847784200385E-2</v>
      </c>
      <c r="U199" s="19">
        <f>ProductionData[[#This Row],[Produced_Qty]]/ProductionData[[#This Row],[Planned_Qty]]</f>
        <v>1.0176470588235293</v>
      </c>
      <c r="V199" s="2" t="s">
        <v>113</v>
      </c>
      <c r="W199" s="11">
        <v>45</v>
      </c>
      <c r="X199" s="13">
        <f>W199/60</f>
        <v>0.75</v>
      </c>
      <c r="Y199" s="2" t="s">
        <v>110</v>
      </c>
      <c r="Z199" s="2">
        <v>46</v>
      </c>
      <c r="AA199" s="2">
        <f>ProductionData[[#This Row],[Rejected_Qty]]*ProductionData[[#This Row],[Unit_Cost_INR]]</f>
        <v>6026</v>
      </c>
      <c r="AB199" s="4">
        <v>20213</v>
      </c>
      <c r="AC199" s="4">
        <v>4890</v>
      </c>
      <c r="AD199" s="4">
        <v>4890</v>
      </c>
      <c r="AE199" s="4">
        <v>20382</v>
      </c>
      <c r="AF199" s="4">
        <v>10500</v>
      </c>
    </row>
    <row r="200" spans="1:32">
      <c r="A200" s="2" t="s">
        <v>520</v>
      </c>
      <c r="B200" s="3">
        <v>46136</v>
      </c>
      <c r="C200" s="36" t="s">
        <v>78</v>
      </c>
      <c r="D200" s="2">
        <f>MONTH(ProductionData[[#This Row],[Month]])</f>
        <v>4</v>
      </c>
      <c r="E200" s="2" t="s">
        <v>125</v>
      </c>
      <c r="F200" s="2" t="s">
        <v>66</v>
      </c>
      <c r="G200" s="2" t="s">
        <v>174</v>
      </c>
      <c r="H200" s="2" t="s">
        <v>175</v>
      </c>
      <c r="I200" s="2" t="s">
        <v>176</v>
      </c>
      <c r="J200" s="2" t="s">
        <v>443</v>
      </c>
      <c r="K200" s="2" t="s">
        <v>444</v>
      </c>
      <c r="L200" s="2" t="s">
        <v>521</v>
      </c>
      <c r="M200" s="2" t="s">
        <v>73</v>
      </c>
      <c r="N200" s="2" t="s">
        <v>96</v>
      </c>
      <c r="O200" s="2">
        <v>10</v>
      </c>
      <c r="P200" s="2">
        <v>9</v>
      </c>
      <c r="Q200" s="4">
        <v>6540</v>
      </c>
      <c r="R200" s="4">
        <v>5910</v>
      </c>
      <c r="S200" s="4">
        <v>143</v>
      </c>
      <c r="T200" s="19">
        <f>(ProductionData[[#This Row],[Rejected_Qty]])/ProductionData[[#This Row],[Produced_Qty]]</f>
        <v>2.4196277495769882E-2</v>
      </c>
      <c r="U200" s="19">
        <f>ProductionData[[#This Row],[Produced_Qty]]/ProductionData[[#This Row],[Planned_Qty]]</f>
        <v>0.90366972477064222</v>
      </c>
      <c r="V200" s="2" t="s">
        <v>113</v>
      </c>
      <c r="W200" s="11">
        <v>0</v>
      </c>
      <c r="X200" s="13">
        <f>W200/60</f>
        <v>0</v>
      </c>
      <c r="Y200" s="2" t="s">
        <v>90</v>
      </c>
      <c r="Z200" s="2">
        <v>33</v>
      </c>
      <c r="AA200" s="2">
        <f>ProductionData[[#This Row],[Rejected_Qty]]*ProductionData[[#This Row],[Unit_Cost_INR]]</f>
        <v>4719</v>
      </c>
      <c r="AB200" s="4">
        <v>20531</v>
      </c>
      <c r="AC200" s="4">
        <v>5990</v>
      </c>
      <c r="AD200" s="4">
        <v>5990</v>
      </c>
      <c r="AE200" s="4">
        <v>20308</v>
      </c>
      <c r="AF200" s="4">
        <v>9750</v>
      </c>
    </row>
    <row r="201" spans="1:32">
      <c r="A201" s="2" t="s">
        <v>522</v>
      </c>
      <c r="B201" s="3">
        <v>46127</v>
      </c>
      <c r="C201" s="36" t="s">
        <v>78</v>
      </c>
      <c r="D201" s="2">
        <f>MONTH(ProductionData[[#This Row],[Month]])</f>
        <v>4</v>
      </c>
      <c r="E201" s="2" t="s">
        <v>79</v>
      </c>
      <c r="F201" s="2" t="s">
        <v>80</v>
      </c>
      <c r="G201" s="2" t="s">
        <v>174</v>
      </c>
      <c r="H201" s="2" t="s">
        <v>175</v>
      </c>
      <c r="I201" s="2" t="s">
        <v>176</v>
      </c>
      <c r="J201" s="2" t="s">
        <v>443</v>
      </c>
      <c r="K201" s="2" t="s">
        <v>444</v>
      </c>
      <c r="L201" s="2" t="s">
        <v>523</v>
      </c>
      <c r="M201" s="2" t="s">
        <v>102</v>
      </c>
      <c r="N201" s="2" t="s">
        <v>88</v>
      </c>
      <c r="O201" s="2">
        <v>10</v>
      </c>
      <c r="P201" s="2">
        <v>10</v>
      </c>
      <c r="Q201" s="4">
        <v>6860</v>
      </c>
      <c r="R201" s="4">
        <v>6500</v>
      </c>
      <c r="S201" s="4">
        <v>128</v>
      </c>
      <c r="T201" s="19">
        <f>(ProductionData[[#This Row],[Rejected_Qty]])/ProductionData[[#This Row],[Produced_Qty]]</f>
        <v>1.9692307692307693E-2</v>
      </c>
      <c r="U201" s="19">
        <f>ProductionData[[#This Row],[Produced_Qty]]/ProductionData[[#This Row],[Planned_Qty]]</f>
        <v>0.94752186588921283</v>
      </c>
      <c r="V201" s="2" t="s">
        <v>103</v>
      </c>
      <c r="W201" s="11">
        <v>0</v>
      </c>
      <c r="X201" s="13">
        <f>W201/60</f>
        <v>0</v>
      </c>
      <c r="Y201" s="2" t="s">
        <v>90</v>
      </c>
      <c r="Z201" s="2">
        <v>33</v>
      </c>
      <c r="AA201" s="2">
        <f>ProductionData[[#This Row],[Rejected_Qty]]*ProductionData[[#This Row],[Unit_Cost_INR]]</f>
        <v>4224</v>
      </c>
      <c r="AB201" s="4">
        <v>20504</v>
      </c>
      <c r="AC201" s="4">
        <v>6630</v>
      </c>
      <c r="AD201" s="4">
        <v>6630</v>
      </c>
      <c r="AE201" s="4">
        <v>20246</v>
      </c>
      <c r="AF201" s="4">
        <v>9750</v>
      </c>
    </row>
    <row r="202" spans="1:32">
      <c r="A202" s="2" t="s">
        <v>524</v>
      </c>
      <c r="B202" s="3">
        <v>46137</v>
      </c>
      <c r="C202" s="36" t="s">
        <v>78</v>
      </c>
      <c r="D202" s="2">
        <f>MONTH(ProductionData[[#This Row],[Month]])</f>
        <v>4</v>
      </c>
      <c r="E202" s="2" t="s">
        <v>65</v>
      </c>
      <c r="F202" s="2" t="s">
        <v>66</v>
      </c>
      <c r="G202" s="2" t="s">
        <v>174</v>
      </c>
      <c r="H202" s="2" t="s">
        <v>175</v>
      </c>
      <c r="I202" s="2" t="s">
        <v>176</v>
      </c>
      <c r="J202" s="2" t="s">
        <v>443</v>
      </c>
      <c r="K202" s="2" t="s">
        <v>444</v>
      </c>
      <c r="L202" s="2" t="s">
        <v>525</v>
      </c>
      <c r="M202" s="2" t="s">
        <v>73</v>
      </c>
      <c r="N202" s="2" t="s">
        <v>96</v>
      </c>
      <c r="O202" s="2">
        <v>10</v>
      </c>
      <c r="P202" s="2">
        <v>10</v>
      </c>
      <c r="Q202" s="4">
        <v>6300</v>
      </c>
      <c r="R202" s="4">
        <v>6210</v>
      </c>
      <c r="S202" s="4">
        <v>163</v>
      </c>
      <c r="T202" s="19">
        <f>(ProductionData[[#This Row],[Rejected_Qty]])/ProductionData[[#This Row],[Produced_Qty]]</f>
        <v>2.6247987117552336E-2</v>
      </c>
      <c r="U202" s="19">
        <f>ProductionData[[#This Row],[Produced_Qty]]/ProductionData[[#This Row],[Planned_Qty]]</f>
        <v>0.98571428571428577</v>
      </c>
      <c r="V202" s="2" t="s">
        <v>103</v>
      </c>
      <c r="W202" s="11">
        <v>0</v>
      </c>
      <c r="X202" s="13">
        <f>W202/60</f>
        <v>0</v>
      </c>
      <c r="Y202" s="2" t="s">
        <v>90</v>
      </c>
      <c r="Z202" s="2">
        <v>33</v>
      </c>
      <c r="AA202" s="2">
        <f>ProductionData[[#This Row],[Rejected_Qty]]*ProductionData[[#This Row],[Unit_Cost_INR]]</f>
        <v>5379</v>
      </c>
      <c r="AB202" s="4">
        <v>20308</v>
      </c>
      <c r="AC202" s="4">
        <v>6120</v>
      </c>
      <c r="AD202" s="4">
        <v>6120</v>
      </c>
      <c r="AE202" s="4">
        <v>20235</v>
      </c>
      <c r="AF202" s="4">
        <v>9750</v>
      </c>
    </row>
    <row r="203" spans="1:32">
      <c r="A203" s="2" t="s">
        <v>526</v>
      </c>
      <c r="B203" s="3">
        <v>46116</v>
      </c>
      <c r="C203" s="36" t="s">
        <v>78</v>
      </c>
      <c r="D203" s="2">
        <f>MONTH(ProductionData[[#This Row],[Month]])</f>
        <v>4</v>
      </c>
      <c r="E203" s="2" t="s">
        <v>65</v>
      </c>
      <c r="F203" s="2" t="s">
        <v>93</v>
      </c>
      <c r="G203" s="2" t="s">
        <v>67</v>
      </c>
      <c r="H203" s="2" t="s">
        <v>68</v>
      </c>
      <c r="I203" s="2" t="s">
        <v>69</v>
      </c>
      <c r="J203" s="2" t="s">
        <v>70</v>
      </c>
      <c r="K203" s="2" t="s">
        <v>71</v>
      </c>
      <c r="L203" s="2" t="s">
        <v>527</v>
      </c>
      <c r="M203" s="2" t="s">
        <v>133</v>
      </c>
      <c r="N203" s="2" t="s">
        <v>88</v>
      </c>
      <c r="O203" s="2">
        <v>16</v>
      </c>
      <c r="P203" s="2">
        <v>14</v>
      </c>
      <c r="Q203" s="4">
        <v>6570</v>
      </c>
      <c r="R203" s="4">
        <v>5770</v>
      </c>
      <c r="S203" s="4">
        <v>181</v>
      </c>
      <c r="T203" s="19">
        <f>(ProductionData[[#This Row],[Rejected_Qty]])/ProductionData[[#This Row],[Produced_Qty]]</f>
        <v>3.1369150779896014E-2</v>
      </c>
      <c r="U203" s="19">
        <f>ProductionData[[#This Row],[Produced_Qty]]/ProductionData[[#This Row],[Planned_Qty]]</f>
        <v>0.87823439878234399</v>
      </c>
      <c r="V203" s="2" t="s">
        <v>103</v>
      </c>
      <c r="W203" s="11">
        <v>0</v>
      </c>
      <c r="X203" s="13">
        <f>W203/60</f>
        <v>0</v>
      </c>
      <c r="Y203" s="2" t="s">
        <v>90</v>
      </c>
      <c r="Z203" s="2">
        <v>46</v>
      </c>
      <c r="AA203" s="2">
        <f>ProductionData[[#This Row],[Rejected_Qty]]*ProductionData[[#This Row],[Unit_Cost_INR]]</f>
        <v>8326</v>
      </c>
      <c r="AB203" s="4">
        <v>20744</v>
      </c>
      <c r="AC203" s="4">
        <v>6120</v>
      </c>
      <c r="AD203" s="4">
        <v>6120</v>
      </c>
      <c r="AE203" s="4">
        <v>20213</v>
      </c>
      <c r="AF203" s="4">
        <v>10500</v>
      </c>
    </row>
    <row r="204" spans="1:32">
      <c r="A204" s="2" t="s">
        <v>528</v>
      </c>
      <c r="B204" s="3">
        <v>46132</v>
      </c>
      <c r="C204" s="36" t="s">
        <v>78</v>
      </c>
      <c r="D204" s="2">
        <f>MONTH(ProductionData[[#This Row],[Month]])</f>
        <v>4</v>
      </c>
      <c r="E204" s="2" t="s">
        <v>116</v>
      </c>
      <c r="F204" s="2" t="s">
        <v>66</v>
      </c>
      <c r="G204" s="2" t="s">
        <v>67</v>
      </c>
      <c r="H204" s="2" t="s">
        <v>68</v>
      </c>
      <c r="I204" s="2" t="s">
        <v>69</v>
      </c>
      <c r="J204" s="2" t="s">
        <v>403</v>
      </c>
      <c r="K204" s="2" t="s">
        <v>404</v>
      </c>
      <c r="L204" s="2" t="s">
        <v>529</v>
      </c>
      <c r="M204" s="2" t="s">
        <v>73</v>
      </c>
      <c r="N204" s="2" t="s">
        <v>96</v>
      </c>
      <c r="O204" s="2">
        <v>16</v>
      </c>
      <c r="P204" s="2">
        <v>16</v>
      </c>
      <c r="Q204" s="4">
        <v>6270</v>
      </c>
      <c r="R204" s="4">
        <v>6120</v>
      </c>
      <c r="S204" s="4">
        <v>191</v>
      </c>
      <c r="T204" s="19">
        <f>(ProductionData[[#This Row],[Rejected_Qty]])/ProductionData[[#This Row],[Produced_Qty]]</f>
        <v>3.1209150326797386E-2</v>
      </c>
      <c r="U204" s="19">
        <f>ProductionData[[#This Row],[Produced_Qty]]/ProductionData[[#This Row],[Planned_Qty]]</f>
        <v>0.97607655502392343</v>
      </c>
      <c r="V204" s="2" t="s">
        <v>109</v>
      </c>
      <c r="W204" s="11">
        <v>0</v>
      </c>
      <c r="X204" s="13">
        <f>W204/60</f>
        <v>0</v>
      </c>
      <c r="Y204" s="2" t="s">
        <v>90</v>
      </c>
      <c r="Z204" s="2">
        <v>58</v>
      </c>
      <c r="AA204" s="2">
        <f>ProductionData[[#This Row],[Rejected_Qty]]*ProductionData[[#This Row],[Unit_Cost_INR]]</f>
        <v>11078</v>
      </c>
      <c r="AB204" s="4">
        <v>19681</v>
      </c>
      <c r="AC204" s="4">
        <v>5400</v>
      </c>
      <c r="AD204" s="4">
        <v>5400</v>
      </c>
      <c r="AE204" s="4">
        <v>20210</v>
      </c>
      <c r="AF204" s="4">
        <v>9000</v>
      </c>
    </row>
    <row r="205" spans="1:32">
      <c r="A205" s="2" t="s">
        <v>530</v>
      </c>
      <c r="B205" s="3">
        <v>46130</v>
      </c>
      <c r="C205" s="36" t="s">
        <v>78</v>
      </c>
      <c r="D205" s="2">
        <f>MONTH(ProductionData[[#This Row],[Month]])</f>
        <v>4</v>
      </c>
      <c r="E205" s="2" t="s">
        <v>65</v>
      </c>
      <c r="F205" s="2" t="s">
        <v>93</v>
      </c>
      <c r="G205" s="2" t="s">
        <v>174</v>
      </c>
      <c r="H205" s="2" t="s">
        <v>175</v>
      </c>
      <c r="I205" s="2" t="s">
        <v>176</v>
      </c>
      <c r="J205" s="2" t="s">
        <v>443</v>
      </c>
      <c r="K205" s="2" t="s">
        <v>444</v>
      </c>
      <c r="L205" s="2" t="s">
        <v>531</v>
      </c>
      <c r="M205" s="2" t="s">
        <v>133</v>
      </c>
      <c r="N205" s="2" t="s">
        <v>96</v>
      </c>
      <c r="O205" s="2">
        <v>10</v>
      </c>
      <c r="P205" s="2">
        <v>9</v>
      </c>
      <c r="Q205" s="4">
        <v>5700</v>
      </c>
      <c r="R205" s="4">
        <v>5170</v>
      </c>
      <c r="S205" s="4">
        <v>109</v>
      </c>
      <c r="T205" s="19">
        <f>(ProductionData[[#This Row],[Rejected_Qty]])/ProductionData[[#This Row],[Produced_Qty]]</f>
        <v>2.1083172147001936E-2</v>
      </c>
      <c r="U205" s="19">
        <f>ProductionData[[#This Row],[Produced_Qty]]/ProductionData[[#This Row],[Planned_Qty]]</f>
        <v>0.90701754385964917</v>
      </c>
      <c r="V205" s="2" t="s">
        <v>103</v>
      </c>
      <c r="W205" s="11">
        <v>48</v>
      </c>
      <c r="X205" s="13">
        <f>W205/60</f>
        <v>0.8</v>
      </c>
      <c r="Y205" s="2" t="s">
        <v>110</v>
      </c>
      <c r="Z205" s="2">
        <v>33</v>
      </c>
      <c r="AA205" s="2">
        <f>ProductionData[[#This Row],[Rejected_Qty]]*ProductionData[[#This Row],[Unit_Cost_INR]]</f>
        <v>3597</v>
      </c>
      <c r="AB205" s="4">
        <v>19576</v>
      </c>
      <c r="AC205" s="4">
        <v>4450</v>
      </c>
      <c r="AD205" s="4">
        <v>4450</v>
      </c>
      <c r="AE205" s="4">
        <v>20187</v>
      </c>
      <c r="AF205" s="4">
        <v>9750</v>
      </c>
    </row>
    <row r="206" spans="1:32">
      <c r="A206" s="2" t="s">
        <v>532</v>
      </c>
      <c r="B206" s="3">
        <v>46132</v>
      </c>
      <c r="C206" s="36" t="s">
        <v>78</v>
      </c>
      <c r="D206" s="2">
        <f>MONTH(ProductionData[[#This Row],[Month]])</f>
        <v>4</v>
      </c>
      <c r="E206" s="2" t="s">
        <v>116</v>
      </c>
      <c r="F206" s="2" t="s">
        <v>66</v>
      </c>
      <c r="G206" s="2" t="s">
        <v>174</v>
      </c>
      <c r="H206" s="2" t="s">
        <v>175</v>
      </c>
      <c r="I206" s="2" t="s">
        <v>176</v>
      </c>
      <c r="J206" s="2" t="s">
        <v>443</v>
      </c>
      <c r="K206" s="2" t="s">
        <v>444</v>
      </c>
      <c r="L206" s="2" t="s">
        <v>533</v>
      </c>
      <c r="M206" s="2" t="s">
        <v>73</v>
      </c>
      <c r="N206" s="2" t="s">
        <v>96</v>
      </c>
      <c r="O206" s="2">
        <v>10</v>
      </c>
      <c r="P206" s="2">
        <v>10</v>
      </c>
      <c r="Q206" s="4">
        <v>6970</v>
      </c>
      <c r="R206" s="4">
        <v>6700</v>
      </c>
      <c r="S206" s="4">
        <v>238</v>
      </c>
      <c r="T206" s="19">
        <f>(ProductionData[[#This Row],[Rejected_Qty]])/ProductionData[[#This Row],[Produced_Qty]]</f>
        <v>3.5522388059701496E-2</v>
      </c>
      <c r="U206" s="19">
        <f>ProductionData[[#This Row],[Produced_Qty]]/ProductionData[[#This Row],[Planned_Qty]]</f>
        <v>0.96126255380200865</v>
      </c>
      <c r="V206" s="2" t="s">
        <v>113</v>
      </c>
      <c r="W206" s="11">
        <v>0</v>
      </c>
      <c r="X206" s="13">
        <f>W206/60</f>
        <v>0</v>
      </c>
      <c r="Y206" s="2" t="s">
        <v>90</v>
      </c>
      <c r="Z206" s="2">
        <v>33</v>
      </c>
      <c r="AA206" s="2">
        <f>ProductionData[[#This Row],[Rejected_Qty]]*ProductionData[[#This Row],[Unit_Cost_INR]]</f>
        <v>7854</v>
      </c>
      <c r="AB206" s="4">
        <v>20187</v>
      </c>
      <c r="AC206" s="4">
        <v>6500</v>
      </c>
      <c r="AD206" s="4">
        <v>6500</v>
      </c>
      <c r="AE206" s="4">
        <v>20149</v>
      </c>
      <c r="AF206" s="4">
        <v>9750</v>
      </c>
    </row>
    <row r="207" spans="1:32">
      <c r="A207" s="2" t="s">
        <v>534</v>
      </c>
      <c r="B207" s="3">
        <v>46134</v>
      </c>
      <c r="C207" s="36" t="s">
        <v>78</v>
      </c>
      <c r="D207" s="2">
        <f>MONTH(ProductionData[[#This Row],[Month]])</f>
        <v>4</v>
      </c>
      <c r="E207" s="2" t="s">
        <v>79</v>
      </c>
      <c r="F207" s="2" t="s">
        <v>66</v>
      </c>
      <c r="G207" s="2" t="s">
        <v>174</v>
      </c>
      <c r="H207" s="2" t="s">
        <v>175</v>
      </c>
      <c r="I207" s="2" t="s">
        <v>176</v>
      </c>
      <c r="J207" s="2" t="s">
        <v>443</v>
      </c>
      <c r="K207" s="2" t="s">
        <v>444</v>
      </c>
      <c r="L207" s="2" t="s">
        <v>535</v>
      </c>
      <c r="M207" s="2" t="s">
        <v>73</v>
      </c>
      <c r="N207" s="2" t="s">
        <v>96</v>
      </c>
      <c r="O207" s="2">
        <v>10</v>
      </c>
      <c r="P207" s="2">
        <v>10</v>
      </c>
      <c r="Q207" s="4">
        <v>6790</v>
      </c>
      <c r="R207" s="4">
        <v>6670</v>
      </c>
      <c r="S207" s="4">
        <v>223</v>
      </c>
      <c r="T207" s="19">
        <f>(ProductionData[[#This Row],[Rejected_Qty]])/ProductionData[[#This Row],[Produced_Qty]]</f>
        <v>3.3433283358320839E-2</v>
      </c>
      <c r="U207" s="19">
        <f>ProductionData[[#This Row],[Produced_Qty]]/ProductionData[[#This Row],[Planned_Qty]]</f>
        <v>0.9823269513991163</v>
      </c>
      <c r="V207" s="2" t="s">
        <v>113</v>
      </c>
      <c r="W207" s="11">
        <v>0</v>
      </c>
      <c r="X207" s="13">
        <f>W207/60</f>
        <v>0</v>
      </c>
      <c r="Y207" s="2" t="s">
        <v>90</v>
      </c>
      <c r="Z207" s="2">
        <v>33</v>
      </c>
      <c r="AA207" s="2">
        <f>ProductionData[[#This Row],[Rejected_Qty]]*ProductionData[[#This Row],[Unit_Cost_INR]]</f>
        <v>7359</v>
      </c>
      <c r="AB207" s="4">
        <v>19451</v>
      </c>
      <c r="AC207" s="4">
        <v>5830</v>
      </c>
      <c r="AD207" s="4">
        <v>5830</v>
      </c>
      <c r="AE207" s="4">
        <v>20068</v>
      </c>
      <c r="AF207" s="4">
        <v>9750</v>
      </c>
    </row>
    <row r="208" spans="1:32">
      <c r="A208" s="2" t="s">
        <v>536</v>
      </c>
      <c r="B208" s="3">
        <v>46126</v>
      </c>
      <c r="C208" s="36" t="s">
        <v>78</v>
      </c>
      <c r="D208" s="2">
        <f>MONTH(ProductionData[[#This Row],[Month]])</f>
        <v>4</v>
      </c>
      <c r="E208" s="2" t="s">
        <v>92</v>
      </c>
      <c r="F208" s="2" t="s">
        <v>66</v>
      </c>
      <c r="G208" s="2" t="s">
        <v>67</v>
      </c>
      <c r="H208" s="2" t="s">
        <v>68</v>
      </c>
      <c r="I208" s="2" t="s">
        <v>69</v>
      </c>
      <c r="J208" s="2" t="s">
        <v>70</v>
      </c>
      <c r="K208" s="2" t="s">
        <v>71</v>
      </c>
      <c r="L208" s="2" t="s">
        <v>537</v>
      </c>
      <c r="M208" s="2" t="s">
        <v>73</v>
      </c>
      <c r="N208" s="2" t="s">
        <v>96</v>
      </c>
      <c r="O208" s="2">
        <v>16</v>
      </c>
      <c r="P208" s="2">
        <v>14</v>
      </c>
      <c r="Q208" s="4">
        <v>7370</v>
      </c>
      <c r="R208" s="4">
        <v>6130</v>
      </c>
      <c r="S208" s="4">
        <v>132</v>
      </c>
      <c r="T208" s="19">
        <f>(ProductionData[[#This Row],[Rejected_Qty]])/ProductionData[[#This Row],[Produced_Qty]]</f>
        <v>2.1533442088091354E-2</v>
      </c>
      <c r="U208" s="19">
        <f>ProductionData[[#This Row],[Produced_Qty]]/ProductionData[[#This Row],[Planned_Qty]]</f>
        <v>0.83175033921302577</v>
      </c>
      <c r="V208" s="2" t="s">
        <v>103</v>
      </c>
      <c r="W208" s="11">
        <v>0</v>
      </c>
      <c r="X208" s="13">
        <f>W208/60</f>
        <v>0</v>
      </c>
      <c r="Y208" s="2" t="s">
        <v>90</v>
      </c>
      <c r="Z208" s="2">
        <v>46</v>
      </c>
      <c r="AA208" s="2">
        <f>ProductionData[[#This Row],[Rejected_Qty]]*ProductionData[[#This Row],[Unit_Cost_INR]]</f>
        <v>6072</v>
      </c>
      <c r="AB208" s="4">
        <v>20659</v>
      </c>
      <c r="AC208" s="4">
        <v>6600</v>
      </c>
      <c r="AD208" s="4">
        <v>6600</v>
      </c>
      <c r="AE208" s="4">
        <v>20057</v>
      </c>
      <c r="AF208" s="4">
        <v>10500</v>
      </c>
    </row>
    <row r="209" spans="1:32">
      <c r="A209" s="2" t="s">
        <v>538</v>
      </c>
      <c r="B209" s="3">
        <v>46129</v>
      </c>
      <c r="C209" s="36" t="s">
        <v>78</v>
      </c>
      <c r="D209" s="2">
        <f>MONTH(ProductionData[[#This Row],[Month]])</f>
        <v>4</v>
      </c>
      <c r="E209" s="2" t="s">
        <v>125</v>
      </c>
      <c r="F209" s="2" t="s">
        <v>93</v>
      </c>
      <c r="G209" s="2" t="s">
        <v>174</v>
      </c>
      <c r="H209" s="2" t="s">
        <v>175</v>
      </c>
      <c r="I209" s="2" t="s">
        <v>176</v>
      </c>
      <c r="J209" s="2" t="s">
        <v>443</v>
      </c>
      <c r="K209" s="2" t="s">
        <v>444</v>
      </c>
      <c r="L209" s="2" t="s">
        <v>539</v>
      </c>
      <c r="M209" s="2" t="s">
        <v>95</v>
      </c>
      <c r="N209" s="2" t="s">
        <v>96</v>
      </c>
      <c r="O209" s="2">
        <v>10</v>
      </c>
      <c r="P209" s="2">
        <v>10</v>
      </c>
      <c r="Q209" s="4">
        <v>6180</v>
      </c>
      <c r="R209" s="4">
        <v>6020</v>
      </c>
      <c r="S209" s="4">
        <v>156</v>
      </c>
      <c r="T209" s="19">
        <f>(ProductionData[[#This Row],[Rejected_Qty]])/ProductionData[[#This Row],[Produced_Qty]]</f>
        <v>2.5913621262458473E-2</v>
      </c>
      <c r="U209" s="19">
        <f>ProductionData[[#This Row],[Produced_Qty]]/ProductionData[[#This Row],[Planned_Qty]]</f>
        <v>0.97411003236245952</v>
      </c>
      <c r="V209" s="2" t="s">
        <v>89</v>
      </c>
      <c r="W209" s="11">
        <v>0</v>
      </c>
      <c r="X209" s="13">
        <f>W209/60</f>
        <v>0</v>
      </c>
      <c r="Y209" s="2" t="s">
        <v>90</v>
      </c>
      <c r="Z209" s="2">
        <v>33</v>
      </c>
      <c r="AA209" s="2">
        <f>ProductionData[[#This Row],[Rejected_Qty]]*ProductionData[[#This Row],[Unit_Cost_INR]]</f>
        <v>5148</v>
      </c>
      <c r="AB209" s="4">
        <v>19798</v>
      </c>
      <c r="AC209" s="4">
        <v>5730</v>
      </c>
      <c r="AD209" s="4">
        <v>5730</v>
      </c>
      <c r="AE209" s="4">
        <v>19932</v>
      </c>
      <c r="AF209" s="4">
        <v>9750</v>
      </c>
    </row>
    <row r="210" spans="1:32">
      <c r="A210" s="2" t="s">
        <v>540</v>
      </c>
      <c r="B210" s="3">
        <v>46132</v>
      </c>
      <c r="C210" s="36" t="s">
        <v>78</v>
      </c>
      <c r="D210" s="2">
        <f>MONTH(ProductionData[[#This Row],[Month]])</f>
        <v>4</v>
      </c>
      <c r="E210" s="2" t="s">
        <v>116</v>
      </c>
      <c r="F210" s="2" t="s">
        <v>80</v>
      </c>
      <c r="G210" s="2" t="s">
        <v>174</v>
      </c>
      <c r="H210" s="2" t="s">
        <v>175</v>
      </c>
      <c r="I210" s="2" t="s">
        <v>176</v>
      </c>
      <c r="J210" s="2" t="s">
        <v>443</v>
      </c>
      <c r="K210" s="2" t="s">
        <v>444</v>
      </c>
      <c r="L210" s="2" t="s">
        <v>541</v>
      </c>
      <c r="M210" s="2" t="s">
        <v>87</v>
      </c>
      <c r="N210" s="2" t="s">
        <v>88</v>
      </c>
      <c r="O210" s="2">
        <v>10</v>
      </c>
      <c r="P210" s="2">
        <v>10</v>
      </c>
      <c r="Q210" s="4">
        <v>6320</v>
      </c>
      <c r="R210" s="4">
        <v>6120</v>
      </c>
      <c r="S210" s="4">
        <v>198</v>
      </c>
      <c r="T210" s="19">
        <f>(ProductionData[[#This Row],[Rejected_Qty]])/ProductionData[[#This Row],[Produced_Qty]]</f>
        <v>3.2352941176470591E-2</v>
      </c>
      <c r="U210" s="19">
        <f>ProductionData[[#This Row],[Produced_Qty]]/ProductionData[[#This Row],[Planned_Qty]]</f>
        <v>0.96835443037974689</v>
      </c>
      <c r="V210" s="2" t="s">
        <v>75</v>
      </c>
      <c r="W210" s="11">
        <v>0</v>
      </c>
      <c r="X210" s="13">
        <f>W210/60</f>
        <v>0</v>
      </c>
      <c r="Y210" s="2" t="s">
        <v>90</v>
      </c>
      <c r="Z210" s="2">
        <v>33</v>
      </c>
      <c r="AA210" s="2">
        <f>ProductionData[[#This Row],[Rejected_Qty]]*ProductionData[[#This Row],[Unit_Cost_INR]]</f>
        <v>6534</v>
      </c>
      <c r="AB210" s="4">
        <v>20149</v>
      </c>
      <c r="AC210" s="4">
        <v>6180</v>
      </c>
      <c r="AD210" s="4">
        <v>6180</v>
      </c>
      <c r="AE210" s="4">
        <v>19891</v>
      </c>
      <c r="AF210" s="4">
        <v>9750</v>
      </c>
    </row>
    <row r="211" spans="1:32">
      <c r="A211" s="2" t="s">
        <v>542</v>
      </c>
      <c r="B211" s="3">
        <v>46128</v>
      </c>
      <c r="C211" s="36" t="s">
        <v>78</v>
      </c>
      <c r="D211" s="2">
        <f>MONTH(ProductionData[[#This Row],[Month]])</f>
        <v>4</v>
      </c>
      <c r="E211" s="2" t="s">
        <v>107</v>
      </c>
      <c r="F211" s="2" t="s">
        <v>80</v>
      </c>
      <c r="G211" s="2" t="s">
        <v>174</v>
      </c>
      <c r="H211" s="2" t="s">
        <v>175</v>
      </c>
      <c r="I211" s="2" t="s">
        <v>176</v>
      </c>
      <c r="J211" s="2" t="s">
        <v>443</v>
      </c>
      <c r="K211" s="2" t="s">
        <v>444</v>
      </c>
      <c r="L211" s="2" t="s">
        <v>543</v>
      </c>
      <c r="M211" s="2" t="s">
        <v>87</v>
      </c>
      <c r="N211" s="2" t="s">
        <v>96</v>
      </c>
      <c r="O211" s="2">
        <v>10</v>
      </c>
      <c r="P211" s="2">
        <v>9</v>
      </c>
      <c r="Q211" s="4">
        <v>6330</v>
      </c>
      <c r="R211" s="4">
        <v>6030</v>
      </c>
      <c r="S211" s="4">
        <v>208</v>
      </c>
      <c r="T211" s="19">
        <f>(ProductionData[[#This Row],[Rejected_Qty]])/ProductionData[[#This Row],[Produced_Qty]]</f>
        <v>3.4494195688225537E-2</v>
      </c>
      <c r="U211" s="19">
        <f>ProductionData[[#This Row],[Produced_Qty]]/ProductionData[[#This Row],[Planned_Qty]]</f>
        <v>0.95260663507109</v>
      </c>
      <c r="V211" s="2" t="s">
        <v>75</v>
      </c>
      <c r="W211" s="11">
        <v>0</v>
      </c>
      <c r="X211" s="13">
        <f>W211/60</f>
        <v>0</v>
      </c>
      <c r="Y211" s="2" t="s">
        <v>90</v>
      </c>
      <c r="Z211" s="2">
        <v>33</v>
      </c>
      <c r="AA211" s="2">
        <f>ProductionData[[#This Row],[Rejected_Qty]]*ProductionData[[#This Row],[Unit_Cost_INR]]</f>
        <v>6864</v>
      </c>
      <c r="AB211" s="4">
        <v>20246</v>
      </c>
      <c r="AC211" s="4">
        <v>6270</v>
      </c>
      <c r="AD211" s="4">
        <v>6270</v>
      </c>
      <c r="AE211" s="4">
        <v>19798</v>
      </c>
      <c r="AF211" s="4">
        <v>9750</v>
      </c>
    </row>
    <row r="212" spans="1:32">
      <c r="A212" s="2" t="s">
        <v>544</v>
      </c>
      <c r="B212" s="3">
        <v>46128</v>
      </c>
      <c r="C212" s="36" t="s">
        <v>78</v>
      </c>
      <c r="D212" s="2">
        <f>MONTH(ProductionData[[#This Row],[Month]])</f>
        <v>4</v>
      </c>
      <c r="E212" s="2" t="s">
        <v>107</v>
      </c>
      <c r="F212" s="2" t="s">
        <v>66</v>
      </c>
      <c r="G212" s="2" t="s">
        <v>67</v>
      </c>
      <c r="H212" s="2" t="s">
        <v>68</v>
      </c>
      <c r="I212" s="2" t="s">
        <v>69</v>
      </c>
      <c r="J212" s="2" t="s">
        <v>403</v>
      </c>
      <c r="K212" s="2" t="s">
        <v>404</v>
      </c>
      <c r="L212" s="2" t="s">
        <v>545</v>
      </c>
      <c r="M212" s="2" t="s">
        <v>99</v>
      </c>
      <c r="N212" s="2" t="s">
        <v>88</v>
      </c>
      <c r="O212" s="2">
        <v>16</v>
      </c>
      <c r="P212" s="2">
        <v>16</v>
      </c>
      <c r="Q212" s="4">
        <v>5740</v>
      </c>
      <c r="R212" s="4">
        <v>5660</v>
      </c>
      <c r="S212" s="4">
        <v>129</v>
      </c>
      <c r="T212" s="19">
        <f>(ProductionData[[#This Row],[Rejected_Qty]])/ProductionData[[#This Row],[Produced_Qty]]</f>
        <v>2.2791519434628975E-2</v>
      </c>
      <c r="U212" s="19">
        <f>ProductionData[[#This Row],[Produced_Qty]]/ProductionData[[#This Row],[Planned_Qty]]</f>
        <v>0.98606271777003485</v>
      </c>
      <c r="V212" s="2" t="s">
        <v>103</v>
      </c>
      <c r="W212" s="11">
        <v>0</v>
      </c>
      <c r="X212" s="13">
        <f>W212/60</f>
        <v>0</v>
      </c>
      <c r="Y212" s="2" t="s">
        <v>90</v>
      </c>
      <c r="Z212" s="2">
        <v>58</v>
      </c>
      <c r="AA212" s="2">
        <f>ProductionData[[#This Row],[Rejected_Qty]]*ProductionData[[#This Row],[Unit_Cost_INR]]</f>
        <v>7482</v>
      </c>
      <c r="AB212" s="4">
        <v>19132</v>
      </c>
      <c r="AC212" s="4">
        <v>4880</v>
      </c>
      <c r="AD212" s="4">
        <v>4880</v>
      </c>
      <c r="AE212" s="4">
        <v>19783</v>
      </c>
      <c r="AF212" s="4">
        <v>9000</v>
      </c>
    </row>
    <row r="213" spans="1:32">
      <c r="A213" s="2" t="s">
        <v>546</v>
      </c>
      <c r="B213" s="3">
        <v>46131</v>
      </c>
      <c r="C213" s="36" t="s">
        <v>78</v>
      </c>
      <c r="D213" s="2">
        <f>MONTH(ProductionData[[#This Row],[Month]])</f>
        <v>4</v>
      </c>
      <c r="E213" s="2" t="s">
        <v>186</v>
      </c>
      <c r="F213" s="2" t="s">
        <v>66</v>
      </c>
      <c r="G213" s="2" t="s">
        <v>67</v>
      </c>
      <c r="H213" s="2" t="s">
        <v>68</v>
      </c>
      <c r="I213" s="2" t="s">
        <v>69</v>
      </c>
      <c r="J213" s="2" t="s">
        <v>403</v>
      </c>
      <c r="K213" s="2" t="s">
        <v>404</v>
      </c>
      <c r="L213" s="2" t="s">
        <v>547</v>
      </c>
      <c r="M213" s="2" t="s">
        <v>73</v>
      </c>
      <c r="N213" s="2" t="s">
        <v>96</v>
      </c>
      <c r="O213" s="2">
        <v>16</v>
      </c>
      <c r="P213" s="2">
        <v>16</v>
      </c>
      <c r="Q213" s="4">
        <v>4370</v>
      </c>
      <c r="R213" s="4">
        <v>4210</v>
      </c>
      <c r="S213" s="4">
        <v>130</v>
      </c>
      <c r="T213" s="19">
        <f>(ProductionData[[#This Row],[Rejected_Qty]])/ProductionData[[#This Row],[Produced_Qty]]</f>
        <v>3.0878859857482184E-2</v>
      </c>
      <c r="U213" s="19">
        <f>ProductionData[[#This Row],[Produced_Qty]]/ProductionData[[#This Row],[Planned_Qty]]</f>
        <v>0.96338672768878719</v>
      </c>
      <c r="V213" s="2" t="s">
        <v>109</v>
      </c>
      <c r="W213" s="11">
        <v>0</v>
      </c>
      <c r="X213" s="13">
        <f>W213/60</f>
        <v>0</v>
      </c>
      <c r="Y213" s="2" t="s">
        <v>90</v>
      </c>
      <c r="Z213" s="2">
        <v>58</v>
      </c>
      <c r="AA213" s="2">
        <f>ProductionData[[#This Row],[Rejected_Qty]]*ProductionData[[#This Row],[Unit_Cost_INR]]</f>
        <v>7540</v>
      </c>
      <c r="AB213" s="4">
        <v>19571</v>
      </c>
      <c r="AC213" s="4">
        <v>3970</v>
      </c>
      <c r="AD213" s="4">
        <v>3970</v>
      </c>
      <c r="AE213" s="4">
        <v>19681</v>
      </c>
      <c r="AF213" s="4">
        <v>9000</v>
      </c>
    </row>
    <row r="214" spans="1:32">
      <c r="A214" s="2" t="s">
        <v>548</v>
      </c>
      <c r="B214" s="3">
        <v>46118</v>
      </c>
      <c r="C214" s="36" t="s">
        <v>78</v>
      </c>
      <c r="D214" s="2">
        <f>MONTH(ProductionData[[#This Row],[Month]])</f>
        <v>4</v>
      </c>
      <c r="E214" s="2" t="s">
        <v>116</v>
      </c>
      <c r="F214" s="2" t="s">
        <v>80</v>
      </c>
      <c r="G214" s="2" t="s">
        <v>67</v>
      </c>
      <c r="H214" s="2" t="s">
        <v>68</v>
      </c>
      <c r="I214" s="2" t="s">
        <v>69</v>
      </c>
      <c r="J214" s="2" t="s">
        <v>403</v>
      </c>
      <c r="K214" s="2" t="s">
        <v>404</v>
      </c>
      <c r="L214" s="2" t="s">
        <v>549</v>
      </c>
      <c r="M214" s="2" t="s">
        <v>87</v>
      </c>
      <c r="N214" s="2" t="s">
        <v>88</v>
      </c>
      <c r="O214" s="2">
        <v>16</v>
      </c>
      <c r="P214" s="2">
        <v>16</v>
      </c>
      <c r="Q214" s="4">
        <v>6220</v>
      </c>
      <c r="R214" s="4">
        <v>6140</v>
      </c>
      <c r="S214" s="4">
        <v>82</v>
      </c>
      <c r="T214" s="19">
        <f>(ProductionData[[#This Row],[Rejected_Qty]])/ProductionData[[#This Row],[Produced_Qty]]</f>
        <v>1.3355048859934854E-2</v>
      </c>
      <c r="U214" s="19">
        <f>ProductionData[[#This Row],[Produced_Qty]]/ProductionData[[#This Row],[Planned_Qty]]</f>
        <v>0.98713826366559487</v>
      </c>
      <c r="V214" s="2" t="s">
        <v>103</v>
      </c>
      <c r="W214" s="11">
        <v>0</v>
      </c>
      <c r="X214" s="13">
        <f>W214/60</f>
        <v>0</v>
      </c>
      <c r="Y214" s="2" t="s">
        <v>90</v>
      </c>
      <c r="Z214" s="2">
        <v>58</v>
      </c>
      <c r="AA214" s="2">
        <f>ProductionData[[#This Row],[Rejected_Qty]]*ProductionData[[#This Row],[Unit_Cost_INR]]</f>
        <v>4756</v>
      </c>
      <c r="AB214" s="4">
        <v>19138</v>
      </c>
      <c r="AC214" s="4">
        <v>5530</v>
      </c>
      <c r="AD214" s="4">
        <v>5530</v>
      </c>
      <c r="AE214" s="4">
        <v>19666</v>
      </c>
      <c r="AF214" s="4">
        <v>9000</v>
      </c>
    </row>
    <row r="215" spans="1:32">
      <c r="A215" s="2" t="s">
        <v>550</v>
      </c>
      <c r="B215" s="3">
        <v>46114</v>
      </c>
      <c r="C215" s="36" t="s">
        <v>78</v>
      </c>
      <c r="D215" s="2">
        <f>MONTH(ProductionData[[#This Row],[Month]])</f>
        <v>4</v>
      </c>
      <c r="E215" s="2" t="s">
        <v>107</v>
      </c>
      <c r="F215" s="2" t="s">
        <v>80</v>
      </c>
      <c r="G215" s="2" t="s">
        <v>174</v>
      </c>
      <c r="H215" s="2" t="s">
        <v>175</v>
      </c>
      <c r="I215" s="2" t="s">
        <v>176</v>
      </c>
      <c r="J215" s="2" t="s">
        <v>443</v>
      </c>
      <c r="K215" s="2" t="s">
        <v>444</v>
      </c>
      <c r="L215" s="2" t="s">
        <v>551</v>
      </c>
      <c r="M215" s="2" t="s">
        <v>102</v>
      </c>
      <c r="N215" s="2" t="s">
        <v>88</v>
      </c>
      <c r="O215" s="2">
        <v>10</v>
      </c>
      <c r="P215" s="2">
        <v>10</v>
      </c>
      <c r="Q215" s="4">
        <v>6320</v>
      </c>
      <c r="R215" s="4">
        <v>5970</v>
      </c>
      <c r="S215" s="4">
        <v>62</v>
      </c>
      <c r="T215" s="19">
        <f>(ProductionData[[#This Row],[Rejected_Qty]])/ProductionData[[#This Row],[Produced_Qty]]</f>
        <v>1.0385259631490788E-2</v>
      </c>
      <c r="U215" s="19">
        <f>ProductionData[[#This Row],[Produced_Qty]]/ProductionData[[#This Row],[Planned_Qty]]</f>
        <v>0.944620253164557</v>
      </c>
      <c r="V215" s="2" t="s">
        <v>103</v>
      </c>
      <c r="W215" s="11">
        <v>0</v>
      </c>
      <c r="X215" s="13">
        <f>W215/60</f>
        <v>0</v>
      </c>
      <c r="Y215" s="2" t="s">
        <v>90</v>
      </c>
      <c r="Z215" s="2">
        <v>33</v>
      </c>
      <c r="AA215" s="2">
        <f>ProductionData[[#This Row],[Rejected_Qty]]*ProductionData[[#This Row],[Unit_Cost_INR]]</f>
        <v>2046</v>
      </c>
      <c r="AB215" s="4">
        <v>19500</v>
      </c>
      <c r="AC215" s="4">
        <v>5780</v>
      </c>
      <c r="AD215" s="4">
        <v>5780</v>
      </c>
      <c r="AE215" s="4">
        <v>19628</v>
      </c>
      <c r="AF215" s="4">
        <v>9750</v>
      </c>
    </row>
    <row r="216" spans="1:32">
      <c r="A216" s="2" t="s">
        <v>552</v>
      </c>
      <c r="B216" s="3">
        <v>46130</v>
      </c>
      <c r="C216" s="36" t="s">
        <v>78</v>
      </c>
      <c r="D216" s="2">
        <f>MONTH(ProductionData[[#This Row],[Month]])</f>
        <v>4</v>
      </c>
      <c r="E216" s="2" t="s">
        <v>65</v>
      </c>
      <c r="F216" s="2" t="s">
        <v>80</v>
      </c>
      <c r="G216" s="2" t="s">
        <v>174</v>
      </c>
      <c r="H216" s="2" t="s">
        <v>175</v>
      </c>
      <c r="I216" s="2" t="s">
        <v>176</v>
      </c>
      <c r="J216" s="2" t="s">
        <v>443</v>
      </c>
      <c r="K216" s="2" t="s">
        <v>444</v>
      </c>
      <c r="L216" s="2" t="s">
        <v>553</v>
      </c>
      <c r="M216" s="2" t="s">
        <v>87</v>
      </c>
      <c r="N216" s="2" t="s">
        <v>96</v>
      </c>
      <c r="O216" s="2">
        <v>10</v>
      </c>
      <c r="P216" s="2">
        <v>8</v>
      </c>
      <c r="Q216" s="4">
        <v>6270</v>
      </c>
      <c r="R216" s="4">
        <v>5510</v>
      </c>
      <c r="S216" s="4">
        <v>186</v>
      </c>
      <c r="T216" s="19">
        <f>(ProductionData[[#This Row],[Rejected_Qty]])/ProductionData[[#This Row],[Produced_Qty]]</f>
        <v>3.3756805807622504E-2</v>
      </c>
      <c r="U216" s="19">
        <f>ProductionData[[#This Row],[Produced_Qty]]/ProductionData[[#This Row],[Planned_Qty]]</f>
        <v>0.87878787878787878</v>
      </c>
      <c r="V216" s="2" t="s">
        <v>109</v>
      </c>
      <c r="W216" s="11">
        <v>0</v>
      </c>
      <c r="X216" s="13">
        <f>W216/60</f>
        <v>0</v>
      </c>
      <c r="Y216" s="2" t="s">
        <v>90</v>
      </c>
      <c r="Z216" s="2">
        <v>33</v>
      </c>
      <c r="AA216" s="2">
        <f>ProductionData[[#This Row],[Rejected_Qty]]*ProductionData[[#This Row],[Unit_Cost_INR]]</f>
        <v>6138</v>
      </c>
      <c r="AB216" s="4">
        <v>19932</v>
      </c>
      <c r="AC216" s="4">
        <v>5680</v>
      </c>
      <c r="AD216" s="4">
        <v>5680</v>
      </c>
      <c r="AE216" s="4">
        <v>19576</v>
      </c>
      <c r="AF216" s="4">
        <v>9750</v>
      </c>
    </row>
    <row r="217" spans="1:32">
      <c r="A217" s="2" t="s">
        <v>554</v>
      </c>
      <c r="B217" s="3">
        <v>46129</v>
      </c>
      <c r="C217" s="36" t="s">
        <v>78</v>
      </c>
      <c r="D217" s="2">
        <f>MONTH(ProductionData[[#This Row],[Month]])</f>
        <v>4</v>
      </c>
      <c r="E217" s="2" t="s">
        <v>125</v>
      </c>
      <c r="F217" s="2" t="s">
        <v>66</v>
      </c>
      <c r="G217" s="2" t="s">
        <v>67</v>
      </c>
      <c r="H217" s="2" t="s">
        <v>68</v>
      </c>
      <c r="I217" s="2" t="s">
        <v>69</v>
      </c>
      <c r="J217" s="2" t="s">
        <v>403</v>
      </c>
      <c r="K217" s="2" t="s">
        <v>404</v>
      </c>
      <c r="L217" s="2" t="s">
        <v>555</v>
      </c>
      <c r="M217" s="2" t="s">
        <v>99</v>
      </c>
      <c r="N217" s="2" t="s">
        <v>96</v>
      </c>
      <c r="O217" s="2">
        <v>16</v>
      </c>
      <c r="P217" s="2">
        <v>13</v>
      </c>
      <c r="Q217" s="4">
        <v>5950</v>
      </c>
      <c r="R217" s="4">
        <v>5490</v>
      </c>
      <c r="S217" s="4">
        <v>112</v>
      </c>
      <c r="T217" s="19">
        <f>(ProductionData[[#This Row],[Rejected_Qty]])/ProductionData[[#This Row],[Produced_Qty]]</f>
        <v>2.0400728597449909E-2</v>
      </c>
      <c r="U217" s="19">
        <f>ProductionData[[#This Row],[Produced_Qty]]/ProductionData[[#This Row],[Planned_Qty]]</f>
        <v>0.92268907563025215</v>
      </c>
      <c r="V217" s="2" t="s">
        <v>103</v>
      </c>
      <c r="W217" s="11">
        <v>69</v>
      </c>
      <c r="X217" s="13">
        <f>W217/60</f>
        <v>1.1499999999999999</v>
      </c>
      <c r="Y217" s="2" t="s">
        <v>259</v>
      </c>
      <c r="Z217" s="2">
        <v>58</v>
      </c>
      <c r="AA217" s="2">
        <f>ProductionData[[#This Row],[Rejected_Qty]]*ProductionData[[#This Row],[Unit_Cost_INR]]</f>
        <v>6496</v>
      </c>
      <c r="AB217" s="4">
        <v>19783</v>
      </c>
      <c r="AC217" s="4">
        <v>5590</v>
      </c>
      <c r="AD217" s="4">
        <v>5590</v>
      </c>
      <c r="AE217" s="4">
        <v>19571</v>
      </c>
      <c r="AF217" s="4">
        <v>9000</v>
      </c>
    </row>
    <row r="218" spans="1:32">
      <c r="A218" s="2" t="s">
        <v>556</v>
      </c>
      <c r="B218" s="3">
        <v>46133</v>
      </c>
      <c r="C218" s="36" t="s">
        <v>78</v>
      </c>
      <c r="D218" s="2">
        <f>MONTH(ProductionData[[#This Row],[Month]])</f>
        <v>4</v>
      </c>
      <c r="E218" s="2" t="s">
        <v>92</v>
      </c>
      <c r="F218" s="2" t="s">
        <v>80</v>
      </c>
      <c r="G218" s="2" t="s">
        <v>174</v>
      </c>
      <c r="H218" s="2" t="s">
        <v>175</v>
      </c>
      <c r="I218" s="2" t="s">
        <v>176</v>
      </c>
      <c r="J218" s="2" t="s">
        <v>443</v>
      </c>
      <c r="K218" s="2" t="s">
        <v>444</v>
      </c>
      <c r="L218" s="2" t="s">
        <v>557</v>
      </c>
      <c r="M218" s="2" t="s">
        <v>102</v>
      </c>
      <c r="N218" s="2" t="s">
        <v>88</v>
      </c>
      <c r="O218" s="2">
        <v>10</v>
      </c>
      <c r="P218" s="2">
        <v>10</v>
      </c>
      <c r="Q218" s="4">
        <v>6760</v>
      </c>
      <c r="R218" s="4">
        <v>6530</v>
      </c>
      <c r="S218" s="4">
        <v>140</v>
      </c>
      <c r="T218" s="19">
        <f>(ProductionData[[#This Row],[Rejected_Qty]])/ProductionData[[#This Row],[Produced_Qty]]</f>
        <v>2.1439509954058193E-2</v>
      </c>
      <c r="U218" s="19">
        <f>ProductionData[[#This Row],[Produced_Qty]]/ProductionData[[#This Row],[Planned_Qty]]</f>
        <v>0.96597633136094674</v>
      </c>
      <c r="V218" s="2" t="s">
        <v>109</v>
      </c>
      <c r="W218" s="11">
        <v>25</v>
      </c>
      <c r="X218" s="13">
        <f>W218/60</f>
        <v>0.41666666666666669</v>
      </c>
      <c r="Y218" s="2" t="s">
        <v>136</v>
      </c>
      <c r="Z218" s="2">
        <v>33</v>
      </c>
      <c r="AA218" s="2">
        <f>ProductionData[[#This Row],[Rejected_Qty]]*ProductionData[[#This Row],[Unit_Cost_INR]]</f>
        <v>4620</v>
      </c>
      <c r="AB218" s="4">
        <v>19891</v>
      </c>
      <c r="AC218" s="4">
        <v>6830</v>
      </c>
      <c r="AD218" s="4">
        <v>6830</v>
      </c>
      <c r="AE218" s="4">
        <v>19451</v>
      </c>
      <c r="AF218" s="4">
        <v>9750</v>
      </c>
    </row>
    <row r="219" spans="1:32">
      <c r="A219" s="2" t="s">
        <v>558</v>
      </c>
      <c r="B219" s="3">
        <v>46115</v>
      </c>
      <c r="C219" s="36" t="s">
        <v>78</v>
      </c>
      <c r="D219" s="2">
        <f>MONTH(ProductionData[[#This Row],[Month]])</f>
        <v>4</v>
      </c>
      <c r="E219" s="2" t="s">
        <v>125</v>
      </c>
      <c r="F219" s="2" t="s">
        <v>80</v>
      </c>
      <c r="G219" s="2" t="s">
        <v>67</v>
      </c>
      <c r="H219" s="2" t="s">
        <v>68</v>
      </c>
      <c r="I219" s="2" t="s">
        <v>69</v>
      </c>
      <c r="J219" s="2" t="s">
        <v>403</v>
      </c>
      <c r="K219" s="2" t="s">
        <v>404</v>
      </c>
      <c r="L219" s="2" t="s">
        <v>559</v>
      </c>
      <c r="M219" s="2" t="s">
        <v>102</v>
      </c>
      <c r="N219" s="2" t="s">
        <v>96</v>
      </c>
      <c r="O219" s="2">
        <v>16</v>
      </c>
      <c r="P219" s="2">
        <v>15</v>
      </c>
      <c r="Q219" s="4">
        <v>5610</v>
      </c>
      <c r="R219" s="4">
        <v>5320</v>
      </c>
      <c r="S219" s="4">
        <v>142</v>
      </c>
      <c r="T219" s="19">
        <f>(ProductionData[[#This Row],[Rejected_Qty]])/ProductionData[[#This Row],[Produced_Qty]]</f>
        <v>2.669172932330827E-2</v>
      </c>
      <c r="U219" s="19">
        <f>ProductionData[[#This Row],[Produced_Qty]]/ProductionData[[#This Row],[Planned_Qty]]</f>
        <v>0.94830659536541895</v>
      </c>
      <c r="V219" s="2" t="s">
        <v>109</v>
      </c>
      <c r="W219" s="11">
        <v>0</v>
      </c>
      <c r="X219" s="13">
        <f>W219/60</f>
        <v>0</v>
      </c>
      <c r="Y219" s="2" t="s">
        <v>90</v>
      </c>
      <c r="Z219" s="2">
        <v>58</v>
      </c>
      <c r="AA219" s="2">
        <f>ProductionData[[#This Row],[Rejected_Qty]]*ProductionData[[#This Row],[Unit_Cost_INR]]</f>
        <v>8236</v>
      </c>
      <c r="AB219" s="4">
        <v>18969</v>
      </c>
      <c r="AC219" s="4">
        <v>4750</v>
      </c>
      <c r="AD219" s="4">
        <v>4750</v>
      </c>
      <c r="AE219" s="4">
        <v>19397</v>
      </c>
      <c r="AF219" s="4">
        <v>9000</v>
      </c>
    </row>
    <row r="220" spans="1:32">
      <c r="A220" s="2" t="s">
        <v>560</v>
      </c>
      <c r="B220" s="3">
        <v>46115</v>
      </c>
      <c r="C220" s="36" t="s">
        <v>78</v>
      </c>
      <c r="D220" s="2">
        <f>MONTH(ProductionData[[#This Row],[Month]])</f>
        <v>4</v>
      </c>
      <c r="E220" s="2" t="s">
        <v>125</v>
      </c>
      <c r="F220" s="2" t="s">
        <v>93</v>
      </c>
      <c r="G220" s="2" t="s">
        <v>67</v>
      </c>
      <c r="H220" s="2" t="s">
        <v>68</v>
      </c>
      <c r="I220" s="2" t="s">
        <v>69</v>
      </c>
      <c r="J220" s="2" t="s">
        <v>403</v>
      </c>
      <c r="K220" s="2" t="s">
        <v>404</v>
      </c>
      <c r="L220" s="2" t="s">
        <v>561</v>
      </c>
      <c r="M220" s="2" t="s">
        <v>95</v>
      </c>
      <c r="N220" s="2" t="s">
        <v>96</v>
      </c>
      <c r="O220" s="2">
        <v>16</v>
      </c>
      <c r="P220" s="2">
        <v>14</v>
      </c>
      <c r="Q220" s="4">
        <v>5270</v>
      </c>
      <c r="R220" s="4">
        <v>5020</v>
      </c>
      <c r="S220" s="4">
        <v>49</v>
      </c>
      <c r="T220" s="19">
        <f>(ProductionData[[#This Row],[Rejected_Qty]])/ProductionData[[#This Row],[Produced_Qty]]</f>
        <v>9.7609561752988044E-3</v>
      </c>
      <c r="U220" s="19">
        <f>ProductionData[[#This Row],[Produced_Qty]]/ProductionData[[#This Row],[Planned_Qty]]</f>
        <v>0.95256166982922197</v>
      </c>
      <c r="V220" s="2" t="s">
        <v>109</v>
      </c>
      <c r="W220" s="11">
        <v>13</v>
      </c>
      <c r="X220" s="13">
        <f>W220/60</f>
        <v>0.21666666666666667</v>
      </c>
      <c r="Y220" s="2" t="s">
        <v>114</v>
      </c>
      <c r="Z220" s="2">
        <v>58</v>
      </c>
      <c r="AA220" s="2">
        <f>ProductionData[[#This Row],[Rejected_Qty]]*ProductionData[[#This Row],[Unit_Cost_INR]]</f>
        <v>2842</v>
      </c>
      <c r="AB220" s="4">
        <v>19397</v>
      </c>
      <c r="AC220" s="4">
        <v>5230</v>
      </c>
      <c r="AD220" s="4">
        <v>5230</v>
      </c>
      <c r="AE220" s="4">
        <v>19138</v>
      </c>
      <c r="AF220" s="4">
        <v>9000</v>
      </c>
    </row>
    <row r="221" spans="1:32">
      <c r="A221" s="2" t="s">
        <v>562</v>
      </c>
      <c r="B221" s="3">
        <v>46127</v>
      </c>
      <c r="C221" s="36" t="s">
        <v>78</v>
      </c>
      <c r="D221" s="2">
        <f>MONTH(ProductionData[[#This Row],[Month]])</f>
        <v>4</v>
      </c>
      <c r="E221" s="2" t="s">
        <v>79</v>
      </c>
      <c r="F221" s="2" t="s">
        <v>80</v>
      </c>
      <c r="G221" s="2" t="s">
        <v>67</v>
      </c>
      <c r="H221" s="2" t="s">
        <v>68</v>
      </c>
      <c r="I221" s="2" t="s">
        <v>69</v>
      </c>
      <c r="J221" s="2" t="s">
        <v>403</v>
      </c>
      <c r="K221" s="2" t="s">
        <v>404</v>
      </c>
      <c r="L221" s="2" t="s">
        <v>563</v>
      </c>
      <c r="M221" s="2" t="s">
        <v>87</v>
      </c>
      <c r="N221" s="2" t="s">
        <v>88</v>
      </c>
      <c r="O221" s="2">
        <v>16</v>
      </c>
      <c r="P221" s="2">
        <v>15</v>
      </c>
      <c r="Q221" s="4">
        <v>6090</v>
      </c>
      <c r="R221" s="4">
        <v>5940</v>
      </c>
      <c r="S221" s="4">
        <v>96</v>
      </c>
      <c r="T221" s="19">
        <f>(ProductionData[[#This Row],[Rejected_Qty]])/ProductionData[[#This Row],[Produced_Qty]]</f>
        <v>1.6161616161616162E-2</v>
      </c>
      <c r="U221" s="19">
        <f>ProductionData[[#This Row],[Produced_Qty]]/ProductionData[[#This Row],[Planned_Qty]]</f>
        <v>0.97536945812807885</v>
      </c>
      <c r="V221" s="2" t="s">
        <v>75</v>
      </c>
      <c r="W221" s="11">
        <v>0</v>
      </c>
      <c r="X221" s="13">
        <f>W221/60</f>
        <v>0</v>
      </c>
      <c r="Y221" s="2" t="s">
        <v>90</v>
      </c>
      <c r="Z221" s="2">
        <v>58</v>
      </c>
      <c r="AA221" s="2">
        <f>ProductionData[[#This Row],[Rejected_Qty]]*ProductionData[[#This Row],[Unit_Cost_INR]]</f>
        <v>5568</v>
      </c>
      <c r="AB221" s="4">
        <v>18638</v>
      </c>
      <c r="AC221" s="4">
        <v>5350</v>
      </c>
      <c r="AD221" s="4">
        <v>5350</v>
      </c>
      <c r="AE221" s="4">
        <v>19132</v>
      </c>
      <c r="AF221" s="4">
        <v>9000</v>
      </c>
    </row>
    <row r="222" spans="1:32">
      <c r="A222" s="2" t="s">
        <v>564</v>
      </c>
      <c r="B222" s="3">
        <v>46115</v>
      </c>
      <c r="C222" s="36" t="s">
        <v>78</v>
      </c>
      <c r="D222" s="2">
        <f>MONTH(ProductionData[[#This Row],[Month]])</f>
        <v>4</v>
      </c>
      <c r="E222" s="2" t="s">
        <v>125</v>
      </c>
      <c r="F222" s="2" t="s">
        <v>66</v>
      </c>
      <c r="G222" s="2" t="s">
        <v>67</v>
      </c>
      <c r="H222" s="2" t="s">
        <v>68</v>
      </c>
      <c r="I222" s="2" t="s">
        <v>69</v>
      </c>
      <c r="J222" s="2" t="s">
        <v>403</v>
      </c>
      <c r="K222" s="2" t="s">
        <v>404</v>
      </c>
      <c r="L222" s="2" t="s">
        <v>565</v>
      </c>
      <c r="M222" s="2" t="s">
        <v>99</v>
      </c>
      <c r="N222" s="2" t="s">
        <v>96</v>
      </c>
      <c r="O222" s="2">
        <v>16</v>
      </c>
      <c r="P222" s="2">
        <v>14</v>
      </c>
      <c r="Q222" s="4">
        <v>6310</v>
      </c>
      <c r="R222" s="4">
        <v>5820</v>
      </c>
      <c r="S222" s="4">
        <v>123</v>
      </c>
      <c r="T222" s="19">
        <f>(ProductionData[[#This Row],[Rejected_Qty]])/ProductionData[[#This Row],[Produced_Qty]]</f>
        <v>2.1134020618556702E-2</v>
      </c>
      <c r="U222" s="19">
        <f>ProductionData[[#This Row],[Produced_Qty]]/ProductionData[[#This Row],[Planned_Qty]]</f>
        <v>0.92234548335974642</v>
      </c>
      <c r="V222" s="2" t="s">
        <v>89</v>
      </c>
      <c r="W222" s="11">
        <v>0</v>
      </c>
      <c r="X222" s="13">
        <f>W222/60</f>
        <v>0</v>
      </c>
      <c r="Y222" s="2" t="s">
        <v>90</v>
      </c>
      <c r="Z222" s="2">
        <v>58</v>
      </c>
      <c r="AA222" s="2">
        <f>ProductionData[[#This Row],[Rejected_Qty]]*ProductionData[[#This Row],[Unit_Cost_INR]]</f>
        <v>7134</v>
      </c>
      <c r="AB222" s="4">
        <v>18852</v>
      </c>
      <c r="AC222" s="4">
        <v>5580</v>
      </c>
      <c r="AD222" s="4">
        <v>5580</v>
      </c>
      <c r="AE222" s="4">
        <v>18969</v>
      </c>
      <c r="AF222" s="4">
        <v>9000</v>
      </c>
    </row>
    <row r="223" spans="1:32">
      <c r="A223" s="2" t="s">
        <v>566</v>
      </c>
      <c r="B223" s="3">
        <v>46114</v>
      </c>
      <c r="C223" s="36" t="s">
        <v>78</v>
      </c>
      <c r="D223" s="2">
        <f>MONTH(ProductionData[[#This Row],[Month]])</f>
        <v>4</v>
      </c>
      <c r="E223" s="2" t="s">
        <v>107</v>
      </c>
      <c r="F223" s="2" t="s">
        <v>80</v>
      </c>
      <c r="G223" s="2" t="s">
        <v>67</v>
      </c>
      <c r="H223" s="2" t="s">
        <v>68</v>
      </c>
      <c r="I223" s="2" t="s">
        <v>69</v>
      </c>
      <c r="J223" s="2" t="s">
        <v>403</v>
      </c>
      <c r="K223" s="2" t="s">
        <v>404</v>
      </c>
      <c r="L223" s="2" t="s">
        <v>567</v>
      </c>
      <c r="M223" s="2" t="s">
        <v>102</v>
      </c>
      <c r="N223" s="2" t="s">
        <v>96</v>
      </c>
      <c r="O223" s="2">
        <v>16</v>
      </c>
      <c r="P223" s="2">
        <v>15</v>
      </c>
      <c r="Q223" s="4">
        <v>5540</v>
      </c>
      <c r="R223" s="4">
        <v>5540</v>
      </c>
      <c r="S223" s="4">
        <v>170</v>
      </c>
      <c r="T223" s="19">
        <f>(ProductionData[[#This Row],[Rejected_Qty]])/ProductionData[[#This Row],[Produced_Qty]]</f>
        <v>3.0685920577617327E-2</v>
      </c>
      <c r="U223" s="19">
        <f>ProductionData[[#This Row],[Produced_Qty]]/ProductionData[[#This Row],[Planned_Qty]]</f>
        <v>1</v>
      </c>
      <c r="V223" s="2" t="s">
        <v>89</v>
      </c>
      <c r="W223" s="11">
        <v>66</v>
      </c>
      <c r="X223" s="13">
        <f>W223/60</f>
        <v>1.1000000000000001</v>
      </c>
      <c r="Y223" s="2" t="s">
        <v>110</v>
      </c>
      <c r="Z223" s="2">
        <v>58</v>
      </c>
      <c r="AA223" s="2">
        <f>ProductionData[[#This Row],[Rejected_Qty]]*ProductionData[[#This Row],[Unit_Cost_INR]]</f>
        <v>9860</v>
      </c>
      <c r="AB223" s="4">
        <v>18532</v>
      </c>
      <c r="AC223" s="4">
        <v>5050</v>
      </c>
      <c r="AD223" s="4">
        <v>5050</v>
      </c>
      <c r="AE223" s="4">
        <v>18852</v>
      </c>
      <c r="AF223" s="4">
        <v>9000</v>
      </c>
    </row>
    <row r="224" spans="1:32">
      <c r="A224" s="2" t="s">
        <v>568</v>
      </c>
      <c r="B224" s="3">
        <v>46124</v>
      </c>
      <c r="C224" s="36" t="s">
        <v>78</v>
      </c>
      <c r="D224" s="2">
        <f>MONTH(ProductionData[[#This Row],[Month]])</f>
        <v>4</v>
      </c>
      <c r="E224" s="2" t="s">
        <v>186</v>
      </c>
      <c r="F224" s="2" t="s">
        <v>66</v>
      </c>
      <c r="G224" s="2" t="s">
        <v>67</v>
      </c>
      <c r="H224" s="2" t="s">
        <v>68</v>
      </c>
      <c r="I224" s="2" t="s">
        <v>69</v>
      </c>
      <c r="J224" s="2" t="s">
        <v>403</v>
      </c>
      <c r="K224" s="2" t="s">
        <v>404</v>
      </c>
      <c r="L224" s="2" t="s">
        <v>569</v>
      </c>
      <c r="M224" s="2" t="s">
        <v>73</v>
      </c>
      <c r="N224" s="2" t="s">
        <v>96</v>
      </c>
      <c r="O224" s="2">
        <v>16</v>
      </c>
      <c r="P224" s="2">
        <v>15</v>
      </c>
      <c r="Q224" s="4">
        <v>3970</v>
      </c>
      <c r="R224" s="4">
        <v>3740</v>
      </c>
      <c r="S224" s="4">
        <v>69</v>
      </c>
      <c r="T224" s="19">
        <f>(ProductionData[[#This Row],[Rejected_Qty]])/ProductionData[[#This Row],[Produced_Qty]]</f>
        <v>1.8449197860962566E-2</v>
      </c>
      <c r="U224" s="19">
        <f>ProductionData[[#This Row],[Produced_Qty]]/ProductionData[[#This Row],[Planned_Qty]]</f>
        <v>0.94206549118387906</v>
      </c>
      <c r="V224" s="2" t="s">
        <v>113</v>
      </c>
      <c r="W224" s="11">
        <v>21</v>
      </c>
      <c r="X224" s="13">
        <f>W224/60</f>
        <v>0.35</v>
      </c>
      <c r="Y224" s="2" t="s">
        <v>114</v>
      </c>
      <c r="Z224" s="2">
        <v>58</v>
      </c>
      <c r="AA224" s="2">
        <f>ProductionData[[#This Row],[Rejected_Qty]]*ProductionData[[#This Row],[Unit_Cost_INR]]</f>
        <v>4002</v>
      </c>
      <c r="AB224" s="4">
        <v>18760</v>
      </c>
      <c r="AC224" s="4">
        <v>3620</v>
      </c>
      <c r="AD224" s="4">
        <v>3620</v>
      </c>
      <c r="AE224" s="4">
        <v>18811</v>
      </c>
      <c r="AF224" s="4">
        <v>9000</v>
      </c>
    </row>
    <row r="225" spans="1:32">
      <c r="A225" s="2" t="s">
        <v>570</v>
      </c>
      <c r="B225" s="3">
        <v>46123</v>
      </c>
      <c r="C225" s="36" t="s">
        <v>78</v>
      </c>
      <c r="D225" s="2">
        <f>MONTH(ProductionData[[#This Row],[Month]])</f>
        <v>4</v>
      </c>
      <c r="E225" s="2" t="s">
        <v>65</v>
      </c>
      <c r="F225" s="2" t="s">
        <v>93</v>
      </c>
      <c r="G225" s="2" t="s">
        <v>67</v>
      </c>
      <c r="H225" s="2" t="s">
        <v>68</v>
      </c>
      <c r="I225" s="2" t="s">
        <v>69</v>
      </c>
      <c r="J225" s="2" t="s">
        <v>403</v>
      </c>
      <c r="K225" s="2" t="s">
        <v>404</v>
      </c>
      <c r="L225" s="2" t="s">
        <v>571</v>
      </c>
      <c r="M225" s="2" t="s">
        <v>133</v>
      </c>
      <c r="N225" s="2" t="s">
        <v>88</v>
      </c>
      <c r="O225" s="2">
        <v>16</v>
      </c>
      <c r="P225" s="2">
        <v>15</v>
      </c>
      <c r="Q225" s="4">
        <v>5520</v>
      </c>
      <c r="R225" s="4">
        <v>5290</v>
      </c>
      <c r="S225" s="4">
        <v>165</v>
      </c>
      <c r="T225" s="19">
        <f>(ProductionData[[#This Row],[Rejected_Qty]])/ProductionData[[#This Row],[Produced_Qty]]</f>
        <v>3.1190926275992438E-2</v>
      </c>
      <c r="U225" s="19">
        <f>ProductionData[[#This Row],[Produced_Qty]]/ProductionData[[#This Row],[Planned_Qty]]</f>
        <v>0.95833333333333337</v>
      </c>
      <c r="V225" s="2" t="s">
        <v>113</v>
      </c>
      <c r="W225" s="11">
        <v>32</v>
      </c>
      <c r="X225" s="13">
        <f>W225/60</f>
        <v>0.53333333333333333</v>
      </c>
      <c r="Y225" s="2" t="s">
        <v>76</v>
      </c>
      <c r="Z225" s="2">
        <v>58</v>
      </c>
      <c r="AA225" s="2">
        <f>ProductionData[[#This Row],[Rejected_Qty]]*ProductionData[[#This Row],[Unit_Cost_INR]]</f>
        <v>9570</v>
      </c>
      <c r="AB225" s="4">
        <v>18355</v>
      </c>
      <c r="AC225" s="4">
        <v>4720</v>
      </c>
      <c r="AD225" s="4">
        <v>4720</v>
      </c>
      <c r="AE225" s="4">
        <v>18760</v>
      </c>
      <c r="AF225" s="4">
        <v>9000</v>
      </c>
    </row>
    <row r="226" spans="1:32">
      <c r="A226" s="2" t="s">
        <v>572</v>
      </c>
      <c r="B226" s="3">
        <v>46120</v>
      </c>
      <c r="C226" s="36" t="s">
        <v>78</v>
      </c>
      <c r="D226" s="2">
        <f>MONTH(ProductionData[[#This Row],[Month]])</f>
        <v>4</v>
      </c>
      <c r="E226" s="2" t="s">
        <v>79</v>
      </c>
      <c r="F226" s="2" t="s">
        <v>80</v>
      </c>
      <c r="G226" s="2" t="s">
        <v>67</v>
      </c>
      <c r="H226" s="2" t="s">
        <v>68</v>
      </c>
      <c r="I226" s="2" t="s">
        <v>69</v>
      </c>
      <c r="J226" s="2" t="s">
        <v>403</v>
      </c>
      <c r="K226" s="2" t="s">
        <v>404</v>
      </c>
      <c r="L226" s="2" t="s">
        <v>573</v>
      </c>
      <c r="M226" s="2" t="s">
        <v>102</v>
      </c>
      <c r="N226" s="2" t="s">
        <v>88</v>
      </c>
      <c r="O226" s="2">
        <v>16</v>
      </c>
      <c r="P226" s="2">
        <v>14</v>
      </c>
      <c r="Q226" s="4">
        <v>6150</v>
      </c>
      <c r="R226" s="4">
        <v>5590</v>
      </c>
      <c r="S226" s="4">
        <v>153</v>
      </c>
      <c r="T226" s="19">
        <f>(ProductionData[[#This Row],[Rejected_Qty]])/ProductionData[[#This Row],[Produced_Qty]]</f>
        <v>2.7370304114490162E-2</v>
      </c>
      <c r="U226" s="19">
        <f>ProductionData[[#This Row],[Produced_Qty]]/ProductionData[[#This Row],[Planned_Qty]]</f>
        <v>0.9089430894308943</v>
      </c>
      <c r="V226" s="2" t="s">
        <v>89</v>
      </c>
      <c r="W226" s="11">
        <v>31</v>
      </c>
      <c r="X226" s="13">
        <f>W226/60</f>
        <v>0.51666666666666672</v>
      </c>
      <c r="Y226" s="2" t="s">
        <v>259</v>
      </c>
      <c r="Z226" s="2">
        <v>58</v>
      </c>
      <c r="AA226" s="2">
        <f>ProductionData[[#This Row],[Rejected_Qty]]*ProductionData[[#This Row],[Unit_Cost_INR]]</f>
        <v>8874</v>
      </c>
      <c r="AB226" s="4">
        <v>18621</v>
      </c>
      <c r="AC226" s="4">
        <v>5420</v>
      </c>
      <c r="AD226" s="4">
        <v>5420</v>
      </c>
      <c r="AE226" s="4">
        <v>18638</v>
      </c>
      <c r="AF226" s="4">
        <v>9000</v>
      </c>
    </row>
    <row r="227" spans="1:32">
      <c r="A227" s="2" t="s">
        <v>574</v>
      </c>
      <c r="B227" s="3">
        <v>46126</v>
      </c>
      <c r="C227" s="36" t="s">
        <v>78</v>
      </c>
      <c r="D227" s="2">
        <f>MONTH(ProductionData[[#This Row],[Month]])</f>
        <v>4</v>
      </c>
      <c r="E227" s="2" t="s">
        <v>92</v>
      </c>
      <c r="F227" s="2" t="s">
        <v>93</v>
      </c>
      <c r="G227" s="2" t="s">
        <v>67</v>
      </c>
      <c r="H227" s="2" t="s">
        <v>68</v>
      </c>
      <c r="I227" s="2" t="s">
        <v>69</v>
      </c>
      <c r="J227" s="2" t="s">
        <v>403</v>
      </c>
      <c r="K227" s="2" t="s">
        <v>404</v>
      </c>
      <c r="L227" s="2" t="s">
        <v>575</v>
      </c>
      <c r="M227" s="2" t="s">
        <v>133</v>
      </c>
      <c r="N227" s="2" t="s">
        <v>96</v>
      </c>
      <c r="O227" s="2">
        <v>16</v>
      </c>
      <c r="P227" s="2">
        <v>13</v>
      </c>
      <c r="Q227" s="4">
        <v>5980</v>
      </c>
      <c r="R227" s="4">
        <v>5090</v>
      </c>
      <c r="S227" s="4">
        <v>103</v>
      </c>
      <c r="T227" s="19">
        <f>(ProductionData[[#This Row],[Rejected_Qty]])/ProductionData[[#This Row],[Produced_Qty]]</f>
        <v>2.0235756385068762E-2</v>
      </c>
      <c r="U227" s="19">
        <f>ProductionData[[#This Row],[Produced_Qty]]/ProductionData[[#This Row],[Planned_Qty]]</f>
        <v>0.8511705685618729</v>
      </c>
      <c r="V227" s="2" t="s">
        <v>103</v>
      </c>
      <c r="W227" s="11">
        <v>0</v>
      </c>
      <c r="X227" s="13">
        <f>W227/60</f>
        <v>0</v>
      </c>
      <c r="Y227" s="2" t="s">
        <v>90</v>
      </c>
      <c r="Z227" s="2">
        <v>58</v>
      </c>
      <c r="AA227" s="2">
        <f>ProductionData[[#This Row],[Rejected_Qty]]*ProductionData[[#This Row],[Unit_Cost_INR]]</f>
        <v>5974</v>
      </c>
      <c r="AB227" s="4">
        <v>18811</v>
      </c>
      <c r="AC227" s="4">
        <v>5160</v>
      </c>
      <c r="AD227" s="4">
        <v>5160</v>
      </c>
      <c r="AE227" s="4">
        <v>18638</v>
      </c>
      <c r="AF227" s="4">
        <v>9000</v>
      </c>
    </row>
    <row r="228" spans="1:32">
      <c r="A228" s="2" t="s">
        <v>576</v>
      </c>
      <c r="B228" s="3">
        <v>46120</v>
      </c>
      <c r="C228" s="36" t="s">
        <v>78</v>
      </c>
      <c r="D228" s="2">
        <f>MONTH(ProductionData[[#This Row],[Month]])</f>
        <v>4</v>
      </c>
      <c r="E228" s="2" t="s">
        <v>79</v>
      </c>
      <c r="F228" s="2" t="s">
        <v>66</v>
      </c>
      <c r="G228" s="2" t="s">
        <v>67</v>
      </c>
      <c r="H228" s="2" t="s">
        <v>68</v>
      </c>
      <c r="I228" s="2" t="s">
        <v>69</v>
      </c>
      <c r="J228" s="2" t="s">
        <v>403</v>
      </c>
      <c r="K228" s="2" t="s">
        <v>404</v>
      </c>
      <c r="L228" s="2" t="s">
        <v>577</v>
      </c>
      <c r="M228" s="2" t="s">
        <v>73</v>
      </c>
      <c r="N228" s="2" t="s">
        <v>96</v>
      </c>
      <c r="O228" s="2">
        <v>16</v>
      </c>
      <c r="P228" s="2">
        <v>12</v>
      </c>
      <c r="Q228" s="4">
        <v>5980</v>
      </c>
      <c r="R228" s="4">
        <v>5130</v>
      </c>
      <c r="S228" s="4">
        <v>95</v>
      </c>
      <c r="T228" s="19">
        <f>(ProductionData[[#This Row],[Rejected_Qty]])/ProductionData[[#This Row],[Produced_Qty]]</f>
        <v>1.8518518518518517E-2</v>
      </c>
      <c r="U228" s="19">
        <f>ProductionData[[#This Row],[Produced_Qty]]/ProductionData[[#This Row],[Planned_Qty]]</f>
        <v>0.85785953177257523</v>
      </c>
      <c r="V228" s="2" t="s">
        <v>75</v>
      </c>
      <c r="W228" s="11">
        <v>0</v>
      </c>
      <c r="X228" s="13">
        <f>W228/60</f>
        <v>0</v>
      </c>
      <c r="Y228" s="2" t="s">
        <v>90</v>
      </c>
      <c r="Z228" s="2">
        <v>58</v>
      </c>
      <c r="AA228" s="2">
        <f>ProductionData[[#This Row],[Rejected_Qty]]*ProductionData[[#This Row],[Unit_Cost_INR]]</f>
        <v>5510</v>
      </c>
      <c r="AB228" s="4">
        <v>19666</v>
      </c>
      <c r="AC228" s="4">
        <v>6080</v>
      </c>
      <c r="AD228" s="4">
        <v>6080</v>
      </c>
      <c r="AE228" s="4">
        <v>18621</v>
      </c>
      <c r="AF228" s="4">
        <v>9000</v>
      </c>
    </row>
    <row r="229" spans="1:32">
      <c r="A229" s="2" t="e" cm="1">
        <f t="array" ref="A229">SUMPRODUCT(Data!AE2:AE2001 &lt;&gt; Data!AB2:AB2001 + Data!R2:R2001 -Data!S2:S2001 -Data!AD1966:AD1971)</f>
        <v>#N/A</v>
      </c>
      <c r="B229" s="3">
        <v>46114</v>
      </c>
      <c r="C229" s="36" t="s">
        <v>78</v>
      </c>
      <c r="D229" s="2">
        <f>MONTH(ProductionData[[#This Row],[Month]])</f>
        <v>4</v>
      </c>
      <c r="E229" s="2" t="s">
        <v>107</v>
      </c>
      <c r="F229" s="2" t="s">
        <v>66</v>
      </c>
      <c r="G229" s="2" t="s">
        <v>67</v>
      </c>
      <c r="H229" s="2" t="s">
        <v>68</v>
      </c>
      <c r="I229" s="2" t="s">
        <v>69</v>
      </c>
      <c r="J229" s="2" t="s">
        <v>403</v>
      </c>
      <c r="K229" s="2" t="s">
        <v>404</v>
      </c>
      <c r="L229" s="2" t="s">
        <v>578</v>
      </c>
      <c r="M229" s="2" t="s">
        <v>73</v>
      </c>
      <c r="N229" s="2" t="s">
        <v>96</v>
      </c>
      <c r="O229" s="2">
        <v>16</v>
      </c>
      <c r="P229" s="2">
        <v>16</v>
      </c>
      <c r="Q229" s="4">
        <v>5990</v>
      </c>
      <c r="R229" s="4">
        <v>5830</v>
      </c>
      <c r="S229" s="4">
        <v>138</v>
      </c>
      <c r="T229" s="19">
        <f>(ProductionData[[#This Row],[Rejected_Qty]])/ProductionData[[#This Row],[Produced_Qty]]</f>
        <v>2.3670668953687822E-2</v>
      </c>
      <c r="U229" s="19">
        <f>ProductionData[[#This Row],[Produced_Qty]]/ProductionData[[#This Row],[Planned_Qty]]</f>
        <v>0.97328881469115192</v>
      </c>
      <c r="V229" s="2" t="s">
        <v>75</v>
      </c>
      <c r="W229" s="11">
        <v>56</v>
      </c>
      <c r="X229" s="13">
        <f>W229/60</f>
        <v>0.93333333333333335</v>
      </c>
      <c r="Y229" s="2" t="s">
        <v>114</v>
      </c>
      <c r="Z229" s="2">
        <v>58</v>
      </c>
      <c r="AA229" s="2">
        <f>ProductionData[[#This Row],[Rejected_Qty]]*ProductionData[[#This Row],[Unit_Cost_INR]]</f>
        <v>8004</v>
      </c>
      <c r="AB229" s="4">
        <v>18000</v>
      </c>
      <c r="AC229" s="4">
        <v>5160</v>
      </c>
      <c r="AD229" s="4">
        <v>5160</v>
      </c>
      <c r="AE229" s="4">
        <v>18532</v>
      </c>
      <c r="AF229" s="4">
        <v>9000</v>
      </c>
    </row>
    <row r="230" spans="1:32">
      <c r="A230" s="2" t="s">
        <v>579</v>
      </c>
      <c r="B230" s="3">
        <v>46120</v>
      </c>
      <c r="C230" s="36" t="s">
        <v>78</v>
      </c>
      <c r="D230" s="2">
        <f>MONTH(ProductionData[[#This Row],[Month]])</f>
        <v>4</v>
      </c>
      <c r="E230" s="2" t="s">
        <v>79</v>
      </c>
      <c r="F230" s="2" t="s">
        <v>93</v>
      </c>
      <c r="G230" s="2" t="s">
        <v>67</v>
      </c>
      <c r="H230" s="2" t="s">
        <v>68</v>
      </c>
      <c r="I230" s="2" t="s">
        <v>69</v>
      </c>
      <c r="J230" s="2" t="s">
        <v>403</v>
      </c>
      <c r="K230" s="2" t="s">
        <v>404</v>
      </c>
      <c r="L230" s="2" t="s">
        <v>580</v>
      </c>
      <c r="M230" s="2" t="s">
        <v>133</v>
      </c>
      <c r="N230" s="2" t="s">
        <v>96</v>
      </c>
      <c r="O230" s="2">
        <v>16</v>
      </c>
      <c r="P230" s="2">
        <v>16</v>
      </c>
      <c r="Q230" s="4">
        <v>5820</v>
      </c>
      <c r="R230" s="4">
        <v>5280</v>
      </c>
      <c r="S230" s="4">
        <v>133</v>
      </c>
      <c r="T230" s="19">
        <f>(ProductionData[[#This Row],[Rejected_Qty]])/ProductionData[[#This Row],[Produced_Qty]]</f>
        <v>2.5189393939393939E-2</v>
      </c>
      <c r="U230" s="19">
        <f>ProductionData[[#This Row],[Produced_Qty]]/ProductionData[[#This Row],[Planned_Qty]]</f>
        <v>0.90721649484536082</v>
      </c>
      <c r="V230" s="2" t="s">
        <v>103</v>
      </c>
      <c r="W230" s="11">
        <v>0</v>
      </c>
      <c r="X230" s="13">
        <f>W230/60</f>
        <v>0</v>
      </c>
      <c r="Y230" s="2" t="s">
        <v>90</v>
      </c>
      <c r="Z230" s="2">
        <v>58</v>
      </c>
      <c r="AA230" s="2">
        <f>ProductionData[[#This Row],[Rejected_Qty]]*ProductionData[[#This Row],[Unit_Cost_INR]]</f>
        <v>7714</v>
      </c>
      <c r="AB230" s="4">
        <v>18638</v>
      </c>
      <c r="AC230" s="4">
        <v>5410</v>
      </c>
      <c r="AD230" s="4">
        <v>5410</v>
      </c>
      <c r="AE230" s="4">
        <v>18375</v>
      </c>
      <c r="AF230" s="4">
        <v>9000</v>
      </c>
    </row>
    <row r="231" spans="1:32">
      <c r="A231" s="2" t="s">
        <v>581</v>
      </c>
      <c r="B231" s="3">
        <v>46123</v>
      </c>
      <c r="C231" s="36" t="s">
        <v>78</v>
      </c>
      <c r="D231" s="2">
        <f>MONTH(ProductionData[[#This Row],[Month]])</f>
        <v>4</v>
      </c>
      <c r="E231" s="2" t="s">
        <v>65</v>
      </c>
      <c r="F231" s="2" t="s">
        <v>80</v>
      </c>
      <c r="G231" s="2" t="s">
        <v>67</v>
      </c>
      <c r="H231" s="2" t="s">
        <v>68</v>
      </c>
      <c r="I231" s="2" t="s">
        <v>69</v>
      </c>
      <c r="J231" s="2" t="s">
        <v>403</v>
      </c>
      <c r="K231" s="2" t="s">
        <v>404</v>
      </c>
      <c r="L231" s="2" t="s">
        <v>582</v>
      </c>
      <c r="M231" s="2" t="s">
        <v>102</v>
      </c>
      <c r="N231" s="2" t="s">
        <v>96</v>
      </c>
      <c r="O231" s="2">
        <v>16</v>
      </c>
      <c r="P231" s="2">
        <v>15</v>
      </c>
      <c r="Q231" s="4">
        <v>6160</v>
      </c>
      <c r="R231" s="4">
        <v>5640</v>
      </c>
      <c r="S231" s="4">
        <v>96</v>
      </c>
      <c r="T231" s="19">
        <f>(ProductionData[[#This Row],[Rejected_Qty]])/ProductionData[[#This Row],[Produced_Qty]]</f>
        <v>1.7021276595744681E-2</v>
      </c>
      <c r="U231" s="19">
        <f>ProductionData[[#This Row],[Produced_Qty]]/ProductionData[[#This Row],[Planned_Qty]]</f>
        <v>0.91558441558441561</v>
      </c>
      <c r="V231" s="2" t="s">
        <v>103</v>
      </c>
      <c r="W231" s="11">
        <v>0</v>
      </c>
      <c r="X231" s="13">
        <f>W231/60</f>
        <v>0</v>
      </c>
      <c r="Y231" s="2" t="s">
        <v>90</v>
      </c>
      <c r="Z231" s="2">
        <v>58</v>
      </c>
      <c r="AA231" s="2">
        <f>ProductionData[[#This Row],[Rejected_Qty]]*ProductionData[[#This Row],[Unit_Cost_INR]]</f>
        <v>5568</v>
      </c>
      <c r="AB231" s="4">
        <v>18071</v>
      </c>
      <c r="AC231" s="4">
        <v>5260</v>
      </c>
      <c r="AD231" s="4">
        <v>5260</v>
      </c>
      <c r="AE231" s="4">
        <v>18355</v>
      </c>
      <c r="AF231" s="4">
        <v>9000</v>
      </c>
    </row>
    <row r="232" spans="1:32">
      <c r="A232" s="2" t="s">
        <v>583</v>
      </c>
      <c r="B232" s="3">
        <v>46121</v>
      </c>
      <c r="C232" s="36" t="s">
        <v>78</v>
      </c>
      <c r="D232" s="2">
        <f>MONTH(ProductionData[[#This Row],[Month]])</f>
        <v>4</v>
      </c>
      <c r="E232" s="2" t="s">
        <v>107</v>
      </c>
      <c r="F232" s="2" t="s">
        <v>66</v>
      </c>
      <c r="G232" s="2" t="s">
        <v>67</v>
      </c>
      <c r="H232" s="2" t="s">
        <v>68</v>
      </c>
      <c r="I232" s="2" t="s">
        <v>69</v>
      </c>
      <c r="J232" s="2" t="s">
        <v>403</v>
      </c>
      <c r="K232" s="2" t="s">
        <v>404</v>
      </c>
      <c r="L232" s="2" t="s">
        <v>584</v>
      </c>
      <c r="M232" s="2" t="s">
        <v>73</v>
      </c>
      <c r="N232" s="2" t="s">
        <v>88</v>
      </c>
      <c r="O232" s="2">
        <v>16</v>
      </c>
      <c r="P232" s="2">
        <v>15</v>
      </c>
      <c r="Q232" s="4">
        <v>5890</v>
      </c>
      <c r="R232" s="4">
        <v>5180</v>
      </c>
      <c r="S232" s="4">
        <v>174</v>
      </c>
      <c r="T232" s="19">
        <f>(ProductionData[[#This Row],[Rejected_Qty]])/ProductionData[[#This Row],[Produced_Qty]]</f>
        <v>3.3590733590733592E-2</v>
      </c>
      <c r="U232" s="19">
        <f>ProductionData[[#This Row],[Produced_Qty]]/ProductionData[[#This Row],[Planned_Qty]]</f>
        <v>0.87945670628183359</v>
      </c>
      <c r="V232" s="2" t="s">
        <v>109</v>
      </c>
      <c r="W232" s="11">
        <v>0</v>
      </c>
      <c r="X232" s="13">
        <f>W232/60</f>
        <v>0</v>
      </c>
      <c r="Y232" s="2" t="s">
        <v>90</v>
      </c>
      <c r="Z232" s="2">
        <v>58</v>
      </c>
      <c r="AA232" s="2">
        <f>ProductionData[[#This Row],[Rejected_Qty]]*ProductionData[[#This Row],[Unit_Cost_INR]]</f>
        <v>10092</v>
      </c>
      <c r="AB232" s="4">
        <v>18375</v>
      </c>
      <c r="AC232" s="4">
        <v>5310</v>
      </c>
      <c r="AD232" s="4">
        <v>5310</v>
      </c>
      <c r="AE232" s="4">
        <v>18071</v>
      </c>
      <c r="AF232" s="4">
        <v>9000</v>
      </c>
    </row>
    <row r="233" spans="1:32">
      <c r="A233" s="2" t="s">
        <v>585</v>
      </c>
      <c r="B233" s="3">
        <v>46113</v>
      </c>
      <c r="C233" s="36" t="s">
        <v>78</v>
      </c>
      <c r="D233" s="2">
        <f>MONTH(ProductionData[[#This Row],[Month]])</f>
        <v>4</v>
      </c>
      <c r="E233" s="2" t="s">
        <v>79</v>
      </c>
      <c r="F233" s="2" t="s">
        <v>93</v>
      </c>
      <c r="G233" s="2" t="s">
        <v>195</v>
      </c>
      <c r="H233" s="2" t="s">
        <v>196</v>
      </c>
      <c r="I233" s="2" t="s">
        <v>197</v>
      </c>
      <c r="J233" s="2" t="s">
        <v>586</v>
      </c>
      <c r="K233" s="2" t="s">
        <v>587</v>
      </c>
      <c r="L233" s="2" t="s">
        <v>588</v>
      </c>
      <c r="M233" s="2" t="s">
        <v>133</v>
      </c>
      <c r="N233" s="2" t="s">
        <v>96</v>
      </c>
      <c r="O233" s="2">
        <v>14</v>
      </c>
      <c r="P233" s="2">
        <v>12</v>
      </c>
      <c r="Q233" s="4">
        <v>6140</v>
      </c>
      <c r="R233" s="4">
        <v>5770</v>
      </c>
      <c r="S233" s="4">
        <v>170</v>
      </c>
      <c r="T233" s="19">
        <f>(ProductionData[[#This Row],[Rejected_Qty]])/ProductionData[[#This Row],[Produced_Qty]]</f>
        <v>2.9462738301559793E-2</v>
      </c>
      <c r="U233" s="19">
        <f>ProductionData[[#This Row],[Produced_Qty]]/ProductionData[[#This Row],[Planned_Qty]]</f>
        <v>0.93973941368078173</v>
      </c>
      <c r="V233" s="2" t="s">
        <v>75</v>
      </c>
      <c r="W233" s="11">
        <v>0</v>
      </c>
      <c r="X233" s="13">
        <f>W233/60</f>
        <v>0</v>
      </c>
      <c r="Y233" s="2" t="s">
        <v>90</v>
      </c>
      <c r="Z233" s="2">
        <v>51</v>
      </c>
      <c r="AA233" s="2">
        <f>ProductionData[[#This Row],[Rejected_Qty]]*ProductionData[[#This Row],[Unit_Cost_INR]]</f>
        <v>8670</v>
      </c>
      <c r="AB233" s="4">
        <v>18000</v>
      </c>
      <c r="AC233" s="4">
        <v>5950</v>
      </c>
      <c r="AD233" s="4">
        <v>5950</v>
      </c>
      <c r="AE233" s="4">
        <v>17650</v>
      </c>
      <c r="AF233" s="4">
        <v>9000</v>
      </c>
    </row>
    <row r="234" spans="1:32">
      <c r="A234" s="2" cm="1">
        <f t="array" ref="A234">COUNTA(Data!S2:S2001 &gt;Data!R2:R2001)</f>
        <v>2000</v>
      </c>
      <c r="B234" s="3">
        <v>46114</v>
      </c>
      <c r="C234" s="36" t="s">
        <v>78</v>
      </c>
      <c r="D234" s="2">
        <f>MONTH(ProductionData[[#This Row],[Month]])</f>
        <v>4</v>
      </c>
      <c r="E234" s="2" t="s">
        <v>107</v>
      </c>
      <c r="F234" s="2" t="s">
        <v>80</v>
      </c>
      <c r="G234" s="2" t="s">
        <v>195</v>
      </c>
      <c r="H234" s="2" t="s">
        <v>196</v>
      </c>
      <c r="I234" s="2" t="s">
        <v>197</v>
      </c>
      <c r="J234" s="2" t="s">
        <v>586</v>
      </c>
      <c r="K234" s="2" t="s">
        <v>587</v>
      </c>
      <c r="L234" s="2" t="s">
        <v>589</v>
      </c>
      <c r="M234" s="2" t="s">
        <v>102</v>
      </c>
      <c r="N234" s="2" t="s">
        <v>88</v>
      </c>
      <c r="O234" s="2">
        <v>14</v>
      </c>
      <c r="P234" s="2">
        <v>13</v>
      </c>
      <c r="Q234" s="4">
        <v>6060</v>
      </c>
      <c r="R234" s="4">
        <v>5660</v>
      </c>
      <c r="S234" s="4">
        <v>156</v>
      </c>
      <c r="T234" s="19">
        <f>(ProductionData[[#This Row],[Rejected_Qty]])/ProductionData[[#This Row],[Produced_Qty]]</f>
        <v>2.756183745583039E-2</v>
      </c>
      <c r="U234" s="19">
        <f>ProductionData[[#This Row],[Produced_Qty]]/ProductionData[[#This Row],[Planned_Qty]]</f>
        <v>0.93399339933993397</v>
      </c>
      <c r="V234" s="2" t="s">
        <v>109</v>
      </c>
      <c r="W234" s="11">
        <v>0</v>
      </c>
      <c r="X234" s="13">
        <f>W234/60</f>
        <v>0</v>
      </c>
      <c r="Y234" s="2" t="s">
        <v>90</v>
      </c>
      <c r="Z234" s="2">
        <v>51</v>
      </c>
      <c r="AA234" s="2">
        <f>ProductionData[[#This Row],[Rejected_Qty]]*ProductionData[[#This Row],[Unit_Cost_INR]]</f>
        <v>7956</v>
      </c>
      <c r="AB234" s="4">
        <v>17650</v>
      </c>
      <c r="AC234" s="4">
        <v>5820</v>
      </c>
      <c r="AD234" s="4">
        <v>5820</v>
      </c>
      <c r="AE234" s="4">
        <v>17334</v>
      </c>
      <c r="AF234" s="4">
        <v>9000</v>
      </c>
    </row>
    <row r="235" spans="1:32">
      <c r="A235" s="2" t="s">
        <v>590</v>
      </c>
      <c r="B235" s="3">
        <v>46115</v>
      </c>
      <c r="C235" s="36" t="s">
        <v>78</v>
      </c>
      <c r="D235" s="2">
        <f>MONTH(ProductionData[[#This Row],[Month]])</f>
        <v>4</v>
      </c>
      <c r="E235" s="2" t="s">
        <v>125</v>
      </c>
      <c r="F235" s="2" t="s">
        <v>80</v>
      </c>
      <c r="G235" s="2" t="s">
        <v>195</v>
      </c>
      <c r="H235" s="2" t="s">
        <v>196</v>
      </c>
      <c r="I235" s="2" t="s">
        <v>197</v>
      </c>
      <c r="J235" s="2" t="s">
        <v>586</v>
      </c>
      <c r="K235" s="2" t="s">
        <v>587</v>
      </c>
      <c r="L235" s="2" t="s">
        <v>591</v>
      </c>
      <c r="M235" s="2" t="s">
        <v>102</v>
      </c>
      <c r="N235" s="2" t="s">
        <v>88</v>
      </c>
      <c r="O235" s="2">
        <v>14</v>
      </c>
      <c r="P235" s="2">
        <v>14</v>
      </c>
      <c r="Q235" s="4">
        <v>6270</v>
      </c>
      <c r="R235" s="4">
        <v>6240</v>
      </c>
      <c r="S235" s="4">
        <v>109</v>
      </c>
      <c r="T235" s="19">
        <f>(ProductionData[[#This Row],[Rejected_Qty]])/ProductionData[[#This Row],[Produced_Qty]]</f>
        <v>1.7467948717948718E-2</v>
      </c>
      <c r="U235" s="19">
        <f>ProductionData[[#This Row],[Produced_Qty]]/ProductionData[[#This Row],[Planned_Qty]]</f>
        <v>0.99521531100478466</v>
      </c>
      <c r="V235" s="2" t="s">
        <v>109</v>
      </c>
      <c r="W235" s="11">
        <v>0</v>
      </c>
      <c r="X235" s="13">
        <f>W235/60</f>
        <v>0</v>
      </c>
      <c r="Y235" s="2" t="s">
        <v>90</v>
      </c>
      <c r="Z235" s="2">
        <v>51</v>
      </c>
      <c r="AA235" s="2">
        <f>ProductionData[[#This Row],[Rejected_Qty]]*ProductionData[[#This Row],[Unit_Cost_INR]]</f>
        <v>5559</v>
      </c>
      <c r="AB235" s="4">
        <v>17334</v>
      </c>
      <c r="AC235" s="4">
        <v>6190</v>
      </c>
      <c r="AD235" s="4">
        <v>6190</v>
      </c>
      <c r="AE235" s="4">
        <v>17275</v>
      </c>
      <c r="AF235" s="4">
        <v>9000</v>
      </c>
    </row>
    <row r="236" spans="1:32">
      <c r="A236" s="2" t="s">
        <v>592</v>
      </c>
      <c r="B236" s="3">
        <v>46123</v>
      </c>
      <c r="C236" s="36" t="s">
        <v>78</v>
      </c>
      <c r="D236" s="2">
        <f>MONTH(ProductionData[[#This Row],[Month]])</f>
        <v>4</v>
      </c>
      <c r="E236" s="2" t="s">
        <v>65</v>
      </c>
      <c r="F236" s="2" t="s">
        <v>80</v>
      </c>
      <c r="G236" s="2" t="s">
        <v>195</v>
      </c>
      <c r="H236" s="2" t="s">
        <v>196</v>
      </c>
      <c r="I236" s="2" t="s">
        <v>197</v>
      </c>
      <c r="J236" s="2" t="s">
        <v>586</v>
      </c>
      <c r="K236" s="2" t="s">
        <v>587</v>
      </c>
      <c r="L236" s="2" t="s">
        <v>593</v>
      </c>
      <c r="M236" s="2" t="s">
        <v>87</v>
      </c>
      <c r="N236" s="2" t="s">
        <v>96</v>
      </c>
      <c r="O236" s="2">
        <v>14</v>
      </c>
      <c r="P236" s="2">
        <v>14</v>
      </c>
      <c r="Q236" s="4">
        <v>6180</v>
      </c>
      <c r="R236" s="4">
        <v>5800</v>
      </c>
      <c r="S236" s="4">
        <v>86</v>
      </c>
      <c r="T236" s="19">
        <f>(ProductionData[[#This Row],[Rejected_Qty]])/ProductionData[[#This Row],[Produced_Qty]]</f>
        <v>1.4827586206896552E-2</v>
      </c>
      <c r="U236" s="19">
        <f>ProductionData[[#This Row],[Produced_Qty]]/ProductionData[[#This Row],[Planned_Qty]]</f>
        <v>0.93851132686084138</v>
      </c>
      <c r="V236" s="2" t="s">
        <v>103</v>
      </c>
      <c r="W236" s="11">
        <v>0</v>
      </c>
      <c r="X236" s="13">
        <f>W236/60</f>
        <v>0</v>
      </c>
      <c r="Y236" s="2" t="s">
        <v>90</v>
      </c>
      <c r="Z236" s="2">
        <v>51</v>
      </c>
      <c r="AA236" s="2">
        <f>ProductionData[[#This Row],[Rejected_Qty]]*ProductionData[[#This Row],[Unit_Cost_INR]]</f>
        <v>4386</v>
      </c>
      <c r="AB236" s="4">
        <v>16706</v>
      </c>
      <c r="AC236" s="4">
        <v>5190</v>
      </c>
      <c r="AD236" s="4">
        <v>5190</v>
      </c>
      <c r="AE236" s="4">
        <v>17230</v>
      </c>
      <c r="AF236" s="4">
        <v>9000</v>
      </c>
    </row>
    <row r="237" spans="1:32">
      <c r="A237" s="2" t="s">
        <v>594</v>
      </c>
      <c r="B237" s="3">
        <v>46129</v>
      </c>
      <c r="C237" s="36" t="s">
        <v>78</v>
      </c>
      <c r="D237" s="2">
        <f>MONTH(ProductionData[[#This Row],[Month]])</f>
        <v>4</v>
      </c>
      <c r="E237" s="2" t="s">
        <v>125</v>
      </c>
      <c r="F237" s="2" t="s">
        <v>80</v>
      </c>
      <c r="G237" s="2" t="s">
        <v>195</v>
      </c>
      <c r="H237" s="2" t="s">
        <v>196</v>
      </c>
      <c r="I237" s="2" t="s">
        <v>197</v>
      </c>
      <c r="J237" s="2" t="s">
        <v>586</v>
      </c>
      <c r="K237" s="2" t="s">
        <v>587</v>
      </c>
      <c r="L237" s="2" t="s">
        <v>595</v>
      </c>
      <c r="M237" s="2" t="s">
        <v>102</v>
      </c>
      <c r="N237" s="2" t="s">
        <v>96</v>
      </c>
      <c r="O237" s="2">
        <v>14</v>
      </c>
      <c r="P237" s="2">
        <v>14</v>
      </c>
      <c r="Q237" s="4">
        <v>5900</v>
      </c>
      <c r="R237" s="4">
        <v>5560</v>
      </c>
      <c r="S237" s="4">
        <v>113</v>
      </c>
      <c r="T237" s="19">
        <f>(ProductionData[[#This Row],[Rejected_Qty]])/ProductionData[[#This Row],[Produced_Qty]]</f>
        <v>2.0323741007194245E-2</v>
      </c>
      <c r="U237" s="19">
        <f>ProductionData[[#This Row],[Produced_Qty]]/ProductionData[[#This Row],[Planned_Qty]]</f>
        <v>0.94237288135593222</v>
      </c>
      <c r="V237" s="2" t="s">
        <v>109</v>
      </c>
      <c r="W237" s="11">
        <v>0</v>
      </c>
      <c r="X237" s="13">
        <f>W237/60</f>
        <v>0</v>
      </c>
      <c r="Y237" s="2" t="s">
        <v>90</v>
      </c>
      <c r="Z237" s="2">
        <v>51</v>
      </c>
      <c r="AA237" s="2">
        <f>ProductionData[[#This Row],[Rejected_Qty]]*ProductionData[[#This Row],[Unit_Cost_INR]]</f>
        <v>5763</v>
      </c>
      <c r="AB237" s="4">
        <v>16769</v>
      </c>
      <c r="AC237" s="4">
        <v>5150</v>
      </c>
      <c r="AD237" s="4">
        <v>5150</v>
      </c>
      <c r="AE237" s="4">
        <v>17066</v>
      </c>
      <c r="AF237" s="4">
        <v>9000</v>
      </c>
    </row>
    <row r="238" spans="1:32">
      <c r="A238" s="2" t="s">
        <v>596</v>
      </c>
      <c r="B238" s="3">
        <v>46119</v>
      </c>
      <c r="C238" s="36" t="s">
        <v>78</v>
      </c>
      <c r="D238" s="2">
        <f>MONTH(ProductionData[[#This Row],[Month]])</f>
        <v>4</v>
      </c>
      <c r="E238" s="2" t="s">
        <v>92</v>
      </c>
      <c r="F238" s="2" t="s">
        <v>80</v>
      </c>
      <c r="G238" s="2" t="s">
        <v>195</v>
      </c>
      <c r="H238" s="2" t="s">
        <v>196</v>
      </c>
      <c r="I238" s="2" t="s">
        <v>197</v>
      </c>
      <c r="J238" s="2" t="s">
        <v>586</v>
      </c>
      <c r="K238" s="2" t="s">
        <v>587</v>
      </c>
      <c r="L238" s="2" t="s">
        <v>597</v>
      </c>
      <c r="M238" s="2" t="s">
        <v>102</v>
      </c>
      <c r="N238" s="2" t="s">
        <v>96</v>
      </c>
      <c r="O238" s="2">
        <v>14</v>
      </c>
      <c r="P238" s="2">
        <v>12</v>
      </c>
      <c r="Q238" s="4">
        <v>5610</v>
      </c>
      <c r="R238" s="4">
        <v>5140</v>
      </c>
      <c r="S238" s="4">
        <v>48</v>
      </c>
      <c r="T238" s="19">
        <f>(ProductionData[[#This Row],[Rejected_Qty]])/ProductionData[[#This Row],[Produced_Qty]]</f>
        <v>9.3385214007782099E-3</v>
      </c>
      <c r="U238" s="19">
        <f>ProductionData[[#This Row],[Produced_Qty]]/ProductionData[[#This Row],[Planned_Qty]]</f>
        <v>0.91622103386809273</v>
      </c>
      <c r="V238" s="2" t="s">
        <v>113</v>
      </c>
      <c r="W238" s="11">
        <v>0</v>
      </c>
      <c r="X238" s="13">
        <f>W238/60</f>
        <v>0</v>
      </c>
      <c r="Y238" s="2" t="s">
        <v>90</v>
      </c>
      <c r="Z238" s="2">
        <v>51</v>
      </c>
      <c r="AA238" s="2">
        <f>ProductionData[[#This Row],[Rejected_Qty]]*ProductionData[[#This Row],[Unit_Cost_INR]]</f>
        <v>2448</v>
      </c>
      <c r="AB238" s="4">
        <v>16699</v>
      </c>
      <c r="AC238" s="4">
        <v>4750</v>
      </c>
      <c r="AD238" s="4">
        <v>4750</v>
      </c>
      <c r="AE238" s="4">
        <v>17041</v>
      </c>
      <c r="AF238" s="4">
        <v>9000</v>
      </c>
    </row>
    <row r="239" spans="1:32">
      <c r="A239" s="2" t="s">
        <v>598</v>
      </c>
      <c r="B239" s="3">
        <v>46116</v>
      </c>
      <c r="C239" s="36" t="s">
        <v>78</v>
      </c>
      <c r="D239" s="2">
        <f>MONTH(ProductionData[[#This Row],[Month]])</f>
        <v>4</v>
      </c>
      <c r="E239" s="2" t="s">
        <v>65</v>
      </c>
      <c r="F239" s="2" t="s">
        <v>66</v>
      </c>
      <c r="G239" s="2" t="s">
        <v>195</v>
      </c>
      <c r="H239" s="2" t="s">
        <v>196</v>
      </c>
      <c r="I239" s="2" t="s">
        <v>197</v>
      </c>
      <c r="J239" s="2" t="s">
        <v>586</v>
      </c>
      <c r="K239" s="2" t="s">
        <v>587</v>
      </c>
      <c r="L239" s="2" t="s">
        <v>599</v>
      </c>
      <c r="M239" s="2" t="s">
        <v>99</v>
      </c>
      <c r="N239" s="2" t="s">
        <v>88</v>
      </c>
      <c r="O239" s="2">
        <v>14</v>
      </c>
      <c r="P239" s="2">
        <v>12</v>
      </c>
      <c r="Q239" s="4">
        <v>5600</v>
      </c>
      <c r="R239" s="4">
        <v>5170</v>
      </c>
      <c r="S239" s="4">
        <v>149</v>
      </c>
      <c r="T239" s="19">
        <f>(ProductionData[[#This Row],[Rejected_Qty]])/ProductionData[[#This Row],[Produced_Qty]]</f>
        <v>2.8820116054158608E-2</v>
      </c>
      <c r="U239" s="19">
        <f>ProductionData[[#This Row],[Produced_Qty]]/ProductionData[[#This Row],[Planned_Qty]]</f>
        <v>0.92321428571428577</v>
      </c>
      <c r="V239" s="2" t="s">
        <v>103</v>
      </c>
      <c r="W239" s="11">
        <v>68</v>
      </c>
      <c r="X239" s="13">
        <f>W239/60</f>
        <v>1.1333333333333333</v>
      </c>
      <c r="Y239" s="2" t="s">
        <v>76</v>
      </c>
      <c r="Z239" s="2">
        <v>51</v>
      </c>
      <c r="AA239" s="2">
        <f>ProductionData[[#This Row],[Rejected_Qty]]*ProductionData[[#This Row],[Unit_Cost_INR]]</f>
        <v>7599</v>
      </c>
      <c r="AB239" s="4">
        <v>17275</v>
      </c>
      <c r="AC239" s="4">
        <v>5320</v>
      </c>
      <c r="AD239" s="4">
        <v>5320</v>
      </c>
      <c r="AE239" s="4">
        <v>16976</v>
      </c>
      <c r="AF239" s="4">
        <v>9000</v>
      </c>
    </row>
    <row r="240" spans="1:32">
      <c r="A240" s="2" t="s">
        <v>600</v>
      </c>
      <c r="B240" s="3">
        <v>46132</v>
      </c>
      <c r="C240" s="36" t="s">
        <v>78</v>
      </c>
      <c r="D240" s="2">
        <f>MONTH(ProductionData[[#This Row],[Month]])</f>
        <v>4</v>
      </c>
      <c r="E240" s="2" t="s">
        <v>116</v>
      </c>
      <c r="F240" s="2" t="s">
        <v>93</v>
      </c>
      <c r="G240" s="2" t="s">
        <v>195</v>
      </c>
      <c r="H240" s="2" t="s">
        <v>196</v>
      </c>
      <c r="I240" s="2" t="s">
        <v>197</v>
      </c>
      <c r="J240" s="2" t="s">
        <v>586</v>
      </c>
      <c r="K240" s="2" t="s">
        <v>587</v>
      </c>
      <c r="L240" s="2" t="s">
        <v>601</v>
      </c>
      <c r="M240" s="2" t="s">
        <v>133</v>
      </c>
      <c r="N240" s="2" t="s">
        <v>88</v>
      </c>
      <c r="O240" s="2">
        <v>14</v>
      </c>
      <c r="P240" s="2">
        <v>13</v>
      </c>
      <c r="Q240" s="4">
        <v>5750</v>
      </c>
      <c r="R240" s="4">
        <v>5170</v>
      </c>
      <c r="S240" s="4">
        <v>132</v>
      </c>
      <c r="T240" s="19">
        <f>(ProductionData[[#This Row],[Rejected_Qty]])/ProductionData[[#This Row],[Produced_Qty]]</f>
        <v>2.553191489361702E-2</v>
      </c>
      <c r="U240" s="19">
        <f>ProductionData[[#This Row],[Produced_Qty]]/ProductionData[[#This Row],[Planned_Qty]]</f>
        <v>0.89913043478260868</v>
      </c>
      <c r="V240" s="2" t="s">
        <v>75</v>
      </c>
      <c r="W240" s="11">
        <v>34</v>
      </c>
      <c r="X240" s="13">
        <f>W240/60</f>
        <v>0.56666666666666665</v>
      </c>
      <c r="Y240" s="2" t="s">
        <v>114</v>
      </c>
      <c r="Z240" s="2">
        <v>51</v>
      </c>
      <c r="AA240" s="2">
        <f>ProductionData[[#This Row],[Rejected_Qty]]*ProductionData[[#This Row],[Unit_Cost_INR]]</f>
        <v>6732</v>
      </c>
      <c r="AB240" s="4">
        <v>16673</v>
      </c>
      <c r="AC240" s="4">
        <v>4750</v>
      </c>
      <c r="AD240" s="4">
        <v>4750</v>
      </c>
      <c r="AE240" s="4">
        <v>16961</v>
      </c>
      <c r="AF240" s="4">
        <v>9000</v>
      </c>
    </row>
    <row r="241" spans="1:32">
      <c r="A241" s="2" t="s">
        <v>602</v>
      </c>
      <c r="B241" s="3">
        <v>46129</v>
      </c>
      <c r="C241" s="36" t="s">
        <v>78</v>
      </c>
      <c r="D241" s="2">
        <f>MONTH(ProductionData[[#This Row],[Month]])</f>
        <v>4</v>
      </c>
      <c r="E241" s="2" t="s">
        <v>125</v>
      </c>
      <c r="F241" s="2" t="s">
        <v>66</v>
      </c>
      <c r="G241" s="2" t="s">
        <v>195</v>
      </c>
      <c r="H241" s="2" t="s">
        <v>196</v>
      </c>
      <c r="I241" s="2" t="s">
        <v>197</v>
      </c>
      <c r="J241" s="2" t="s">
        <v>586</v>
      </c>
      <c r="K241" s="2" t="s">
        <v>587</v>
      </c>
      <c r="L241" s="2" t="s">
        <v>603</v>
      </c>
      <c r="M241" s="2" t="s">
        <v>73</v>
      </c>
      <c r="N241" s="2" t="s">
        <v>96</v>
      </c>
      <c r="O241" s="2">
        <v>14</v>
      </c>
      <c r="P241" s="2">
        <v>14</v>
      </c>
      <c r="Q241" s="4">
        <v>5940</v>
      </c>
      <c r="R241" s="4">
        <v>5940</v>
      </c>
      <c r="S241" s="4">
        <v>138</v>
      </c>
      <c r="T241" s="19">
        <f>(ProductionData[[#This Row],[Rejected_Qty]])/ProductionData[[#This Row],[Produced_Qty]]</f>
        <v>2.3232323232323233E-2</v>
      </c>
      <c r="U241" s="19">
        <f>ProductionData[[#This Row],[Produced_Qty]]/ProductionData[[#This Row],[Planned_Qty]]</f>
        <v>1</v>
      </c>
      <c r="V241" s="2" t="s">
        <v>89</v>
      </c>
      <c r="W241" s="11">
        <v>0</v>
      </c>
      <c r="X241" s="13">
        <f>W241/60</f>
        <v>0</v>
      </c>
      <c r="Y241" s="2" t="s">
        <v>90</v>
      </c>
      <c r="Z241" s="2">
        <v>51</v>
      </c>
      <c r="AA241" s="2">
        <f>ProductionData[[#This Row],[Rejected_Qty]]*ProductionData[[#This Row],[Unit_Cost_INR]]</f>
        <v>7038</v>
      </c>
      <c r="AB241" s="4">
        <v>16017</v>
      </c>
      <c r="AC241" s="4">
        <v>5050</v>
      </c>
      <c r="AD241" s="4">
        <v>5050</v>
      </c>
      <c r="AE241" s="4">
        <v>16769</v>
      </c>
      <c r="AF241" s="4">
        <v>9000</v>
      </c>
    </row>
    <row r="242" spans="1:32">
      <c r="A242" s="2" t="s">
        <v>604</v>
      </c>
      <c r="B242" s="3">
        <v>46121</v>
      </c>
      <c r="C242" s="36" t="s">
        <v>78</v>
      </c>
      <c r="D242" s="2">
        <f>MONTH(ProductionData[[#This Row],[Month]])</f>
        <v>4</v>
      </c>
      <c r="E242" s="2" t="s">
        <v>107</v>
      </c>
      <c r="F242" s="2" t="s">
        <v>66</v>
      </c>
      <c r="G242" s="2" t="s">
        <v>195</v>
      </c>
      <c r="H242" s="2" t="s">
        <v>196</v>
      </c>
      <c r="I242" s="2" t="s">
        <v>197</v>
      </c>
      <c r="J242" s="2" t="s">
        <v>586</v>
      </c>
      <c r="K242" s="2" t="s">
        <v>587</v>
      </c>
      <c r="L242" s="2" t="s">
        <v>605</v>
      </c>
      <c r="M242" s="2" t="s">
        <v>99</v>
      </c>
      <c r="N242" s="2" t="s">
        <v>96</v>
      </c>
      <c r="O242" s="2">
        <v>14</v>
      </c>
      <c r="P242" s="2">
        <v>14</v>
      </c>
      <c r="Q242" s="4">
        <v>5720</v>
      </c>
      <c r="R242" s="4">
        <v>5820</v>
      </c>
      <c r="S242" s="4">
        <v>124</v>
      </c>
      <c r="T242" s="19">
        <f>(ProductionData[[#This Row],[Rejected_Qty]])/ProductionData[[#This Row],[Produced_Qty]]</f>
        <v>2.1305841924398626E-2</v>
      </c>
      <c r="U242" s="19">
        <f>ProductionData[[#This Row],[Produced_Qty]]/ProductionData[[#This Row],[Planned_Qty]]</f>
        <v>1.0174825174825175</v>
      </c>
      <c r="V242" s="2" t="s">
        <v>75</v>
      </c>
      <c r="W242" s="11">
        <v>0</v>
      </c>
      <c r="X242" s="13">
        <f>W242/60</f>
        <v>0</v>
      </c>
      <c r="Y242" s="2" t="s">
        <v>90</v>
      </c>
      <c r="Z242" s="2">
        <v>51</v>
      </c>
      <c r="AA242" s="2">
        <f>ProductionData[[#This Row],[Rejected_Qty]]*ProductionData[[#This Row],[Unit_Cost_INR]]</f>
        <v>6324</v>
      </c>
      <c r="AB242" s="4">
        <v>15810</v>
      </c>
      <c r="AC242" s="4">
        <v>4800</v>
      </c>
      <c r="AD242" s="4">
        <v>4800</v>
      </c>
      <c r="AE242" s="4">
        <v>16706</v>
      </c>
      <c r="AF242" s="4">
        <v>9000</v>
      </c>
    </row>
    <row r="243" spans="1:32">
      <c r="A243" s="2" t="s">
        <v>606</v>
      </c>
      <c r="B243" s="3">
        <v>46118</v>
      </c>
      <c r="C243" s="36" t="s">
        <v>78</v>
      </c>
      <c r="D243" s="2">
        <f>MONTH(ProductionData[[#This Row],[Month]])</f>
        <v>4</v>
      </c>
      <c r="E243" s="2" t="s">
        <v>116</v>
      </c>
      <c r="F243" s="2" t="s">
        <v>80</v>
      </c>
      <c r="G243" s="2" t="s">
        <v>195</v>
      </c>
      <c r="H243" s="2" t="s">
        <v>196</v>
      </c>
      <c r="I243" s="2" t="s">
        <v>197</v>
      </c>
      <c r="J243" s="2" t="s">
        <v>586</v>
      </c>
      <c r="K243" s="2" t="s">
        <v>587</v>
      </c>
      <c r="L243" s="2" t="s">
        <v>607</v>
      </c>
      <c r="M243" s="2" t="s">
        <v>87</v>
      </c>
      <c r="N243" s="2" t="s">
        <v>96</v>
      </c>
      <c r="O243" s="2">
        <v>14</v>
      </c>
      <c r="P243" s="2">
        <v>13</v>
      </c>
      <c r="Q243" s="4">
        <v>6350</v>
      </c>
      <c r="R243" s="4">
        <v>5880</v>
      </c>
      <c r="S243" s="4">
        <v>97</v>
      </c>
      <c r="T243" s="19">
        <f>(ProductionData[[#This Row],[Rejected_Qty]])/ProductionData[[#This Row],[Produced_Qty]]</f>
        <v>1.6496598639455781E-2</v>
      </c>
      <c r="U243" s="19">
        <f>ProductionData[[#This Row],[Produced_Qty]]/ProductionData[[#This Row],[Planned_Qty]]</f>
        <v>0.92598425196850398</v>
      </c>
      <c r="V243" s="2" t="s">
        <v>103</v>
      </c>
      <c r="W243" s="11">
        <v>0</v>
      </c>
      <c r="X243" s="13">
        <f>W243/60</f>
        <v>0</v>
      </c>
      <c r="Y243" s="2" t="s">
        <v>90</v>
      </c>
      <c r="Z243" s="2">
        <v>51</v>
      </c>
      <c r="AA243" s="2">
        <f>ProductionData[[#This Row],[Rejected_Qty]]*ProductionData[[#This Row],[Unit_Cost_INR]]</f>
        <v>4947</v>
      </c>
      <c r="AB243" s="4">
        <v>16976</v>
      </c>
      <c r="AC243" s="4">
        <v>6060</v>
      </c>
      <c r="AD243" s="4">
        <v>6060</v>
      </c>
      <c r="AE243" s="4">
        <v>16699</v>
      </c>
      <c r="AF243" s="4">
        <v>9000</v>
      </c>
    </row>
    <row r="244" spans="1:32">
      <c r="A244" s="2" t="s">
        <v>608</v>
      </c>
      <c r="B244" s="3">
        <v>46132</v>
      </c>
      <c r="C244" s="36" t="s">
        <v>78</v>
      </c>
      <c r="D244" s="2">
        <f>MONTH(ProductionData[[#This Row],[Month]])</f>
        <v>4</v>
      </c>
      <c r="E244" s="2" t="s">
        <v>116</v>
      </c>
      <c r="F244" s="2" t="s">
        <v>66</v>
      </c>
      <c r="G244" s="2" t="s">
        <v>195</v>
      </c>
      <c r="H244" s="2" t="s">
        <v>196</v>
      </c>
      <c r="I244" s="2" t="s">
        <v>197</v>
      </c>
      <c r="J244" s="2" t="s">
        <v>586</v>
      </c>
      <c r="K244" s="2" t="s">
        <v>587</v>
      </c>
      <c r="L244" s="2" t="s">
        <v>609</v>
      </c>
      <c r="M244" s="2" t="s">
        <v>73</v>
      </c>
      <c r="N244" s="2" t="s">
        <v>88</v>
      </c>
      <c r="O244" s="2">
        <v>14</v>
      </c>
      <c r="P244" s="2">
        <v>13</v>
      </c>
      <c r="Q244" s="4">
        <v>6180</v>
      </c>
      <c r="R244" s="4">
        <v>5630</v>
      </c>
      <c r="S244" s="4">
        <v>143</v>
      </c>
      <c r="T244" s="19">
        <f>(ProductionData[[#This Row],[Rejected_Qty]])/ProductionData[[#This Row],[Produced_Qty]]</f>
        <v>2.5399644760213145E-2</v>
      </c>
      <c r="U244" s="19">
        <f>ProductionData[[#This Row],[Produced_Qty]]/ProductionData[[#This Row],[Planned_Qty]]</f>
        <v>0.9110032362459547</v>
      </c>
      <c r="V244" s="2" t="s">
        <v>109</v>
      </c>
      <c r="W244" s="11">
        <v>31</v>
      </c>
      <c r="X244" s="13">
        <f>W244/60</f>
        <v>0.51666666666666672</v>
      </c>
      <c r="Y244" s="2" t="s">
        <v>76</v>
      </c>
      <c r="Z244" s="2">
        <v>51</v>
      </c>
      <c r="AA244" s="2">
        <f>ProductionData[[#This Row],[Rejected_Qty]]*ProductionData[[#This Row],[Unit_Cost_INR]]</f>
        <v>7293</v>
      </c>
      <c r="AB244" s="4">
        <v>17066</v>
      </c>
      <c r="AC244" s="4">
        <v>5880</v>
      </c>
      <c r="AD244" s="4">
        <v>5880</v>
      </c>
      <c r="AE244" s="4">
        <v>16673</v>
      </c>
      <c r="AF244" s="4">
        <v>9000</v>
      </c>
    </row>
    <row r="245" spans="1:32">
      <c r="A245" s="2" t="s">
        <v>610</v>
      </c>
      <c r="B245" s="3">
        <v>46119</v>
      </c>
      <c r="C245" s="36" t="s">
        <v>78</v>
      </c>
      <c r="D245" s="2">
        <f>MONTH(ProductionData[[#This Row],[Month]])</f>
        <v>4</v>
      </c>
      <c r="E245" s="2" t="s">
        <v>92</v>
      </c>
      <c r="F245" s="2" t="s">
        <v>93</v>
      </c>
      <c r="G245" s="2" t="s">
        <v>195</v>
      </c>
      <c r="H245" s="2" t="s">
        <v>196</v>
      </c>
      <c r="I245" s="2" t="s">
        <v>197</v>
      </c>
      <c r="J245" s="2" t="s">
        <v>586</v>
      </c>
      <c r="K245" s="2" t="s">
        <v>587</v>
      </c>
      <c r="L245" s="2" t="s">
        <v>611</v>
      </c>
      <c r="M245" s="2" t="s">
        <v>95</v>
      </c>
      <c r="N245" s="2" t="s">
        <v>96</v>
      </c>
      <c r="O245" s="2">
        <v>14</v>
      </c>
      <c r="P245" s="2">
        <v>11</v>
      </c>
      <c r="Q245" s="4">
        <v>5390</v>
      </c>
      <c r="R245" s="4">
        <v>4600</v>
      </c>
      <c r="S245" s="4">
        <v>179</v>
      </c>
      <c r="T245" s="19">
        <f>(ProductionData[[#This Row],[Rejected_Qty]])/ProductionData[[#This Row],[Produced_Qty]]</f>
        <v>3.891304347826087E-2</v>
      </c>
      <c r="U245" s="19">
        <f>ProductionData[[#This Row],[Produced_Qty]]/ProductionData[[#This Row],[Planned_Qty]]</f>
        <v>0.85343228200371057</v>
      </c>
      <c r="V245" s="2" t="s">
        <v>113</v>
      </c>
      <c r="W245" s="11">
        <v>71</v>
      </c>
      <c r="X245" s="13">
        <f>W245/60</f>
        <v>1.1833333333333333</v>
      </c>
      <c r="Y245" s="2" t="s">
        <v>76</v>
      </c>
      <c r="Z245" s="2">
        <v>51</v>
      </c>
      <c r="AA245" s="2">
        <f>ProductionData[[#This Row],[Rejected_Qty]]*ProductionData[[#This Row],[Unit_Cost_INR]]</f>
        <v>9129</v>
      </c>
      <c r="AB245" s="4">
        <v>17041</v>
      </c>
      <c r="AC245" s="4">
        <v>4900</v>
      </c>
      <c r="AD245" s="4">
        <v>4900</v>
      </c>
      <c r="AE245" s="4">
        <v>16562</v>
      </c>
      <c r="AF245" s="4">
        <v>9000</v>
      </c>
    </row>
    <row r="246" spans="1:32">
      <c r="A246" s="2" t="s">
        <v>612</v>
      </c>
      <c r="B246" s="3">
        <v>46133</v>
      </c>
      <c r="C246" s="36" t="s">
        <v>78</v>
      </c>
      <c r="D246" s="2">
        <f>MONTH(ProductionData[[#This Row],[Month]])</f>
        <v>4</v>
      </c>
      <c r="E246" s="2" t="s">
        <v>92</v>
      </c>
      <c r="F246" s="2" t="s">
        <v>80</v>
      </c>
      <c r="G246" s="2" t="s">
        <v>195</v>
      </c>
      <c r="H246" s="2" t="s">
        <v>196</v>
      </c>
      <c r="I246" s="2" t="s">
        <v>197</v>
      </c>
      <c r="J246" s="2" t="s">
        <v>586</v>
      </c>
      <c r="K246" s="2" t="s">
        <v>587</v>
      </c>
      <c r="L246" s="2" t="s">
        <v>613</v>
      </c>
      <c r="M246" s="2" t="s">
        <v>102</v>
      </c>
      <c r="N246" s="2" t="s">
        <v>96</v>
      </c>
      <c r="O246" s="2">
        <v>14</v>
      </c>
      <c r="P246" s="2">
        <v>13</v>
      </c>
      <c r="Q246" s="4">
        <v>5670</v>
      </c>
      <c r="R246" s="4">
        <v>5140</v>
      </c>
      <c r="S246" s="4">
        <v>154</v>
      </c>
      <c r="T246" s="19">
        <f>(ProductionData[[#This Row],[Rejected_Qty]])/ProductionData[[#This Row],[Produced_Qty]]</f>
        <v>2.9961089494163425E-2</v>
      </c>
      <c r="U246" s="19">
        <f>ProductionData[[#This Row],[Produced_Qty]]/ProductionData[[#This Row],[Planned_Qty]]</f>
        <v>0.90652557319223981</v>
      </c>
      <c r="V246" s="2" t="s">
        <v>109</v>
      </c>
      <c r="W246" s="11">
        <v>64</v>
      </c>
      <c r="X246" s="13">
        <f>W246/60</f>
        <v>1.0666666666666667</v>
      </c>
      <c r="Y246" s="2" t="s">
        <v>76</v>
      </c>
      <c r="Z246" s="2">
        <v>51</v>
      </c>
      <c r="AA246" s="2">
        <f>ProductionData[[#This Row],[Rejected_Qty]]*ProductionData[[#This Row],[Unit_Cost_INR]]</f>
        <v>7854</v>
      </c>
      <c r="AB246" s="4">
        <v>16961</v>
      </c>
      <c r="AC246" s="4">
        <v>5530</v>
      </c>
      <c r="AD246" s="4">
        <v>5530</v>
      </c>
      <c r="AE246" s="4">
        <v>16417</v>
      </c>
      <c r="AF246" s="4">
        <v>9000</v>
      </c>
    </row>
    <row r="247" spans="1:32">
      <c r="A247" s="2" t="s">
        <v>614</v>
      </c>
      <c r="B247" s="3">
        <v>46123</v>
      </c>
      <c r="C247" s="36" t="s">
        <v>78</v>
      </c>
      <c r="D247" s="2">
        <f>MONTH(ProductionData[[#This Row],[Month]])</f>
        <v>4</v>
      </c>
      <c r="E247" s="2" t="s">
        <v>65</v>
      </c>
      <c r="F247" s="2" t="s">
        <v>93</v>
      </c>
      <c r="G247" s="2" t="s">
        <v>195</v>
      </c>
      <c r="H247" s="2" t="s">
        <v>196</v>
      </c>
      <c r="I247" s="2" t="s">
        <v>197</v>
      </c>
      <c r="J247" s="2" t="s">
        <v>586</v>
      </c>
      <c r="K247" s="2" t="s">
        <v>587</v>
      </c>
      <c r="L247" s="2" t="s">
        <v>615</v>
      </c>
      <c r="M247" s="2" t="s">
        <v>133</v>
      </c>
      <c r="N247" s="2" t="s">
        <v>96</v>
      </c>
      <c r="O247" s="2">
        <v>14</v>
      </c>
      <c r="P247" s="2">
        <v>9</v>
      </c>
      <c r="Q247" s="4">
        <v>5880</v>
      </c>
      <c r="R247" s="4">
        <v>4570</v>
      </c>
      <c r="S247" s="4">
        <v>90</v>
      </c>
      <c r="T247" s="19">
        <f>(ProductionData[[#This Row],[Rejected_Qty]])/ProductionData[[#This Row],[Produced_Qty]]</f>
        <v>1.9693654266958426E-2</v>
      </c>
      <c r="U247" s="19">
        <f>ProductionData[[#This Row],[Produced_Qty]]/ProductionData[[#This Row],[Planned_Qty]]</f>
        <v>0.77721088435374153</v>
      </c>
      <c r="V247" s="2" t="s">
        <v>103</v>
      </c>
      <c r="W247" s="11">
        <v>0</v>
      </c>
      <c r="X247" s="13">
        <f>W247/60</f>
        <v>0</v>
      </c>
      <c r="Y247" s="2" t="s">
        <v>90</v>
      </c>
      <c r="Z247" s="2">
        <v>51</v>
      </c>
      <c r="AA247" s="2">
        <f>ProductionData[[#This Row],[Rejected_Qty]]*ProductionData[[#This Row],[Unit_Cost_INR]]</f>
        <v>4590</v>
      </c>
      <c r="AB247" s="4">
        <v>17230</v>
      </c>
      <c r="AC247" s="4">
        <v>5420</v>
      </c>
      <c r="AD247" s="4">
        <v>5420</v>
      </c>
      <c r="AE247" s="4">
        <v>16290</v>
      </c>
      <c r="AF247" s="4">
        <v>9000</v>
      </c>
    </row>
    <row r="248" spans="1:32">
      <c r="A248" s="2" t="s">
        <v>616</v>
      </c>
      <c r="B248" s="3">
        <v>46120</v>
      </c>
      <c r="C248" s="36" t="s">
        <v>78</v>
      </c>
      <c r="D248" s="2">
        <f>MONTH(ProductionData[[#This Row],[Month]])</f>
        <v>4</v>
      </c>
      <c r="E248" s="2" t="s">
        <v>79</v>
      </c>
      <c r="F248" s="2" t="s">
        <v>80</v>
      </c>
      <c r="G248" s="2" t="s">
        <v>195</v>
      </c>
      <c r="H248" s="2" t="s">
        <v>196</v>
      </c>
      <c r="I248" s="2" t="s">
        <v>197</v>
      </c>
      <c r="J248" s="2" t="s">
        <v>586</v>
      </c>
      <c r="K248" s="2" t="s">
        <v>587</v>
      </c>
      <c r="L248" s="2" t="s">
        <v>617</v>
      </c>
      <c r="M248" s="2" t="s">
        <v>87</v>
      </c>
      <c r="N248" s="2" t="s">
        <v>88</v>
      </c>
      <c r="O248" s="2">
        <v>14</v>
      </c>
      <c r="P248" s="2">
        <v>12</v>
      </c>
      <c r="Q248" s="4">
        <v>6290</v>
      </c>
      <c r="R248" s="4">
        <v>5660</v>
      </c>
      <c r="S248" s="4">
        <v>136</v>
      </c>
      <c r="T248" s="19">
        <f>(ProductionData[[#This Row],[Rejected_Qty]])/ProductionData[[#This Row],[Produced_Qty]]</f>
        <v>2.4028268551236749E-2</v>
      </c>
      <c r="U248" s="19">
        <f>ProductionData[[#This Row],[Produced_Qty]]/ProductionData[[#This Row],[Planned_Qty]]</f>
        <v>0.89984101748807632</v>
      </c>
      <c r="V248" s="2" t="s">
        <v>75</v>
      </c>
      <c r="W248" s="11">
        <v>26</v>
      </c>
      <c r="X248" s="13">
        <f>W248/60</f>
        <v>0.43333333333333335</v>
      </c>
      <c r="Y248" s="2" t="s">
        <v>114</v>
      </c>
      <c r="Z248" s="2">
        <v>51</v>
      </c>
      <c r="AA248" s="2">
        <f>ProductionData[[#This Row],[Rejected_Qty]]*ProductionData[[#This Row],[Unit_Cost_INR]]</f>
        <v>6936</v>
      </c>
      <c r="AB248" s="4">
        <v>16562</v>
      </c>
      <c r="AC248" s="4">
        <v>6050</v>
      </c>
      <c r="AD248" s="4">
        <v>6050</v>
      </c>
      <c r="AE248" s="4">
        <v>16036</v>
      </c>
      <c r="AF248" s="4">
        <v>9000</v>
      </c>
    </row>
    <row r="249" spans="1:32">
      <c r="A249" s="2" t="s">
        <v>618</v>
      </c>
      <c r="B249" s="3">
        <v>46125</v>
      </c>
      <c r="C249" s="36" t="s">
        <v>78</v>
      </c>
      <c r="D249" s="2">
        <f>MONTH(ProductionData[[#This Row],[Month]])</f>
        <v>4</v>
      </c>
      <c r="E249" s="2" t="s">
        <v>116</v>
      </c>
      <c r="F249" s="2" t="s">
        <v>93</v>
      </c>
      <c r="G249" s="2" t="s">
        <v>195</v>
      </c>
      <c r="H249" s="2" t="s">
        <v>196</v>
      </c>
      <c r="I249" s="2" t="s">
        <v>197</v>
      </c>
      <c r="J249" s="2" t="s">
        <v>586</v>
      </c>
      <c r="K249" s="2" t="s">
        <v>587</v>
      </c>
      <c r="L249" s="2" t="s">
        <v>619</v>
      </c>
      <c r="M249" s="2" t="s">
        <v>95</v>
      </c>
      <c r="N249" s="2" t="s">
        <v>88</v>
      </c>
      <c r="O249" s="2">
        <v>14</v>
      </c>
      <c r="P249" s="2">
        <v>13</v>
      </c>
      <c r="Q249" s="4">
        <v>5890</v>
      </c>
      <c r="R249" s="4">
        <v>5390</v>
      </c>
      <c r="S249" s="4">
        <v>159</v>
      </c>
      <c r="T249" s="19">
        <f>(ProductionData[[#This Row],[Rejected_Qty]])/ProductionData[[#This Row],[Produced_Qty]]</f>
        <v>2.9499072356215215E-2</v>
      </c>
      <c r="U249" s="19">
        <f>ProductionData[[#This Row],[Produced_Qty]]/ProductionData[[#This Row],[Planned_Qty]]</f>
        <v>0.91511035653650252</v>
      </c>
      <c r="V249" s="2" t="s">
        <v>89</v>
      </c>
      <c r="W249" s="11">
        <v>56</v>
      </c>
      <c r="X249" s="13">
        <f>W249/60</f>
        <v>0.93333333333333335</v>
      </c>
      <c r="Y249" s="2" t="s">
        <v>110</v>
      </c>
      <c r="Z249" s="2">
        <v>51</v>
      </c>
      <c r="AA249" s="2">
        <f>ProductionData[[#This Row],[Rejected_Qty]]*ProductionData[[#This Row],[Unit_Cost_INR]]</f>
        <v>8109</v>
      </c>
      <c r="AB249" s="4">
        <v>16290</v>
      </c>
      <c r="AC249" s="4">
        <v>5500</v>
      </c>
      <c r="AD249" s="4">
        <v>5500</v>
      </c>
      <c r="AE249" s="4">
        <v>16021</v>
      </c>
      <c r="AF249" s="4">
        <v>9000</v>
      </c>
    </row>
    <row r="250" spans="1:32">
      <c r="A250" s="2" t="s">
        <v>620</v>
      </c>
      <c r="B250" s="3">
        <v>46127</v>
      </c>
      <c r="C250" s="36" t="s">
        <v>78</v>
      </c>
      <c r="D250" s="2">
        <f>MONTH(ProductionData[[#This Row],[Month]])</f>
        <v>4</v>
      </c>
      <c r="E250" s="2" t="s">
        <v>79</v>
      </c>
      <c r="F250" s="2" t="s">
        <v>66</v>
      </c>
      <c r="G250" s="2" t="s">
        <v>195</v>
      </c>
      <c r="H250" s="2" t="s">
        <v>196</v>
      </c>
      <c r="I250" s="2" t="s">
        <v>197</v>
      </c>
      <c r="J250" s="2" t="s">
        <v>586</v>
      </c>
      <c r="K250" s="2" t="s">
        <v>587</v>
      </c>
      <c r="L250" s="2" t="s">
        <v>621</v>
      </c>
      <c r="M250" s="2" t="s">
        <v>99</v>
      </c>
      <c r="N250" s="2" t="s">
        <v>96</v>
      </c>
      <c r="O250" s="2">
        <v>14</v>
      </c>
      <c r="P250" s="2">
        <v>12</v>
      </c>
      <c r="Q250" s="4">
        <v>6430</v>
      </c>
      <c r="R250" s="4">
        <v>5730</v>
      </c>
      <c r="S250" s="4">
        <v>138</v>
      </c>
      <c r="T250" s="19">
        <f>(ProductionData[[#This Row],[Rejected_Qty]])/ProductionData[[#This Row],[Produced_Qty]]</f>
        <v>2.4083769633507852E-2</v>
      </c>
      <c r="U250" s="19">
        <f>ProductionData[[#This Row],[Produced_Qty]]/ProductionData[[#This Row],[Planned_Qty]]</f>
        <v>0.89113530326594093</v>
      </c>
      <c r="V250" s="2" t="s">
        <v>109</v>
      </c>
      <c r="W250" s="11">
        <v>65</v>
      </c>
      <c r="X250" s="13">
        <f>W250/60</f>
        <v>1.0833333333333333</v>
      </c>
      <c r="Y250" s="2" t="s">
        <v>182</v>
      </c>
      <c r="Z250" s="2">
        <v>51</v>
      </c>
      <c r="AA250" s="2">
        <f>ProductionData[[#This Row],[Rejected_Qty]]*ProductionData[[#This Row],[Unit_Cost_INR]]</f>
        <v>7038</v>
      </c>
      <c r="AB250" s="4">
        <v>15735</v>
      </c>
      <c r="AC250" s="4">
        <v>5310</v>
      </c>
      <c r="AD250" s="4">
        <v>5310</v>
      </c>
      <c r="AE250" s="4">
        <v>16017</v>
      </c>
      <c r="AF250" s="4">
        <v>9000</v>
      </c>
    </row>
    <row r="251" spans="1:32">
      <c r="A251" s="2" t="s">
        <v>622</v>
      </c>
      <c r="B251" s="3">
        <v>46134</v>
      </c>
      <c r="C251" s="36" t="s">
        <v>78</v>
      </c>
      <c r="D251" s="2">
        <f>MONTH(ProductionData[[#This Row],[Month]])</f>
        <v>4</v>
      </c>
      <c r="E251" s="2" t="s">
        <v>79</v>
      </c>
      <c r="F251" s="2" t="s">
        <v>66</v>
      </c>
      <c r="G251" s="2" t="s">
        <v>195</v>
      </c>
      <c r="H251" s="2" t="s">
        <v>196</v>
      </c>
      <c r="I251" s="2" t="s">
        <v>197</v>
      </c>
      <c r="J251" s="2" t="s">
        <v>586</v>
      </c>
      <c r="K251" s="2" t="s">
        <v>587</v>
      </c>
      <c r="L251" s="2" t="s">
        <v>623</v>
      </c>
      <c r="M251" s="2" t="s">
        <v>73</v>
      </c>
      <c r="N251" s="2" t="s">
        <v>88</v>
      </c>
      <c r="O251" s="2">
        <v>14</v>
      </c>
      <c r="P251" s="2">
        <v>14</v>
      </c>
      <c r="Q251" s="4">
        <v>6100</v>
      </c>
      <c r="R251" s="4">
        <v>5620</v>
      </c>
      <c r="S251" s="4">
        <v>185</v>
      </c>
      <c r="T251" s="19">
        <f>(ProductionData[[#This Row],[Rejected_Qty]])/ProductionData[[#This Row],[Produced_Qty]]</f>
        <v>3.2918149466192169E-2</v>
      </c>
      <c r="U251" s="19">
        <f>ProductionData[[#This Row],[Produced_Qty]]/ProductionData[[#This Row],[Planned_Qty]]</f>
        <v>0.92131147540983604</v>
      </c>
      <c r="V251" s="2" t="s">
        <v>89</v>
      </c>
      <c r="W251" s="11">
        <v>60</v>
      </c>
      <c r="X251" s="13">
        <f>W251/60</f>
        <v>1</v>
      </c>
      <c r="Y251" s="2" t="s">
        <v>110</v>
      </c>
      <c r="Z251" s="2">
        <v>51</v>
      </c>
      <c r="AA251" s="2">
        <f>ProductionData[[#This Row],[Rejected_Qty]]*ProductionData[[#This Row],[Unit_Cost_INR]]</f>
        <v>9435</v>
      </c>
      <c r="AB251" s="4">
        <v>15743</v>
      </c>
      <c r="AC251" s="4">
        <v>5170</v>
      </c>
      <c r="AD251" s="4">
        <v>5170</v>
      </c>
      <c r="AE251" s="4">
        <v>16008</v>
      </c>
      <c r="AF251" s="4">
        <v>9000</v>
      </c>
    </row>
    <row r="252" spans="1:32">
      <c r="A252" s="2" t="s">
        <v>624</v>
      </c>
      <c r="B252" s="3">
        <v>46140</v>
      </c>
      <c r="C252" s="36" t="s">
        <v>78</v>
      </c>
      <c r="D252" s="2">
        <f>MONTH(ProductionData[[#This Row],[Month]])</f>
        <v>4</v>
      </c>
      <c r="E252" s="2" t="s">
        <v>92</v>
      </c>
      <c r="F252" s="2" t="s">
        <v>93</v>
      </c>
      <c r="G252" s="2" t="s">
        <v>195</v>
      </c>
      <c r="H252" s="2" t="s">
        <v>196</v>
      </c>
      <c r="I252" s="2" t="s">
        <v>197</v>
      </c>
      <c r="J252" s="2" t="s">
        <v>586</v>
      </c>
      <c r="K252" s="2" t="s">
        <v>587</v>
      </c>
      <c r="L252" s="2" t="s">
        <v>625</v>
      </c>
      <c r="M252" s="2" t="s">
        <v>133</v>
      </c>
      <c r="N252" s="2" t="s">
        <v>88</v>
      </c>
      <c r="O252" s="2">
        <v>14</v>
      </c>
      <c r="P252" s="2">
        <v>13</v>
      </c>
      <c r="Q252" s="4">
        <v>5770</v>
      </c>
      <c r="R252" s="4">
        <v>5300</v>
      </c>
      <c r="S252" s="4">
        <v>113</v>
      </c>
      <c r="T252" s="19">
        <f>(ProductionData[[#This Row],[Rejected_Qty]])/ProductionData[[#This Row],[Produced_Qty]]</f>
        <v>2.1320754716981132E-2</v>
      </c>
      <c r="U252" s="19">
        <f>ProductionData[[#This Row],[Produced_Qty]]/ProductionData[[#This Row],[Planned_Qty]]</f>
        <v>0.91854419410745236</v>
      </c>
      <c r="V252" s="2" t="s">
        <v>109</v>
      </c>
      <c r="W252" s="11">
        <v>50</v>
      </c>
      <c r="X252" s="13">
        <f>W252/60</f>
        <v>0.83333333333333337</v>
      </c>
      <c r="Y252" s="2" t="s">
        <v>110</v>
      </c>
      <c r="Z252" s="2">
        <v>51</v>
      </c>
      <c r="AA252" s="2">
        <f>ProductionData[[#This Row],[Rejected_Qty]]*ProductionData[[#This Row],[Unit_Cost_INR]]</f>
        <v>5763</v>
      </c>
      <c r="AB252" s="4">
        <v>15170</v>
      </c>
      <c r="AC252" s="4">
        <v>4440</v>
      </c>
      <c r="AD252" s="4">
        <v>4440</v>
      </c>
      <c r="AE252" s="4">
        <v>15917</v>
      </c>
      <c r="AF252" s="4">
        <v>9000</v>
      </c>
    </row>
    <row r="253" spans="1:32">
      <c r="A253" s="2" t="s">
        <v>626</v>
      </c>
      <c r="B253" s="3">
        <v>46141</v>
      </c>
      <c r="C253" s="36" t="s">
        <v>78</v>
      </c>
      <c r="D253" s="2">
        <f>MONTH(ProductionData[[#This Row],[Month]])</f>
        <v>4</v>
      </c>
      <c r="E253" s="2" t="s">
        <v>79</v>
      </c>
      <c r="F253" s="2" t="s">
        <v>93</v>
      </c>
      <c r="G253" s="2" t="s">
        <v>195</v>
      </c>
      <c r="H253" s="2" t="s">
        <v>196</v>
      </c>
      <c r="I253" s="2" t="s">
        <v>197</v>
      </c>
      <c r="J253" s="2" t="s">
        <v>586</v>
      </c>
      <c r="K253" s="2" t="s">
        <v>587</v>
      </c>
      <c r="L253" s="2" t="s">
        <v>627</v>
      </c>
      <c r="M253" s="2" t="s">
        <v>133</v>
      </c>
      <c r="N253" s="2" t="s">
        <v>88</v>
      </c>
      <c r="O253" s="2">
        <v>14</v>
      </c>
      <c r="P253" s="2">
        <v>14</v>
      </c>
      <c r="Q253" s="4">
        <v>6030</v>
      </c>
      <c r="R253" s="4">
        <v>5680</v>
      </c>
      <c r="S253" s="4">
        <v>145</v>
      </c>
      <c r="T253" s="19">
        <f>(ProductionData[[#This Row],[Rejected_Qty]])/ProductionData[[#This Row],[Produced_Qty]]</f>
        <v>2.5528169014084508E-2</v>
      </c>
      <c r="U253" s="19">
        <f>ProductionData[[#This Row],[Produced_Qty]]/ProductionData[[#This Row],[Planned_Qty]]</f>
        <v>0.94195688225538976</v>
      </c>
      <c r="V253" s="2" t="s">
        <v>75</v>
      </c>
      <c r="W253" s="11">
        <v>32</v>
      </c>
      <c r="X253" s="13">
        <f>W253/60</f>
        <v>0.53333333333333333</v>
      </c>
      <c r="Y253" s="2" t="s">
        <v>110</v>
      </c>
      <c r="Z253" s="2">
        <v>51</v>
      </c>
      <c r="AA253" s="2">
        <f>ProductionData[[#This Row],[Rejected_Qty]]*ProductionData[[#This Row],[Unit_Cost_INR]]</f>
        <v>7395</v>
      </c>
      <c r="AB253" s="4">
        <v>15917</v>
      </c>
      <c r="AC253" s="4">
        <v>5590</v>
      </c>
      <c r="AD253" s="4">
        <v>5590</v>
      </c>
      <c r="AE253" s="4">
        <v>15862</v>
      </c>
      <c r="AF253" s="4">
        <v>9000</v>
      </c>
    </row>
    <row r="254" spans="1:32">
      <c r="A254" s="2" t="s">
        <v>628</v>
      </c>
      <c r="B254" s="3">
        <v>46142</v>
      </c>
      <c r="C254" s="36" t="s">
        <v>78</v>
      </c>
      <c r="D254" s="2">
        <f>MONTH(ProductionData[[#This Row],[Month]])</f>
        <v>4</v>
      </c>
      <c r="E254" s="2" t="s">
        <v>107</v>
      </c>
      <c r="F254" s="2" t="s">
        <v>93</v>
      </c>
      <c r="G254" s="2" t="s">
        <v>174</v>
      </c>
      <c r="H254" s="2" t="s">
        <v>175</v>
      </c>
      <c r="I254" s="2" t="s">
        <v>176</v>
      </c>
      <c r="J254" s="2" t="s">
        <v>629</v>
      </c>
      <c r="K254" s="2" t="s">
        <v>630</v>
      </c>
      <c r="L254" s="2" t="s">
        <v>631</v>
      </c>
      <c r="M254" s="2" t="s">
        <v>95</v>
      </c>
      <c r="N254" s="2" t="s">
        <v>96</v>
      </c>
      <c r="O254" s="2">
        <v>10</v>
      </c>
      <c r="P254" s="2">
        <v>9</v>
      </c>
      <c r="Q254" s="4">
        <v>4520</v>
      </c>
      <c r="R254" s="4">
        <v>3960</v>
      </c>
      <c r="S254" s="4">
        <v>58</v>
      </c>
      <c r="T254" s="19">
        <f>(ProductionData[[#This Row],[Rejected_Qty]])/ProductionData[[#This Row],[Produced_Qty]]</f>
        <v>1.4646464646464647E-2</v>
      </c>
      <c r="U254" s="19">
        <f>ProductionData[[#This Row],[Produced_Qty]]/ProductionData[[#This Row],[Planned_Qty]]</f>
        <v>0.87610619469026552</v>
      </c>
      <c r="V254" s="2" t="s">
        <v>89</v>
      </c>
      <c r="W254" s="11">
        <v>65</v>
      </c>
      <c r="X254" s="13">
        <f>W254/60</f>
        <v>1.0833333333333333</v>
      </c>
      <c r="Y254" s="2" t="s">
        <v>110</v>
      </c>
      <c r="Z254" s="2">
        <v>29</v>
      </c>
      <c r="AA254" s="2">
        <f>ProductionData[[#This Row],[Rejected_Qty]]*ProductionData[[#This Row],[Unit_Cost_INR]]</f>
        <v>1682</v>
      </c>
      <c r="AB254" s="4">
        <v>15717</v>
      </c>
      <c r="AC254" s="4">
        <v>3800</v>
      </c>
      <c r="AD254" s="4">
        <v>3800</v>
      </c>
      <c r="AE254" s="4">
        <v>15819</v>
      </c>
      <c r="AF254" s="4">
        <v>7500</v>
      </c>
    </row>
    <row r="255" spans="1:32">
      <c r="A255" s="2" t="s">
        <v>632</v>
      </c>
      <c r="B255" s="3">
        <v>46120</v>
      </c>
      <c r="C255" s="36" t="s">
        <v>78</v>
      </c>
      <c r="D255" s="2">
        <f>MONTH(ProductionData[[#This Row],[Month]])</f>
        <v>4</v>
      </c>
      <c r="E255" s="2" t="s">
        <v>79</v>
      </c>
      <c r="F255" s="2" t="s">
        <v>93</v>
      </c>
      <c r="G255" s="2" t="s">
        <v>195</v>
      </c>
      <c r="H255" s="2" t="s">
        <v>196</v>
      </c>
      <c r="I255" s="2" t="s">
        <v>197</v>
      </c>
      <c r="J255" s="2" t="s">
        <v>586</v>
      </c>
      <c r="K255" s="2" t="s">
        <v>587</v>
      </c>
      <c r="L255" s="2" t="s">
        <v>633</v>
      </c>
      <c r="M255" s="2" t="s">
        <v>133</v>
      </c>
      <c r="N255" s="2" t="s">
        <v>96</v>
      </c>
      <c r="O255" s="2">
        <v>14</v>
      </c>
      <c r="P255" s="2">
        <v>13</v>
      </c>
      <c r="Q255" s="4">
        <v>5630</v>
      </c>
      <c r="R255" s="4">
        <v>5250</v>
      </c>
      <c r="S255" s="4">
        <v>66</v>
      </c>
      <c r="T255" s="19">
        <f>(ProductionData[[#This Row],[Rejected_Qty]])/ProductionData[[#This Row],[Produced_Qty]]</f>
        <v>1.2571428571428572E-2</v>
      </c>
      <c r="U255" s="19">
        <f>ProductionData[[#This Row],[Produced_Qty]]/ProductionData[[#This Row],[Planned_Qty]]</f>
        <v>0.93250444049733572</v>
      </c>
      <c r="V255" s="2" t="s">
        <v>75</v>
      </c>
      <c r="W255" s="11">
        <v>0</v>
      </c>
      <c r="X255" s="13">
        <f>W255/60</f>
        <v>0</v>
      </c>
      <c r="Y255" s="2" t="s">
        <v>90</v>
      </c>
      <c r="Z255" s="2">
        <v>51</v>
      </c>
      <c r="AA255" s="2">
        <f>ProductionData[[#This Row],[Rejected_Qty]]*ProductionData[[#This Row],[Unit_Cost_INR]]</f>
        <v>3366</v>
      </c>
      <c r="AB255" s="4">
        <v>16036</v>
      </c>
      <c r="AC255" s="4">
        <v>5410</v>
      </c>
      <c r="AD255" s="4">
        <v>5410</v>
      </c>
      <c r="AE255" s="4">
        <v>15810</v>
      </c>
      <c r="AF255" s="4">
        <v>9000</v>
      </c>
    </row>
    <row r="256" spans="1:32">
      <c r="A256" s="2" t="s">
        <v>634</v>
      </c>
      <c r="B256" s="3">
        <v>46133</v>
      </c>
      <c r="C256" s="36" t="s">
        <v>78</v>
      </c>
      <c r="D256" s="2">
        <f>MONTH(ProductionData[[#This Row],[Month]])</f>
        <v>4</v>
      </c>
      <c r="E256" s="2" t="s">
        <v>92</v>
      </c>
      <c r="F256" s="2" t="s">
        <v>93</v>
      </c>
      <c r="G256" s="2" t="s">
        <v>195</v>
      </c>
      <c r="H256" s="2" t="s">
        <v>196</v>
      </c>
      <c r="I256" s="2" t="s">
        <v>197</v>
      </c>
      <c r="J256" s="2" t="s">
        <v>586</v>
      </c>
      <c r="K256" s="2" t="s">
        <v>587</v>
      </c>
      <c r="L256" s="2" t="s">
        <v>635</v>
      </c>
      <c r="M256" s="2" t="s">
        <v>133</v>
      </c>
      <c r="N256" s="2" t="s">
        <v>88</v>
      </c>
      <c r="O256" s="2">
        <v>14</v>
      </c>
      <c r="P256" s="2">
        <v>9</v>
      </c>
      <c r="Q256" s="4">
        <v>5720</v>
      </c>
      <c r="R256" s="4">
        <v>4550</v>
      </c>
      <c r="S256" s="4">
        <v>134</v>
      </c>
      <c r="T256" s="19">
        <f>(ProductionData[[#This Row],[Rejected_Qty]])/ProductionData[[#This Row],[Produced_Qty]]</f>
        <v>2.9450549450549451E-2</v>
      </c>
      <c r="U256" s="19">
        <f>ProductionData[[#This Row],[Produced_Qty]]/ProductionData[[#This Row],[Planned_Qty]]</f>
        <v>0.79545454545454541</v>
      </c>
      <c r="V256" s="2" t="s">
        <v>75</v>
      </c>
      <c r="W256" s="11">
        <v>0</v>
      </c>
      <c r="X256" s="13">
        <f>W256/60</f>
        <v>0</v>
      </c>
      <c r="Y256" s="2" t="s">
        <v>90</v>
      </c>
      <c r="Z256" s="2">
        <v>51</v>
      </c>
      <c r="AA256" s="2">
        <f>ProductionData[[#This Row],[Rejected_Qty]]*ProductionData[[#This Row],[Unit_Cost_INR]]</f>
        <v>6834</v>
      </c>
      <c r="AB256" s="4">
        <v>16417</v>
      </c>
      <c r="AC256" s="4">
        <v>5090</v>
      </c>
      <c r="AD256" s="4">
        <v>5090</v>
      </c>
      <c r="AE256" s="4">
        <v>15743</v>
      </c>
      <c r="AF256" s="4">
        <v>9000</v>
      </c>
    </row>
    <row r="257" spans="1:32">
      <c r="A257" s="2" t="s">
        <v>636</v>
      </c>
      <c r="B257" s="3">
        <v>46126</v>
      </c>
      <c r="C257" s="36" t="s">
        <v>78</v>
      </c>
      <c r="D257" s="2">
        <f>MONTH(ProductionData[[#This Row],[Month]])</f>
        <v>4</v>
      </c>
      <c r="E257" s="2" t="s">
        <v>92</v>
      </c>
      <c r="F257" s="2" t="s">
        <v>66</v>
      </c>
      <c r="G257" s="2" t="s">
        <v>195</v>
      </c>
      <c r="H257" s="2" t="s">
        <v>196</v>
      </c>
      <c r="I257" s="2" t="s">
        <v>197</v>
      </c>
      <c r="J257" s="2" t="s">
        <v>586</v>
      </c>
      <c r="K257" s="2" t="s">
        <v>587</v>
      </c>
      <c r="L257" s="2" t="s">
        <v>637</v>
      </c>
      <c r="M257" s="2" t="s">
        <v>73</v>
      </c>
      <c r="N257" s="2" t="s">
        <v>88</v>
      </c>
      <c r="O257" s="2">
        <v>14</v>
      </c>
      <c r="P257" s="2">
        <v>12</v>
      </c>
      <c r="Q257" s="4">
        <v>6220</v>
      </c>
      <c r="R257" s="4">
        <v>5600</v>
      </c>
      <c r="S257" s="4">
        <v>176</v>
      </c>
      <c r="T257" s="19">
        <f>(ProductionData[[#This Row],[Rejected_Qty]])/ProductionData[[#This Row],[Produced_Qty]]</f>
        <v>3.1428571428571431E-2</v>
      </c>
      <c r="U257" s="19">
        <f>ProductionData[[#This Row],[Produced_Qty]]/ProductionData[[#This Row],[Planned_Qty]]</f>
        <v>0.90032154340836013</v>
      </c>
      <c r="V257" s="2" t="s">
        <v>103</v>
      </c>
      <c r="W257" s="11">
        <v>0</v>
      </c>
      <c r="X257" s="13">
        <f>W257/60</f>
        <v>0</v>
      </c>
      <c r="Y257" s="2" t="s">
        <v>90</v>
      </c>
      <c r="Z257" s="2">
        <v>51</v>
      </c>
      <c r="AA257" s="2">
        <f>ProductionData[[#This Row],[Rejected_Qty]]*ProductionData[[#This Row],[Unit_Cost_INR]]</f>
        <v>8976</v>
      </c>
      <c r="AB257" s="4">
        <v>16021</v>
      </c>
      <c r="AC257" s="4">
        <v>5710</v>
      </c>
      <c r="AD257" s="4">
        <v>5710</v>
      </c>
      <c r="AE257" s="4">
        <v>15735</v>
      </c>
      <c r="AF257" s="4">
        <v>9000</v>
      </c>
    </row>
    <row r="258" spans="1:32">
      <c r="A258" s="2" t="s">
        <v>638</v>
      </c>
      <c r="B258" s="3">
        <v>46141</v>
      </c>
      <c r="C258" s="36" t="s">
        <v>78</v>
      </c>
      <c r="D258" s="2">
        <f>MONTH(ProductionData[[#This Row],[Month]])</f>
        <v>4</v>
      </c>
      <c r="E258" s="2" t="s">
        <v>79</v>
      </c>
      <c r="F258" s="2" t="s">
        <v>93</v>
      </c>
      <c r="G258" s="2" t="s">
        <v>174</v>
      </c>
      <c r="H258" s="2" t="s">
        <v>175</v>
      </c>
      <c r="I258" s="2" t="s">
        <v>176</v>
      </c>
      <c r="J258" s="2" t="s">
        <v>629</v>
      </c>
      <c r="K258" s="2" t="s">
        <v>630</v>
      </c>
      <c r="L258" s="2" t="s">
        <v>639</v>
      </c>
      <c r="M258" s="2" t="s">
        <v>95</v>
      </c>
      <c r="N258" s="2" t="s">
        <v>88</v>
      </c>
      <c r="O258" s="2">
        <v>10</v>
      </c>
      <c r="P258" s="2">
        <v>10</v>
      </c>
      <c r="Q258" s="4">
        <v>4640</v>
      </c>
      <c r="R258" s="4">
        <v>4540</v>
      </c>
      <c r="S258" s="4">
        <v>113</v>
      </c>
      <c r="T258" s="19">
        <f>(ProductionData[[#This Row],[Rejected_Qty]])/ProductionData[[#This Row],[Produced_Qty]]</f>
        <v>2.4889867841409691E-2</v>
      </c>
      <c r="U258" s="19">
        <f>ProductionData[[#This Row],[Produced_Qty]]/ProductionData[[#This Row],[Planned_Qty]]</f>
        <v>0.97844827586206895</v>
      </c>
      <c r="V258" s="2" t="s">
        <v>113</v>
      </c>
      <c r="W258" s="11">
        <v>40</v>
      </c>
      <c r="X258" s="13">
        <f>W258/60</f>
        <v>0.66666666666666663</v>
      </c>
      <c r="Y258" s="2" t="s">
        <v>110</v>
      </c>
      <c r="Z258" s="2">
        <v>29</v>
      </c>
      <c r="AA258" s="2">
        <f>ProductionData[[#This Row],[Rejected_Qty]]*ProductionData[[#This Row],[Unit_Cost_INR]]</f>
        <v>3277</v>
      </c>
      <c r="AB258" s="4">
        <v>15090</v>
      </c>
      <c r="AC258" s="4">
        <v>3800</v>
      </c>
      <c r="AD258" s="4">
        <v>3800</v>
      </c>
      <c r="AE258" s="4">
        <v>15717</v>
      </c>
      <c r="AF258" s="4">
        <v>7500</v>
      </c>
    </row>
    <row r="259" spans="1:32">
      <c r="A259" s="2" t="s">
        <v>640</v>
      </c>
      <c r="B259" s="3">
        <v>46135</v>
      </c>
      <c r="C259" s="36" t="s">
        <v>78</v>
      </c>
      <c r="D259" s="2">
        <f>MONTH(ProductionData[[#This Row],[Month]])</f>
        <v>4</v>
      </c>
      <c r="E259" s="2" t="s">
        <v>107</v>
      </c>
      <c r="F259" s="2" t="s">
        <v>66</v>
      </c>
      <c r="G259" s="2" t="s">
        <v>195</v>
      </c>
      <c r="H259" s="2" t="s">
        <v>196</v>
      </c>
      <c r="I259" s="2" t="s">
        <v>197</v>
      </c>
      <c r="J259" s="2" t="s">
        <v>586</v>
      </c>
      <c r="K259" s="2" t="s">
        <v>587</v>
      </c>
      <c r="L259" s="2" t="s">
        <v>641</v>
      </c>
      <c r="M259" s="2" t="s">
        <v>99</v>
      </c>
      <c r="N259" s="2" t="s">
        <v>88</v>
      </c>
      <c r="O259" s="2">
        <v>14</v>
      </c>
      <c r="P259" s="2">
        <v>13</v>
      </c>
      <c r="Q259" s="4">
        <v>5540</v>
      </c>
      <c r="R259" s="4">
        <v>5140</v>
      </c>
      <c r="S259" s="4">
        <v>160</v>
      </c>
      <c r="T259" s="19">
        <f>(ProductionData[[#This Row],[Rejected_Qty]])/ProductionData[[#This Row],[Produced_Qty]]</f>
        <v>3.1128404669260701E-2</v>
      </c>
      <c r="U259" s="19">
        <f>ProductionData[[#This Row],[Produced_Qty]]/ProductionData[[#This Row],[Planned_Qty]]</f>
        <v>0.92779783393501802</v>
      </c>
      <c r="V259" s="2" t="s">
        <v>103</v>
      </c>
      <c r="W259" s="11">
        <v>0</v>
      </c>
      <c r="X259" s="13">
        <f>W259/60</f>
        <v>0</v>
      </c>
      <c r="Y259" s="2" t="s">
        <v>90</v>
      </c>
      <c r="Z259" s="2">
        <v>51</v>
      </c>
      <c r="AA259" s="2">
        <f>ProductionData[[#This Row],[Rejected_Qty]]*ProductionData[[#This Row],[Unit_Cost_INR]]</f>
        <v>8160</v>
      </c>
      <c r="AB259" s="4">
        <v>15605</v>
      </c>
      <c r="AC259" s="4">
        <v>4920</v>
      </c>
      <c r="AD259" s="4">
        <v>4920</v>
      </c>
      <c r="AE259" s="4">
        <v>15665</v>
      </c>
      <c r="AF259" s="4">
        <v>9000</v>
      </c>
    </row>
    <row r="260" spans="1:32">
      <c r="A260" s="2" t="s">
        <v>642</v>
      </c>
      <c r="B260" s="3">
        <v>46134</v>
      </c>
      <c r="C260" s="36" t="s">
        <v>78</v>
      </c>
      <c r="D260" s="2">
        <f>MONTH(ProductionData[[#This Row],[Month]])</f>
        <v>4</v>
      </c>
      <c r="E260" s="2" t="s">
        <v>79</v>
      </c>
      <c r="F260" s="2" t="s">
        <v>80</v>
      </c>
      <c r="G260" s="2" t="s">
        <v>195</v>
      </c>
      <c r="H260" s="2" t="s">
        <v>196</v>
      </c>
      <c r="I260" s="2" t="s">
        <v>197</v>
      </c>
      <c r="J260" s="2" t="s">
        <v>586</v>
      </c>
      <c r="K260" s="2" t="s">
        <v>587</v>
      </c>
      <c r="L260" s="2" t="s">
        <v>643</v>
      </c>
      <c r="M260" s="2" t="s">
        <v>87</v>
      </c>
      <c r="N260" s="2" t="s">
        <v>96</v>
      </c>
      <c r="O260" s="2">
        <v>14</v>
      </c>
      <c r="P260" s="2">
        <v>14</v>
      </c>
      <c r="Q260" s="4">
        <v>5600</v>
      </c>
      <c r="R260" s="4">
        <v>5550</v>
      </c>
      <c r="S260" s="4">
        <v>133</v>
      </c>
      <c r="T260" s="19">
        <f>(ProductionData[[#This Row],[Rejected_Qty]])/ProductionData[[#This Row],[Produced_Qty]]</f>
        <v>2.3963963963963966E-2</v>
      </c>
      <c r="U260" s="19">
        <f>ProductionData[[#This Row],[Produced_Qty]]/ProductionData[[#This Row],[Planned_Qty]]</f>
        <v>0.9910714285714286</v>
      </c>
      <c r="V260" s="2" t="s">
        <v>103</v>
      </c>
      <c r="W260" s="11">
        <v>0</v>
      </c>
      <c r="X260" s="13">
        <f>W260/60</f>
        <v>0</v>
      </c>
      <c r="Y260" s="2" t="s">
        <v>90</v>
      </c>
      <c r="Z260" s="2">
        <v>51</v>
      </c>
      <c r="AA260" s="2">
        <f>ProductionData[[#This Row],[Rejected_Qty]]*ProductionData[[#This Row],[Unit_Cost_INR]]</f>
        <v>6783</v>
      </c>
      <c r="AB260" s="4">
        <v>16008</v>
      </c>
      <c r="AC260" s="4">
        <v>5820</v>
      </c>
      <c r="AD260" s="4">
        <v>5820</v>
      </c>
      <c r="AE260" s="4">
        <v>15605</v>
      </c>
      <c r="AF260" s="4">
        <v>9000</v>
      </c>
    </row>
    <row r="261" spans="1:32">
      <c r="A261" s="2" t="s">
        <v>644</v>
      </c>
      <c r="B261" s="3">
        <v>46116</v>
      </c>
      <c r="C261" s="36" t="s">
        <v>78</v>
      </c>
      <c r="D261" s="2">
        <f>MONTH(ProductionData[[#This Row],[Month]])</f>
        <v>4</v>
      </c>
      <c r="E261" s="2" t="s">
        <v>65</v>
      </c>
      <c r="F261" s="2" t="s">
        <v>93</v>
      </c>
      <c r="G261" s="2" t="s">
        <v>174</v>
      </c>
      <c r="H261" s="2" t="s">
        <v>175</v>
      </c>
      <c r="I261" s="2" t="s">
        <v>176</v>
      </c>
      <c r="J261" s="2" t="s">
        <v>629</v>
      </c>
      <c r="K261" s="2" t="s">
        <v>630</v>
      </c>
      <c r="L261" s="2" t="s">
        <v>645</v>
      </c>
      <c r="M261" s="2" t="s">
        <v>133</v>
      </c>
      <c r="N261" s="2" t="s">
        <v>88</v>
      </c>
      <c r="O261" s="2">
        <v>10</v>
      </c>
      <c r="P261" s="2">
        <v>9</v>
      </c>
      <c r="Q261" s="4">
        <v>4750</v>
      </c>
      <c r="R261" s="4">
        <v>4480</v>
      </c>
      <c r="S261" s="4">
        <v>78</v>
      </c>
      <c r="T261" s="19">
        <f>(ProductionData[[#This Row],[Rejected_Qty]])/ProductionData[[#This Row],[Produced_Qty]]</f>
        <v>1.7410714285714286E-2</v>
      </c>
      <c r="U261" s="19">
        <f>ProductionData[[#This Row],[Produced_Qty]]/ProductionData[[#This Row],[Planned_Qty]]</f>
        <v>0.94315789473684208</v>
      </c>
      <c r="V261" s="2" t="s">
        <v>113</v>
      </c>
      <c r="W261" s="11">
        <v>48</v>
      </c>
      <c r="X261" s="13">
        <f>W261/60</f>
        <v>0.8</v>
      </c>
      <c r="Y261" s="2" t="s">
        <v>114</v>
      </c>
      <c r="Z261" s="2">
        <v>29</v>
      </c>
      <c r="AA261" s="2">
        <f>ProductionData[[#This Row],[Rejected_Qty]]*ProductionData[[#This Row],[Unit_Cost_INR]]</f>
        <v>2262</v>
      </c>
      <c r="AB261" s="4">
        <v>15170</v>
      </c>
      <c r="AC261" s="4">
        <v>4030</v>
      </c>
      <c r="AD261" s="4">
        <v>4030</v>
      </c>
      <c r="AE261" s="4">
        <v>15542</v>
      </c>
      <c r="AF261" s="4">
        <v>7500</v>
      </c>
    </row>
    <row r="262" spans="1:32">
      <c r="A262" s="2" t="s">
        <v>646</v>
      </c>
      <c r="B262" s="3">
        <v>46113</v>
      </c>
      <c r="C262" s="36" t="s">
        <v>78</v>
      </c>
      <c r="D262" s="2">
        <f>MONTH(ProductionData[[#This Row],[Month]])</f>
        <v>4</v>
      </c>
      <c r="E262" s="2" t="s">
        <v>79</v>
      </c>
      <c r="F262" s="2" t="s">
        <v>66</v>
      </c>
      <c r="G262" s="2" t="s">
        <v>174</v>
      </c>
      <c r="H262" s="2" t="s">
        <v>175</v>
      </c>
      <c r="I262" s="2" t="s">
        <v>176</v>
      </c>
      <c r="J262" s="2" t="s">
        <v>629</v>
      </c>
      <c r="K262" s="2" t="s">
        <v>630</v>
      </c>
      <c r="L262" s="2" t="s">
        <v>647</v>
      </c>
      <c r="M262" s="2" t="s">
        <v>73</v>
      </c>
      <c r="N262" s="2" t="s">
        <v>88</v>
      </c>
      <c r="O262" s="2">
        <v>10</v>
      </c>
      <c r="P262" s="2">
        <v>10</v>
      </c>
      <c r="Q262" s="4">
        <v>5200</v>
      </c>
      <c r="R262" s="4">
        <v>4850</v>
      </c>
      <c r="S262" s="4">
        <v>52</v>
      </c>
      <c r="T262" s="19">
        <f>(ProductionData[[#This Row],[Rejected_Qty]])/ProductionData[[#This Row],[Produced_Qty]]</f>
        <v>1.0721649484536083E-2</v>
      </c>
      <c r="U262" s="19">
        <f>ProductionData[[#This Row],[Produced_Qty]]/ProductionData[[#This Row],[Planned_Qty]]</f>
        <v>0.93269230769230771</v>
      </c>
      <c r="V262" s="2" t="s">
        <v>109</v>
      </c>
      <c r="W262" s="11">
        <v>0</v>
      </c>
      <c r="X262" s="13">
        <f>W262/60</f>
        <v>0</v>
      </c>
      <c r="Y262" s="2" t="s">
        <v>90</v>
      </c>
      <c r="Z262" s="2">
        <v>29</v>
      </c>
      <c r="AA262" s="2">
        <f>ProductionData[[#This Row],[Rejected_Qty]]*ProductionData[[#This Row],[Unit_Cost_INR]]</f>
        <v>1508</v>
      </c>
      <c r="AB262" s="4">
        <v>15000</v>
      </c>
      <c r="AC262" s="4">
        <v>4360</v>
      </c>
      <c r="AD262" s="4">
        <v>4360</v>
      </c>
      <c r="AE262" s="4">
        <v>15438</v>
      </c>
      <c r="AF262" s="4">
        <v>7500</v>
      </c>
    </row>
    <row r="263" spans="1:32">
      <c r="A263" s="2" t="s">
        <v>648</v>
      </c>
      <c r="B263" s="3">
        <v>46114</v>
      </c>
      <c r="C263" s="36" t="s">
        <v>78</v>
      </c>
      <c r="D263" s="2">
        <f>MONTH(ProductionData[[#This Row],[Month]])</f>
        <v>4</v>
      </c>
      <c r="E263" s="2" t="s">
        <v>107</v>
      </c>
      <c r="F263" s="2" t="s">
        <v>66</v>
      </c>
      <c r="G263" s="2" t="s">
        <v>174</v>
      </c>
      <c r="H263" s="2" t="s">
        <v>175</v>
      </c>
      <c r="I263" s="2" t="s">
        <v>176</v>
      </c>
      <c r="J263" s="2" t="s">
        <v>629</v>
      </c>
      <c r="K263" s="2" t="s">
        <v>630</v>
      </c>
      <c r="L263" s="2" t="s">
        <v>649</v>
      </c>
      <c r="M263" s="2" t="s">
        <v>73</v>
      </c>
      <c r="N263" s="2" t="s">
        <v>96</v>
      </c>
      <c r="O263" s="2">
        <v>10</v>
      </c>
      <c r="P263" s="2">
        <v>10</v>
      </c>
      <c r="Q263" s="4">
        <v>4990</v>
      </c>
      <c r="R263" s="4">
        <v>5050</v>
      </c>
      <c r="S263" s="4">
        <v>178</v>
      </c>
      <c r="T263" s="19">
        <f>(ProductionData[[#This Row],[Rejected_Qty]])/ProductionData[[#This Row],[Produced_Qty]]</f>
        <v>3.5247524752475244E-2</v>
      </c>
      <c r="U263" s="19">
        <f>ProductionData[[#This Row],[Produced_Qty]]/ProductionData[[#This Row],[Planned_Qty]]</f>
        <v>1.0120240480961924</v>
      </c>
      <c r="V263" s="2" t="s">
        <v>113</v>
      </c>
      <c r="W263" s="11">
        <v>0</v>
      </c>
      <c r="X263" s="13">
        <f>W263/60</f>
        <v>0</v>
      </c>
      <c r="Y263" s="2" t="s">
        <v>90</v>
      </c>
      <c r="Z263" s="2">
        <v>29</v>
      </c>
      <c r="AA263" s="2">
        <f>ProductionData[[#This Row],[Rejected_Qty]]*ProductionData[[#This Row],[Unit_Cost_INR]]</f>
        <v>5162</v>
      </c>
      <c r="AB263" s="4">
        <v>15438</v>
      </c>
      <c r="AC263" s="4">
        <v>5140</v>
      </c>
      <c r="AD263" s="4">
        <v>5140</v>
      </c>
      <c r="AE263" s="4">
        <v>15170</v>
      </c>
      <c r="AF263" s="4">
        <v>7500</v>
      </c>
    </row>
    <row r="264" spans="1:32">
      <c r="A264" s="2" t="s">
        <v>650</v>
      </c>
      <c r="B264" s="3">
        <v>46135</v>
      </c>
      <c r="C264" s="36" t="s">
        <v>78</v>
      </c>
      <c r="D264" s="2">
        <f>MONTH(ProductionData[[#This Row],[Month]])</f>
        <v>4</v>
      </c>
      <c r="E264" s="2" t="s">
        <v>107</v>
      </c>
      <c r="F264" s="2" t="s">
        <v>93</v>
      </c>
      <c r="G264" s="2" t="s">
        <v>195</v>
      </c>
      <c r="H264" s="2" t="s">
        <v>196</v>
      </c>
      <c r="I264" s="2" t="s">
        <v>197</v>
      </c>
      <c r="J264" s="2" t="s">
        <v>586</v>
      </c>
      <c r="K264" s="2" t="s">
        <v>587</v>
      </c>
      <c r="L264" s="2" t="s">
        <v>651</v>
      </c>
      <c r="M264" s="2" t="s">
        <v>95</v>
      </c>
      <c r="N264" s="2" t="s">
        <v>88</v>
      </c>
      <c r="O264" s="2">
        <v>14</v>
      </c>
      <c r="P264" s="2">
        <v>12</v>
      </c>
      <c r="Q264" s="4">
        <v>5810</v>
      </c>
      <c r="R264" s="4">
        <v>5520</v>
      </c>
      <c r="S264" s="4">
        <v>185</v>
      </c>
      <c r="T264" s="19">
        <f>(ProductionData[[#This Row],[Rejected_Qty]])/ProductionData[[#This Row],[Produced_Qty]]</f>
        <v>3.3514492753623192E-2</v>
      </c>
      <c r="U264" s="19">
        <f>ProductionData[[#This Row],[Produced_Qty]]/ProductionData[[#This Row],[Planned_Qty]]</f>
        <v>0.95008605851979344</v>
      </c>
      <c r="V264" s="2" t="s">
        <v>75</v>
      </c>
      <c r="W264" s="11">
        <v>0</v>
      </c>
      <c r="X264" s="13">
        <f>W264/60</f>
        <v>0</v>
      </c>
      <c r="Y264" s="2" t="s">
        <v>90</v>
      </c>
      <c r="Z264" s="2">
        <v>51</v>
      </c>
      <c r="AA264" s="2">
        <f>ProductionData[[#This Row],[Rejected_Qty]]*ProductionData[[#This Row],[Unit_Cost_INR]]</f>
        <v>9435</v>
      </c>
      <c r="AB264" s="4">
        <v>15665</v>
      </c>
      <c r="AC264" s="4">
        <v>5830</v>
      </c>
      <c r="AD264" s="4">
        <v>5830</v>
      </c>
      <c r="AE264" s="4">
        <v>15170</v>
      </c>
      <c r="AF264" s="4">
        <v>9000</v>
      </c>
    </row>
    <row r="265" spans="1:32">
      <c r="A265" s="2" t="s">
        <v>652</v>
      </c>
      <c r="B265" s="3">
        <v>46140</v>
      </c>
      <c r="C265" s="36" t="s">
        <v>78</v>
      </c>
      <c r="D265" s="2">
        <f>MONTH(ProductionData[[#This Row],[Month]])</f>
        <v>4</v>
      </c>
      <c r="E265" s="2" t="s">
        <v>92</v>
      </c>
      <c r="F265" s="2" t="s">
        <v>93</v>
      </c>
      <c r="G265" s="2" t="s">
        <v>174</v>
      </c>
      <c r="H265" s="2" t="s">
        <v>175</v>
      </c>
      <c r="I265" s="2" t="s">
        <v>176</v>
      </c>
      <c r="J265" s="2" t="s">
        <v>629</v>
      </c>
      <c r="K265" s="2" t="s">
        <v>630</v>
      </c>
      <c r="L265" s="2" t="s">
        <v>653</v>
      </c>
      <c r="M265" s="2" t="s">
        <v>95</v>
      </c>
      <c r="N265" s="2" t="s">
        <v>88</v>
      </c>
      <c r="O265" s="2">
        <v>10</v>
      </c>
      <c r="P265" s="2">
        <v>10</v>
      </c>
      <c r="Q265" s="4">
        <v>5070</v>
      </c>
      <c r="R265" s="4">
        <v>5090</v>
      </c>
      <c r="S265" s="4">
        <v>161</v>
      </c>
      <c r="T265" s="19">
        <f>(ProductionData[[#This Row],[Rejected_Qty]])/ProductionData[[#This Row],[Produced_Qty]]</f>
        <v>3.1630648330058936E-2</v>
      </c>
      <c r="U265" s="19">
        <f>ProductionData[[#This Row],[Produced_Qty]]/ProductionData[[#This Row],[Planned_Qty]]</f>
        <v>1.0039447731755424</v>
      </c>
      <c r="V265" s="2" t="s">
        <v>109</v>
      </c>
      <c r="W265" s="11">
        <v>74</v>
      </c>
      <c r="X265" s="13">
        <f>W265/60</f>
        <v>1.2333333333333334</v>
      </c>
      <c r="Y265" s="2" t="s">
        <v>76</v>
      </c>
      <c r="Z265" s="2">
        <v>29</v>
      </c>
      <c r="AA265" s="2">
        <f>ProductionData[[#This Row],[Rejected_Qty]]*ProductionData[[#This Row],[Unit_Cost_INR]]</f>
        <v>4669</v>
      </c>
      <c r="AB265" s="4">
        <v>14501</v>
      </c>
      <c r="AC265" s="4">
        <v>4340</v>
      </c>
      <c r="AD265" s="4">
        <v>4340</v>
      </c>
      <c r="AE265" s="4">
        <v>15090</v>
      </c>
      <c r="AF265" s="4">
        <v>7500</v>
      </c>
    </row>
    <row r="266" spans="1:32">
      <c r="A266" s="2" t="s">
        <v>654</v>
      </c>
      <c r="B266" s="3">
        <v>46118</v>
      </c>
      <c r="C266" s="36" t="s">
        <v>78</v>
      </c>
      <c r="D266" s="2">
        <f>MONTH(ProductionData[[#This Row],[Month]])</f>
        <v>4</v>
      </c>
      <c r="E266" s="2" t="s">
        <v>116</v>
      </c>
      <c r="F266" s="2" t="s">
        <v>93</v>
      </c>
      <c r="G266" s="2" t="s">
        <v>174</v>
      </c>
      <c r="H266" s="2" t="s">
        <v>175</v>
      </c>
      <c r="I266" s="2" t="s">
        <v>176</v>
      </c>
      <c r="J266" s="2" t="s">
        <v>629</v>
      </c>
      <c r="K266" s="2" t="s">
        <v>630</v>
      </c>
      <c r="L266" s="2" t="s">
        <v>655</v>
      </c>
      <c r="M266" s="2" t="s">
        <v>133</v>
      </c>
      <c r="N266" s="2" t="s">
        <v>88</v>
      </c>
      <c r="O266" s="2">
        <v>10</v>
      </c>
      <c r="P266" s="2">
        <v>7</v>
      </c>
      <c r="Q266" s="4">
        <v>4560</v>
      </c>
      <c r="R266" s="4">
        <v>3790</v>
      </c>
      <c r="S266" s="4">
        <v>81</v>
      </c>
      <c r="T266" s="19">
        <f>(ProductionData[[#This Row],[Rejected_Qty]])/ProductionData[[#This Row],[Produced_Qty]]</f>
        <v>2.1372031662269128E-2</v>
      </c>
      <c r="U266" s="19">
        <f>ProductionData[[#This Row],[Produced_Qty]]/ProductionData[[#This Row],[Planned_Qty]]</f>
        <v>0.83114035087719296</v>
      </c>
      <c r="V266" s="2" t="s">
        <v>113</v>
      </c>
      <c r="W266" s="11">
        <v>0</v>
      </c>
      <c r="X266" s="13">
        <f>W266/60</f>
        <v>0</v>
      </c>
      <c r="Y266" s="2" t="s">
        <v>90</v>
      </c>
      <c r="Z266" s="2">
        <v>29</v>
      </c>
      <c r="AA266" s="2">
        <f>ProductionData[[#This Row],[Rejected_Qty]]*ProductionData[[#This Row],[Unit_Cost_INR]]</f>
        <v>2349</v>
      </c>
      <c r="AB266" s="4">
        <v>15542</v>
      </c>
      <c r="AC266" s="4">
        <v>4170</v>
      </c>
      <c r="AD266" s="4">
        <v>4170</v>
      </c>
      <c r="AE266" s="4">
        <v>15081</v>
      </c>
      <c r="AF266" s="4">
        <v>7500</v>
      </c>
    </row>
    <row r="267" spans="1:32">
      <c r="A267" s="2" t="s">
        <v>656</v>
      </c>
      <c r="B267" s="3">
        <v>46124</v>
      </c>
      <c r="C267" s="36" t="s">
        <v>78</v>
      </c>
      <c r="D267" s="2">
        <f>MONTH(ProductionData[[#This Row],[Month]])</f>
        <v>4</v>
      </c>
      <c r="E267" s="2" t="s">
        <v>186</v>
      </c>
      <c r="F267" s="2" t="s">
        <v>80</v>
      </c>
      <c r="G267" s="2" t="s">
        <v>174</v>
      </c>
      <c r="H267" s="2" t="s">
        <v>175</v>
      </c>
      <c r="I267" s="2" t="s">
        <v>176</v>
      </c>
      <c r="J267" s="2" t="s">
        <v>629</v>
      </c>
      <c r="K267" s="2" t="s">
        <v>630</v>
      </c>
      <c r="L267" s="2" t="s">
        <v>657</v>
      </c>
      <c r="M267" s="2" t="s">
        <v>102</v>
      </c>
      <c r="N267" s="2" t="s">
        <v>88</v>
      </c>
      <c r="O267" s="2">
        <v>10</v>
      </c>
      <c r="P267" s="2">
        <v>10</v>
      </c>
      <c r="Q267" s="4">
        <v>3280</v>
      </c>
      <c r="R267" s="4">
        <v>3100</v>
      </c>
      <c r="S267" s="4">
        <v>72</v>
      </c>
      <c r="T267" s="19">
        <f>(ProductionData[[#This Row],[Rejected_Qty]])/ProductionData[[#This Row],[Produced_Qty]]</f>
        <v>2.3225806451612905E-2</v>
      </c>
      <c r="U267" s="19">
        <f>ProductionData[[#This Row],[Produced_Qty]]/ProductionData[[#This Row],[Planned_Qty]]</f>
        <v>0.94512195121951215</v>
      </c>
      <c r="V267" s="2" t="s">
        <v>89</v>
      </c>
      <c r="W267" s="11">
        <v>0</v>
      </c>
      <c r="X267" s="13">
        <f>W267/60</f>
        <v>0</v>
      </c>
      <c r="Y267" s="2" t="s">
        <v>90</v>
      </c>
      <c r="Z267" s="2">
        <v>29</v>
      </c>
      <c r="AA267" s="2">
        <f>ProductionData[[#This Row],[Rejected_Qty]]*ProductionData[[#This Row],[Unit_Cost_INR]]</f>
        <v>2088</v>
      </c>
      <c r="AB267" s="4">
        <v>14836</v>
      </c>
      <c r="AC267" s="4">
        <v>2950</v>
      </c>
      <c r="AD267" s="4">
        <v>2950</v>
      </c>
      <c r="AE267" s="4">
        <v>14914</v>
      </c>
      <c r="AF267" s="4">
        <v>7500</v>
      </c>
    </row>
    <row r="268" spans="1:32">
      <c r="A268" s="2" t="s">
        <v>658</v>
      </c>
      <c r="B268" s="3">
        <v>46121</v>
      </c>
      <c r="C268" s="36" t="s">
        <v>78</v>
      </c>
      <c r="D268" s="2">
        <f>MONTH(ProductionData[[#This Row],[Month]])</f>
        <v>4</v>
      </c>
      <c r="E268" s="2" t="s">
        <v>107</v>
      </c>
      <c r="F268" s="2" t="s">
        <v>66</v>
      </c>
      <c r="G268" s="2" t="s">
        <v>174</v>
      </c>
      <c r="H268" s="2" t="s">
        <v>175</v>
      </c>
      <c r="I268" s="2" t="s">
        <v>176</v>
      </c>
      <c r="J268" s="2" t="s">
        <v>629</v>
      </c>
      <c r="K268" s="2" t="s">
        <v>630</v>
      </c>
      <c r="L268" s="2" t="s">
        <v>659</v>
      </c>
      <c r="M268" s="2" t="s">
        <v>99</v>
      </c>
      <c r="N268" s="2" t="s">
        <v>96</v>
      </c>
      <c r="O268" s="2">
        <v>10</v>
      </c>
      <c r="P268" s="2">
        <v>10</v>
      </c>
      <c r="Q268" s="4">
        <v>5110</v>
      </c>
      <c r="R268" s="4">
        <v>4660</v>
      </c>
      <c r="S268" s="4">
        <v>87</v>
      </c>
      <c r="T268" s="19">
        <f>(ProductionData[[#This Row],[Rejected_Qty]])/ProductionData[[#This Row],[Produced_Qty]]</f>
        <v>1.8669527896995709E-2</v>
      </c>
      <c r="U268" s="19">
        <f>ProductionData[[#This Row],[Produced_Qty]]/ProductionData[[#This Row],[Planned_Qty]]</f>
        <v>0.9119373776908023</v>
      </c>
      <c r="V268" s="2" t="s">
        <v>109</v>
      </c>
      <c r="W268" s="11">
        <v>0</v>
      </c>
      <c r="X268" s="13">
        <f>W268/60</f>
        <v>0</v>
      </c>
      <c r="Y268" s="2" t="s">
        <v>90</v>
      </c>
      <c r="Z268" s="2">
        <v>29</v>
      </c>
      <c r="AA268" s="2">
        <f>ProductionData[[#This Row],[Rejected_Qty]]*ProductionData[[#This Row],[Unit_Cost_INR]]</f>
        <v>2523</v>
      </c>
      <c r="AB268" s="4">
        <v>14480</v>
      </c>
      <c r="AC268" s="4">
        <v>4210</v>
      </c>
      <c r="AD268" s="4">
        <v>4210</v>
      </c>
      <c r="AE268" s="4">
        <v>14843</v>
      </c>
      <c r="AF268" s="4">
        <v>7500</v>
      </c>
    </row>
    <row r="269" spans="1:32">
      <c r="A269" s="2" t="s">
        <v>660</v>
      </c>
      <c r="B269" s="3">
        <v>46121</v>
      </c>
      <c r="C269" s="36" t="s">
        <v>78</v>
      </c>
      <c r="D269" s="2">
        <f>MONTH(ProductionData[[#This Row],[Month]])</f>
        <v>4</v>
      </c>
      <c r="E269" s="2" t="s">
        <v>107</v>
      </c>
      <c r="F269" s="2" t="s">
        <v>93</v>
      </c>
      <c r="G269" s="2" t="s">
        <v>174</v>
      </c>
      <c r="H269" s="2" t="s">
        <v>175</v>
      </c>
      <c r="I269" s="2" t="s">
        <v>176</v>
      </c>
      <c r="J269" s="2" t="s">
        <v>629</v>
      </c>
      <c r="K269" s="2" t="s">
        <v>630</v>
      </c>
      <c r="L269" s="2" t="s">
        <v>661</v>
      </c>
      <c r="M269" s="2" t="s">
        <v>133</v>
      </c>
      <c r="N269" s="2" t="s">
        <v>96</v>
      </c>
      <c r="O269" s="2">
        <v>10</v>
      </c>
      <c r="P269" s="2">
        <v>9</v>
      </c>
      <c r="Q269" s="4">
        <v>4660</v>
      </c>
      <c r="R269" s="4">
        <v>4170</v>
      </c>
      <c r="S269" s="4">
        <v>101</v>
      </c>
      <c r="T269" s="19">
        <f>(ProductionData[[#This Row],[Rejected_Qty]])/ProductionData[[#This Row],[Produced_Qty]]</f>
        <v>2.4220623501199041E-2</v>
      </c>
      <c r="U269" s="19">
        <f>ProductionData[[#This Row],[Produced_Qty]]/ProductionData[[#This Row],[Planned_Qty]]</f>
        <v>0.89484978540772531</v>
      </c>
      <c r="V269" s="2" t="s">
        <v>113</v>
      </c>
      <c r="W269" s="11">
        <v>0</v>
      </c>
      <c r="X269" s="13">
        <f>W269/60</f>
        <v>0</v>
      </c>
      <c r="Y269" s="2" t="s">
        <v>90</v>
      </c>
      <c r="Z269" s="2">
        <v>29</v>
      </c>
      <c r="AA269" s="2">
        <f>ProductionData[[#This Row],[Rejected_Qty]]*ProductionData[[#This Row],[Unit_Cost_INR]]</f>
        <v>2929</v>
      </c>
      <c r="AB269" s="4">
        <v>14507</v>
      </c>
      <c r="AC269" s="4">
        <v>3740</v>
      </c>
      <c r="AD269" s="4">
        <v>3740</v>
      </c>
      <c r="AE269" s="4">
        <v>14836</v>
      </c>
      <c r="AF269" s="4">
        <v>7500</v>
      </c>
    </row>
    <row r="270" spans="1:32">
      <c r="A270" s="2" t="s">
        <v>662</v>
      </c>
      <c r="B270" s="3">
        <v>46133</v>
      </c>
      <c r="C270" s="36" t="s">
        <v>78</v>
      </c>
      <c r="D270" s="2">
        <f>MONTH(ProductionData[[#This Row],[Month]])</f>
        <v>4</v>
      </c>
      <c r="E270" s="2" t="s">
        <v>92</v>
      </c>
      <c r="F270" s="2" t="s">
        <v>93</v>
      </c>
      <c r="G270" s="2" t="s">
        <v>174</v>
      </c>
      <c r="H270" s="2" t="s">
        <v>175</v>
      </c>
      <c r="I270" s="2" t="s">
        <v>176</v>
      </c>
      <c r="J270" s="2" t="s">
        <v>629</v>
      </c>
      <c r="K270" s="2" t="s">
        <v>630</v>
      </c>
      <c r="L270" s="2" t="s">
        <v>663</v>
      </c>
      <c r="M270" s="2" t="s">
        <v>95</v>
      </c>
      <c r="N270" s="2" t="s">
        <v>96</v>
      </c>
      <c r="O270" s="2">
        <v>10</v>
      </c>
      <c r="P270" s="2">
        <v>9</v>
      </c>
      <c r="Q270" s="4">
        <v>4840</v>
      </c>
      <c r="R270" s="4">
        <v>4510</v>
      </c>
      <c r="S270" s="4">
        <v>124</v>
      </c>
      <c r="T270" s="19">
        <f>(ProductionData[[#This Row],[Rejected_Qty]])/ProductionData[[#This Row],[Produced_Qty]]</f>
        <v>2.7494456762749447E-2</v>
      </c>
      <c r="U270" s="19">
        <f>ProductionData[[#This Row],[Produced_Qty]]/ProductionData[[#This Row],[Planned_Qty]]</f>
        <v>0.93181818181818177</v>
      </c>
      <c r="V270" s="2" t="s">
        <v>89</v>
      </c>
      <c r="W270" s="11">
        <v>0</v>
      </c>
      <c r="X270" s="13">
        <f>W270/60</f>
        <v>0</v>
      </c>
      <c r="Y270" s="2" t="s">
        <v>90</v>
      </c>
      <c r="Z270" s="2">
        <v>29</v>
      </c>
      <c r="AA270" s="2">
        <f>ProductionData[[#This Row],[Rejected_Qty]]*ProductionData[[#This Row],[Unit_Cost_INR]]</f>
        <v>3596</v>
      </c>
      <c r="AB270" s="4">
        <v>14659</v>
      </c>
      <c r="AC270" s="4">
        <v>4250</v>
      </c>
      <c r="AD270" s="4">
        <v>4250</v>
      </c>
      <c r="AE270" s="4">
        <v>14795</v>
      </c>
      <c r="AF270" s="4">
        <v>7500</v>
      </c>
    </row>
    <row r="271" spans="1:32">
      <c r="A271" s="2" t="s">
        <v>664</v>
      </c>
      <c r="B271" s="3">
        <v>46137</v>
      </c>
      <c r="C271" s="36" t="s">
        <v>78</v>
      </c>
      <c r="D271" s="2">
        <f>MONTH(ProductionData[[#This Row],[Month]])</f>
        <v>4</v>
      </c>
      <c r="E271" s="2" t="s">
        <v>65</v>
      </c>
      <c r="F271" s="2" t="s">
        <v>93</v>
      </c>
      <c r="G271" s="2" t="s">
        <v>174</v>
      </c>
      <c r="H271" s="2" t="s">
        <v>175</v>
      </c>
      <c r="I271" s="2" t="s">
        <v>176</v>
      </c>
      <c r="J271" s="2" t="s">
        <v>629</v>
      </c>
      <c r="K271" s="2" t="s">
        <v>630</v>
      </c>
      <c r="L271" s="2" t="s">
        <v>665</v>
      </c>
      <c r="M271" s="2" t="s">
        <v>95</v>
      </c>
      <c r="N271" s="2" t="s">
        <v>96</v>
      </c>
      <c r="O271" s="2">
        <v>10</v>
      </c>
      <c r="P271" s="2">
        <v>10</v>
      </c>
      <c r="Q271" s="4">
        <v>4670</v>
      </c>
      <c r="R271" s="4">
        <v>4570</v>
      </c>
      <c r="S271" s="4">
        <v>132</v>
      </c>
      <c r="T271" s="19">
        <f>(ProductionData[[#This Row],[Rejected_Qty]])/ProductionData[[#This Row],[Produced_Qty]]</f>
        <v>2.888402625820569E-2</v>
      </c>
      <c r="U271" s="19">
        <f>ProductionData[[#This Row],[Produced_Qty]]/ProductionData[[#This Row],[Planned_Qty]]</f>
        <v>0.97858672376873657</v>
      </c>
      <c r="V271" s="2" t="s">
        <v>109</v>
      </c>
      <c r="W271" s="11">
        <v>0</v>
      </c>
      <c r="X271" s="13">
        <f>W271/60</f>
        <v>0</v>
      </c>
      <c r="Y271" s="2" t="s">
        <v>90</v>
      </c>
      <c r="Z271" s="2">
        <v>29</v>
      </c>
      <c r="AA271" s="2">
        <f>ProductionData[[#This Row],[Rejected_Qty]]*ProductionData[[#This Row],[Unit_Cost_INR]]</f>
        <v>3828</v>
      </c>
      <c r="AB271" s="4">
        <v>14795</v>
      </c>
      <c r="AC271" s="4">
        <v>4490</v>
      </c>
      <c r="AD271" s="4">
        <v>4490</v>
      </c>
      <c r="AE271" s="4">
        <v>14743</v>
      </c>
      <c r="AF271" s="4">
        <v>7500</v>
      </c>
    </row>
    <row r="272" spans="1:32">
      <c r="A272" s="2" t="s">
        <v>666</v>
      </c>
      <c r="B272" s="3">
        <v>46131</v>
      </c>
      <c r="C272" s="36" t="s">
        <v>78</v>
      </c>
      <c r="D272" s="2">
        <f>MONTH(ProductionData[[#This Row],[Month]])</f>
        <v>4</v>
      </c>
      <c r="E272" s="2" t="s">
        <v>186</v>
      </c>
      <c r="F272" s="2" t="s">
        <v>66</v>
      </c>
      <c r="G272" s="2" t="s">
        <v>174</v>
      </c>
      <c r="H272" s="2" t="s">
        <v>175</v>
      </c>
      <c r="I272" s="2" t="s">
        <v>176</v>
      </c>
      <c r="J272" s="2" t="s">
        <v>629</v>
      </c>
      <c r="K272" s="2" t="s">
        <v>630</v>
      </c>
      <c r="L272" s="2" t="s">
        <v>667</v>
      </c>
      <c r="M272" s="2" t="s">
        <v>73</v>
      </c>
      <c r="N272" s="2" t="s">
        <v>96</v>
      </c>
      <c r="O272" s="2">
        <v>10</v>
      </c>
      <c r="P272" s="2">
        <v>9</v>
      </c>
      <c r="Q272" s="4">
        <v>3420</v>
      </c>
      <c r="R272" s="4">
        <v>3070</v>
      </c>
      <c r="S272" s="4">
        <v>46</v>
      </c>
      <c r="T272" s="19">
        <f>(ProductionData[[#This Row],[Rejected_Qty]])/ProductionData[[#This Row],[Produced_Qty]]</f>
        <v>1.4983713355048859E-2</v>
      </c>
      <c r="U272" s="19">
        <f>ProductionData[[#This Row],[Produced_Qty]]/ProductionData[[#This Row],[Planned_Qty]]</f>
        <v>0.89766081871345027</v>
      </c>
      <c r="V272" s="2" t="s">
        <v>89</v>
      </c>
      <c r="W272" s="11">
        <v>42</v>
      </c>
      <c r="X272" s="13">
        <f>W272/60</f>
        <v>0.7</v>
      </c>
      <c r="Y272" s="2" t="s">
        <v>110</v>
      </c>
      <c r="Z272" s="2">
        <v>29</v>
      </c>
      <c r="AA272" s="2">
        <f>ProductionData[[#This Row],[Rejected_Qty]]*ProductionData[[#This Row],[Unit_Cost_INR]]</f>
        <v>1334</v>
      </c>
      <c r="AB272" s="4">
        <v>14483</v>
      </c>
      <c r="AC272" s="4">
        <v>2780</v>
      </c>
      <c r="AD272" s="4">
        <v>2780</v>
      </c>
      <c r="AE272" s="4">
        <v>14727</v>
      </c>
      <c r="AF272" s="4">
        <v>7500</v>
      </c>
    </row>
    <row r="273" spans="1:34">
      <c r="A273" s="2" t="s">
        <v>668</v>
      </c>
      <c r="B273" s="3">
        <v>46139</v>
      </c>
      <c r="C273" s="36" t="s">
        <v>78</v>
      </c>
      <c r="D273" s="2">
        <f>MONTH(ProductionData[[#This Row],[Month]])</f>
        <v>4</v>
      </c>
      <c r="E273" s="2" t="s">
        <v>116</v>
      </c>
      <c r="F273" s="2" t="s">
        <v>66</v>
      </c>
      <c r="G273" s="2" t="s">
        <v>174</v>
      </c>
      <c r="H273" s="2" t="s">
        <v>175</v>
      </c>
      <c r="I273" s="2" t="s">
        <v>176</v>
      </c>
      <c r="J273" s="2" t="s">
        <v>629</v>
      </c>
      <c r="K273" s="2" t="s">
        <v>630</v>
      </c>
      <c r="L273" s="2" t="s">
        <v>669</v>
      </c>
      <c r="M273" s="2" t="s">
        <v>99</v>
      </c>
      <c r="N273" s="2" t="s">
        <v>88</v>
      </c>
      <c r="O273" s="2">
        <v>10</v>
      </c>
      <c r="P273" s="2">
        <v>10</v>
      </c>
      <c r="Q273" s="4">
        <v>5200</v>
      </c>
      <c r="R273" s="4">
        <v>4860</v>
      </c>
      <c r="S273" s="4">
        <v>118</v>
      </c>
      <c r="T273" s="19">
        <f>(ProductionData[[#This Row],[Rejected_Qty]])/ProductionData[[#This Row],[Produced_Qty]]</f>
        <v>2.42798353909465E-2</v>
      </c>
      <c r="U273" s="19">
        <f>ProductionData[[#This Row],[Produced_Qty]]/ProductionData[[#This Row],[Planned_Qty]]</f>
        <v>0.93461538461538463</v>
      </c>
      <c r="V273" s="2" t="s">
        <v>113</v>
      </c>
      <c r="W273" s="11">
        <v>0</v>
      </c>
      <c r="X273" s="13">
        <f>W273/60</f>
        <v>0</v>
      </c>
      <c r="Y273" s="2" t="s">
        <v>90</v>
      </c>
      <c r="Z273" s="2">
        <v>29</v>
      </c>
      <c r="AA273" s="2">
        <f>ProductionData[[#This Row],[Rejected_Qty]]*ProductionData[[#This Row],[Unit_Cost_INR]]</f>
        <v>3422</v>
      </c>
      <c r="AB273" s="4">
        <v>14552</v>
      </c>
      <c r="AC273" s="4">
        <v>4590</v>
      </c>
      <c r="AD273" s="4">
        <v>4590</v>
      </c>
      <c r="AE273" s="4">
        <v>14704</v>
      </c>
      <c r="AF273" s="4">
        <v>7500</v>
      </c>
    </row>
    <row r="274" spans="1:34">
      <c r="A274" s="2" t="s">
        <v>670</v>
      </c>
      <c r="B274" s="3">
        <v>46133</v>
      </c>
      <c r="C274" s="36" t="s">
        <v>78</v>
      </c>
      <c r="D274" s="2">
        <f>MONTH(ProductionData[[#This Row],[Month]])</f>
        <v>4</v>
      </c>
      <c r="E274" s="2" t="s">
        <v>92</v>
      </c>
      <c r="F274" s="2" t="s">
        <v>66</v>
      </c>
      <c r="G274" s="2" t="s">
        <v>174</v>
      </c>
      <c r="H274" s="2" t="s">
        <v>175</v>
      </c>
      <c r="I274" s="2" t="s">
        <v>176</v>
      </c>
      <c r="J274" s="2" t="s">
        <v>629</v>
      </c>
      <c r="K274" s="2" t="s">
        <v>630</v>
      </c>
      <c r="L274" s="2" t="s">
        <v>671</v>
      </c>
      <c r="M274" s="2" t="s">
        <v>73</v>
      </c>
      <c r="N274" s="2" t="s">
        <v>96</v>
      </c>
      <c r="O274" s="2">
        <v>10</v>
      </c>
      <c r="P274" s="2">
        <v>9</v>
      </c>
      <c r="Q274" s="4">
        <v>5330</v>
      </c>
      <c r="R274" s="4">
        <v>4800</v>
      </c>
      <c r="S274" s="4">
        <v>128</v>
      </c>
      <c r="T274" s="19">
        <f>(ProductionData[[#This Row],[Rejected_Qty]])/ProductionData[[#This Row],[Produced_Qty]]</f>
        <v>2.6666666666666668E-2</v>
      </c>
      <c r="U274" s="19">
        <f>ProductionData[[#This Row],[Produced_Qty]]/ProductionData[[#This Row],[Planned_Qty]]</f>
        <v>0.90056285178236395</v>
      </c>
      <c r="V274" s="2" t="s">
        <v>89</v>
      </c>
      <c r="W274" s="11">
        <v>0</v>
      </c>
      <c r="X274" s="13">
        <f>W274/60</f>
        <v>0</v>
      </c>
      <c r="Y274" s="2" t="s">
        <v>90</v>
      </c>
      <c r="Z274" s="2">
        <v>29</v>
      </c>
      <c r="AA274" s="2">
        <f>ProductionData[[#This Row],[Rejected_Qty]]*ProductionData[[#This Row],[Unit_Cost_INR]]</f>
        <v>3712</v>
      </c>
      <c r="AB274" s="4">
        <v>14727</v>
      </c>
      <c r="AC274" s="4">
        <v>4740</v>
      </c>
      <c r="AD274" s="4">
        <v>4740</v>
      </c>
      <c r="AE274" s="4">
        <v>14659</v>
      </c>
      <c r="AF274" s="4">
        <v>7500</v>
      </c>
    </row>
    <row r="275" spans="1:34">
      <c r="A275" s="2" t="s">
        <v>672</v>
      </c>
      <c r="B275" s="3">
        <v>46138</v>
      </c>
      <c r="C275" s="36" t="s">
        <v>78</v>
      </c>
      <c r="D275" s="2">
        <f>MONTH(ProductionData[[#This Row],[Month]])</f>
        <v>4</v>
      </c>
      <c r="E275" s="2" t="s">
        <v>186</v>
      </c>
      <c r="F275" s="2" t="s">
        <v>80</v>
      </c>
      <c r="G275" s="2" t="s">
        <v>174</v>
      </c>
      <c r="H275" s="2" t="s">
        <v>175</v>
      </c>
      <c r="I275" s="2" t="s">
        <v>176</v>
      </c>
      <c r="J275" s="2" t="s">
        <v>629</v>
      </c>
      <c r="K275" s="2" t="s">
        <v>630</v>
      </c>
      <c r="L275" s="2" t="s">
        <v>673</v>
      </c>
      <c r="M275" s="2" t="s">
        <v>87</v>
      </c>
      <c r="N275" s="2" t="s">
        <v>96</v>
      </c>
      <c r="O275" s="2">
        <v>10</v>
      </c>
      <c r="P275" s="2">
        <v>10</v>
      </c>
      <c r="Q275" s="4">
        <v>3450</v>
      </c>
      <c r="R275" s="4">
        <v>3210</v>
      </c>
      <c r="S275" s="4">
        <v>71</v>
      </c>
      <c r="T275" s="19">
        <f>(ProductionData[[#This Row],[Rejected_Qty]])/ProductionData[[#This Row],[Produced_Qty]]</f>
        <v>2.2118380062305296E-2</v>
      </c>
      <c r="U275" s="19">
        <f>ProductionData[[#This Row],[Produced_Qty]]/ProductionData[[#This Row],[Planned_Qty]]</f>
        <v>0.93043478260869561</v>
      </c>
      <c r="V275" s="2" t="s">
        <v>113</v>
      </c>
      <c r="W275" s="11">
        <v>52</v>
      </c>
      <c r="X275" s="13">
        <f>W275/60</f>
        <v>0.8666666666666667</v>
      </c>
      <c r="Y275" s="2" t="s">
        <v>76</v>
      </c>
      <c r="Z275" s="2">
        <v>29</v>
      </c>
      <c r="AA275" s="2">
        <f>ProductionData[[#This Row],[Rejected_Qty]]*ProductionData[[#This Row],[Unit_Cost_INR]]</f>
        <v>2059</v>
      </c>
      <c r="AB275" s="4">
        <v>14743</v>
      </c>
      <c r="AC275" s="4">
        <v>3330</v>
      </c>
      <c r="AD275" s="4">
        <v>3330</v>
      </c>
      <c r="AE275" s="4">
        <v>14552</v>
      </c>
      <c r="AF275" s="4">
        <v>7500</v>
      </c>
    </row>
    <row r="276" spans="1:34">
      <c r="A276" s="2" t="s">
        <v>674</v>
      </c>
      <c r="B276" s="3">
        <v>46121</v>
      </c>
      <c r="C276" s="36" t="s">
        <v>78</v>
      </c>
      <c r="D276" s="2">
        <f>MONTH(ProductionData[[#This Row],[Month]])</f>
        <v>4</v>
      </c>
      <c r="E276" s="2" t="s">
        <v>107</v>
      </c>
      <c r="F276" s="2" t="s">
        <v>80</v>
      </c>
      <c r="G276" s="2" t="s">
        <v>174</v>
      </c>
      <c r="H276" s="2" t="s">
        <v>175</v>
      </c>
      <c r="I276" s="2" t="s">
        <v>176</v>
      </c>
      <c r="J276" s="2" t="s">
        <v>629</v>
      </c>
      <c r="K276" s="2" t="s">
        <v>630</v>
      </c>
      <c r="L276" s="2" t="s">
        <v>675</v>
      </c>
      <c r="M276" s="2" t="s">
        <v>87</v>
      </c>
      <c r="N276" s="2" t="s">
        <v>96</v>
      </c>
      <c r="O276" s="2">
        <v>10</v>
      </c>
      <c r="P276" s="2">
        <v>9</v>
      </c>
      <c r="Q276" s="4">
        <v>4770</v>
      </c>
      <c r="R276" s="4">
        <v>4150</v>
      </c>
      <c r="S276" s="4">
        <v>96</v>
      </c>
      <c r="T276" s="19">
        <f>(ProductionData[[#This Row],[Rejected_Qty]])/ProductionData[[#This Row],[Produced_Qty]]</f>
        <v>2.3132530120481928E-2</v>
      </c>
      <c r="U276" s="19">
        <f>ProductionData[[#This Row],[Produced_Qty]]/ProductionData[[#This Row],[Planned_Qty]]</f>
        <v>0.87002096436058696</v>
      </c>
      <c r="V276" s="2" t="s">
        <v>103</v>
      </c>
      <c r="W276" s="11">
        <v>0</v>
      </c>
      <c r="X276" s="13">
        <f>W276/60</f>
        <v>0</v>
      </c>
      <c r="Y276" s="2" t="s">
        <v>90</v>
      </c>
      <c r="Z276" s="2">
        <v>29</v>
      </c>
      <c r="AA276" s="2">
        <f>ProductionData[[#This Row],[Rejected_Qty]]*ProductionData[[#This Row],[Unit_Cost_INR]]</f>
        <v>2784</v>
      </c>
      <c r="AB276" s="4">
        <v>14843</v>
      </c>
      <c r="AC276" s="4">
        <v>4390</v>
      </c>
      <c r="AD276" s="4">
        <v>4390</v>
      </c>
      <c r="AE276" s="4">
        <v>14507</v>
      </c>
      <c r="AF276" s="4">
        <v>7500</v>
      </c>
    </row>
    <row r="277" spans="1:34">
      <c r="A277" s="2" t="s">
        <v>676</v>
      </c>
      <c r="B277" s="3">
        <v>46139</v>
      </c>
      <c r="C277" s="36" t="s">
        <v>78</v>
      </c>
      <c r="D277" s="2">
        <f>MONTH(ProductionData[[#This Row],[Month]])</f>
        <v>4</v>
      </c>
      <c r="E277" s="2" t="s">
        <v>116</v>
      </c>
      <c r="F277" s="2" t="s">
        <v>93</v>
      </c>
      <c r="G277" s="2" t="s">
        <v>174</v>
      </c>
      <c r="H277" s="2" t="s">
        <v>175</v>
      </c>
      <c r="I277" s="2" t="s">
        <v>176</v>
      </c>
      <c r="J277" s="2" t="s">
        <v>629</v>
      </c>
      <c r="K277" s="2" t="s">
        <v>630</v>
      </c>
      <c r="L277" s="2" t="s">
        <v>677</v>
      </c>
      <c r="M277" s="2" t="s">
        <v>95</v>
      </c>
      <c r="N277" s="2" t="s">
        <v>88</v>
      </c>
      <c r="O277" s="2">
        <v>10</v>
      </c>
      <c r="P277" s="2">
        <v>10</v>
      </c>
      <c r="Q277" s="4">
        <v>4410</v>
      </c>
      <c r="R277" s="4">
        <v>4230</v>
      </c>
      <c r="S277" s="4">
        <v>133</v>
      </c>
      <c r="T277" s="19">
        <f>(ProductionData[[#This Row],[Rejected_Qty]])/ProductionData[[#This Row],[Produced_Qty]]</f>
        <v>3.1442080378250588E-2</v>
      </c>
      <c r="U277" s="19">
        <f>ProductionData[[#This Row],[Produced_Qty]]/ProductionData[[#This Row],[Planned_Qty]]</f>
        <v>0.95918367346938771</v>
      </c>
      <c r="V277" s="2" t="s">
        <v>113</v>
      </c>
      <c r="W277" s="11">
        <v>0</v>
      </c>
      <c r="X277" s="13">
        <f>W277/60</f>
        <v>0</v>
      </c>
      <c r="Y277" s="2" t="s">
        <v>90</v>
      </c>
      <c r="Z277" s="2">
        <v>29</v>
      </c>
      <c r="AA277" s="2">
        <f>ProductionData[[#This Row],[Rejected_Qty]]*ProductionData[[#This Row],[Unit_Cost_INR]]</f>
        <v>3857</v>
      </c>
      <c r="AB277" s="4">
        <v>14704</v>
      </c>
      <c r="AC277" s="4">
        <v>4300</v>
      </c>
      <c r="AD277" s="4">
        <v>4300</v>
      </c>
      <c r="AE277" s="4">
        <v>14501</v>
      </c>
      <c r="AF277" s="4">
        <v>7500</v>
      </c>
    </row>
    <row r="278" spans="1:34">
      <c r="A278" s="2" t="s">
        <v>678</v>
      </c>
      <c r="B278" s="3">
        <v>46125</v>
      </c>
      <c r="C278" s="36" t="s">
        <v>78</v>
      </c>
      <c r="D278" s="2">
        <f>MONTH(ProductionData[[#This Row],[Month]])</f>
        <v>4</v>
      </c>
      <c r="E278" s="2" t="s">
        <v>116</v>
      </c>
      <c r="F278" s="2" t="s">
        <v>93</v>
      </c>
      <c r="G278" s="2" t="s">
        <v>174</v>
      </c>
      <c r="H278" s="2" t="s">
        <v>175</v>
      </c>
      <c r="I278" s="2" t="s">
        <v>176</v>
      </c>
      <c r="J278" s="2" t="s">
        <v>629</v>
      </c>
      <c r="K278" s="2" t="s">
        <v>630</v>
      </c>
      <c r="L278" s="2" t="s">
        <v>679</v>
      </c>
      <c r="M278" s="2" t="s">
        <v>95</v>
      </c>
      <c r="N278" s="2" t="s">
        <v>96</v>
      </c>
      <c r="O278" s="2">
        <v>10</v>
      </c>
      <c r="P278" s="2">
        <v>10</v>
      </c>
      <c r="Q278" s="4">
        <v>5090</v>
      </c>
      <c r="R278" s="4">
        <v>4780</v>
      </c>
      <c r="S278" s="4">
        <v>91</v>
      </c>
      <c r="T278" s="19">
        <f>(ProductionData[[#This Row],[Rejected_Qty]])/ProductionData[[#This Row],[Produced_Qty]]</f>
        <v>1.9037656903765691E-2</v>
      </c>
      <c r="U278" s="19">
        <f>ProductionData[[#This Row],[Produced_Qty]]/ProductionData[[#This Row],[Planned_Qty]]</f>
        <v>0.93909626719056971</v>
      </c>
      <c r="V278" s="2" t="s">
        <v>75</v>
      </c>
      <c r="W278" s="11">
        <v>0</v>
      </c>
      <c r="X278" s="13">
        <f>W278/60</f>
        <v>0</v>
      </c>
      <c r="Y278" s="2" t="s">
        <v>90</v>
      </c>
      <c r="Z278" s="2">
        <v>29</v>
      </c>
      <c r="AA278" s="2">
        <f>ProductionData[[#This Row],[Rejected_Qty]]*ProductionData[[#This Row],[Unit_Cost_INR]]</f>
        <v>2639</v>
      </c>
      <c r="AB278" s="4">
        <v>14914</v>
      </c>
      <c r="AC278" s="4">
        <v>5120</v>
      </c>
      <c r="AD278" s="4">
        <v>5120</v>
      </c>
      <c r="AE278" s="4">
        <v>14483</v>
      </c>
      <c r="AF278" s="4">
        <v>7500</v>
      </c>
    </row>
    <row r="279" spans="1:34">
      <c r="A279" s="2" t="s">
        <v>680</v>
      </c>
      <c r="B279" s="3">
        <v>46119</v>
      </c>
      <c r="C279" s="36" t="s">
        <v>78</v>
      </c>
      <c r="D279" s="2">
        <f>MONTH(ProductionData[[#This Row],[Month]])</f>
        <v>4</v>
      </c>
      <c r="E279" s="2" t="s">
        <v>92</v>
      </c>
      <c r="F279" s="2" t="s">
        <v>93</v>
      </c>
      <c r="G279" s="2" t="s">
        <v>174</v>
      </c>
      <c r="H279" s="2" t="s">
        <v>175</v>
      </c>
      <c r="I279" s="2" t="s">
        <v>176</v>
      </c>
      <c r="J279" s="2" t="s">
        <v>629</v>
      </c>
      <c r="K279" s="2" t="s">
        <v>630</v>
      </c>
      <c r="L279" s="2" t="s">
        <v>681</v>
      </c>
      <c r="M279" s="2" t="s">
        <v>95</v>
      </c>
      <c r="N279" s="2" t="s">
        <v>88</v>
      </c>
      <c r="O279" s="2">
        <v>10</v>
      </c>
      <c r="P279" s="2">
        <v>7</v>
      </c>
      <c r="Q279" s="4">
        <v>4410</v>
      </c>
      <c r="R279" s="4">
        <v>3570</v>
      </c>
      <c r="S279" s="4">
        <v>121</v>
      </c>
      <c r="T279" s="19">
        <f>(ProductionData[[#This Row],[Rejected_Qty]])/ProductionData[[#This Row],[Produced_Qty]]</f>
        <v>3.3893557422969185E-2</v>
      </c>
      <c r="U279" s="19">
        <f>ProductionData[[#This Row],[Produced_Qty]]/ProductionData[[#This Row],[Planned_Qty]]</f>
        <v>0.80952380952380953</v>
      </c>
      <c r="V279" s="2" t="s">
        <v>89</v>
      </c>
      <c r="W279" s="11">
        <v>0</v>
      </c>
      <c r="X279" s="13">
        <f>W279/60</f>
        <v>0</v>
      </c>
      <c r="Y279" s="2" t="s">
        <v>90</v>
      </c>
      <c r="Z279" s="2">
        <v>29</v>
      </c>
      <c r="AA279" s="2">
        <f>ProductionData[[#This Row],[Rejected_Qty]]*ProductionData[[#This Row],[Unit_Cost_INR]]</f>
        <v>3509</v>
      </c>
      <c r="AB279" s="4">
        <v>15081</v>
      </c>
      <c r="AC279" s="4">
        <v>4050</v>
      </c>
      <c r="AD279" s="4">
        <v>4050</v>
      </c>
      <c r="AE279" s="4">
        <v>14480</v>
      </c>
      <c r="AF279" s="4">
        <v>7500</v>
      </c>
    </row>
    <row r="280" spans="1:34">
      <c r="A280" s="2" t="s">
        <v>682</v>
      </c>
      <c r="B280" s="3">
        <v>46142</v>
      </c>
      <c r="C280" s="36" t="s">
        <v>78</v>
      </c>
      <c r="D280" s="2">
        <f>MONTH(ProductionData[[#This Row],[Month]])</f>
        <v>4</v>
      </c>
      <c r="E280" s="2" t="s">
        <v>107</v>
      </c>
      <c r="F280" s="2" t="s">
        <v>93</v>
      </c>
      <c r="G280" s="2" t="s">
        <v>67</v>
      </c>
      <c r="H280" s="2" t="s">
        <v>68</v>
      </c>
      <c r="I280" s="2" t="s">
        <v>69</v>
      </c>
      <c r="J280" s="2" t="s">
        <v>683</v>
      </c>
      <c r="K280" s="2" t="s">
        <v>684</v>
      </c>
      <c r="L280" s="2" t="s">
        <v>685</v>
      </c>
      <c r="M280" s="2" t="s">
        <v>133</v>
      </c>
      <c r="N280" s="2" t="s">
        <v>88</v>
      </c>
      <c r="O280" s="2">
        <v>16</v>
      </c>
      <c r="P280" s="2">
        <v>13</v>
      </c>
      <c r="Q280" s="4">
        <v>4400</v>
      </c>
      <c r="R280" s="4">
        <v>3860</v>
      </c>
      <c r="S280" s="4">
        <v>68</v>
      </c>
      <c r="T280" s="19">
        <f>(ProductionData[[#This Row],[Rejected_Qty]])/ProductionData[[#This Row],[Produced_Qty]]</f>
        <v>1.7616580310880828E-2</v>
      </c>
      <c r="U280" s="19">
        <f>ProductionData[[#This Row],[Produced_Qty]]/ProductionData[[#This Row],[Planned_Qty]]</f>
        <v>0.87727272727272732</v>
      </c>
      <c r="V280" s="2" t="s">
        <v>113</v>
      </c>
      <c r="W280" s="11">
        <v>0</v>
      </c>
      <c r="X280" s="13">
        <f>W280/60</f>
        <v>0</v>
      </c>
      <c r="Y280" s="2" t="s">
        <v>90</v>
      </c>
      <c r="Z280" s="2">
        <v>79</v>
      </c>
      <c r="AA280" s="2">
        <f>ProductionData[[#This Row],[Rejected_Qty]]*ProductionData[[#This Row],[Unit_Cost_INR]]</f>
        <v>5372</v>
      </c>
      <c r="AB280" s="4">
        <v>14204</v>
      </c>
      <c r="AC280" s="4">
        <v>3640</v>
      </c>
      <c r="AD280" s="4">
        <v>3640</v>
      </c>
      <c r="AE280" s="4">
        <v>14356</v>
      </c>
      <c r="AF280" s="4">
        <v>6750</v>
      </c>
    </row>
    <row r="281" spans="1:34">
      <c r="A281" s="2" t="s">
        <v>686</v>
      </c>
      <c r="B281" s="3">
        <v>46141</v>
      </c>
      <c r="C281" s="36" t="s">
        <v>78</v>
      </c>
      <c r="D281" s="2">
        <f>MONTH(ProductionData[[#This Row],[Month]])</f>
        <v>4</v>
      </c>
      <c r="E281" s="2" t="s">
        <v>79</v>
      </c>
      <c r="F281" s="2" t="s">
        <v>80</v>
      </c>
      <c r="G281" s="2" t="s">
        <v>67</v>
      </c>
      <c r="H281" s="2" t="s">
        <v>68</v>
      </c>
      <c r="I281" s="2" t="s">
        <v>69</v>
      </c>
      <c r="J281" s="2" t="s">
        <v>683</v>
      </c>
      <c r="K281" s="2" t="s">
        <v>684</v>
      </c>
      <c r="L281" s="2" t="s">
        <v>687</v>
      </c>
      <c r="M281" s="2" t="s">
        <v>87</v>
      </c>
      <c r="N281" s="2" t="s">
        <v>88</v>
      </c>
      <c r="O281" s="2">
        <v>16</v>
      </c>
      <c r="P281" s="2">
        <v>16</v>
      </c>
      <c r="Q281" s="4">
        <v>4600</v>
      </c>
      <c r="R281" s="4">
        <v>4260</v>
      </c>
      <c r="S281" s="4">
        <v>75</v>
      </c>
      <c r="T281" s="19">
        <f>(ProductionData[[#This Row],[Rejected_Qty]])/ProductionData[[#This Row],[Produced_Qty]]</f>
        <v>1.7605633802816902E-2</v>
      </c>
      <c r="U281" s="19">
        <f>ProductionData[[#This Row],[Produced_Qty]]/ProductionData[[#This Row],[Planned_Qty]]</f>
        <v>0.92608695652173911</v>
      </c>
      <c r="V281" s="2" t="s">
        <v>109</v>
      </c>
      <c r="W281" s="11">
        <v>67</v>
      </c>
      <c r="X281" s="13">
        <f>W281/60</f>
        <v>1.1166666666666667</v>
      </c>
      <c r="Y281" s="2" t="s">
        <v>110</v>
      </c>
      <c r="Z281" s="2">
        <v>79</v>
      </c>
      <c r="AA281" s="2">
        <f>ProductionData[[#This Row],[Rejected_Qty]]*ProductionData[[#This Row],[Unit_Cost_INR]]</f>
        <v>5925</v>
      </c>
      <c r="AB281" s="4">
        <v>13959</v>
      </c>
      <c r="AC281" s="4">
        <v>3940</v>
      </c>
      <c r="AD281" s="4">
        <v>3940</v>
      </c>
      <c r="AE281" s="4">
        <v>14204</v>
      </c>
      <c r="AF281" s="4">
        <v>6750</v>
      </c>
    </row>
    <row r="282" spans="1:34">
      <c r="A282" s="2" t="s">
        <v>688</v>
      </c>
      <c r="B282" s="3">
        <v>46139</v>
      </c>
      <c r="C282" s="36" t="s">
        <v>78</v>
      </c>
      <c r="D282" s="2">
        <f>MONTH(ProductionData[[#This Row],[Month]])</f>
        <v>4</v>
      </c>
      <c r="E282" s="2" t="s">
        <v>116</v>
      </c>
      <c r="F282" s="2" t="s">
        <v>93</v>
      </c>
      <c r="G282" s="2" t="s">
        <v>67</v>
      </c>
      <c r="H282" s="2" t="s">
        <v>68</v>
      </c>
      <c r="I282" s="2" t="s">
        <v>69</v>
      </c>
      <c r="J282" s="2" t="s">
        <v>683</v>
      </c>
      <c r="K282" s="2" t="s">
        <v>684</v>
      </c>
      <c r="L282" s="2" t="s">
        <v>689</v>
      </c>
      <c r="M282" s="2" t="s">
        <v>95</v>
      </c>
      <c r="N282" s="2" t="s">
        <v>88</v>
      </c>
      <c r="O282" s="2">
        <v>16</v>
      </c>
      <c r="P282" s="2">
        <v>14</v>
      </c>
      <c r="Q282" s="4">
        <v>4320</v>
      </c>
      <c r="R282" s="4">
        <v>4100</v>
      </c>
      <c r="S282" s="4">
        <v>72</v>
      </c>
      <c r="T282" s="19">
        <f>(ProductionData[[#This Row],[Rejected_Qty]])/ProductionData[[#This Row],[Produced_Qty]]</f>
        <v>1.7560975609756099E-2</v>
      </c>
      <c r="U282" s="19">
        <f>ProductionData[[#This Row],[Produced_Qty]]/ProductionData[[#This Row],[Planned_Qty]]</f>
        <v>0.94907407407407407</v>
      </c>
      <c r="V282" s="2" t="s">
        <v>89</v>
      </c>
      <c r="W282" s="11">
        <v>0</v>
      </c>
      <c r="X282" s="13">
        <f>W282/60</f>
        <v>0</v>
      </c>
      <c r="Y282" s="2" t="s">
        <v>90</v>
      </c>
      <c r="Z282" s="2">
        <v>79</v>
      </c>
      <c r="AA282" s="2">
        <f>ProductionData[[#This Row],[Rejected_Qty]]*ProductionData[[#This Row],[Unit_Cost_INR]]</f>
        <v>5688</v>
      </c>
      <c r="AB282" s="4">
        <v>13790</v>
      </c>
      <c r="AC282" s="4">
        <v>3660</v>
      </c>
      <c r="AD282" s="4">
        <v>3660</v>
      </c>
      <c r="AE282" s="4">
        <v>14158</v>
      </c>
      <c r="AF282" s="4">
        <v>6750</v>
      </c>
    </row>
    <row r="283" spans="1:34">
      <c r="A283" s="2" t="s">
        <v>690</v>
      </c>
      <c r="B283" s="3">
        <v>46140</v>
      </c>
      <c r="C283" s="36" t="s">
        <v>78</v>
      </c>
      <c r="D283" s="2">
        <f>MONTH(ProductionData[[#This Row],[Month]])</f>
        <v>4</v>
      </c>
      <c r="E283" s="2" t="s">
        <v>92</v>
      </c>
      <c r="F283" s="2" t="s">
        <v>66</v>
      </c>
      <c r="G283" s="2" t="s">
        <v>67</v>
      </c>
      <c r="H283" s="2" t="s">
        <v>68</v>
      </c>
      <c r="I283" s="2" t="s">
        <v>69</v>
      </c>
      <c r="J283" s="2" t="s">
        <v>683</v>
      </c>
      <c r="K283" s="2" t="s">
        <v>684</v>
      </c>
      <c r="L283" s="2" t="s">
        <v>691</v>
      </c>
      <c r="M283" s="2" t="s">
        <v>99</v>
      </c>
      <c r="N283" s="2" t="s">
        <v>88</v>
      </c>
      <c r="O283" s="2">
        <v>16</v>
      </c>
      <c r="P283" s="2">
        <v>14</v>
      </c>
      <c r="Q283" s="4">
        <v>4280</v>
      </c>
      <c r="R283" s="4">
        <v>3840</v>
      </c>
      <c r="S283" s="4">
        <v>109</v>
      </c>
      <c r="T283" s="19">
        <f>(ProductionData[[#This Row],[Rejected_Qty]])/ProductionData[[#This Row],[Produced_Qty]]</f>
        <v>2.8385416666666666E-2</v>
      </c>
      <c r="U283" s="19">
        <f>ProductionData[[#This Row],[Produced_Qty]]/ProductionData[[#This Row],[Planned_Qty]]</f>
        <v>0.89719626168224298</v>
      </c>
      <c r="V283" s="2" t="s">
        <v>89</v>
      </c>
      <c r="W283" s="11">
        <v>0</v>
      </c>
      <c r="X283" s="13">
        <f>W283/60</f>
        <v>0</v>
      </c>
      <c r="Y283" s="2" t="s">
        <v>90</v>
      </c>
      <c r="Z283" s="2">
        <v>79</v>
      </c>
      <c r="AA283" s="2">
        <f>ProductionData[[#This Row],[Rejected_Qty]]*ProductionData[[#This Row],[Unit_Cost_INR]]</f>
        <v>8611</v>
      </c>
      <c r="AB283" s="4">
        <v>14158</v>
      </c>
      <c r="AC283" s="4">
        <v>3930</v>
      </c>
      <c r="AD283" s="4">
        <v>3930</v>
      </c>
      <c r="AE283" s="4">
        <v>13959</v>
      </c>
      <c r="AF283" s="4">
        <v>6750</v>
      </c>
    </row>
    <row r="284" spans="1:34">
      <c r="A284" s="2" t="s">
        <v>692</v>
      </c>
      <c r="B284" s="3">
        <v>46129</v>
      </c>
      <c r="C284" s="36" t="s">
        <v>78</v>
      </c>
      <c r="D284" s="2">
        <f>MONTH(ProductionData[[#This Row],[Month]])</f>
        <v>4</v>
      </c>
      <c r="E284" s="2" t="s">
        <v>125</v>
      </c>
      <c r="F284" s="2" t="s">
        <v>80</v>
      </c>
      <c r="G284" s="2" t="s">
        <v>67</v>
      </c>
      <c r="H284" s="2" t="s">
        <v>68</v>
      </c>
      <c r="I284" s="2" t="s">
        <v>69</v>
      </c>
      <c r="J284" s="2" t="s">
        <v>683</v>
      </c>
      <c r="K284" s="2" t="s">
        <v>684</v>
      </c>
      <c r="L284" s="2" t="s">
        <v>693</v>
      </c>
      <c r="M284" s="2" t="s">
        <v>87</v>
      </c>
      <c r="N284" s="2" t="s">
        <v>96</v>
      </c>
      <c r="O284" s="2">
        <v>16</v>
      </c>
      <c r="P284" s="2">
        <v>16</v>
      </c>
      <c r="Q284" s="4">
        <v>4340</v>
      </c>
      <c r="R284" s="4">
        <v>4280</v>
      </c>
      <c r="S284" s="4">
        <v>102</v>
      </c>
      <c r="T284" s="19">
        <f>(ProductionData[[#This Row],[Rejected_Qty]])/ProductionData[[#This Row],[Produced_Qty]]</f>
        <v>2.3831775700934581E-2</v>
      </c>
      <c r="U284" s="19">
        <f>ProductionData[[#This Row],[Produced_Qty]]/ProductionData[[#This Row],[Planned_Qty]]</f>
        <v>0.98617511520737322</v>
      </c>
      <c r="V284" s="2" t="s">
        <v>75</v>
      </c>
      <c r="W284" s="11">
        <v>0</v>
      </c>
      <c r="X284" s="13">
        <f>W284/60</f>
        <v>0</v>
      </c>
      <c r="Y284" s="2" t="s">
        <v>90</v>
      </c>
      <c r="Z284" s="2">
        <v>79</v>
      </c>
      <c r="AA284" s="2">
        <f>ProductionData[[#This Row],[Rejected_Qty]]*ProductionData[[#This Row],[Unit_Cost_INR]]</f>
        <v>8058</v>
      </c>
      <c r="AB284" s="4">
        <v>13314</v>
      </c>
      <c r="AC284" s="4">
        <v>3650</v>
      </c>
      <c r="AD284" s="4">
        <v>3650</v>
      </c>
      <c r="AE284" s="4">
        <v>13842</v>
      </c>
      <c r="AF284" s="4">
        <v>6750</v>
      </c>
    </row>
    <row r="285" spans="1:34">
      <c r="A285" s="2" t="s">
        <v>694</v>
      </c>
      <c r="B285" s="3">
        <v>46134</v>
      </c>
      <c r="C285" s="36" t="s">
        <v>78</v>
      </c>
      <c r="D285" s="2">
        <f>MONTH(ProductionData[[#This Row],[Month]])</f>
        <v>4</v>
      </c>
      <c r="E285" s="2" t="s">
        <v>79</v>
      </c>
      <c r="F285" s="2" t="s">
        <v>66</v>
      </c>
      <c r="G285" s="2" t="s">
        <v>67</v>
      </c>
      <c r="H285" s="2" t="s">
        <v>68</v>
      </c>
      <c r="I285" s="2" t="s">
        <v>69</v>
      </c>
      <c r="J285" s="2" t="s">
        <v>683</v>
      </c>
      <c r="K285" s="2" t="s">
        <v>684</v>
      </c>
      <c r="L285" s="2" t="s">
        <v>695</v>
      </c>
      <c r="M285" s="2" t="s">
        <v>73</v>
      </c>
      <c r="N285" s="2" t="s">
        <v>88</v>
      </c>
      <c r="O285" s="2">
        <v>16</v>
      </c>
      <c r="P285" s="2">
        <v>16</v>
      </c>
      <c r="Q285" s="4">
        <v>4530</v>
      </c>
      <c r="R285" s="4">
        <v>4630</v>
      </c>
      <c r="S285" s="4">
        <v>141</v>
      </c>
      <c r="T285" s="19">
        <f>(ProductionData[[#This Row],[Rejected_Qty]])/ProductionData[[#This Row],[Produced_Qty]]</f>
        <v>3.0453563714902807E-2</v>
      </c>
      <c r="U285" s="19">
        <f>ProductionData[[#This Row],[Produced_Qty]]/ProductionData[[#This Row],[Planned_Qty]]</f>
        <v>1.0220750551876379</v>
      </c>
      <c r="V285" s="2" t="s">
        <v>103</v>
      </c>
      <c r="W285" s="11">
        <v>0</v>
      </c>
      <c r="X285" s="13">
        <f>W285/60</f>
        <v>0</v>
      </c>
      <c r="Y285" s="2" t="s">
        <v>90</v>
      </c>
      <c r="Z285" s="2">
        <v>79</v>
      </c>
      <c r="AA285" s="2">
        <f>ProductionData[[#This Row],[Rejected_Qty]]*ProductionData[[#This Row],[Unit_Cost_INR]]</f>
        <v>11139</v>
      </c>
      <c r="AB285" s="4">
        <v>13551</v>
      </c>
      <c r="AC285" s="4">
        <v>4250</v>
      </c>
      <c r="AD285" s="4">
        <v>4250</v>
      </c>
      <c r="AE285" s="4">
        <v>13790</v>
      </c>
      <c r="AF285" s="4">
        <v>6750</v>
      </c>
    </row>
    <row r="286" spans="1:34">
      <c r="A286" s="2" t="s">
        <v>696</v>
      </c>
      <c r="B286" s="3">
        <v>46131</v>
      </c>
      <c r="C286" s="36" t="s">
        <v>78</v>
      </c>
      <c r="D286" s="2">
        <f>MONTH(ProductionData[[#This Row],[Month]])</f>
        <v>4</v>
      </c>
      <c r="E286" s="2" t="s">
        <v>186</v>
      </c>
      <c r="F286" s="2" t="s">
        <v>80</v>
      </c>
      <c r="G286" s="2" t="s">
        <v>67</v>
      </c>
      <c r="H286" s="2" t="s">
        <v>68</v>
      </c>
      <c r="I286" s="2" t="s">
        <v>69</v>
      </c>
      <c r="J286" s="2" t="s">
        <v>683</v>
      </c>
      <c r="K286" s="2" t="s">
        <v>684</v>
      </c>
      <c r="L286" s="2" t="s">
        <v>697</v>
      </c>
      <c r="M286" s="2" t="s">
        <v>102</v>
      </c>
      <c r="N286" s="2" t="s">
        <v>88</v>
      </c>
      <c r="O286" s="2">
        <v>16</v>
      </c>
      <c r="P286" s="2">
        <v>14</v>
      </c>
      <c r="Q286" s="4">
        <v>3140</v>
      </c>
      <c r="R286" s="4">
        <v>2870</v>
      </c>
      <c r="S286" s="4">
        <v>92</v>
      </c>
      <c r="T286" s="19">
        <f>(ProductionData[[#This Row],[Rejected_Qty]])/ProductionData[[#This Row],[Produced_Qty]]</f>
        <v>3.2055749128919862E-2</v>
      </c>
      <c r="U286" s="19">
        <f>ProductionData[[#This Row],[Produced_Qty]]/ProductionData[[#This Row],[Planned_Qty]]</f>
        <v>0.9140127388535032</v>
      </c>
      <c r="V286" s="2" t="s">
        <v>75</v>
      </c>
      <c r="W286" s="11">
        <v>0</v>
      </c>
      <c r="X286" s="13">
        <f>W286/60</f>
        <v>0</v>
      </c>
      <c r="Y286" s="2" t="s">
        <v>90</v>
      </c>
      <c r="Z286" s="2">
        <v>79</v>
      </c>
      <c r="AA286" s="2">
        <f>ProductionData[[#This Row],[Rejected_Qty]]*ProductionData[[#This Row],[Unit_Cost_INR]]</f>
        <v>7268</v>
      </c>
      <c r="AB286" s="4">
        <v>13403</v>
      </c>
      <c r="AC286" s="4">
        <v>2630</v>
      </c>
      <c r="AD286" s="4">
        <v>2630</v>
      </c>
      <c r="AE286" s="4">
        <v>13551</v>
      </c>
      <c r="AF286" s="4">
        <v>6750</v>
      </c>
    </row>
    <row r="287" spans="1:34">
      <c r="A287" s="2" t="s">
        <v>698</v>
      </c>
      <c r="B287" s="3">
        <v>46128</v>
      </c>
      <c r="C287" s="36" t="s">
        <v>78</v>
      </c>
      <c r="D287" s="2">
        <f>MONTH(ProductionData[[#This Row],[Month]])</f>
        <v>4</v>
      </c>
      <c r="E287" s="2" t="s">
        <v>107</v>
      </c>
      <c r="F287" s="2" t="s">
        <v>80</v>
      </c>
      <c r="G287" s="2" t="s">
        <v>67</v>
      </c>
      <c r="H287" s="2" t="s">
        <v>68</v>
      </c>
      <c r="I287" s="2" t="s">
        <v>69</v>
      </c>
      <c r="J287" s="2" t="s">
        <v>683</v>
      </c>
      <c r="K287" s="2" t="s">
        <v>684</v>
      </c>
      <c r="L287" s="2" t="s">
        <v>699</v>
      </c>
      <c r="M287" s="2" t="s">
        <v>102</v>
      </c>
      <c r="N287" s="2" t="s">
        <v>88</v>
      </c>
      <c r="O287" s="2">
        <v>16</v>
      </c>
      <c r="P287" s="2">
        <v>16</v>
      </c>
      <c r="Q287" s="4">
        <v>4570</v>
      </c>
      <c r="R287" s="4">
        <v>4400</v>
      </c>
      <c r="S287" s="4">
        <v>140</v>
      </c>
      <c r="T287" s="19">
        <f>(ProductionData[[#This Row],[Rejected_Qty]])/ProductionData[[#This Row],[Produced_Qty]]</f>
        <v>3.1818181818181815E-2</v>
      </c>
      <c r="U287" s="19">
        <f>ProductionData[[#This Row],[Produced_Qty]]/ProductionData[[#This Row],[Planned_Qty]]</f>
        <v>0.96280087527352298</v>
      </c>
      <c r="V287" s="2" t="s">
        <v>103</v>
      </c>
      <c r="W287" s="11">
        <v>74</v>
      </c>
      <c r="X287" s="13">
        <f>W287/60</f>
        <v>1.2333333333333334</v>
      </c>
      <c r="Y287" s="2" t="s">
        <v>110</v>
      </c>
      <c r="Z287" s="2">
        <v>79</v>
      </c>
      <c r="AA287" s="2">
        <f>ProductionData[[#This Row],[Rejected_Qty]]*ProductionData[[#This Row],[Unit_Cost_INR]]</f>
        <v>11060</v>
      </c>
      <c r="AB287" s="4">
        <v>13185</v>
      </c>
      <c r="AC287" s="4">
        <v>3910</v>
      </c>
      <c r="AD287" s="4">
        <v>3910</v>
      </c>
      <c r="AE287" s="4">
        <v>13535</v>
      </c>
      <c r="AF287" s="4">
        <v>6750</v>
      </c>
    </row>
    <row r="288" spans="1:34">
      <c r="A288" s="2" t="s">
        <v>700</v>
      </c>
      <c r="B288" s="3">
        <v>46130</v>
      </c>
      <c r="C288" s="36" t="s">
        <v>78</v>
      </c>
      <c r="D288" s="2">
        <f>MONTH(ProductionData[[#This Row],[Month]])</f>
        <v>4</v>
      </c>
      <c r="E288" s="2" t="s">
        <v>65</v>
      </c>
      <c r="F288" s="2" t="s">
        <v>93</v>
      </c>
      <c r="G288" s="2" t="s">
        <v>67</v>
      </c>
      <c r="H288" s="2" t="s">
        <v>68</v>
      </c>
      <c r="I288" s="2" t="s">
        <v>69</v>
      </c>
      <c r="J288" s="2" t="s">
        <v>683</v>
      </c>
      <c r="K288" s="2" t="s">
        <v>684</v>
      </c>
      <c r="L288" s="2" t="s">
        <v>701</v>
      </c>
      <c r="M288" s="2" t="s">
        <v>95</v>
      </c>
      <c r="N288" s="2" t="s">
        <v>88</v>
      </c>
      <c r="O288" s="2">
        <v>16</v>
      </c>
      <c r="P288" s="2">
        <v>15</v>
      </c>
      <c r="Q288" s="4">
        <v>4100</v>
      </c>
      <c r="R288" s="4">
        <v>3740</v>
      </c>
      <c r="S288" s="4">
        <v>69</v>
      </c>
      <c r="T288" s="19">
        <f>(ProductionData[[#This Row],[Rejected_Qty]])/ProductionData[[#This Row],[Produced_Qty]]</f>
        <v>1.8449197860962566E-2</v>
      </c>
      <c r="U288" s="19">
        <f>ProductionData[[#This Row],[Produced_Qty]]/ProductionData[[#This Row],[Planned_Qty]]</f>
        <v>0.91219512195121955</v>
      </c>
      <c r="V288" s="2" t="s">
        <v>109</v>
      </c>
      <c r="W288" s="11">
        <v>0</v>
      </c>
      <c r="X288" s="13">
        <f>W288/60</f>
        <v>0</v>
      </c>
      <c r="Y288" s="2" t="s">
        <v>90</v>
      </c>
      <c r="Z288" s="2">
        <v>79</v>
      </c>
      <c r="AA288" s="2">
        <f>ProductionData[[#This Row],[Rejected_Qty]]*ProductionData[[#This Row],[Unit_Cost_INR]]</f>
        <v>5451</v>
      </c>
      <c r="AB288" s="4">
        <v>13842</v>
      </c>
      <c r="AC288" s="4">
        <v>4110</v>
      </c>
      <c r="AD288" s="4">
        <v>4110</v>
      </c>
      <c r="AE288" s="4">
        <v>13403</v>
      </c>
      <c r="AF288" s="4">
        <v>6750</v>
      </c>
      <c r="AH288" s="30"/>
    </row>
    <row r="289" spans="1:32">
      <c r="A289" s="2" t="s">
        <v>702</v>
      </c>
      <c r="B289" s="3">
        <v>46128</v>
      </c>
      <c r="C289" s="36" t="s">
        <v>78</v>
      </c>
      <c r="D289" s="2">
        <f>MONTH(ProductionData[[#This Row],[Month]])</f>
        <v>4</v>
      </c>
      <c r="E289" s="2" t="s">
        <v>107</v>
      </c>
      <c r="F289" s="2" t="s">
        <v>93</v>
      </c>
      <c r="G289" s="2" t="s">
        <v>67</v>
      </c>
      <c r="H289" s="2" t="s">
        <v>68</v>
      </c>
      <c r="I289" s="2" t="s">
        <v>69</v>
      </c>
      <c r="J289" s="2" t="s">
        <v>683</v>
      </c>
      <c r="K289" s="2" t="s">
        <v>684</v>
      </c>
      <c r="L289" s="2" t="s">
        <v>703</v>
      </c>
      <c r="M289" s="2" t="s">
        <v>133</v>
      </c>
      <c r="N289" s="2" t="s">
        <v>88</v>
      </c>
      <c r="O289" s="2">
        <v>16</v>
      </c>
      <c r="P289" s="2">
        <v>13</v>
      </c>
      <c r="Q289" s="4">
        <v>4600</v>
      </c>
      <c r="R289" s="4">
        <v>4070</v>
      </c>
      <c r="S289" s="4">
        <v>101</v>
      </c>
      <c r="T289" s="19">
        <f>(ProductionData[[#This Row],[Rejected_Qty]])/ProductionData[[#This Row],[Produced_Qty]]</f>
        <v>2.4815724815724815E-2</v>
      </c>
      <c r="U289" s="19">
        <f>ProductionData[[#This Row],[Produced_Qty]]/ProductionData[[#This Row],[Planned_Qty]]</f>
        <v>0.88478260869565217</v>
      </c>
      <c r="V289" s="2" t="s">
        <v>89</v>
      </c>
      <c r="W289" s="11">
        <v>0</v>
      </c>
      <c r="X289" s="13">
        <f>W289/60</f>
        <v>0</v>
      </c>
      <c r="Y289" s="2" t="s">
        <v>90</v>
      </c>
      <c r="Z289" s="2">
        <v>79</v>
      </c>
      <c r="AA289" s="2">
        <f>ProductionData[[#This Row],[Rejected_Qty]]*ProductionData[[#This Row],[Unit_Cost_INR]]</f>
        <v>7979</v>
      </c>
      <c r="AB289" s="4">
        <v>13535</v>
      </c>
      <c r="AC289" s="4">
        <v>4190</v>
      </c>
      <c r="AD289" s="4">
        <v>4190</v>
      </c>
      <c r="AE289" s="4">
        <v>13314</v>
      </c>
      <c r="AF289" s="4">
        <v>6750</v>
      </c>
    </row>
    <row r="290" spans="1:32">
      <c r="A290" s="2" t="s">
        <v>704</v>
      </c>
      <c r="B290" s="3">
        <v>46127</v>
      </c>
      <c r="C290" s="36" t="s">
        <v>78</v>
      </c>
      <c r="D290" s="2">
        <f>MONTH(ProductionData[[#This Row],[Month]])</f>
        <v>4</v>
      </c>
      <c r="E290" s="2" t="s">
        <v>79</v>
      </c>
      <c r="F290" s="2" t="s">
        <v>93</v>
      </c>
      <c r="G290" s="2" t="s">
        <v>67</v>
      </c>
      <c r="H290" s="2" t="s">
        <v>68</v>
      </c>
      <c r="I290" s="2" t="s">
        <v>69</v>
      </c>
      <c r="J290" s="2" t="s">
        <v>683</v>
      </c>
      <c r="K290" s="2" t="s">
        <v>684</v>
      </c>
      <c r="L290" s="2" t="s">
        <v>705</v>
      </c>
      <c r="M290" s="2" t="s">
        <v>95</v>
      </c>
      <c r="N290" s="2" t="s">
        <v>96</v>
      </c>
      <c r="O290" s="2">
        <v>16</v>
      </c>
      <c r="P290" s="2">
        <v>16</v>
      </c>
      <c r="Q290" s="4">
        <v>4040</v>
      </c>
      <c r="R290" s="4">
        <v>3780</v>
      </c>
      <c r="S290" s="4">
        <v>39</v>
      </c>
      <c r="T290" s="19">
        <f>(ProductionData[[#This Row],[Rejected_Qty]])/ProductionData[[#This Row],[Produced_Qty]]</f>
        <v>1.0317460317460317E-2</v>
      </c>
      <c r="U290" s="19">
        <f>ProductionData[[#This Row],[Produced_Qty]]/ProductionData[[#This Row],[Planned_Qty]]</f>
        <v>0.9356435643564357</v>
      </c>
      <c r="V290" s="2" t="s">
        <v>113</v>
      </c>
      <c r="W290" s="11">
        <v>52</v>
      </c>
      <c r="X290" s="13">
        <f>W290/60</f>
        <v>0.8666666666666667</v>
      </c>
      <c r="Y290" s="2" t="s">
        <v>110</v>
      </c>
      <c r="Z290" s="2">
        <v>79</v>
      </c>
      <c r="AA290" s="2">
        <f>ProductionData[[#This Row],[Rejected_Qty]]*ProductionData[[#This Row],[Unit_Cost_INR]]</f>
        <v>3081</v>
      </c>
      <c r="AB290" s="4">
        <v>12914</v>
      </c>
      <c r="AC290" s="4">
        <v>3470</v>
      </c>
      <c r="AD290" s="4">
        <v>3470</v>
      </c>
      <c r="AE290" s="4">
        <v>13185</v>
      </c>
      <c r="AF290" s="4">
        <v>6750</v>
      </c>
    </row>
    <row r="291" spans="1:32">
      <c r="A291" s="2" t="s">
        <v>706</v>
      </c>
      <c r="B291" s="3">
        <v>46122</v>
      </c>
      <c r="C291" s="36" t="s">
        <v>78</v>
      </c>
      <c r="D291" s="2">
        <f>MONTH(ProductionData[[#This Row],[Month]])</f>
        <v>4</v>
      </c>
      <c r="E291" s="2" t="s">
        <v>125</v>
      </c>
      <c r="F291" s="2" t="s">
        <v>66</v>
      </c>
      <c r="G291" s="2" t="s">
        <v>67</v>
      </c>
      <c r="H291" s="2" t="s">
        <v>68</v>
      </c>
      <c r="I291" s="2" t="s">
        <v>69</v>
      </c>
      <c r="J291" s="2" t="s">
        <v>683</v>
      </c>
      <c r="K291" s="2" t="s">
        <v>684</v>
      </c>
      <c r="L291" s="2" t="s">
        <v>707</v>
      </c>
      <c r="M291" s="2" t="s">
        <v>99</v>
      </c>
      <c r="N291" s="2" t="s">
        <v>96</v>
      </c>
      <c r="O291" s="2">
        <v>16</v>
      </c>
      <c r="P291" s="2">
        <v>16</v>
      </c>
      <c r="Q291" s="4">
        <v>4670</v>
      </c>
      <c r="R291" s="4">
        <v>4490</v>
      </c>
      <c r="S291" s="4">
        <v>115</v>
      </c>
      <c r="T291" s="19">
        <f>(ProductionData[[#This Row],[Rejected_Qty]])/ProductionData[[#This Row],[Produced_Qty]]</f>
        <v>2.5612472160356347E-2</v>
      </c>
      <c r="U291" s="19">
        <f>ProductionData[[#This Row],[Produced_Qty]]/ProductionData[[#This Row],[Planned_Qty]]</f>
        <v>0.96145610278372595</v>
      </c>
      <c r="V291" s="2" t="s">
        <v>75</v>
      </c>
      <c r="W291" s="11">
        <v>0</v>
      </c>
      <c r="X291" s="13">
        <f>W291/60</f>
        <v>0</v>
      </c>
      <c r="Y291" s="2" t="s">
        <v>90</v>
      </c>
      <c r="Z291" s="2">
        <v>79</v>
      </c>
      <c r="AA291" s="2">
        <f>ProductionData[[#This Row],[Rejected_Qty]]*ProductionData[[#This Row],[Unit_Cost_INR]]</f>
        <v>9085</v>
      </c>
      <c r="AB291" s="4">
        <v>12694</v>
      </c>
      <c r="AC291" s="4">
        <v>4130</v>
      </c>
      <c r="AD291" s="4">
        <v>4130</v>
      </c>
      <c r="AE291" s="4">
        <v>12939</v>
      </c>
      <c r="AF291" s="4">
        <v>6750</v>
      </c>
    </row>
    <row r="292" spans="1:32">
      <c r="A292" s="2" t="s">
        <v>708</v>
      </c>
      <c r="B292" s="3">
        <v>46127</v>
      </c>
      <c r="C292" s="36" t="s">
        <v>78</v>
      </c>
      <c r="D292" s="2">
        <f>MONTH(ProductionData[[#This Row],[Month]])</f>
        <v>4</v>
      </c>
      <c r="E292" s="2" t="s">
        <v>79</v>
      </c>
      <c r="F292" s="2" t="s">
        <v>66</v>
      </c>
      <c r="G292" s="2" t="s">
        <v>67</v>
      </c>
      <c r="H292" s="2" t="s">
        <v>68</v>
      </c>
      <c r="I292" s="2" t="s">
        <v>69</v>
      </c>
      <c r="J292" s="2" t="s">
        <v>683</v>
      </c>
      <c r="K292" s="2" t="s">
        <v>684</v>
      </c>
      <c r="L292" s="2" t="s">
        <v>709</v>
      </c>
      <c r="M292" s="2" t="s">
        <v>73</v>
      </c>
      <c r="N292" s="2" t="s">
        <v>88</v>
      </c>
      <c r="O292" s="2">
        <v>16</v>
      </c>
      <c r="P292" s="2">
        <v>16</v>
      </c>
      <c r="Q292" s="4">
        <v>4260</v>
      </c>
      <c r="R292" s="4">
        <v>4030</v>
      </c>
      <c r="S292" s="4">
        <v>104</v>
      </c>
      <c r="T292" s="19">
        <f>(ProductionData[[#This Row],[Rejected_Qty]])/ProductionData[[#This Row],[Produced_Qty]]</f>
        <v>2.5806451612903226E-2</v>
      </c>
      <c r="U292" s="19">
        <f>ProductionData[[#This Row],[Produced_Qty]]/ProductionData[[#This Row],[Planned_Qty]]</f>
        <v>0.9460093896713615</v>
      </c>
      <c r="V292" s="2" t="s">
        <v>109</v>
      </c>
      <c r="W292" s="11">
        <v>38</v>
      </c>
      <c r="X292" s="13">
        <f>W292/60</f>
        <v>0.6333333333333333</v>
      </c>
      <c r="Y292" s="2" t="s">
        <v>76</v>
      </c>
      <c r="Z292" s="2">
        <v>79</v>
      </c>
      <c r="AA292" s="2">
        <f>ProductionData[[#This Row],[Rejected_Qty]]*ProductionData[[#This Row],[Unit_Cost_INR]]</f>
        <v>8216</v>
      </c>
      <c r="AB292" s="4">
        <v>12468</v>
      </c>
      <c r="AC292" s="4">
        <v>3480</v>
      </c>
      <c r="AD292" s="4">
        <v>3480</v>
      </c>
      <c r="AE292" s="4">
        <v>12914</v>
      </c>
      <c r="AF292" s="4">
        <v>6750</v>
      </c>
    </row>
    <row r="293" spans="1:32">
      <c r="A293" s="2" t="s">
        <v>710</v>
      </c>
      <c r="B293" s="3">
        <v>46116</v>
      </c>
      <c r="C293" s="36" t="s">
        <v>78</v>
      </c>
      <c r="D293" s="2">
        <f>MONTH(ProductionData[[#This Row],[Month]])</f>
        <v>4</v>
      </c>
      <c r="E293" s="2" t="s">
        <v>65</v>
      </c>
      <c r="F293" s="2" t="s">
        <v>66</v>
      </c>
      <c r="G293" s="2" t="s">
        <v>67</v>
      </c>
      <c r="H293" s="2" t="s">
        <v>68</v>
      </c>
      <c r="I293" s="2" t="s">
        <v>69</v>
      </c>
      <c r="J293" s="2" t="s">
        <v>683</v>
      </c>
      <c r="K293" s="2" t="s">
        <v>684</v>
      </c>
      <c r="L293" s="2" t="s">
        <v>711</v>
      </c>
      <c r="M293" s="2" t="s">
        <v>73</v>
      </c>
      <c r="N293" s="2" t="s">
        <v>96</v>
      </c>
      <c r="O293" s="2">
        <v>16</v>
      </c>
      <c r="P293" s="2">
        <v>16</v>
      </c>
      <c r="Q293" s="4">
        <v>4480</v>
      </c>
      <c r="R293" s="4">
        <v>4320</v>
      </c>
      <c r="S293" s="4">
        <v>73</v>
      </c>
      <c r="T293" s="19">
        <f>(ProductionData[[#This Row],[Rejected_Qty]])/ProductionData[[#This Row],[Produced_Qty]]</f>
        <v>1.6898148148148148E-2</v>
      </c>
      <c r="U293" s="19">
        <f>ProductionData[[#This Row],[Produced_Qty]]/ProductionData[[#This Row],[Planned_Qty]]</f>
        <v>0.9642857142857143</v>
      </c>
      <c r="V293" s="2" t="s">
        <v>109</v>
      </c>
      <c r="W293" s="11">
        <v>62</v>
      </c>
      <c r="X293" s="13">
        <f>W293/60</f>
        <v>1.0333333333333334</v>
      </c>
      <c r="Y293" s="2" t="s">
        <v>76</v>
      </c>
      <c r="Z293" s="2">
        <v>79</v>
      </c>
      <c r="AA293" s="2">
        <f>ProductionData[[#This Row],[Rejected_Qty]]*ProductionData[[#This Row],[Unit_Cost_INR]]</f>
        <v>5767</v>
      </c>
      <c r="AB293" s="4">
        <v>13500</v>
      </c>
      <c r="AC293" s="4">
        <v>4850</v>
      </c>
      <c r="AD293" s="4">
        <v>4850</v>
      </c>
      <c r="AE293" s="4">
        <v>12897</v>
      </c>
      <c r="AF293" s="4">
        <v>6750</v>
      </c>
    </row>
    <row r="294" spans="1:32">
      <c r="A294" s="2" t="s">
        <v>712</v>
      </c>
      <c r="B294" s="3">
        <v>46116</v>
      </c>
      <c r="C294" s="36" t="s">
        <v>78</v>
      </c>
      <c r="D294" s="2">
        <f>MONTH(ProductionData[[#This Row],[Month]])</f>
        <v>4</v>
      </c>
      <c r="E294" s="2" t="s">
        <v>65</v>
      </c>
      <c r="F294" s="2" t="s">
        <v>80</v>
      </c>
      <c r="G294" s="2" t="s">
        <v>67</v>
      </c>
      <c r="H294" s="2" t="s">
        <v>68</v>
      </c>
      <c r="I294" s="2" t="s">
        <v>69</v>
      </c>
      <c r="J294" s="2" t="s">
        <v>683</v>
      </c>
      <c r="K294" s="2" t="s">
        <v>684</v>
      </c>
      <c r="L294" s="2" t="s">
        <v>713</v>
      </c>
      <c r="M294" s="2" t="s">
        <v>87</v>
      </c>
      <c r="N294" s="2" t="s">
        <v>88</v>
      </c>
      <c r="O294" s="2">
        <v>16</v>
      </c>
      <c r="P294" s="2">
        <v>14</v>
      </c>
      <c r="Q294" s="4">
        <v>4740</v>
      </c>
      <c r="R294" s="4">
        <v>4310</v>
      </c>
      <c r="S294" s="4">
        <v>90</v>
      </c>
      <c r="T294" s="19">
        <f>(ProductionData[[#This Row],[Rejected_Qty]])/ProductionData[[#This Row],[Produced_Qty]]</f>
        <v>2.0881670533642691E-2</v>
      </c>
      <c r="U294" s="19">
        <f>ProductionData[[#This Row],[Produced_Qty]]/ProductionData[[#This Row],[Planned_Qty]]</f>
        <v>0.90928270042194093</v>
      </c>
      <c r="V294" s="2" t="s">
        <v>113</v>
      </c>
      <c r="W294" s="11">
        <v>0</v>
      </c>
      <c r="X294" s="13">
        <f>W294/60</f>
        <v>0</v>
      </c>
      <c r="Y294" s="2" t="s">
        <v>90</v>
      </c>
      <c r="Z294" s="2">
        <v>79</v>
      </c>
      <c r="AA294" s="2">
        <f>ProductionData[[#This Row],[Rejected_Qty]]*ProductionData[[#This Row],[Unit_Cost_INR]]</f>
        <v>7110</v>
      </c>
      <c r="AB294" s="4">
        <v>12897</v>
      </c>
      <c r="AC294" s="4">
        <v>4400</v>
      </c>
      <c r="AD294" s="4">
        <v>4400</v>
      </c>
      <c r="AE294" s="4">
        <v>12717</v>
      </c>
      <c r="AF294" s="4">
        <v>6750</v>
      </c>
    </row>
    <row r="295" spans="1:32">
      <c r="A295" s="2" t="s">
        <v>714</v>
      </c>
      <c r="B295" s="3">
        <v>46119</v>
      </c>
      <c r="C295" s="36" t="s">
        <v>78</v>
      </c>
      <c r="D295" s="2">
        <f>MONTH(ProductionData[[#This Row],[Month]])</f>
        <v>4</v>
      </c>
      <c r="E295" s="2" t="s">
        <v>92</v>
      </c>
      <c r="F295" s="2" t="s">
        <v>93</v>
      </c>
      <c r="G295" s="2" t="s">
        <v>67</v>
      </c>
      <c r="H295" s="2" t="s">
        <v>68</v>
      </c>
      <c r="I295" s="2" t="s">
        <v>69</v>
      </c>
      <c r="J295" s="2" t="s">
        <v>683</v>
      </c>
      <c r="K295" s="2" t="s">
        <v>684</v>
      </c>
      <c r="L295" s="2" t="s">
        <v>715</v>
      </c>
      <c r="M295" s="2" t="s">
        <v>95</v>
      </c>
      <c r="N295" s="2" t="s">
        <v>88</v>
      </c>
      <c r="O295" s="2">
        <v>16</v>
      </c>
      <c r="P295" s="2">
        <v>14</v>
      </c>
      <c r="Q295" s="4">
        <v>4540</v>
      </c>
      <c r="R295" s="4">
        <v>4290</v>
      </c>
      <c r="S295" s="4">
        <v>98</v>
      </c>
      <c r="T295" s="19">
        <f>(ProductionData[[#This Row],[Rejected_Qty]])/ProductionData[[#This Row],[Produced_Qty]]</f>
        <v>2.2843822843822845E-2</v>
      </c>
      <c r="U295" s="19">
        <f>ProductionData[[#This Row],[Produced_Qty]]/ProductionData[[#This Row],[Planned_Qty]]</f>
        <v>0.94493392070484583</v>
      </c>
      <c r="V295" s="2" t="s">
        <v>109</v>
      </c>
      <c r="W295" s="11">
        <v>0</v>
      </c>
      <c r="X295" s="13">
        <f>W295/60</f>
        <v>0</v>
      </c>
      <c r="Y295" s="2" t="s">
        <v>90</v>
      </c>
      <c r="Z295" s="2">
        <v>79</v>
      </c>
      <c r="AA295" s="2">
        <f>ProductionData[[#This Row],[Rejected_Qty]]*ProductionData[[#This Row],[Unit_Cost_INR]]</f>
        <v>7742</v>
      </c>
      <c r="AB295" s="4">
        <v>11962</v>
      </c>
      <c r="AC295" s="4">
        <v>3460</v>
      </c>
      <c r="AD295" s="4">
        <v>3460</v>
      </c>
      <c r="AE295" s="4">
        <v>12694</v>
      </c>
      <c r="AF295" s="4">
        <v>6750</v>
      </c>
    </row>
    <row r="296" spans="1:32">
      <c r="A296" s="2" t="s">
        <v>716</v>
      </c>
      <c r="B296" s="3">
        <v>46122</v>
      </c>
      <c r="C296" s="36" t="s">
        <v>78</v>
      </c>
      <c r="D296" s="2">
        <f>MONTH(ProductionData[[#This Row],[Month]])</f>
        <v>4</v>
      </c>
      <c r="E296" s="2" t="s">
        <v>125</v>
      </c>
      <c r="F296" s="2" t="s">
        <v>93</v>
      </c>
      <c r="G296" s="2" t="s">
        <v>67</v>
      </c>
      <c r="H296" s="2" t="s">
        <v>68</v>
      </c>
      <c r="I296" s="2" t="s">
        <v>69</v>
      </c>
      <c r="J296" s="2" t="s">
        <v>683</v>
      </c>
      <c r="K296" s="2" t="s">
        <v>684</v>
      </c>
      <c r="L296" s="2" t="s">
        <v>717</v>
      </c>
      <c r="M296" s="2" t="s">
        <v>95</v>
      </c>
      <c r="N296" s="2" t="s">
        <v>96</v>
      </c>
      <c r="O296" s="2">
        <v>16</v>
      </c>
      <c r="P296" s="2">
        <v>14</v>
      </c>
      <c r="Q296" s="4">
        <v>4500</v>
      </c>
      <c r="R296" s="4">
        <v>4240</v>
      </c>
      <c r="S296" s="4">
        <v>72</v>
      </c>
      <c r="T296" s="19">
        <f>(ProductionData[[#This Row],[Rejected_Qty]])/ProductionData[[#This Row],[Produced_Qty]]</f>
        <v>1.6981132075471698E-2</v>
      </c>
      <c r="U296" s="19">
        <f>ProductionData[[#This Row],[Produced_Qty]]/ProductionData[[#This Row],[Planned_Qty]]</f>
        <v>0.94222222222222218</v>
      </c>
      <c r="V296" s="2" t="s">
        <v>109</v>
      </c>
      <c r="W296" s="11">
        <v>0</v>
      </c>
      <c r="X296" s="13">
        <f>W296/60</f>
        <v>0</v>
      </c>
      <c r="Y296" s="2" t="s">
        <v>90</v>
      </c>
      <c r="Z296" s="2">
        <v>79</v>
      </c>
      <c r="AA296" s="2">
        <f>ProductionData[[#This Row],[Rejected_Qty]]*ProductionData[[#This Row],[Unit_Cost_INR]]</f>
        <v>5688</v>
      </c>
      <c r="AB296" s="4">
        <v>12939</v>
      </c>
      <c r="AC296" s="4">
        <v>4420</v>
      </c>
      <c r="AD296" s="4">
        <v>4420</v>
      </c>
      <c r="AE296" s="4">
        <v>12687</v>
      </c>
      <c r="AF296" s="4">
        <v>6750</v>
      </c>
    </row>
    <row r="297" spans="1:32">
      <c r="A297" s="2" t="s">
        <v>718</v>
      </c>
      <c r="B297" s="3">
        <v>46125</v>
      </c>
      <c r="C297" s="36" t="s">
        <v>78</v>
      </c>
      <c r="D297" s="2">
        <f>MONTH(ProductionData[[#This Row],[Month]])</f>
        <v>4</v>
      </c>
      <c r="E297" s="2" t="s">
        <v>116</v>
      </c>
      <c r="F297" s="2" t="s">
        <v>66</v>
      </c>
      <c r="G297" s="2" t="s">
        <v>67</v>
      </c>
      <c r="H297" s="2" t="s">
        <v>68</v>
      </c>
      <c r="I297" s="2" t="s">
        <v>69</v>
      </c>
      <c r="J297" s="2" t="s">
        <v>683</v>
      </c>
      <c r="K297" s="2" t="s">
        <v>684</v>
      </c>
      <c r="L297" s="2" t="s">
        <v>719</v>
      </c>
      <c r="M297" s="2" t="s">
        <v>99</v>
      </c>
      <c r="N297" s="2" t="s">
        <v>96</v>
      </c>
      <c r="O297" s="2">
        <v>16</v>
      </c>
      <c r="P297" s="2">
        <v>15</v>
      </c>
      <c r="Q297" s="4">
        <v>4260</v>
      </c>
      <c r="R297" s="4">
        <v>4070</v>
      </c>
      <c r="S297" s="4">
        <v>99</v>
      </c>
      <c r="T297" s="19">
        <f>(ProductionData[[#This Row],[Rejected_Qty]])/ProductionData[[#This Row],[Produced_Qty]]</f>
        <v>2.4324324324324326E-2</v>
      </c>
      <c r="U297" s="19">
        <f>ProductionData[[#This Row],[Produced_Qty]]/ProductionData[[#This Row],[Planned_Qty]]</f>
        <v>0.95539906103286387</v>
      </c>
      <c r="V297" s="2" t="s">
        <v>113</v>
      </c>
      <c r="W297" s="11">
        <v>0</v>
      </c>
      <c r="X297" s="13">
        <f>W297/60</f>
        <v>0</v>
      </c>
      <c r="Y297" s="2" t="s">
        <v>90</v>
      </c>
      <c r="Z297" s="2">
        <v>79</v>
      </c>
      <c r="AA297" s="2">
        <f>ProductionData[[#This Row],[Rejected_Qty]]*ProductionData[[#This Row],[Unit_Cost_INR]]</f>
        <v>7821</v>
      </c>
      <c r="AB297" s="4">
        <v>12687</v>
      </c>
      <c r="AC297" s="4">
        <v>4190</v>
      </c>
      <c r="AD297" s="4">
        <v>4190</v>
      </c>
      <c r="AE297" s="4">
        <v>12468</v>
      </c>
      <c r="AF297" s="4">
        <v>6750</v>
      </c>
    </row>
    <row r="298" spans="1:32">
      <c r="A298" s="2" t="s">
        <v>720</v>
      </c>
      <c r="B298" s="3">
        <v>46128</v>
      </c>
      <c r="C298" s="36" t="s">
        <v>78</v>
      </c>
      <c r="D298" s="2">
        <f>MONTH(ProductionData[[#This Row],[Month]])</f>
        <v>4</v>
      </c>
      <c r="E298" s="2" t="s">
        <v>107</v>
      </c>
      <c r="F298" s="2" t="s">
        <v>93</v>
      </c>
      <c r="G298" s="2" t="s">
        <v>81</v>
      </c>
      <c r="H298" s="2" t="s">
        <v>82</v>
      </c>
      <c r="I298" s="2" t="s">
        <v>83</v>
      </c>
      <c r="J298" s="2" t="s">
        <v>721</v>
      </c>
      <c r="K298" s="2" t="s">
        <v>722</v>
      </c>
      <c r="L298" s="2" t="s">
        <v>723</v>
      </c>
      <c r="M298" s="2" t="s">
        <v>133</v>
      </c>
      <c r="N298" s="2" t="s">
        <v>88</v>
      </c>
      <c r="O298" s="2">
        <v>18</v>
      </c>
      <c r="P298" s="2">
        <v>17</v>
      </c>
      <c r="Q298" s="4">
        <v>3220</v>
      </c>
      <c r="R298" s="4">
        <v>3080</v>
      </c>
      <c r="S298" s="4">
        <v>68</v>
      </c>
      <c r="T298" s="19">
        <f>(ProductionData[[#This Row],[Rejected_Qty]])/ProductionData[[#This Row],[Produced_Qty]]</f>
        <v>2.2077922077922078E-2</v>
      </c>
      <c r="U298" s="19">
        <f>ProductionData[[#This Row],[Produced_Qty]]/ProductionData[[#This Row],[Planned_Qty]]</f>
        <v>0.95652173913043481</v>
      </c>
      <c r="V298" s="2" t="s">
        <v>103</v>
      </c>
      <c r="W298" s="11">
        <v>26</v>
      </c>
      <c r="X298" s="13">
        <f>W298/60</f>
        <v>0.43333333333333335</v>
      </c>
      <c r="Y298" s="2" t="s">
        <v>76</v>
      </c>
      <c r="Z298" s="2">
        <v>64</v>
      </c>
      <c r="AA298" s="2">
        <f>ProductionData[[#This Row],[Rejected_Qty]]*ProductionData[[#This Row],[Unit_Cost_INR]]</f>
        <v>4352</v>
      </c>
      <c r="AB298" s="4">
        <v>12006</v>
      </c>
      <c r="AC298" s="4">
        <v>2660</v>
      </c>
      <c r="AD298" s="4">
        <v>2660</v>
      </c>
      <c r="AE298" s="4">
        <v>12358</v>
      </c>
      <c r="AF298" s="4">
        <v>5250</v>
      </c>
    </row>
    <row r="299" spans="1:32">
      <c r="A299" s="2" t="s">
        <v>724</v>
      </c>
      <c r="B299" s="3">
        <v>46142</v>
      </c>
      <c r="C299" s="36" t="s">
        <v>78</v>
      </c>
      <c r="D299" s="2">
        <f>MONTH(ProductionData[[#This Row],[Month]])</f>
        <v>4</v>
      </c>
      <c r="E299" s="2" t="s">
        <v>107</v>
      </c>
      <c r="F299" s="2" t="s">
        <v>80</v>
      </c>
      <c r="G299" s="2" t="s">
        <v>81</v>
      </c>
      <c r="H299" s="2" t="s">
        <v>82</v>
      </c>
      <c r="I299" s="2" t="s">
        <v>83</v>
      </c>
      <c r="J299" s="2" t="s">
        <v>721</v>
      </c>
      <c r="K299" s="2" t="s">
        <v>722</v>
      </c>
      <c r="L299" s="2" t="s">
        <v>725</v>
      </c>
      <c r="M299" s="2" t="s">
        <v>102</v>
      </c>
      <c r="N299" s="2" t="s">
        <v>88</v>
      </c>
      <c r="O299" s="2">
        <v>18</v>
      </c>
      <c r="P299" s="2">
        <v>18</v>
      </c>
      <c r="Q299" s="4">
        <v>3270</v>
      </c>
      <c r="R299" s="4">
        <v>3210</v>
      </c>
      <c r="S299" s="4">
        <v>90</v>
      </c>
      <c r="T299" s="19">
        <f>(ProductionData[[#This Row],[Rejected_Qty]])/ProductionData[[#This Row],[Produced_Qty]]</f>
        <v>2.8037383177570093E-2</v>
      </c>
      <c r="U299" s="19">
        <f>ProductionData[[#This Row],[Produced_Qty]]/ProductionData[[#This Row],[Planned_Qty]]</f>
        <v>0.98165137614678899</v>
      </c>
      <c r="V299" s="2" t="s">
        <v>113</v>
      </c>
      <c r="W299" s="11">
        <v>0</v>
      </c>
      <c r="X299" s="13">
        <f>W299/60</f>
        <v>0</v>
      </c>
      <c r="Y299" s="2" t="s">
        <v>90</v>
      </c>
      <c r="Z299" s="2">
        <v>64</v>
      </c>
      <c r="AA299" s="2">
        <f>ProductionData[[#This Row],[Rejected_Qty]]*ProductionData[[#This Row],[Unit_Cost_INR]]</f>
        <v>5760</v>
      </c>
      <c r="AB299" s="4">
        <v>11800</v>
      </c>
      <c r="AC299" s="4">
        <v>2770</v>
      </c>
      <c r="AD299" s="4">
        <v>2770</v>
      </c>
      <c r="AE299" s="4">
        <v>12150</v>
      </c>
      <c r="AF299" s="4">
        <v>5250</v>
      </c>
    </row>
    <row r="300" spans="1:32">
      <c r="A300" s="2" t="s">
        <v>726</v>
      </c>
      <c r="B300" s="3">
        <v>46127</v>
      </c>
      <c r="C300" s="36" t="s">
        <v>78</v>
      </c>
      <c r="D300" s="2">
        <f>MONTH(ProductionData[[#This Row],[Month]])</f>
        <v>4</v>
      </c>
      <c r="E300" s="2" t="s">
        <v>79</v>
      </c>
      <c r="F300" s="2" t="s">
        <v>93</v>
      </c>
      <c r="G300" s="2" t="s">
        <v>81</v>
      </c>
      <c r="H300" s="2" t="s">
        <v>82</v>
      </c>
      <c r="I300" s="2" t="s">
        <v>83</v>
      </c>
      <c r="J300" s="2" t="s">
        <v>721</v>
      </c>
      <c r="K300" s="2" t="s">
        <v>722</v>
      </c>
      <c r="L300" s="2" t="s">
        <v>727</v>
      </c>
      <c r="M300" s="2" t="s">
        <v>133</v>
      </c>
      <c r="N300" s="2" t="s">
        <v>96</v>
      </c>
      <c r="O300" s="2">
        <v>18</v>
      </c>
      <c r="P300" s="2">
        <v>14</v>
      </c>
      <c r="Q300" s="4">
        <v>3230</v>
      </c>
      <c r="R300" s="4">
        <v>2880</v>
      </c>
      <c r="S300" s="4">
        <v>73</v>
      </c>
      <c r="T300" s="19">
        <f>(ProductionData[[#This Row],[Rejected_Qty]])/ProductionData[[#This Row],[Produced_Qty]]</f>
        <v>2.5347222222222222E-2</v>
      </c>
      <c r="U300" s="19">
        <f>ProductionData[[#This Row],[Produced_Qty]]/ProductionData[[#This Row],[Planned_Qty]]</f>
        <v>0.89164086687306499</v>
      </c>
      <c r="V300" s="2" t="s">
        <v>103</v>
      </c>
      <c r="W300" s="11">
        <v>0</v>
      </c>
      <c r="X300" s="13">
        <f>W300/60</f>
        <v>0</v>
      </c>
      <c r="Y300" s="2" t="s">
        <v>90</v>
      </c>
      <c r="Z300" s="2">
        <v>64</v>
      </c>
      <c r="AA300" s="2">
        <f>ProductionData[[#This Row],[Rejected_Qty]]*ProductionData[[#This Row],[Unit_Cost_INR]]</f>
        <v>4672</v>
      </c>
      <c r="AB300" s="4">
        <v>11968</v>
      </c>
      <c r="AC300" s="4">
        <v>2650</v>
      </c>
      <c r="AD300" s="4">
        <v>2650</v>
      </c>
      <c r="AE300" s="4">
        <v>12125</v>
      </c>
      <c r="AF300" s="4">
        <v>5250</v>
      </c>
    </row>
    <row r="301" spans="1:32">
      <c r="A301" s="2" t="s">
        <v>728</v>
      </c>
      <c r="B301" s="3">
        <v>46118</v>
      </c>
      <c r="C301" s="36" t="s">
        <v>78</v>
      </c>
      <c r="D301" s="2">
        <f>MONTH(ProductionData[[#This Row],[Month]])</f>
        <v>4</v>
      </c>
      <c r="E301" s="2" t="s">
        <v>116</v>
      </c>
      <c r="F301" s="2" t="s">
        <v>93</v>
      </c>
      <c r="G301" s="2" t="s">
        <v>67</v>
      </c>
      <c r="H301" s="2" t="s">
        <v>68</v>
      </c>
      <c r="I301" s="2" t="s">
        <v>69</v>
      </c>
      <c r="J301" s="2" t="s">
        <v>683</v>
      </c>
      <c r="K301" s="2" t="s">
        <v>684</v>
      </c>
      <c r="L301" s="2" t="s">
        <v>729</v>
      </c>
      <c r="M301" s="2" t="s">
        <v>95</v>
      </c>
      <c r="N301" s="2" t="s">
        <v>96</v>
      </c>
      <c r="O301" s="2">
        <v>16</v>
      </c>
      <c r="P301" s="2">
        <v>12</v>
      </c>
      <c r="Q301" s="4">
        <v>4590</v>
      </c>
      <c r="R301" s="4">
        <v>3850</v>
      </c>
      <c r="S301" s="4">
        <v>90</v>
      </c>
      <c r="T301" s="19">
        <f>(ProductionData[[#This Row],[Rejected_Qty]])/ProductionData[[#This Row],[Produced_Qty]]</f>
        <v>2.3376623376623377E-2</v>
      </c>
      <c r="U301" s="19">
        <f>ProductionData[[#This Row],[Produced_Qty]]/ProductionData[[#This Row],[Planned_Qty]]</f>
        <v>0.83877995642701531</v>
      </c>
      <c r="V301" s="2" t="s">
        <v>113</v>
      </c>
      <c r="W301" s="11">
        <v>0</v>
      </c>
      <c r="X301" s="13">
        <f>W301/60</f>
        <v>0</v>
      </c>
      <c r="Y301" s="2" t="s">
        <v>90</v>
      </c>
      <c r="Z301" s="2">
        <v>79</v>
      </c>
      <c r="AA301" s="2">
        <f>ProductionData[[#This Row],[Rejected_Qty]]*ProductionData[[#This Row],[Unit_Cost_INR]]</f>
        <v>7110</v>
      </c>
      <c r="AB301" s="4">
        <v>12717</v>
      </c>
      <c r="AC301" s="4">
        <v>4360</v>
      </c>
      <c r="AD301" s="4">
        <v>4360</v>
      </c>
      <c r="AE301" s="4">
        <v>12117</v>
      </c>
      <c r="AF301" s="4">
        <v>6750</v>
      </c>
    </row>
    <row r="302" spans="1:32">
      <c r="A302" s="2" t="s">
        <v>730</v>
      </c>
      <c r="B302" s="3">
        <v>46129</v>
      </c>
      <c r="C302" s="36" t="s">
        <v>78</v>
      </c>
      <c r="D302" s="2">
        <f>MONTH(ProductionData[[#This Row],[Month]])</f>
        <v>4</v>
      </c>
      <c r="E302" s="2" t="s">
        <v>125</v>
      </c>
      <c r="F302" s="2" t="s">
        <v>80</v>
      </c>
      <c r="G302" s="2" t="s">
        <v>81</v>
      </c>
      <c r="H302" s="2" t="s">
        <v>82</v>
      </c>
      <c r="I302" s="2" t="s">
        <v>83</v>
      </c>
      <c r="J302" s="2" t="s">
        <v>721</v>
      </c>
      <c r="K302" s="2" t="s">
        <v>722</v>
      </c>
      <c r="L302" s="2" t="s">
        <v>731</v>
      </c>
      <c r="M302" s="2" t="s">
        <v>87</v>
      </c>
      <c r="N302" s="2" t="s">
        <v>96</v>
      </c>
      <c r="O302" s="2">
        <v>18</v>
      </c>
      <c r="P302" s="2">
        <v>17</v>
      </c>
      <c r="Q302" s="4">
        <v>3320</v>
      </c>
      <c r="R302" s="4">
        <v>3080</v>
      </c>
      <c r="S302" s="4">
        <v>50</v>
      </c>
      <c r="T302" s="19">
        <f>(ProductionData[[#This Row],[Rejected_Qty]])/ProductionData[[#This Row],[Produced_Qty]]</f>
        <v>1.6233766233766232E-2</v>
      </c>
      <c r="U302" s="19">
        <f>ProductionData[[#This Row],[Produced_Qty]]/ProductionData[[#This Row],[Planned_Qty]]</f>
        <v>0.92771084337349397</v>
      </c>
      <c r="V302" s="2" t="s">
        <v>103</v>
      </c>
      <c r="W302" s="11">
        <v>36</v>
      </c>
      <c r="X302" s="13">
        <f>W302/60</f>
        <v>0.6</v>
      </c>
      <c r="Y302" s="2" t="s">
        <v>110</v>
      </c>
      <c r="Z302" s="2">
        <v>64</v>
      </c>
      <c r="AA302" s="2">
        <f>ProductionData[[#This Row],[Rejected_Qty]]*ProductionData[[#This Row],[Unit_Cost_INR]]</f>
        <v>3200</v>
      </c>
      <c r="AB302" s="4">
        <v>12358</v>
      </c>
      <c r="AC302" s="4">
        <v>3290</v>
      </c>
      <c r="AD302" s="4">
        <v>3290</v>
      </c>
      <c r="AE302" s="4">
        <v>12098</v>
      </c>
      <c r="AF302" s="4">
        <v>5250</v>
      </c>
    </row>
    <row r="303" spans="1:32">
      <c r="A303" s="2" t="s">
        <v>732</v>
      </c>
      <c r="B303" s="3">
        <v>46123</v>
      </c>
      <c r="C303" s="36" t="s">
        <v>78</v>
      </c>
      <c r="D303" s="2">
        <f>MONTH(ProductionData[[#This Row],[Month]])</f>
        <v>4</v>
      </c>
      <c r="E303" s="2" t="s">
        <v>65</v>
      </c>
      <c r="F303" s="2" t="s">
        <v>66</v>
      </c>
      <c r="G303" s="2" t="s">
        <v>81</v>
      </c>
      <c r="H303" s="2" t="s">
        <v>82</v>
      </c>
      <c r="I303" s="2" t="s">
        <v>83</v>
      </c>
      <c r="J303" s="2" t="s">
        <v>721</v>
      </c>
      <c r="K303" s="2" t="s">
        <v>722</v>
      </c>
      <c r="L303" s="2" t="s">
        <v>733</v>
      </c>
      <c r="M303" s="2" t="s">
        <v>99</v>
      </c>
      <c r="N303" s="2" t="s">
        <v>96</v>
      </c>
      <c r="O303" s="2">
        <v>18</v>
      </c>
      <c r="P303" s="2">
        <v>17</v>
      </c>
      <c r="Q303" s="4">
        <v>3500</v>
      </c>
      <c r="R303" s="4">
        <v>3340</v>
      </c>
      <c r="S303" s="4">
        <v>80</v>
      </c>
      <c r="T303" s="19">
        <f>(ProductionData[[#This Row],[Rejected_Qty]])/ProductionData[[#This Row],[Produced_Qty]]</f>
        <v>2.3952095808383235E-2</v>
      </c>
      <c r="U303" s="19">
        <f>ProductionData[[#This Row],[Produced_Qty]]/ProductionData[[#This Row],[Planned_Qty]]</f>
        <v>0.95428571428571429</v>
      </c>
      <c r="V303" s="2" t="s">
        <v>103</v>
      </c>
      <c r="W303" s="11">
        <v>0</v>
      </c>
      <c r="X303" s="13">
        <f>W303/60</f>
        <v>0</v>
      </c>
      <c r="Y303" s="2" t="s">
        <v>90</v>
      </c>
      <c r="Z303" s="2">
        <v>64</v>
      </c>
      <c r="AA303" s="2">
        <f>ProductionData[[#This Row],[Rejected_Qty]]*ProductionData[[#This Row],[Unit_Cost_INR]]</f>
        <v>5120</v>
      </c>
      <c r="AB303" s="4">
        <v>11979</v>
      </c>
      <c r="AC303" s="4">
        <v>3180</v>
      </c>
      <c r="AD303" s="4">
        <v>3180</v>
      </c>
      <c r="AE303" s="4">
        <v>12059</v>
      </c>
      <c r="AF303" s="4">
        <v>5250</v>
      </c>
    </row>
    <row r="304" spans="1:32">
      <c r="A304" s="2" t="s">
        <v>734</v>
      </c>
      <c r="B304" s="3">
        <v>46128</v>
      </c>
      <c r="C304" s="36" t="s">
        <v>78</v>
      </c>
      <c r="D304" s="2">
        <f>MONTH(ProductionData[[#This Row],[Month]])</f>
        <v>4</v>
      </c>
      <c r="E304" s="2" t="s">
        <v>107</v>
      </c>
      <c r="F304" s="2" t="s">
        <v>80</v>
      </c>
      <c r="G304" s="2" t="s">
        <v>81</v>
      </c>
      <c r="H304" s="2" t="s">
        <v>82</v>
      </c>
      <c r="I304" s="2" t="s">
        <v>83</v>
      </c>
      <c r="J304" s="2" t="s">
        <v>721</v>
      </c>
      <c r="K304" s="2" t="s">
        <v>722</v>
      </c>
      <c r="L304" s="2" t="s">
        <v>735</v>
      </c>
      <c r="M304" s="2" t="s">
        <v>87</v>
      </c>
      <c r="N304" s="2" t="s">
        <v>96</v>
      </c>
      <c r="O304" s="2">
        <v>18</v>
      </c>
      <c r="P304" s="2">
        <v>18</v>
      </c>
      <c r="Q304" s="4">
        <v>3590</v>
      </c>
      <c r="R304" s="4">
        <v>3400</v>
      </c>
      <c r="S304" s="4">
        <v>109</v>
      </c>
      <c r="T304" s="19">
        <f>(ProductionData[[#This Row],[Rejected_Qty]])/ProductionData[[#This Row],[Produced_Qty]]</f>
        <v>3.2058823529411765E-2</v>
      </c>
      <c r="U304" s="19">
        <f>ProductionData[[#This Row],[Produced_Qty]]/ProductionData[[#This Row],[Planned_Qty]]</f>
        <v>0.94707520891364905</v>
      </c>
      <c r="V304" s="2" t="s">
        <v>89</v>
      </c>
      <c r="W304" s="11">
        <v>56</v>
      </c>
      <c r="X304" s="13">
        <f>W304/60</f>
        <v>0.93333333333333335</v>
      </c>
      <c r="Y304" s="2" t="s">
        <v>110</v>
      </c>
      <c r="Z304" s="2">
        <v>64</v>
      </c>
      <c r="AA304" s="2">
        <f>ProductionData[[#This Row],[Rejected_Qty]]*ProductionData[[#This Row],[Unit_Cost_INR]]</f>
        <v>6976</v>
      </c>
      <c r="AB304" s="4">
        <v>12125</v>
      </c>
      <c r="AC304" s="4">
        <v>3410</v>
      </c>
      <c r="AD304" s="4">
        <v>3410</v>
      </c>
      <c r="AE304" s="4">
        <v>12006</v>
      </c>
      <c r="AF304" s="4">
        <v>5250</v>
      </c>
    </row>
    <row r="305" spans="1:32">
      <c r="A305" s="2" t="s">
        <v>736</v>
      </c>
      <c r="B305" s="3">
        <v>46122</v>
      </c>
      <c r="C305" s="36" t="s">
        <v>78</v>
      </c>
      <c r="D305" s="2">
        <f>MONTH(ProductionData[[#This Row],[Month]])</f>
        <v>4</v>
      </c>
      <c r="E305" s="2" t="s">
        <v>125</v>
      </c>
      <c r="F305" s="2" t="s">
        <v>93</v>
      </c>
      <c r="G305" s="2" t="s">
        <v>81</v>
      </c>
      <c r="H305" s="2" t="s">
        <v>82</v>
      </c>
      <c r="I305" s="2" t="s">
        <v>83</v>
      </c>
      <c r="J305" s="2" t="s">
        <v>721</v>
      </c>
      <c r="K305" s="2" t="s">
        <v>722</v>
      </c>
      <c r="L305" s="2" t="s">
        <v>737</v>
      </c>
      <c r="M305" s="2" t="s">
        <v>133</v>
      </c>
      <c r="N305" s="2" t="s">
        <v>88</v>
      </c>
      <c r="O305" s="2">
        <v>18</v>
      </c>
      <c r="P305" s="2">
        <v>17</v>
      </c>
      <c r="Q305" s="4">
        <v>3070</v>
      </c>
      <c r="R305" s="4">
        <v>2940</v>
      </c>
      <c r="S305" s="4">
        <v>59</v>
      </c>
      <c r="T305" s="19">
        <f>(ProductionData[[#This Row],[Rejected_Qty]])/ProductionData[[#This Row],[Produced_Qty]]</f>
        <v>2.0068027210884354E-2</v>
      </c>
      <c r="U305" s="19">
        <f>ProductionData[[#This Row],[Produced_Qty]]/ProductionData[[#This Row],[Planned_Qty]]</f>
        <v>0.95765472312703581</v>
      </c>
      <c r="V305" s="2" t="s">
        <v>89</v>
      </c>
      <c r="W305" s="11">
        <v>48</v>
      </c>
      <c r="X305" s="13">
        <f>W305/60</f>
        <v>0.8</v>
      </c>
      <c r="Y305" s="2" t="s">
        <v>110</v>
      </c>
      <c r="Z305" s="2">
        <v>64</v>
      </c>
      <c r="AA305" s="2">
        <f>ProductionData[[#This Row],[Rejected_Qty]]*ProductionData[[#This Row],[Unit_Cost_INR]]</f>
        <v>3776</v>
      </c>
      <c r="AB305" s="4">
        <v>11758</v>
      </c>
      <c r="AC305" s="4">
        <v>2660</v>
      </c>
      <c r="AD305" s="4">
        <v>2660</v>
      </c>
      <c r="AE305" s="4">
        <v>11979</v>
      </c>
      <c r="AF305" s="4">
        <v>5250</v>
      </c>
    </row>
    <row r="306" spans="1:32">
      <c r="A306" s="2" t="s">
        <v>738</v>
      </c>
      <c r="B306" s="3">
        <v>46127</v>
      </c>
      <c r="C306" s="36" t="s">
        <v>78</v>
      </c>
      <c r="D306" s="2">
        <f>MONTH(ProductionData[[#This Row],[Month]])</f>
        <v>4</v>
      </c>
      <c r="E306" s="2" t="s">
        <v>79</v>
      </c>
      <c r="F306" s="2" t="s">
        <v>66</v>
      </c>
      <c r="G306" s="2" t="s">
        <v>81</v>
      </c>
      <c r="H306" s="2" t="s">
        <v>82</v>
      </c>
      <c r="I306" s="2" t="s">
        <v>83</v>
      </c>
      <c r="J306" s="2" t="s">
        <v>721</v>
      </c>
      <c r="K306" s="2" t="s">
        <v>722</v>
      </c>
      <c r="L306" s="2" t="s">
        <v>739</v>
      </c>
      <c r="M306" s="2" t="s">
        <v>99</v>
      </c>
      <c r="N306" s="2" t="s">
        <v>88</v>
      </c>
      <c r="O306" s="2">
        <v>18</v>
      </c>
      <c r="P306" s="2">
        <v>18</v>
      </c>
      <c r="Q306" s="4">
        <v>3430</v>
      </c>
      <c r="R306" s="4">
        <v>3400</v>
      </c>
      <c r="S306" s="4">
        <v>113</v>
      </c>
      <c r="T306" s="19">
        <f>(ProductionData[[#This Row],[Rejected_Qty]])/ProductionData[[#This Row],[Produced_Qty]]</f>
        <v>3.3235294117647057E-2</v>
      </c>
      <c r="U306" s="19">
        <f>ProductionData[[#This Row],[Produced_Qty]]/ProductionData[[#This Row],[Planned_Qty]]</f>
        <v>0.99125364431486884</v>
      </c>
      <c r="V306" s="2" t="s">
        <v>103</v>
      </c>
      <c r="W306" s="11">
        <v>64</v>
      </c>
      <c r="X306" s="13">
        <f>W306/60</f>
        <v>1.0666666666666667</v>
      </c>
      <c r="Y306" s="2" t="s">
        <v>136</v>
      </c>
      <c r="Z306" s="2">
        <v>64</v>
      </c>
      <c r="AA306" s="2">
        <f>ProductionData[[#This Row],[Rejected_Qty]]*ProductionData[[#This Row],[Unit_Cost_INR]]</f>
        <v>7232</v>
      </c>
      <c r="AB306" s="4">
        <v>11921</v>
      </c>
      <c r="AC306" s="4">
        <v>3240</v>
      </c>
      <c r="AD306" s="4">
        <v>3240</v>
      </c>
      <c r="AE306" s="4">
        <v>11968</v>
      </c>
      <c r="AF306" s="4">
        <v>5250</v>
      </c>
    </row>
    <row r="307" spans="1:32">
      <c r="A307" s="2" t="s">
        <v>740</v>
      </c>
      <c r="B307" s="3">
        <v>46119</v>
      </c>
      <c r="C307" s="36" t="s">
        <v>78</v>
      </c>
      <c r="D307" s="2">
        <f>MONTH(ProductionData[[#This Row],[Month]])</f>
        <v>4</v>
      </c>
      <c r="E307" s="2" t="s">
        <v>92</v>
      </c>
      <c r="F307" s="2" t="s">
        <v>66</v>
      </c>
      <c r="G307" s="2" t="s">
        <v>67</v>
      </c>
      <c r="H307" s="2" t="s">
        <v>68</v>
      </c>
      <c r="I307" s="2" t="s">
        <v>69</v>
      </c>
      <c r="J307" s="2" t="s">
        <v>683</v>
      </c>
      <c r="K307" s="2" t="s">
        <v>684</v>
      </c>
      <c r="L307" s="2" t="s">
        <v>741</v>
      </c>
      <c r="M307" s="2" t="s">
        <v>99</v>
      </c>
      <c r="N307" s="2" t="s">
        <v>88</v>
      </c>
      <c r="O307" s="2">
        <v>16</v>
      </c>
      <c r="P307" s="2">
        <v>15</v>
      </c>
      <c r="Q307" s="4">
        <v>4450</v>
      </c>
      <c r="R307" s="4">
        <v>4150</v>
      </c>
      <c r="S307" s="4">
        <v>55</v>
      </c>
      <c r="T307" s="19">
        <f>(ProductionData[[#This Row],[Rejected_Qty]])/ProductionData[[#This Row],[Produced_Qty]]</f>
        <v>1.3253012048192771E-2</v>
      </c>
      <c r="U307" s="19">
        <f>ProductionData[[#This Row],[Produced_Qty]]/ProductionData[[#This Row],[Planned_Qty]]</f>
        <v>0.93258426966292129</v>
      </c>
      <c r="V307" s="2" t="s">
        <v>103</v>
      </c>
      <c r="W307" s="11">
        <v>0</v>
      </c>
      <c r="X307" s="13">
        <f>W307/60</f>
        <v>0</v>
      </c>
      <c r="Y307" s="2" t="s">
        <v>90</v>
      </c>
      <c r="Z307" s="2">
        <v>79</v>
      </c>
      <c r="AA307" s="2">
        <f>ProductionData[[#This Row],[Rejected_Qty]]*ProductionData[[#This Row],[Unit_Cost_INR]]</f>
        <v>4345</v>
      </c>
      <c r="AB307" s="4">
        <v>12117</v>
      </c>
      <c r="AC307" s="4">
        <v>4250</v>
      </c>
      <c r="AD307" s="4">
        <v>4250</v>
      </c>
      <c r="AE307" s="4">
        <v>11962</v>
      </c>
      <c r="AF307" s="4">
        <v>6750</v>
      </c>
    </row>
    <row r="308" spans="1:32">
      <c r="A308" s="2" t="s">
        <v>742</v>
      </c>
      <c r="B308" s="3">
        <v>46126</v>
      </c>
      <c r="C308" s="36" t="s">
        <v>78</v>
      </c>
      <c r="D308" s="2">
        <f>MONTH(ProductionData[[#This Row],[Month]])</f>
        <v>4</v>
      </c>
      <c r="E308" s="2" t="s">
        <v>92</v>
      </c>
      <c r="F308" s="2" t="s">
        <v>80</v>
      </c>
      <c r="G308" s="2" t="s">
        <v>81</v>
      </c>
      <c r="H308" s="2" t="s">
        <v>82</v>
      </c>
      <c r="I308" s="2" t="s">
        <v>83</v>
      </c>
      <c r="J308" s="2" t="s">
        <v>721</v>
      </c>
      <c r="K308" s="2" t="s">
        <v>722</v>
      </c>
      <c r="L308" s="2" t="s">
        <v>743</v>
      </c>
      <c r="M308" s="2" t="s">
        <v>102</v>
      </c>
      <c r="N308" s="2" t="s">
        <v>96</v>
      </c>
      <c r="O308" s="2">
        <v>18</v>
      </c>
      <c r="P308" s="2">
        <v>18</v>
      </c>
      <c r="Q308" s="4">
        <v>3730</v>
      </c>
      <c r="R308" s="4">
        <v>3610</v>
      </c>
      <c r="S308" s="4">
        <v>90</v>
      </c>
      <c r="T308" s="19">
        <f>(ProductionData[[#This Row],[Rejected_Qty]])/ProductionData[[#This Row],[Produced_Qty]]</f>
        <v>2.4930747922437674E-2</v>
      </c>
      <c r="U308" s="19">
        <f>ProductionData[[#This Row],[Produced_Qty]]/ProductionData[[#This Row],[Planned_Qty]]</f>
        <v>0.96782841823056298</v>
      </c>
      <c r="V308" s="2" t="s">
        <v>89</v>
      </c>
      <c r="W308" s="11">
        <v>0</v>
      </c>
      <c r="X308" s="13">
        <f>W308/60</f>
        <v>0</v>
      </c>
      <c r="Y308" s="2" t="s">
        <v>90</v>
      </c>
      <c r="Z308" s="2">
        <v>64</v>
      </c>
      <c r="AA308" s="2">
        <f>ProductionData[[#This Row],[Rejected_Qty]]*ProductionData[[#This Row],[Unit_Cost_INR]]</f>
        <v>5760</v>
      </c>
      <c r="AB308" s="4">
        <v>11811</v>
      </c>
      <c r="AC308" s="4">
        <v>3410</v>
      </c>
      <c r="AD308" s="4">
        <v>3410</v>
      </c>
      <c r="AE308" s="4">
        <v>11921</v>
      </c>
      <c r="AF308" s="4">
        <v>5250</v>
      </c>
    </row>
    <row r="309" spans="1:32">
      <c r="A309" s="2" t="s">
        <v>744</v>
      </c>
      <c r="B309" s="3">
        <v>46130</v>
      </c>
      <c r="C309" s="36" t="s">
        <v>78</v>
      </c>
      <c r="D309" s="2">
        <f>MONTH(ProductionData[[#This Row],[Month]])</f>
        <v>4</v>
      </c>
      <c r="E309" s="2" t="s">
        <v>65</v>
      </c>
      <c r="F309" s="2" t="s">
        <v>80</v>
      </c>
      <c r="G309" s="2" t="s">
        <v>81</v>
      </c>
      <c r="H309" s="2" t="s">
        <v>82</v>
      </c>
      <c r="I309" s="2" t="s">
        <v>83</v>
      </c>
      <c r="J309" s="2" t="s">
        <v>721</v>
      </c>
      <c r="K309" s="2" t="s">
        <v>722</v>
      </c>
      <c r="L309" s="2" t="s">
        <v>745</v>
      </c>
      <c r="M309" s="2" t="s">
        <v>102</v>
      </c>
      <c r="N309" s="2" t="s">
        <v>96</v>
      </c>
      <c r="O309" s="2">
        <v>18</v>
      </c>
      <c r="P309" s="2">
        <v>14</v>
      </c>
      <c r="Q309" s="4">
        <v>3630</v>
      </c>
      <c r="R309" s="4">
        <v>3320</v>
      </c>
      <c r="S309" s="4">
        <v>54</v>
      </c>
      <c r="T309" s="19">
        <f>(ProductionData[[#This Row],[Rejected_Qty]])/ProductionData[[#This Row],[Produced_Qty]]</f>
        <v>1.6265060240963854E-2</v>
      </c>
      <c r="U309" s="19">
        <f>ProductionData[[#This Row],[Produced_Qty]]/ProductionData[[#This Row],[Planned_Qty]]</f>
        <v>0.91460055096418735</v>
      </c>
      <c r="V309" s="2" t="s">
        <v>113</v>
      </c>
      <c r="W309" s="11">
        <v>0</v>
      </c>
      <c r="X309" s="13">
        <f>W309/60</f>
        <v>0</v>
      </c>
      <c r="Y309" s="2" t="s">
        <v>90</v>
      </c>
      <c r="Z309" s="2">
        <v>64</v>
      </c>
      <c r="AA309" s="2">
        <f>ProductionData[[#This Row],[Rejected_Qty]]*ProductionData[[#This Row],[Unit_Cost_INR]]</f>
        <v>3456</v>
      </c>
      <c r="AB309" s="4">
        <v>11760</v>
      </c>
      <c r="AC309" s="4">
        <v>3170</v>
      </c>
      <c r="AD309" s="4">
        <v>3170</v>
      </c>
      <c r="AE309" s="4">
        <v>11856</v>
      </c>
      <c r="AF309" s="4">
        <v>5250</v>
      </c>
    </row>
    <row r="310" spans="1:32">
      <c r="A310" s="2" t="s">
        <v>746</v>
      </c>
      <c r="B310" s="3">
        <v>46123</v>
      </c>
      <c r="C310" s="36" t="s">
        <v>78</v>
      </c>
      <c r="D310" s="2">
        <f>MONTH(ProductionData[[#This Row],[Month]])</f>
        <v>4</v>
      </c>
      <c r="E310" s="2" t="s">
        <v>65</v>
      </c>
      <c r="F310" s="2" t="s">
        <v>80</v>
      </c>
      <c r="G310" s="2" t="s">
        <v>81</v>
      </c>
      <c r="H310" s="2" t="s">
        <v>82</v>
      </c>
      <c r="I310" s="2" t="s">
        <v>83</v>
      </c>
      <c r="J310" s="2" t="s">
        <v>721</v>
      </c>
      <c r="K310" s="2" t="s">
        <v>722</v>
      </c>
      <c r="L310" s="2" t="s">
        <v>747</v>
      </c>
      <c r="M310" s="2" t="s">
        <v>102</v>
      </c>
      <c r="N310" s="2" t="s">
        <v>88</v>
      </c>
      <c r="O310" s="2">
        <v>18</v>
      </c>
      <c r="P310" s="2">
        <v>17</v>
      </c>
      <c r="Q310" s="4">
        <v>3640</v>
      </c>
      <c r="R310" s="4">
        <v>3410</v>
      </c>
      <c r="S310" s="4">
        <v>104</v>
      </c>
      <c r="T310" s="19">
        <f>(ProductionData[[#This Row],[Rejected_Qty]])/ProductionData[[#This Row],[Produced_Qty]]</f>
        <v>3.0498533724340176E-2</v>
      </c>
      <c r="U310" s="19">
        <f>ProductionData[[#This Row],[Produced_Qty]]/ProductionData[[#This Row],[Planned_Qty]]</f>
        <v>0.93681318681318682</v>
      </c>
      <c r="V310" s="2" t="s">
        <v>89</v>
      </c>
      <c r="W310" s="11">
        <v>0</v>
      </c>
      <c r="X310" s="13">
        <f>W310/60</f>
        <v>0</v>
      </c>
      <c r="Y310" s="2" t="s">
        <v>90</v>
      </c>
      <c r="Z310" s="2">
        <v>64</v>
      </c>
      <c r="AA310" s="2">
        <f>ProductionData[[#This Row],[Rejected_Qty]]*ProductionData[[#This Row],[Unit_Cost_INR]]</f>
        <v>6656</v>
      </c>
      <c r="AB310" s="4">
        <v>12059</v>
      </c>
      <c r="AC310" s="4">
        <v>3510</v>
      </c>
      <c r="AD310" s="4">
        <v>3510</v>
      </c>
      <c r="AE310" s="4">
        <v>11855</v>
      </c>
      <c r="AF310" s="4">
        <v>5250</v>
      </c>
    </row>
    <row r="311" spans="1:32">
      <c r="A311" s="2" t="s">
        <v>748</v>
      </c>
      <c r="B311" s="3">
        <v>46124</v>
      </c>
      <c r="C311" s="36" t="s">
        <v>78</v>
      </c>
      <c r="D311" s="2">
        <f>MONTH(ProductionData[[#This Row],[Month]])</f>
        <v>4</v>
      </c>
      <c r="E311" s="2" t="s">
        <v>186</v>
      </c>
      <c r="F311" s="2" t="s">
        <v>66</v>
      </c>
      <c r="G311" s="2" t="s">
        <v>81</v>
      </c>
      <c r="H311" s="2" t="s">
        <v>82</v>
      </c>
      <c r="I311" s="2" t="s">
        <v>83</v>
      </c>
      <c r="J311" s="2" t="s">
        <v>721</v>
      </c>
      <c r="K311" s="2" t="s">
        <v>722</v>
      </c>
      <c r="L311" s="2" t="s">
        <v>749</v>
      </c>
      <c r="M311" s="2" t="s">
        <v>99</v>
      </c>
      <c r="N311" s="2" t="s">
        <v>96</v>
      </c>
      <c r="O311" s="2">
        <v>18</v>
      </c>
      <c r="P311" s="2">
        <v>16</v>
      </c>
      <c r="Q311" s="4">
        <v>2380</v>
      </c>
      <c r="R311" s="4">
        <v>2260</v>
      </c>
      <c r="S311" s="4">
        <v>63</v>
      </c>
      <c r="T311" s="19">
        <f>(ProductionData[[#This Row],[Rejected_Qty]])/ProductionData[[#This Row],[Produced_Qty]]</f>
        <v>2.7876106194690265E-2</v>
      </c>
      <c r="U311" s="19">
        <f>ProductionData[[#This Row],[Produced_Qty]]/ProductionData[[#This Row],[Planned_Qty]]</f>
        <v>0.94957983193277307</v>
      </c>
      <c r="V311" s="2" t="s">
        <v>109</v>
      </c>
      <c r="W311" s="11">
        <v>0</v>
      </c>
      <c r="X311" s="13">
        <f>W311/60</f>
        <v>0</v>
      </c>
      <c r="Y311" s="2" t="s">
        <v>90</v>
      </c>
      <c r="Z311" s="2">
        <v>64</v>
      </c>
      <c r="AA311" s="2">
        <f>ProductionData[[#This Row],[Rejected_Qty]]*ProductionData[[#This Row],[Unit_Cost_INR]]</f>
        <v>4032</v>
      </c>
      <c r="AB311" s="4">
        <v>11804</v>
      </c>
      <c r="AC311" s="4">
        <v>2190</v>
      </c>
      <c r="AD311" s="4">
        <v>2190</v>
      </c>
      <c r="AE311" s="4">
        <v>11811</v>
      </c>
      <c r="AF311" s="4">
        <v>5250</v>
      </c>
    </row>
    <row r="312" spans="1:32">
      <c r="A312" s="2" t="s">
        <v>750</v>
      </c>
      <c r="B312" s="3">
        <v>46123</v>
      </c>
      <c r="C312" s="36" t="s">
        <v>78</v>
      </c>
      <c r="D312" s="2">
        <f>MONTH(ProductionData[[#This Row],[Month]])</f>
        <v>4</v>
      </c>
      <c r="E312" s="2" t="s">
        <v>65</v>
      </c>
      <c r="F312" s="2" t="s">
        <v>93</v>
      </c>
      <c r="G312" s="2" t="s">
        <v>81</v>
      </c>
      <c r="H312" s="2" t="s">
        <v>82</v>
      </c>
      <c r="I312" s="2" t="s">
        <v>83</v>
      </c>
      <c r="J312" s="2" t="s">
        <v>721</v>
      </c>
      <c r="K312" s="2" t="s">
        <v>722</v>
      </c>
      <c r="L312" s="2" t="s">
        <v>751</v>
      </c>
      <c r="M312" s="2" t="s">
        <v>133</v>
      </c>
      <c r="N312" s="2" t="s">
        <v>96</v>
      </c>
      <c r="O312" s="2">
        <v>18</v>
      </c>
      <c r="P312" s="2">
        <v>17</v>
      </c>
      <c r="Q312" s="4">
        <v>3340</v>
      </c>
      <c r="R312" s="4">
        <v>3060</v>
      </c>
      <c r="S312" s="4">
        <v>81</v>
      </c>
      <c r="T312" s="19">
        <f>(ProductionData[[#This Row],[Rejected_Qty]])/ProductionData[[#This Row],[Produced_Qty]]</f>
        <v>2.6470588235294117E-2</v>
      </c>
      <c r="U312" s="19">
        <f>ProductionData[[#This Row],[Produced_Qty]]/ProductionData[[#This Row],[Planned_Qty]]</f>
        <v>0.91616766467065869</v>
      </c>
      <c r="V312" s="2" t="s">
        <v>113</v>
      </c>
      <c r="W312" s="11">
        <v>15</v>
      </c>
      <c r="X312" s="13">
        <f>W312/60</f>
        <v>0.25</v>
      </c>
      <c r="Y312" s="2" t="s">
        <v>182</v>
      </c>
      <c r="Z312" s="2">
        <v>64</v>
      </c>
      <c r="AA312" s="2">
        <f>ProductionData[[#This Row],[Rejected_Qty]]*ProductionData[[#This Row],[Unit_Cost_INR]]</f>
        <v>5184</v>
      </c>
      <c r="AB312" s="4">
        <v>11855</v>
      </c>
      <c r="AC312" s="4">
        <v>3030</v>
      </c>
      <c r="AD312" s="4">
        <v>3030</v>
      </c>
      <c r="AE312" s="4">
        <v>11804</v>
      </c>
      <c r="AF312" s="4">
        <v>5250</v>
      </c>
    </row>
    <row r="313" spans="1:32">
      <c r="A313" s="2" t="s">
        <v>752</v>
      </c>
      <c r="B313" s="3">
        <v>46134</v>
      </c>
      <c r="C313" s="36" t="s">
        <v>78</v>
      </c>
      <c r="D313" s="2">
        <f>MONTH(ProductionData[[#This Row],[Month]])</f>
        <v>4</v>
      </c>
      <c r="E313" s="2" t="s">
        <v>79</v>
      </c>
      <c r="F313" s="2" t="s">
        <v>93</v>
      </c>
      <c r="G313" s="2" t="s">
        <v>81</v>
      </c>
      <c r="H313" s="2" t="s">
        <v>82</v>
      </c>
      <c r="I313" s="2" t="s">
        <v>83</v>
      </c>
      <c r="J313" s="2" t="s">
        <v>721</v>
      </c>
      <c r="K313" s="2" t="s">
        <v>722</v>
      </c>
      <c r="L313" s="2" t="s">
        <v>753</v>
      </c>
      <c r="M313" s="2" t="s">
        <v>95</v>
      </c>
      <c r="N313" s="2" t="s">
        <v>88</v>
      </c>
      <c r="O313" s="2">
        <v>18</v>
      </c>
      <c r="P313" s="2">
        <v>16</v>
      </c>
      <c r="Q313" s="4">
        <v>3210</v>
      </c>
      <c r="R313" s="4">
        <v>3110</v>
      </c>
      <c r="S313" s="4">
        <v>96</v>
      </c>
      <c r="T313" s="19">
        <f>(ProductionData[[#This Row],[Rejected_Qty]])/ProductionData[[#This Row],[Produced_Qty]]</f>
        <v>3.0868167202572346E-2</v>
      </c>
      <c r="U313" s="19">
        <f>ProductionData[[#This Row],[Produced_Qty]]/ProductionData[[#This Row],[Planned_Qty]]</f>
        <v>0.96884735202492211</v>
      </c>
      <c r="V313" s="2" t="s">
        <v>103</v>
      </c>
      <c r="W313" s="11">
        <v>0</v>
      </c>
      <c r="X313" s="13">
        <f>W313/60</f>
        <v>0</v>
      </c>
      <c r="Y313" s="2" t="s">
        <v>90</v>
      </c>
      <c r="Z313" s="2">
        <v>64</v>
      </c>
      <c r="AA313" s="2">
        <f>ProductionData[[#This Row],[Rejected_Qty]]*ProductionData[[#This Row],[Unit_Cost_INR]]</f>
        <v>6144</v>
      </c>
      <c r="AB313" s="4">
        <v>11716</v>
      </c>
      <c r="AC313" s="4">
        <v>2930</v>
      </c>
      <c r="AD313" s="4">
        <v>2930</v>
      </c>
      <c r="AE313" s="4">
        <v>11800</v>
      </c>
      <c r="AF313" s="4">
        <v>5250</v>
      </c>
    </row>
    <row r="314" spans="1:32">
      <c r="A314" s="2" t="s">
        <v>754</v>
      </c>
      <c r="B314" s="3">
        <v>46141</v>
      </c>
      <c r="C314" s="36" t="s">
        <v>78</v>
      </c>
      <c r="D314" s="2">
        <f>MONTH(ProductionData[[#This Row],[Month]])</f>
        <v>4</v>
      </c>
      <c r="E314" s="2" t="s">
        <v>79</v>
      </c>
      <c r="F314" s="2" t="s">
        <v>80</v>
      </c>
      <c r="G314" s="2" t="s">
        <v>81</v>
      </c>
      <c r="H314" s="2" t="s">
        <v>82</v>
      </c>
      <c r="I314" s="2" t="s">
        <v>83</v>
      </c>
      <c r="J314" s="2" t="s">
        <v>721</v>
      </c>
      <c r="K314" s="2" t="s">
        <v>722</v>
      </c>
      <c r="L314" s="2" t="s">
        <v>755</v>
      </c>
      <c r="M314" s="2" t="s">
        <v>102</v>
      </c>
      <c r="N314" s="2" t="s">
        <v>88</v>
      </c>
      <c r="O314" s="2">
        <v>18</v>
      </c>
      <c r="P314" s="2">
        <v>18</v>
      </c>
      <c r="Q314" s="4">
        <v>3420</v>
      </c>
      <c r="R314" s="4">
        <v>3360</v>
      </c>
      <c r="S314" s="4">
        <v>99</v>
      </c>
      <c r="T314" s="19">
        <f>(ProductionData[[#This Row],[Rejected_Qty]])/ProductionData[[#This Row],[Produced_Qty]]</f>
        <v>2.9464285714285714E-2</v>
      </c>
      <c r="U314" s="19">
        <f>ProductionData[[#This Row],[Produced_Qty]]/ProductionData[[#This Row],[Planned_Qty]]</f>
        <v>0.98245614035087714</v>
      </c>
      <c r="V314" s="2" t="s">
        <v>75</v>
      </c>
      <c r="W314" s="11">
        <v>44</v>
      </c>
      <c r="X314" s="13">
        <f>W314/60</f>
        <v>0.73333333333333328</v>
      </c>
      <c r="Y314" s="2" t="s">
        <v>76</v>
      </c>
      <c r="Z314" s="2">
        <v>64</v>
      </c>
      <c r="AA314" s="2">
        <f>ProductionData[[#This Row],[Rejected_Qty]]*ProductionData[[#This Row],[Unit_Cost_INR]]</f>
        <v>6336</v>
      </c>
      <c r="AB314" s="4">
        <v>11589</v>
      </c>
      <c r="AC314" s="4">
        <v>3050</v>
      </c>
      <c r="AD314" s="4">
        <v>3050</v>
      </c>
      <c r="AE314" s="4">
        <v>11800</v>
      </c>
      <c r="AF314" s="4">
        <v>5250</v>
      </c>
    </row>
    <row r="315" spans="1:32">
      <c r="A315" s="2" t="s">
        <v>756</v>
      </c>
      <c r="B315" s="3">
        <v>46129</v>
      </c>
      <c r="C315" s="36" t="s">
        <v>78</v>
      </c>
      <c r="D315" s="2">
        <f>MONTH(ProductionData[[#This Row],[Month]])</f>
        <v>4</v>
      </c>
      <c r="E315" s="2" t="s">
        <v>125</v>
      </c>
      <c r="F315" s="2" t="s">
        <v>93</v>
      </c>
      <c r="G315" s="2" t="s">
        <v>81</v>
      </c>
      <c r="H315" s="2" t="s">
        <v>82</v>
      </c>
      <c r="I315" s="2" t="s">
        <v>83</v>
      </c>
      <c r="J315" s="2" t="s">
        <v>721</v>
      </c>
      <c r="K315" s="2" t="s">
        <v>722</v>
      </c>
      <c r="L315" s="2" t="s">
        <v>757</v>
      </c>
      <c r="M315" s="2" t="s">
        <v>95</v>
      </c>
      <c r="N315" s="2" t="s">
        <v>96</v>
      </c>
      <c r="O315" s="2">
        <v>18</v>
      </c>
      <c r="P315" s="2">
        <v>15</v>
      </c>
      <c r="Q315" s="4">
        <v>3270</v>
      </c>
      <c r="R315" s="4">
        <v>2990</v>
      </c>
      <c r="S315" s="4">
        <v>38</v>
      </c>
      <c r="T315" s="19">
        <f>(ProductionData[[#This Row],[Rejected_Qty]])/ProductionData[[#This Row],[Produced_Qty]]</f>
        <v>1.2709030100334449E-2</v>
      </c>
      <c r="U315" s="19">
        <f>ProductionData[[#This Row],[Produced_Qty]]/ProductionData[[#This Row],[Planned_Qty]]</f>
        <v>0.91437308868501532</v>
      </c>
      <c r="V315" s="2" t="s">
        <v>103</v>
      </c>
      <c r="W315" s="11">
        <v>0</v>
      </c>
      <c r="X315" s="13">
        <f>W315/60</f>
        <v>0</v>
      </c>
      <c r="Y315" s="2" t="s">
        <v>90</v>
      </c>
      <c r="Z315" s="2">
        <v>64</v>
      </c>
      <c r="AA315" s="2">
        <f>ProductionData[[#This Row],[Rejected_Qty]]*ProductionData[[#This Row],[Unit_Cost_INR]]</f>
        <v>2432</v>
      </c>
      <c r="AB315" s="4">
        <v>12098</v>
      </c>
      <c r="AC315" s="4">
        <v>3290</v>
      </c>
      <c r="AD315" s="4">
        <v>3290</v>
      </c>
      <c r="AE315" s="4">
        <v>11760</v>
      </c>
      <c r="AF315" s="4">
        <v>5250</v>
      </c>
    </row>
    <row r="316" spans="1:32">
      <c r="A316" s="2" t="s">
        <v>758</v>
      </c>
      <c r="B316" s="3">
        <v>46121</v>
      </c>
      <c r="C316" s="36" t="s">
        <v>78</v>
      </c>
      <c r="D316" s="2">
        <f>MONTH(ProductionData[[#This Row],[Month]])</f>
        <v>4</v>
      </c>
      <c r="E316" s="2" t="s">
        <v>107</v>
      </c>
      <c r="F316" s="2" t="s">
        <v>66</v>
      </c>
      <c r="G316" s="2" t="s">
        <v>81</v>
      </c>
      <c r="H316" s="2" t="s">
        <v>82</v>
      </c>
      <c r="I316" s="2" t="s">
        <v>83</v>
      </c>
      <c r="J316" s="2" t="s">
        <v>721</v>
      </c>
      <c r="K316" s="2" t="s">
        <v>722</v>
      </c>
      <c r="L316" s="2" t="s">
        <v>759</v>
      </c>
      <c r="M316" s="2" t="s">
        <v>99</v>
      </c>
      <c r="N316" s="2" t="s">
        <v>88</v>
      </c>
      <c r="O316" s="2">
        <v>18</v>
      </c>
      <c r="P316" s="2">
        <v>18</v>
      </c>
      <c r="Q316" s="4">
        <v>3420</v>
      </c>
      <c r="R316" s="4">
        <v>3310</v>
      </c>
      <c r="S316" s="4">
        <v>97</v>
      </c>
      <c r="T316" s="19">
        <f>(ProductionData[[#This Row],[Rejected_Qty]])/ProductionData[[#This Row],[Produced_Qty]]</f>
        <v>2.9305135951661631E-2</v>
      </c>
      <c r="U316" s="19">
        <f>ProductionData[[#This Row],[Produced_Qty]]/ProductionData[[#This Row],[Planned_Qty]]</f>
        <v>0.96783625730994149</v>
      </c>
      <c r="V316" s="2" t="s">
        <v>103</v>
      </c>
      <c r="W316" s="11">
        <v>74</v>
      </c>
      <c r="X316" s="13">
        <f>W316/60</f>
        <v>1.2333333333333334</v>
      </c>
      <c r="Y316" s="2" t="s">
        <v>182</v>
      </c>
      <c r="Z316" s="2">
        <v>64</v>
      </c>
      <c r="AA316" s="2">
        <f>ProductionData[[#This Row],[Rejected_Qty]]*ProductionData[[#This Row],[Unit_Cost_INR]]</f>
        <v>6208</v>
      </c>
      <c r="AB316" s="4">
        <v>11595</v>
      </c>
      <c r="AC316" s="4">
        <v>3050</v>
      </c>
      <c r="AD316" s="4">
        <v>3050</v>
      </c>
      <c r="AE316" s="4">
        <v>11758</v>
      </c>
      <c r="AF316" s="4">
        <v>5250</v>
      </c>
    </row>
    <row r="317" spans="1:32">
      <c r="A317" s="2" t="s">
        <v>760</v>
      </c>
      <c r="B317" s="3">
        <v>46134</v>
      </c>
      <c r="C317" s="36" t="s">
        <v>78</v>
      </c>
      <c r="D317" s="2">
        <f>MONTH(ProductionData[[#This Row],[Month]])</f>
        <v>4</v>
      </c>
      <c r="E317" s="2" t="s">
        <v>79</v>
      </c>
      <c r="F317" s="2" t="s">
        <v>66</v>
      </c>
      <c r="G317" s="2" t="s">
        <v>81</v>
      </c>
      <c r="H317" s="2" t="s">
        <v>82</v>
      </c>
      <c r="I317" s="2" t="s">
        <v>83</v>
      </c>
      <c r="J317" s="2" t="s">
        <v>721</v>
      </c>
      <c r="K317" s="2" t="s">
        <v>722</v>
      </c>
      <c r="L317" s="2" t="s">
        <v>761</v>
      </c>
      <c r="M317" s="2" t="s">
        <v>99</v>
      </c>
      <c r="N317" s="2" t="s">
        <v>88</v>
      </c>
      <c r="O317" s="2">
        <v>18</v>
      </c>
      <c r="P317" s="2">
        <v>18</v>
      </c>
      <c r="Q317" s="4">
        <v>3420</v>
      </c>
      <c r="R317" s="4">
        <v>3280</v>
      </c>
      <c r="S317" s="4">
        <v>55</v>
      </c>
      <c r="T317" s="19">
        <f>(ProductionData[[#This Row],[Rejected_Qty]])/ProductionData[[#This Row],[Produced_Qty]]</f>
        <v>1.676829268292683E-2</v>
      </c>
      <c r="U317" s="19">
        <f>ProductionData[[#This Row],[Produced_Qty]]/ProductionData[[#This Row],[Planned_Qty]]</f>
        <v>0.95906432748538006</v>
      </c>
      <c r="V317" s="2" t="s">
        <v>109</v>
      </c>
      <c r="W317" s="11">
        <v>0</v>
      </c>
      <c r="X317" s="13">
        <f>W317/60</f>
        <v>0</v>
      </c>
      <c r="Y317" s="2" t="s">
        <v>90</v>
      </c>
      <c r="Z317" s="2">
        <v>64</v>
      </c>
      <c r="AA317" s="2">
        <f>ProductionData[[#This Row],[Rejected_Qty]]*ProductionData[[#This Row],[Unit_Cost_INR]]</f>
        <v>3520</v>
      </c>
      <c r="AB317" s="4">
        <v>11501</v>
      </c>
      <c r="AC317" s="4">
        <v>3010</v>
      </c>
      <c r="AD317" s="4">
        <v>3010</v>
      </c>
      <c r="AE317" s="4">
        <v>11716</v>
      </c>
      <c r="AF317" s="4">
        <v>5250</v>
      </c>
    </row>
    <row r="318" spans="1:32">
      <c r="A318" s="2" t="s">
        <v>762</v>
      </c>
      <c r="B318" s="3">
        <v>46136</v>
      </c>
      <c r="C318" s="36" t="s">
        <v>78</v>
      </c>
      <c r="D318" s="2">
        <f>MONTH(ProductionData[[#This Row],[Month]])</f>
        <v>4</v>
      </c>
      <c r="E318" s="2" t="s">
        <v>125</v>
      </c>
      <c r="F318" s="2" t="s">
        <v>80</v>
      </c>
      <c r="G318" s="2" t="s">
        <v>81</v>
      </c>
      <c r="H318" s="2" t="s">
        <v>82</v>
      </c>
      <c r="I318" s="2" t="s">
        <v>83</v>
      </c>
      <c r="J318" s="2" t="s">
        <v>721</v>
      </c>
      <c r="K318" s="2" t="s">
        <v>722</v>
      </c>
      <c r="L318" s="2" t="s">
        <v>763</v>
      </c>
      <c r="M318" s="2" t="s">
        <v>87</v>
      </c>
      <c r="N318" s="2" t="s">
        <v>96</v>
      </c>
      <c r="O318" s="2">
        <v>18</v>
      </c>
      <c r="P318" s="2">
        <v>15</v>
      </c>
      <c r="Q318" s="4">
        <v>3560</v>
      </c>
      <c r="R318" s="4">
        <v>3270</v>
      </c>
      <c r="S318" s="4">
        <v>80</v>
      </c>
      <c r="T318" s="19">
        <f>(ProductionData[[#This Row],[Rejected_Qty]])/ProductionData[[#This Row],[Produced_Qty]]</f>
        <v>2.4464831804281346E-2</v>
      </c>
      <c r="U318" s="19">
        <f>ProductionData[[#This Row],[Produced_Qty]]/ProductionData[[#This Row],[Planned_Qty]]</f>
        <v>0.9185393258426966</v>
      </c>
      <c r="V318" s="2" t="s">
        <v>113</v>
      </c>
      <c r="W318" s="11">
        <v>25</v>
      </c>
      <c r="X318" s="13">
        <f>W318/60</f>
        <v>0.41666666666666669</v>
      </c>
      <c r="Y318" s="2" t="s">
        <v>259</v>
      </c>
      <c r="Z318" s="2">
        <v>64</v>
      </c>
      <c r="AA318" s="2">
        <f>ProductionData[[#This Row],[Rejected_Qty]]*ProductionData[[#This Row],[Unit_Cost_INR]]</f>
        <v>5120</v>
      </c>
      <c r="AB318" s="4">
        <v>11800</v>
      </c>
      <c r="AC318" s="4">
        <v>3290</v>
      </c>
      <c r="AD318" s="4">
        <v>3290</v>
      </c>
      <c r="AE318" s="4">
        <v>11700</v>
      </c>
      <c r="AF318" s="4">
        <v>5250</v>
      </c>
    </row>
    <row r="319" spans="1:32">
      <c r="A319" s="2" t="s">
        <v>764</v>
      </c>
      <c r="B319" s="3">
        <v>46114</v>
      </c>
      <c r="C319" s="36" t="s">
        <v>78</v>
      </c>
      <c r="D319" s="2">
        <f>MONTH(ProductionData[[#This Row],[Month]])</f>
        <v>4</v>
      </c>
      <c r="E319" s="2" t="s">
        <v>107</v>
      </c>
      <c r="F319" s="2" t="s">
        <v>66</v>
      </c>
      <c r="G319" s="2" t="s">
        <v>81</v>
      </c>
      <c r="H319" s="2" t="s">
        <v>82</v>
      </c>
      <c r="I319" s="2" t="s">
        <v>83</v>
      </c>
      <c r="J319" s="2" t="s">
        <v>721</v>
      </c>
      <c r="K319" s="2" t="s">
        <v>722</v>
      </c>
      <c r="L319" s="2" t="s">
        <v>765</v>
      </c>
      <c r="M319" s="2" t="s">
        <v>99</v>
      </c>
      <c r="N319" s="2" t="s">
        <v>88</v>
      </c>
      <c r="O319" s="2">
        <v>18</v>
      </c>
      <c r="P319" s="2">
        <v>16</v>
      </c>
      <c r="Q319" s="4">
        <v>3310</v>
      </c>
      <c r="R319" s="4">
        <v>3290</v>
      </c>
      <c r="S319" s="4">
        <v>105</v>
      </c>
      <c r="T319" s="19">
        <f>(ProductionData[[#This Row],[Rejected_Qty]])/ProductionData[[#This Row],[Produced_Qty]]</f>
        <v>3.1914893617021274E-2</v>
      </c>
      <c r="U319" s="19">
        <f>ProductionData[[#This Row],[Produced_Qty]]/ProductionData[[#This Row],[Planned_Qty]]</f>
        <v>0.9939577039274925</v>
      </c>
      <c r="V319" s="2" t="s">
        <v>113</v>
      </c>
      <c r="W319" s="11">
        <v>0</v>
      </c>
      <c r="X319" s="13">
        <f>W319/60</f>
        <v>0</v>
      </c>
      <c r="Y319" s="2" t="s">
        <v>90</v>
      </c>
      <c r="Z319" s="2">
        <v>64</v>
      </c>
      <c r="AA319" s="2">
        <f>ProductionData[[#This Row],[Rejected_Qty]]*ProductionData[[#This Row],[Unit_Cost_INR]]</f>
        <v>6720</v>
      </c>
      <c r="AB319" s="4">
        <v>11559</v>
      </c>
      <c r="AC319" s="4">
        <v>3130</v>
      </c>
      <c r="AD319" s="4">
        <v>3130</v>
      </c>
      <c r="AE319" s="4">
        <v>11614</v>
      </c>
      <c r="AF319" s="4">
        <v>5250</v>
      </c>
    </row>
    <row r="320" spans="1:32">
      <c r="A320" s="2" t="s">
        <v>766</v>
      </c>
      <c r="B320" s="3" t="s">
        <v>767</v>
      </c>
      <c r="C320" s="36" t="s">
        <v>78</v>
      </c>
      <c r="D320" s="2">
        <f>MONTH(ProductionData[[#This Row],[Month]])</f>
        <v>4</v>
      </c>
      <c r="E320" s="2" t="s">
        <v>79</v>
      </c>
      <c r="F320" s="2" t="s">
        <v>66</v>
      </c>
      <c r="G320" s="2" t="s">
        <v>81</v>
      </c>
      <c r="H320" s="2" t="s">
        <v>82</v>
      </c>
      <c r="I320" s="2" t="s">
        <v>83</v>
      </c>
      <c r="J320" s="2" t="s">
        <v>721</v>
      </c>
      <c r="K320" s="2" t="s">
        <v>722</v>
      </c>
      <c r="L320" s="2" t="s">
        <v>768</v>
      </c>
      <c r="M320" s="2" t="s">
        <v>73</v>
      </c>
      <c r="N320" s="2" t="s">
        <v>96</v>
      </c>
      <c r="O320" s="2">
        <v>18</v>
      </c>
      <c r="P320" s="2">
        <v>18</v>
      </c>
      <c r="Q320" s="4">
        <v>3730</v>
      </c>
      <c r="R320" s="4">
        <v>3530</v>
      </c>
      <c r="S320" s="4">
        <v>89</v>
      </c>
      <c r="T320" s="19">
        <f>(ProductionData[[#This Row],[Rejected_Qty]])/ProductionData[[#This Row],[Produced_Qty]]</f>
        <v>2.5212464589235126E-2</v>
      </c>
      <c r="U320" s="19">
        <f>ProductionData[[#This Row],[Produced_Qty]]/ProductionData[[#This Row],[Planned_Qty]]</f>
        <v>0.9463806970509383</v>
      </c>
      <c r="V320" s="2" t="s">
        <v>109</v>
      </c>
      <c r="W320" s="11">
        <v>0</v>
      </c>
      <c r="X320" s="13">
        <f>W320/60</f>
        <v>0</v>
      </c>
      <c r="Y320" s="2" t="s">
        <v>90</v>
      </c>
      <c r="Z320" s="2">
        <v>64</v>
      </c>
      <c r="AA320" s="2">
        <f>ProductionData[[#This Row],[Rejected_Qty]]*ProductionData[[#This Row],[Unit_Cost_INR]]</f>
        <v>5696</v>
      </c>
      <c r="AB320" s="4">
        <v>11484</v>
      </c>
      <c r="AC320" s="4">
        <v>3330</v>
      </c>
      <c r="AD320" s="4">
        <v>3330</v>
      </c>
      <c r="AE320" s="4">
        <v>11595</v>
      </c>
      <c r="AF320" s="4">
        <v>5250</v>
      </c>
    </row>
    <row r="321" spans="1:32">
      <c r="A321" s="2" t="s">
        <v>769</v>
      </c>
      <c r="B321" s="3">
        <v>46137</v>
      </c>
      <c r="C321" s="36" t="s">
        <v>78</v>
      </c>
      <c r="D321" s="2">
        <f>MONTH(ProductionData[[#This Row],[Month]])</f>
        <v>4</v>
      </c>
      <c r="E321" s="2" t="s">
        <v>65</v>
      </c>
      <c r="F321" s="2" t="s">
        <v>66</v>
      </c>
      <c r="G321" s="2" t="s">
        <v>81</v>
      </c>
      <c r="H321" s="2" t="s">
        <v>82</v>
      </c>
      <c r="I321" s="2" t="s">
        <v>83</v>
      </c>
      <c r="J321" s="2" t="s">
        <v>721</v>
      </c>
      <c r="K321" s="2" t="s">
        <v>722</v>
      </c>
      <c r="L321" s="2" t="s">
        <v>770</v>
      </c>
      <c r="M321" s="2" t="s">
        <v>73</v>
      </c>
      <c r="N321" s="2" t="s">
        <v>96</v>
      </c>
      <c r="O321" s="2">
        <v>18</v>
      </c>
      <c r="P321" s="2">
        <v>17</v>
      </c>
      <c r="Q321" s="4">
        <v>3640</v>
      </c>
      <c r="R321" s="4">
        <v>3520</v>
      </c>
      <c r="S321" s="4">
        <v>122</v>
      </c>
      <c r="T321" s="19">
        <f>(ProductionData[[#This Row],[Rejected_Qty]])/ProductionData[[#This Row],[Produced_Qty]]</f>
        <v>3.465909090909091E-2</v>
      </c>
      <c r="U321" s="19">
        <f>ProductionData[[#This Row],[Produced_Qty]]/ProductionData[[#This Row],[Planned_Qty]]</f>
        <v>0.96703296703296704</v>
      </c>
      <c r="V321" s="2" t="s">
        <v>75</v>
      </c>
      <c r="W321" s="11">
        <v>12</v>
      </c>
      <c r="X321" s="13">
        <f>W321/60</f>
        <v>0.2</v>
      </c>
      <c r="Y321" s="2" t="s">
        <v>76</v>
      </c>
      <c r="Z321" s="2">
        <v>64</v>
      </c>
      <c r="AA321" s="2">
        <f>ProductionData[[#This Row],[Rejected_Qty]]*ProductionData[[#This Row],[Unit_Cost_INR]]</f>
        <v>7808</v>
      </c>
      <c r="AB321" s="4">
        <v>11401</v>
      </c>
      <c r="AC321" s="4">
        <v>3210</v>
      </c>
      <c r="AD321" s="4">
        <v>3210</v>
      </c>
      <c r="AE321" s="4">
        <v>11589</v>
      </c>
      <c r="AF321" s="4">
        <v>5250</v>
      </c>
    </row>
    <row r="322" spans="1:32">
      <c r="A322" s="2" t="s">
        <v>771</v>
      </c>
      <c r="B322" s="3">
        <v>46113</v>
      </c>
      <c r="C322" s="36" t="s">
        <v>78</v>
      </c>
      <c r="D322" s="2">
        <f>MONTH(ProductionData[[#This Row],[Month]])</f>
        <v>4</v>
      </c>
      <c r="E322" s="2" t="s">
        <v>79</v>
      </c>
      <c r="F322" s="2" t="s">
        <v>80</v>
      </c>
      <c r="G322" s="2" t="s">
        <v>81</v>
      </c>
      <c r="H322" s="2" t="s">
        <v>82</v>
      </c>
      <c r="I322" s="2" t="s">
        <v>83</v>
      </c>
      <c r="J322" s="2" t="s">
        <v>721</v>
      </c>
      <c r="K322" s="2" t="s">
        <v>722</v>
      </c>
      <c r="L322" s="2" t="s">
        <v>772</v>
      </c>
      <c r="M322" s="2" t="s">
        <v>87</v>
      </c>
      <c r="N322" s="2" t="s">
        <v>96</v>
      </c>
      <c r="O322" s="2">
        <v>18</v>
      </c>
      <c r="P322" s="2">
        <v>18</v>
      </c>
      <c r="Q322" s="4">
        <v>3260</v>
      </c>
      <c r="R322" s="4">
        <v>3080</v>
      </c>
      <c r="S322" s="4">
        <v>105</v>
      </c>
      <c r="T322" s="19">
        <f>(ProductionData[[#This Row],[Rejected_Qty]])/ProductionData[[#This Row],[Produced_Qty]]</f>
        <v>3.4090909090909088E-2</v>
      </c>
      <c r="U322" s="19">
        <f>ProductionData[[#This Row],[Produced_Qty]]/ProductionData[[#This Row],[Planned_Qty]]</f>
        <v>0.94478527607361962</v>
      </c>
      <c r="V322" s="2" t="s">
        <v>109</v>
      </c>
      <c r="W322" s="11">
        <v>0</v>
      </c>
      <c r="X322" s="13">
        <f>W322/60</f>
        <v>0</v>
      </c>
      <c r="Y322" s="2" t="s">
        <v>90</v>
      </c>
      <c r="Z322" s="2">
        <v>64</v>
      </c>
      <c r="AA322" s="2">
        <f>ProductionData[[#This Row],[Rejected_Qty]]*ProductionData[[#This Row],[Unit_Cost_INR]]</f>
        <v>6720</v>
      </c>
      <c r="AB322" s="4">
        <v>11364</v>
      </c>
      <c r="AC322" s="4">
        <v>2780</v>
      </c>
      <c r="AD322" s="4">
        <v>2780</v>
      </c>
      <c r="AE322" s="4">
        <v>11559</v>
      </c>
      <c r="AF322" s="4">
        <v>5250</v>
      </c>
    </row>
    <row r="323" spans="1:32">
      <c r="A323" s="2" t="s">
        <v>773</v>
      </c>
      <c r="B323" s="3">
        <v>46114</v>
      </c>
      <c r="C323" s="36" t="s">
        <v>78</v>
      </c>
      <c r="D323" s="2">
        <f>MONTH(ProductionData[[#This Row],[Month]])</f>
        <v>4</v>
      </c>
      <c r="E323" s="2" t="s">
        <v>107</v>
      </c>
      <c r="F323" s="2" t="s">
        <v>80</v>
      </c>
      <c r="G323" s="2" t="s">
        <v>81</v>
      </c>
      <c r="H323" s="2" t="s">
        <v>82</v>
      </c>
      <c r="I323" s="2" t="s">
        <v>83</v>
      </c>
      <c r="J323" s="2" t="s">
        <v>721</v>
      </c>
      <c r="K323" s="2" t="s">
        <v>722</v>
      </c>
      <c r="L323" s="2" t="s">
        <v>774</v>
      </c>
      <c r="M323" s="2" t="s">
        <v>87</v>
      </c>
      <c r="N323" s="2" t="s">
        <v>96</v>
      </c>
      <c r="O323" s="2">
        <v>18</v>
      </c>
      <c r="P323" s="2">
        <v>14</v>
      </c>
      <c r="Q323" s="4">
        <v>3640</v>
      </c>
      <c r="R323" s="4">
        <v>3220</v>
      </c>
      <c r="S323" s="4">
        <v>77</v>
      </c>
      <c r="T323" s="19">
        <f>(ProductionData[[#This Row],[Rejected_Qty]])/ProductionData[[#This Row],[Produced_Qty]]</f>
        <v>2.391304347826087E-2</v>
      </c>
      <c r="U323" s="19">
        <f>ProductionData[[#This Row],[Produced_Qty]]/ProductionData[[#This Row],[Planned_Qty]]</f>
        <v>0.88461538461538458</v>
      </c>
      <c r="V323" s="2" t="s">
        <v>89</v>
      </c>
      <c r="W323" s="11">
        <v>0</v>
      </c>
      <c r="X323" s="13">
        <f>W323/60</f>
        <v>0</v>
      </c>
      <c r="Y323" s="2" t="s">
        <v>90</v>
      </c>
      <c r="Z323" s="2">
        <v>64</v>
      </c>
      <c r="AA323" s="2">
        <f>ProductionData[[#This Row],[Rejected_Qty]]*ProductionData[[#This Row],[Unit_Cost_INR]]</f>
        <v>4928</v>
      </c>
      <c r="AB323" s="4">
        <v>11614</v>
      </c>
      <c r="AC323" s="4">
        <v>3240</v>
      </c>
      <c r="AD323" s="4">
        <v>3240</v>
      </c>
      <c r="AE323" s="4">
        <v>11517</v>
      </c>
      <c r="AF323" s="4">
        <v>5250</v>
      </c>
    </row>
    <row r="324" spans="1:32">
      <c r="A324" s="2" t="s">
        <v>775</v>
      </c>
      <c r="B324" s="3">
        <v>46116</v>
      </c>
      <c r="C324" s="36" t="s">
        <v>78</v>
      </c>
      <c r="D324" s="2">
        <f>MONTH(ProductionData[[#This Row],[Month]])</f>
        <v>4</v>
      </c>
      <c r="E324" s="2" t="s">
        <v>65</v>
      </c>
      <c r="F324" s="2" t="s">
        <v>93</v>
      </c>
      <c r="G324" s="2" t="s">
        <v>81</v>
      </c>
      <c r="H324" s="2" t="s">
        <v>82</v>
      </c>
      <c r="I324" s="2" t="s">
        <v>83</v>
      </c>
      <c r="J324" s="2" t="s">
        <v>721</v>
      </c>
      <c r="K324" s="2" t="s">
        <v>722</v>
      </c>
      <c r="L324" s="2" t="s">
        <v>776</v>
      </c>
      <c r="M324" s="2" t="s">
        <v>95</v>
      </c>
      <c r="N324" s="2" t="s">
        <v>96</v>
      </c>
      <c r="O324" s="2">
        <v>18</v>
      </c>
      <c r="P324" s="2">
        <v>13</v>
      </c>
      <c r="Q324" s="4">
        <v>3560</v>
      </c>
      <c r="R324" s="4">
        <v>3320</v>
      </c>
      <c r="S324" s="4">
        <v>95</v>
      </c>
      <c r="T324" s="19">
        <f>(ProductionData[[#This Row],[Rejected_Qty]])/ProductionData[[#This Row],[Produced_Qty]]</f>
        <v>2.86144578313253E-2</v>
      </c>
      <c r="U324" s="19">
        <f>ProductionData[[#This Row],[Produced_Qty]]/ProductionData[[#This Row],[Planned_Qty]]</f>
        <v>0.93258426966292129</v>
      </c>
      <c r="V324" s="2" t="s">
        <v>103</v>
      </c>
      <c r="W324" s="11">
        <v>15</v>
      </c>
      <c r="X324" s="13">
        <f>W324/60</f>
        <v>0.25</v>
      </c>
      <c r="Y324" s="2" t="s">
        <v>259</v>
      </c>
      <c r="Z324" s="2">
        <v>64</v>
      </c>
      <c r="AA324" s="2">
        <f>ProductionData[[#This Row],[Rejected_Qty]]*ProductionData[[#This Row],[Unit_Cost_INR]]</f>
        <v>6080</v>
      </c>
      <c r="AB324" s="4">
        <v>11517</v>
      </c>
      <c r="AC324" s="4">
        <v>3230</v>
      </c>
      <c r="AD324" s="4">
        <v>3230</v>
      </c>
      <c r="AE324" s="4">
        <v>11512</v>
      </c>
      <c r="AF324" s="4">
        <v>5250</v>
      </c>
    </row>
    <row r="325" spans="1:32">
      <c r="A325" s="2" t="s">
        <v>777</v>
      </c>
      <c r="B325" s="3">
        <v>46132</v>
      </c>
      <c r="C325" s="36" t="s">
        <v>78</v>
      </c>
      <c r="D325" s="2">
        <f>MONTH(ProductionData[[#This Row],[Month]])</f>
        <v>4</v>
      </c>
      <c r="E325" s="2" t="s">
        <v>116</v>
      </c>
      <c r="F325" s="2" t="s">
        <v>93</v>
      </c>
      <c r="G325" s="2" t="s">
        <v>81</v>
      </c>
      <c r="H325" s="2" t="s">
        <v>82</v>
      </c>
      <c r="I325" s="2" t="s">
        <v>83</v>
      </c>
      <c r="J325" s="2" t="s">
        <v>721</v>
      </c>
      <c r="K325" s="2" t="s">
        <v>722</v>
      </c>
      <c r="L325" s="2" t="s">
        <v>778</v>
      </c>
      <c r="M325" s="2" t="s">
        <v>95</v>
      </c>
      <c r="N325" s="2" t="s">
        <v>96</v>
      </c>
      <c r="O325" s="2">
        <v>18</v>
      </c>
      <c r="P325" s="2">
        <v>13</v>
      </c>
      <c r="Q325" s="4">
        <v>3150</v>
      </c>
      <c r="R325" s="4">
        <v>2630</v>
      </c>
      <c r="S325" s="4">
        <v>75</v>
      </c>
      <c r="T325" s="19">
        <f>(ProductionData[[#This Row],[Rejected_Qty]])/ProductionData[[#This Row],[Produced_Qty]]</f>
        <v>2.8517110266159697E-2</v>
      </c>
      <c r="U325" s="19">
        <f>ProductionData[[#This Row],[Produced_Qty]]/ProductionData[[#This Row],[Planned_Qty]]</f>
        <v>0.83492063492063495</v>
      </c>
      <c r="V325" s="2" t="s">
        <v>109</v>
      </c>
      <c r="W325" s="11">
        <v>55</v>
      </c>
      <c r="X325" s="13">
        <f>W325/60</f>
        <v>0.91666666666666663</v>
      </c>
      <c r="Y325" s="2" t="s">
        <v>110</v>
      </c>
      <c r="Z325" s="2">
        <v>64</v>
      </c>
      <c r="AA325" s="2">
        <f>ProductionData[[#This Row],[Rejected_Qty]]*ProductionData[[#This Row],[Unit_Cost_INR]]</f>
        <v>4800</v>
      </c>
      <c r="AB325" s="4">
        <v>11856</v>
      </c>
      <c r="AC325" s="4">
        <v>2910</v>
      </c>
      <c r="AD325" s="4">
        <v>2910</v>
      </c>
      <c r="AE325" s="4">
        <v>11501</v>
      </c>
      <c r="AF325" s="4">
        <v>5250</v>
      </c>
    </row>
    <row r="326" spans="1:32">
      <c r="A326" s="2" t="s">
        <v>779</v>
      </c>
      <c r="B326" s="3">
        <v>46119</v>
      </c>
      <c r="C326" s="36" t="s">
        <v>78</v>
      </c>
      <c r="D326" s="2">
        <f>MONTH(ProductionData[[#This Row],[Month]])</f>
        <v>4</v>
      </c>
      <c r="E326" s="2" t="s">
        <v>92</v>
      </c>
      <c r="F326" s="2" t="s">
        <v>66</v>
      </c>
      <c r="G326" s="2" t="s">
        <v>81</v>
      </c>
      <c r="H326" s="2" t="s">
        <v>82</v>
      </c>
      <c r="I326" s="2" t="s">
        <v>83</v>
      </c>
      <c r="J326" s="2" t="s">
        <v>721</v>
      </c>
      <c r="K326" s="2" t="s">
        <v>722</v>
      </c>
      <c r="L326" s="2" t="s">
        <v>780</v>
      </c>
      <c r="M326" s="2" t="s">
        <v>73</v>
      </c>
      <c r="N326" s="2" t="s">
        <v>88</v>
      </c>
      <c r="O326" s="2">
        <v>18</v>
      </c>
      <c r="P326" s="2">
        <v>18</v>
      </c>
      <c r="Q326" s="4">
        <v>3770</v>
      </c>
      <c r="R326" s="4">
        <v>3670</v>
      </c>
      <c r="S326" s="4">
        <v>96</v>
      </c>
      <c r="T326" s="19">
        <f>(ProductionData[[#This Row],[Rejected_Qty]])/ProductionData[[#This Row],[Produced_Qty]]</f>
        <v>2.6158038147138966E-2</v>
      </c>
      <c r="U326" s="19">
        <f>ProductionData[[#This Row],[Produced_Qty]]/ProductionData[[#This Row],[Planned_Qty]]</f>
        <v>0.97347480106100792</v>
      </c>
      <c r="V326" s="2" t="s">
        <v>109</v>
      </c>
      <c r="W326" s="11">
        <v>0</v>
      </c>
      <c r="X326" s="13">
        <f>W326/60</f>
        <v>0</v>
      </c>
      <c r="Y326" s="2" t="s">
        <v>90</v>
      </c>
      <c r="Z326" s="2">
        <v>64</v>
      </c>
      <c r="AA326" s="2">
        <f>ProductionData[[#This Row],[Rejected_Qty]]*ProductionData[[#This Row],[Unit_Cost_INR]]</f>
        <v>6144</v>
      </c>
      <c r="AB326" s="4">
        <v>11410</v>
      </c>
      <c r="AC326" s="4">
        <v>3500</v>
      </c>
      <c r="AD326" s="4">
        <v>3500</v>
      </c>
      <c r="AE326" s="4">
        <v>11484</v>
      </c>
      <c r="AF326" s="4">
        <v>5250</v>
      </c>
    </row>
    <row r="327" spans="1:32">
      <c r="A327" s="2" t="s">
        <v>781</v>
      </c>
      <c r="B327" s="3">
        <v>46117</v>
      </c>
      <c r="C327" s="36" t="s">
        <v>78</v>
      </c>
      <c r="D327" s="2">
        <f>MONTH(ProductionData[[#This Row],[Month]])</f>
        <v>4</v>
      </c>
      <c r="E327" s="2" t="s">
        <v>186</v>
      </c>
      <c r="F327" s="2" t="s">
        <v>80</v>
      </c>
      <c r="G327" s="2" t="s">
        <v>81</v>
      </c>
      <c r="H327" s="2" t="s">
        <v>82</v>
      </c>
      <c r="I327" s="2" t="s">
        <v>83</v>
      </c>
      <c r="J327" s="2" t="s">
        <v>721</v>
      </c>
      <c r="K327" s="2" t="s">
        <v>722</v>
      </c>
      <c r="L327" s="2" t="s">
        <v>782</v>
      </c>
      <c r="M327" s="2" t="s">
        <v>87</v>
      </c>
      <c r="N327" s="2" t="s">
        <v>96</v>
      </c>
      <c r="O327" s="2">
        <v>18</v>
      </c>
      <c r="P327" s="2">
        <v>16</v>
      </c>
      <c r="Q327" s="4">
        <v>2620</v>
      </c>
      <c r="R327" s="4">
        <v>2360</v>
      </c>
      <c r="S327" s="4">
        <v>47</v>
      </c>
      <c r="T327" s="19">
        <f>(ProductionData[[#This Row],[Rejected_Qty]])/ProductionData[[#This Row],[Produced_Qty]]</f>
        <v>1.9915254237288134E-2</v>
      </c>
      <c r="U327" s="19">
        <f>ProductionData[[#This Row],[Produced_Qty]]/ProductionData[[#This Row],[Planned_Qty]]</f>
        <v>0.9007633587786259</v>
      </c>
      <c r="V327" s="2" t="s">
        <v>109</v>
      </c>
      <c r="W327" s="11">
        <v>51</v>
      </c>
      <c r="X327" s="13">
        <f>W327/60</f>
        <v>0.85</v>
      </c>
      <c r="Y327" s="2" t="s">
        <v>76</v>
      </c>
      <c r="Z327" s="2">
        <v>64</v>
      </c>
      <c r="AA327" s="2">
        <f>ProductionData[[#This Row],[Rejected_Qty]]*ProductionData[[#This Row],[Unit_Cost_INR]]</f>
        <v>3008</v>
      </c>
      <c r="AB327" s="4">
        <v>11367</v>
      </c>
      <c r="AC327" s="4">
        <v>2270</v>
      </c>
      <c r="AD327" s="4">
        <v>2270</v>
      </c>
      <c r="AE327" s="4">
        <v>11410</v>
      </c>
      <c r="AF327" s="4">
        <v>5250</v>
      </c>
    </row>
    <row r="328" spans="1:32">
      <c r="A328" s="2" t="s">
        <v>783</v>
      </c>
      <c r="B328" s="3">
        <v>46136</v>
      </c>
      <c r="C328" s="36" t="s">
        <v>78</v>
      </c>
      <c r="D328" s="2">
        <f>MONTH(ProductionData[[#This Row],[Month]])</f>
        <v>4</v>
      </c>
      <c r="E328" s="2" t="s">
        <v>125</v>
      </c>
      <c r="F328" s="2" t="s">
        <v>93</v>
      </c>
      <c r="G328" s="2" t="s">
        <v>81</v>
      </c>
      <c r="H328" s="2" t="s">
        <v>82</v>
      </c>
      <c r="I328" s="2" t="s">
        <v>83</v>
      </c>
      <c r="J328" s="2" t="s">
        <v>721</v>
      </c>
      <c r="K328" s="2" t="s">
        <v>722</v>
      </c>
      <c r="L328" s="2" t="s">
        <v>784</v>
      </c>
      <c r="M328" s="2" t="s">
        <v>133</v>
      </c>
      <c r="N328" s="2" t="s">
        <v>88</v>
      </c>
      <c r="O328" s="2">
        <v>18</v>
      </c>
      <c r="P328" s="2">
        <v>16</v>
      </c>
      <c r="Q328" s="4">
        <v>3140</v>
      </c>
      <c r="R328" s="4">
        <v>2790</v>
      </c>
      <c r="S328" s="4">
        <v>49</v>
      </c>
      <c r="T328" s="19">
        <f>(ProductionData[[#This Row],[Rejected_Qty]])/ProductionData[[#This Row],[Produced_Qty]]</f>
        <v>1.7562724014336919E-2</v>
      </c>
      <c r="U328" s="19">
        <f>ProductionData[[#This Row],[Produced_Qty]]/ProductionData[[#This Row],[Planned_Qty]]</f>
        <v>0.88853503184713378</v>
      </c>
      <c r="V328" s="2" t="s">
        <v>113</v>
      </c>
      <c r="W328" s="11">
        <v>0</v>
      </c>
      <c r="X328" s="13">
        <f>W328/60</f>
        <v>0</v>
      </c>
      <c r="Y328" s="2" t="s">
        <v>90</v>
      </c>
      <c r="Z328" s="2">
        <v>64</v>
      </c>
      <c r="AA328" s="2">
        <f>ProductionData[[#This Row],[Rejected_Qty]]*ProductionData[[#This Row],[Unit_Cost_INR]]</f>
        <v>3136</v>
      </c>
      <c r="AB328" s="4">
        <v>11700</v>
      </c>
      <c r="AC328" s="4">
        <v>3040</v>
      </c>
      <c r="AD328" s="4">
        <v>3040</v>
      </c>
      <c r="AE328" s="4">
        <v>11401</v>
      </c>
      <c r="AF328" s="4">
        <v>5250</v>
      </c>
    </row>
    <row r="329" spans="1:32">
      <c r="A329" s="2" t="s">
        <v>785</v>
      </c>
      <c r="B329" s="3">
        <v>46117</v>
      </c>
      <c r="C329" s="36" t="s">
        <v>78</v>
      </c>
      <c r="D329" s="2">
        <f>MONTH(ProductionData[[#This Row],[Month]])</f>
        <v>4</v>
      </c>
      <c r="E329" s="2" t="s">
        <v>186</v>
      </c>
      <c r="F329" s="2" t="s">
        <v>66</v>
      </c>
      <c r="G329" s="2" t="s">
        <v>81</v>
      </c>
      <c r="H329" s="2" t="s">
        <v>82</v>
      </c>
      <c r="I329" s="2" t="s">
        <v>83</v>
      </c>
      <c r="J329" s="2" t="s">
        <v>721</v>
      </c>
      <c r="K329" s="2" t="s">
        <v>722</v>
      </c>
      <c r="L329" s="2" t="s">
        <v>786</v>
      </c>
      <c r="M329" s="2" t="s">
        <v>73</v>
      </c>
      <c r="N329" s="2" t="s">
        <v>96</v>
      </c>
      <c r="O329" s="2">
        <v>18</v>
      </c>
      <c r="P329" s="2">
        <v>15</v>
      </c>
      <c r="Q329" s="4">
        <v>2490</v>
      </c>
      <c r="R329" s="4">
        <v>2200</v>
      </c>
      <c r="S329" s="4">
        <v>55</v>
      </c>
      <c r="T329" s="19">
        <f>(ProductionData[[#This Row],[Rejected_Qty]])/ProductionData[[#This Row],[Produced_Qty]]</f>
        <v>2.5000000000000001E-2</v>
      </c>
      <c r="U329" s="19">
        <f>ProductionData[[#This Row],[Produced_Qty]]/ProductionData[[#This Row],[Planned_Qty]]</f>
        <v>0.88353413654618473</v>
      </c>
      <c r="V329" s="2" t="s">
        <v>89</v>
      </c>
      <c r="W329" s="11">
        <v>0</v>
      </c>
      <c r="X329" s="13">
        <f>W329/60</f>
        <v>0</v>
      </c>
      <c r="Y329" s="2" t="s">
        <v>90</v>
      </c>
      <c r="Z329" s="2">
        <v>64</v>
      </c>
      <c r="AA329" s="2">
        <f>ProductionData[[#This Row],[Rejected_Qty]]*ProductionData[[#This Row],[Unit_Cost_INR]]</f>
        <v>3520</v>
      </c>
      <c r="AB329" s="4">
        <v>11512</v>
      </c>
      <c r="AC329" s="4">
        <v>2290</v>
      </c>
      <c r="AD329" s="4">
        <v>2290</v>
      </c>
      <c r="AE329" s="4">
        <v>11367</v>
      </c>
      <c r="AF329" s="4">
        <v>5250</v>
      </c>
    </row>
    <row r="330" spans="1:32">
      <c r="A330" s="2" t="s">
        <v>787</v>
      </c>
      <c r="B330" s="3">
        <v>46113</v>
      </c>
      <c r="C330" s="36" t="s">
        <v>78</v>
      </c>
      <c r="D330" s="2">
        <f>MONTH(ProductionData[[#This Row],[Month]])</f>
        <v>4</v>
      </c>
      <c r="E330" s="2" t="s">
        <v>79</v>
      </c>
      <c r="F330" s="2" t="s">
        <v>66</v>
      </c>
      <c r="G330" s="2" t="s">
        <v>81</v>
      </c>
      <c r="H330" s="2" t="s">
        <v>82</v>
      </c>
      <c r="I330" s="2" t="s">
        <v>83</v>
      </c>
      <c r="J330" s="2" t="s">
        <v>721</v>
      </c>
      <c r="K330" s="2" t="s">
        <v>722</v>
      </c>
      <c r="L330" s="2" t="s">
        <v>788</v>
      </c>
      <c r="M330" s="2" t="s">
        <v>73</v>
      </c>
      <c r="N330" s="2" t="s">
        <v>96</v>
      </c>
      <c r="O330" s="2">
        <v>18</v>
      </c>
      <c r="P330" s="2">
        <v>18</v>
      </c>
      <c r="Q330" s="4">
        <v>3560</v>
      </c>
      <c r="R330" s="4">
        <v>3630</v>
      </c>
      <c r="S330" s="4">
        <v>66</v>
      </c>
      <c r="T330" s="19">
        <f>(ProductionData[[#This Row],[Rejected_Qty]])/ProductionData[[#This Row],[Produced_Qty]]</f>
        <v>1.8181818181818181E-2</v>
      </c>
      <c r="U330" s="19">
        <f>ProductionData[[#This Row],[Produced_Qty]]/ProductionData[[#This Row],[Planned_Qty]]</f>
        <v>1.0196629213483146</v>
      </c>
      <c r="V330" s="2" t="s">
        <v>89</v>
      </c>
      <c r="W330" s="11">
        <v>0</v>
      </c>
      <c r="X330" s="13">
        <f>W330/60</f>
        <v>0</v>
      </c>
      <c r="Y330" s="2" t="s">
        <v>90</v>
      </c>
      <c r="Z330" s="2">
        <v>64</v>
      </c>
      <c r="AA330" s="2">
        <f>ProductionData[[#This Row],[Rejected_Qty]]*ProductionData[[#This Row],[Unit_Cost_INR]]</f>
        <v>4224</v>
      </c>
      <c r="AB330" s="4">
        <v>10500</v>
      </c>
      <c r="AC330" s="4">
        <v>2700</v>
      </c>
      <c r="AD330" s="4">
        <v>2700</v>
      </c>
      <c r="AE330" s="4">
        <v>11364</v>
      </c>
      <c r="AF330" s="4">
        <v>5250</v>
      </c>
    </row>
    <row r="331" spans="1:32">
      <c r="A331" s="2" t="s">
        <v>789</v>
      </c>
      <c r="B331" s="3">
        <v>46171</v>
      </c>
      <c r="C331" s="36" t="s">
        <v>790</v>
      </c>
      <c r="D331" s="2">
        <f>MONTH(ProductionData[[#This Row],[Month]])</f>
        <v>5</v>
      </c>
      <c r="E331" s="2" t="s">
        <v>125</v>
      </c>
      <c r="F331" s="2" t="s">
        <v>80</v>
      </c>
      <c r="G331" s="2" t="s">
        <v>81</v>
      </c>
      <c r="H331" s="2" t="s">
        <v>82</v>
      </c>
      <c r="I331" s="2" t="s">
        <v>83</v>
      </c>
      <c r="J331" s="2" t="s">
        <v>84</v>
      </c>
      <c r="K331" s="2" t="s">
        <v>85</v>
      </c>
      <c r="L331" s="2" t="s">
        <v>791</v>
      </c>
      <c r="M331" s="2" t="s">
        <v>102</v>
      </c>
      <c r="N331" s="2" t="s">
        <v>88</v>
      </c>
      <c r="O331" s="2">
        <v>18</v>
      </c>
      <c r="P331" s="2">
        <v>17</v>
      </c>
      <c r="Q331" s="4">
        <v>10620</v>
      </c>
      <c r="R331" s="4">
        <v>10180</v>
      </c>
      <c r="S331" s="4">
        <v>270</v>
      </c>
      <c r="T331" s="19">
        <f>(ProductionData[[#This Row],[Rejected_Qty]])/ProductionData[[#This Row],[Produced_Qty]]</f>
        <v>2.6522593320235755E-2</v>
      </c>
      <c r="U331" s="19">
        <f>ProductionData[[#This Row],[Produced_Qty]]/ProductionData[[#This Row],[Planned_Qty]]</f>
        <v>0.95856873822975519</v>
      </c>
      <c r="V331" s="2" t="s">
        <v>113</v>
      </c>
      <c r="W331" s="11">
        <v>0</v>
      </c>
      <c r="X331" s="13">
        <f>W331/60</f>
        <v>0</v>
      </c>
      <c r="Y331" s="2" t="s">
        <v>90</v>
      </c>
      <c r="Z331" s="2">
        <v>18</v>
      </c>
      <c r="AA331" s="2">
        <f>ProductionData[[#This Row],[Rejected_Qty]]*ProductionData[[#This Row],[Unit_Cost_INR]]</f>
        <v>4860</v>
      </c>
      <c r="AB331" s="4">
        <v>33428</v>
      </c>
      <c r="AC331" s="4">
        <v>9000</v>
      </c>
      <c r="AD331" s="4">
        <v>9000</v>
      </c>
      <c r="AE331" s="4">
        <v>34338</v>
      </c>
      <c r="AF331" s="4">
        <v>15000</v>
      </c>
    </row>
    <row r="332" spans="1:32">
      <c r="A332" s="2" t="s">
        <v>792</v>
      </c>
      <c r="B332" s="3">
        <v>46167</v>
      </c>
      <c r="C332" s="36" t="s">
        <v>790</v>
      </c>
      <c r="D332" s="2">
        <f>MONTH(ProductionData[[#This Row],[Month]])</f>
        <v>5</v>
      </c>
      <c r="E332" s="2" t="s">
        <v>116</v>
      </c>
      <c r="F332" s="2" t="s">
        <v>66</v>
      </c>
      <c r="G332" s="2" t="s">
        <v>81</v>
      </c>
      <c r="H332" s="2" t="s">
        <v>82</v>
      </c>
      <c r="I332" s="2" t="s">
        <v>83</v>
      </c>
      <c r="J332" s="2" t="s">
        <v>84</v>
      </c>
      <c r="K332" s="2" t="s">
        <v>85</v>
      </c>
      <c r="L332" s="2" t="s">
        <v>793</v>
      </c>
      <c r="M332" s="2" t="s">
        <v>99</v>
      </c>
      <c r="N332" s="2" t="s">
        <v>96</v>
      </c>
      <c r="O332" s="2">
        <v>18</v>
      </c>
      <c r="P332" s="2">
        <v>17</v>
      </c>
      <c r="Q332" s="4">
        <v>10480</v>
      </c>
      <c r="R332" s="4">
        <v>9790</v>
      </c>
      <c r="S332" s="4">
        <v>308</v>
      </c>
      <c r="T332" s="19">
        <f>(ProductionData[[#This Row],[Rejected_Qty]])/ProductionData[[#This Row],[Produced_Qty]]</f>
        <v>3.1460674157303373E-2</v>
      </c>
      <c r="U332" s="19">
        <f>ProductionData[[#This Row],[Produced_Qty]]/ProductionData[[#This Row],[Planned_Qty]]</f>
        <v>0.93416030534351147</v>
      </c>
      <c r="V332" s="2" t="s">
        <v>75</v>
      </c>
      <c r="W332" s="11">
        <v>0</v>
      </c>
      <c r="X332" s="13">
        <f>W332/60</f>
        <v>0</v>
      </c>
      <c r="Y332" s="2" t="s">
        <v>90</v>
      </c>
      <c r="Z332" s="2">
        <v>18</v>
      </c>
      <c r="AA332" s="2">
        <f>ProductionData[[#This Row],[Rejected_Qty]]*ProductionData[[#This Row],[Unit_Cost_INR]]</f>
        <v>5544</v>
      </c>
      <c r="AB332" s="4">
        <v>33386</v>
      </c>
      <c r="AC332" s="4">
        <v>8850</v>
      </c>
      <c r="AD332" s="4">
        <v>8850</v>
      </c>
      <c r="AE332" s="4">
        <v>34018</v>
      </c>
      <c r="AF332" s="4">
        <v>15000</v>
      </c>
    </row>
    <row r="333" spans="1:32">
      <c r="A333" s="2" t="s">
        <v>794</v>
      </c>
      <c r="B333" s="3">
        <v>46163</v>
      </c>
      <c r="C333" s="36" t="s">
        <v>790</v>
      </c>
      <c r="D333" s="2">
        <f>MONTH(ProductionData[[#This Row],[Month]])</f>
        <v>5</v>
      </c>
      <c r="E333" s="2" t="s">
        <v>107</v>
      </c>
      <c r="F333" s="2" t="s">
        <v>93</v>
      </c>
      <c r="G333" s="2" t="s">
        <v>81</v>
      </c>
      <c r="H333" s="2" t="s">
        <v>82</v>
      </c>
      <c r="I333" s="2" t="s">
        <v>83</v>
      </c>
      <c r="J333" s="2" t="s">
        <v>84</v>
      </c>
      <c r="K333" s="2" t="s">
        <v>85</v>
      </c>
      <c r="L333" s="2" t="s">
        <v>795</v>
      </c>
      <c r="M333" s="2" t="s">
        <v>95</v>
      </c>
      <c r="N333" s="2" t="s">
        <v>96</v>
      </c>
      <c r="O333" s="2">
        <v>18</v>
      </c>
      <c r="P333" s="2">
        <v>16</v>
      </c>
      <c r="Q333" s="4">
        <v>9760</v>
      </c>
      <c r="R333" s="4">
        <v>9020</v>
      </c>
      <c r="S333" s="4">
        <v>174</v>
      </c>
      <c r="T333" s="19">
        <f>(ProductionData[[#This Row],[Rejected_Qty]])/ProductionData[[#This Row],[Produced_Qty]]</f>
        <v>1.9290465631929047E-2</v>
      </c>
      <c r="U333" s="19">
        <f>ProductionData[[#This Row],[Produced_Qty]]/ProductionData[[#This Row],[Planned_Qty]]</f>
        <v>0.92418032786885251</v>
      </c>
      <c r="V333" s="2" t="s">
        <v>103</v>
      </c>
      <c r="W333" s="11">
        <v>19</v>
      </c>
      <c r="X333" s="13">
        <f>W333/60</f>
        <v>0.31666666666666665</v>
      </c>
      <c r="Y333" s="2" t="s">
        <v>136</v>
      </c>
      <c r="Z333" s="2">
        <v>18</v>
      </c>
      <c r="AA333" s="2">
        <f>ProductionData[[#This Row],[Rejected_Qty]]*ProductionData[[#This Row],[Unit_Cost_INR]]</f>
        <v>3132</v>
      </c>
      <c r="AB333" s="4">
        <v>33799</v>
      </c>
      <c r="AC333" s="4">
        <v>8700</v>
      </c>
      <c r="AD333" s="4">
        <v>8700</v>
      </c>
      <c r="AE333" s="4">
        <v>33945</v>
      </c>
      <c r="AF333" s="4">
        <v>15000</v>
      </c>
    </row>
    <row r="334" spans="1:32">
      <c r="A334" s="2" t="s">
        <v>796</v>
      </c>
      <c r="B334" s="3">
        <v>46173</v>
      </c>
      <c r="C334" s="36" t="s">
        <v>790</v>
      </c>
      <c r="D334" s="2">
        <f>MONTH(ProductionData[[#This Row],[Month]])</f>
        <v>5</v>
      </c>
      <c r="E334" s="2" t="s">
        <v>186</v>
      </c>
      <c r="F334" s="2" t="s">
        <v>80</v>
      </c>
      <c r="G334" s="2" t="s">
        <v>81</v>
      </c>
      <c r="H334" s="2" t="s">
        <v>82</v>
      </c>
      <c r="I334" s="2" t="s">
        <v>83</v>
      </c>
      <c r="J334" s="2" t="s">
        <v>84</v>
      </c>
      <c r="K334" s="2" t="s">
        <v>85</v>
      </c>
      <c r="L334" s="2" t="s">
        <v>797</v>
      </c>
      <c r="M334" s="2" t="s">
        <v>87</v>
      </c>
      <c r="N334" s="2" t="s">
        <v>88</v>
      </c>
      <c r="O334" s="2">
        <v>18</v>
      </c>
      <c r="P334" s="2">
        <v>16</v>
      </c>
      <c r="Q334" s="4">
        <v>6820</v>
      </c>
      <c r="R334" s="4">
        <v>6480</v>
      </c>
      <c r="S334" s="4">
        <v>240</v>
      </c>
      <c r="T334" s="19">
        <f>(ProductionData[[#This Row],[Rejected_Qty]])/ProductionData[[#This Row],[Produced_Qty]]</f>
        <v>3.7037037037037035E-2</v>
      </c>
      <c r="U334" s="19">
        <f>ProductionData[[#This Row],[Produced_Qty]]/ProductionData[[#This Row],[Planned_Qty]]</f>
        <v>0.95014662756598245</v>
      </c>
      <c r="V334" s="2" t="s">
        <v>89</v>
      </c>
      <c r="W334" s="11">
        <v>60</v>
      </c>
      <c r="X334" s="13">
        <f>W334/60</f>
        <v>1</v>
      </c>
      <c r="Y334" s="2" t="s">
        <v>76</v>
      </c>
      <c r="Z334" s="2">
        <v>18</v>
      </c>
      <c r="AA334" s="2">
        <f>ProductionData[[#This Row],[Rejected_Qty]]*ProductionData[[#This Row],[Unit_Cost_INR]]</f>
        <v>4320</v>
      </c>
      <c r="AB334" s="4">
        <v>34338</v>
      </c>
      <c r="AC334" s="4">
        <v>6670</v>
      </c>
      <c r="AD334" s="4">
        <v>6670</v>
      </c>
      <c r="AE334" s="4">
        <v>33908</v>
      </c>
      <c r="AF334" s="4">
        <v>15000</v>
      </c>
    </row>
    <row r="335" spans="1:32">
      <c r="A335" s="2" t="s">
        <v>798</v>
      </c>
      <c r="B335" s="3">
        <v>46163</v>
      </c>
      <c r="C335" s="36" t="s">
        <v>790</v>
      </c>
      <c r="D335" s="2">
        <f>MONTH(ProductionData[[#This Row],[Month]])</f>
        <v>5</v>
      </c>
      <c r="E335" s="2" t="s">
        <v>107</v>
      </c>
      <c r="F335" s="2" t="s">
        <v>80</v>
      </c>
      <c r="G335" s="2" t="s">
        <v>81</v>
      </c>
      <c r="H335" s="2" t="s">
        <v>82</v>
      </c>
      <c r="I335" s="2" t="s">
        <v>83</v>
      </c>
      <c r="J335" s="2" t="s">
        <v>84</v>
      </c>
      <c r="K335" s="2" t="s">
        <v>85</v>
      </c>
      <c r="L335" s="2" t="s">
        <v>799</v>
      </c>
      <c r="M335" s="2" t="s">
        <v>87</v>
      </c>
      <c r="N335" s="2" t="s">
        <v>96</v>
      </c>
      <c r="O335" s="2">
        <v>18</v>
      </c>
      <c r="P335" s="2">
        <v>18</v>
      </c>
      <c r="Q335" s="4">
        <v>10690</v>
      </c>
      <c r="R335" s="4">
        <v>10180</v>
      </c>
      <c r="S335" s="4">
        <v>199</v>
      </c>
      <c r="T335" s="19">
        <f>(ProductionData[[#This Row],[Rejected_Qty]])/ProductionData[[#This Row],[Produced_Qty]]</f>
        <v>1.9548133595284872E-2</v>
      </c>
      <c r="U335" s="19">
        <f>ProductionData[[#This Row],[Produced_Qty]]/ProductionData[[#This Row],[Planned_Qty]]</f>
        <v>0.95229186155285317</v>
      </c>
      <c r="V335" s="2" t="s">
        <v>109</v>
      </c>
      <c r="W335" s="11">
        <v>0</v>
      </c>
      <c r="X335" s="13">
        <f>W335/60</f>
        <v>0</v>
      </c>
      <c r="Y335" s="2" t="s">
        <v>90</v>
      </c>
      <c r="Z335" s="2">
        <v>18</v>
      </c>
      <c r="AA335" s="2">
        <f>ProductionData[[#This Row],[Rejected_Qty]]*ProductionData[[#This Row],[Unit_Cost_INR]]</f>
        <v>3582</v>
      </c>
      <c r="AB335" s="4">
        <v>32878</v>
      </c>
      <c r="AC335" s="4">
        <v>9060</v>
      </c>
      <c r="AD335" s="4">
        <v>9060</v>
      </c>
      <c r="AE335" s="4">
        <v>33799</v>
      </c>
      <c r="AF335" s="4">
        <v>15000</v>
      </c>
    </row>
    <row r="336" spans="1:32">
      <c r="A336" s="2" t="s">
        <v>800</v>
      </c>
      <c r="B336" s="3">
        <v>46146</v>
      </c>
      <c r="C336" s="36" t="s">
        <v>790</v>
      </c>
      <c r="D336" s="2">
        <f>MONTH(ProductionData[[#This Row],[Month]])</f>
        <v>5</v>
      </c>
      <c r="E336" s="2" t="s">
        <v>116</v>
      </c>
      <c r="F336" s="2" t="s">
        <v>93</v>
      </c>
      <c r="G336" s="2" t="s">
        <v>81</v>
      </c>
      <c r="H336" s="2" t="s">
        <v>82</v>
      </c>
      <c r="I336" s="2" t="s">
        <v>83</v>
      </c>
      <c r="J336" s="2" t="s">
        <v>84</v>
      </c>
      <c r="K336" s="2" t="s">
        <v>85</v>
      </c>
      <c r="L336" s="2" t="s">
        <v>801</v>
      </c>
      <c r="M336" s="2" t="s">
        <v>95</v>
      </c>
      <c r="N336" s="2" t="s">
        <v>96</v>
      </c>
      <c r="O336" s="2">
        <v>18</v>
      </c>
      <c r="P336" s="2">
        <v>17</v>
      </c>
      <c r="Q336" s="4">
        <v>9260</v>
      </c>
      <c r="R336" s="4">
        <v>9030</v>
      </c>
      <c r="S336" s="4">
        <v>246</v>
      </c>
      <c r="T336" s="19">
        <f>(ProductionData[[#This Row],[Rejected_Qty]])/ProductionData[[#This Row],[Produced_Qty]]</f>
        <v>2.7242524916943522E-2</v>
      </c>
      <c r="U336" s="19">
        <f>ProductionData[[#This Row],[Produced_Qty]]/ProductionData[[#This Row],[Planned_Qty]]</f>
        <v>0.97516198704103674</v>
      </c>
      <c r="V336" s="2" t="s">
        <v>113</v>
      </c>
      <c r="W336" s="11">
        <v>0</v>
      </c>
      <c r="X336" s="13">
        <f>W336/60</f>
        <v>0</v>
      </c>
      <c r="Y336" s="2" t="s">
        <v>90</v>
      </c>
      <c r="Z336" s="2">
        <v>18</v>
      </c>
      <c r="AA336" s="2">
        <f>ProductionData[[#This Row],[Rejected_Qty]]*ProductionData[[#This Row],[Unit_Cost_INR]]</f>
        <v>4428</v>
      </c>
      <c r="AB336" s="4">
        <v>32391</v>
      </c>
      <c r="AC336" s="4">
        <v>7400</v>
      </c>
      <c r="AD336" s="4">
        <v>7400</v>
      </c>
      <c r="AE336" s="4">
        <v>33775</v>
      </c>
      <c r="AF336" s="4">
        <v>15000</v>
      </c>
    </row>
    <row r="337" spans="1:32">
      <c r="A337" s="2" t="s">
        <v>802</v>
      </c>
      <c r="B337" s="3">
        <v>46164</v>
      </c>
      <c r="C337" s="36" t="s">
        <v>790</v>
      </c>
      <c r="D337" s="2">
        <f>MONTH(ProductionData[[#This Row],[Month]])</f>
        <v>5</v>
      </c>
      <c r="E337" s="2" t="s">
        <v>125</v>
      </c>
      <c r="F337" s="2" t="s">
        <v>93</v>
      </c>
      <c r="G337" s="2" t="s">
        <v>81</v>
      </c>
      <c r="H337" s="2" t="s">
        <v>82</v>
      </c>
      <c r="I337" s="2" t="s">
        <v>83</v>
      </c>
      <c r="J337" s="2" t="s">
        <v>84</v>
      </c>
      <c r="K337" s="2" t="s">
        <v>85</v>
      </c>
      <c r="L337" s="2" t="s">
        <v>803</v>
      </c>
      <c r="M337" s="2" t="s">
        <v>133</v>
      </c>
      <c r="N337" s="2" t="s">
        <v>88</v>
      </c>
      <c r="O337" s="2">
        <v>18</v>
      </c>
      <c r="P337" s="2">
        <v>17</v>
      </c>
      <c r="Q337" s="4">
        <v>9040</v>
      </c>
      <c r="R337" s="4">
        <v>8410</v>
      </c>
      <c r="S337" s="4">
        <v>198</v>
      </c>
      <c r="T337" s="19">
        <f>(ProductionData[[#This Row],[Rejected_Qty]])/ProductionData[[#This Row],[Produced_Qty]]</f>
        <v>2.3543400713436385E-2</v>
      </c>
      <c r="U337" s="19">
        <f>ProductionData[[#This Row],[Produced_Qty]]/ProductionData[[#This Row],[Planned_Qty]]</f>
        <v>0.93030973451327437</v>
      </c>
      <c r="V337" s="2" t="s">
        <v>113</v>
      </c>
      <c r="W337" s="11">
        <v>0</v>
      </c>
      <c r="X337" s="13">
        <f>W337/60</f>
        <v>0</v>
      </c>
      <c r="Y337" s="2" t="s">
        <v>90</v>
      </c>
      <c r="Z337" s="2">
        <v>18</v>
      </c>
      <c r="AA337" s="2">
        <f>ProductionData[[#This Row],[Rejected_Qty]]*ProductionData[[#This Row],[Unit_Cost_INR]]</f>
        <v>3564</v>
      </c>
      <c r="AB337" s="4">
        <v>33945</v>
      </c>
      <c r="AC337" s="4">
        <v>8400</v>
      </c>
      <c r="AD337" s="4">
        <v>8400</v>
      </c>
      <c r="AE337" s="4">
        <v>33757</v>
      </c>
      <c r="AF337" s="4">
        <v>15000</v>
      </c>
    </row>
    <row r="338" spans="1:32">
      <c r="A338" s="2" t="s">
        <v>804</v>
      </c>
      <c r="B338" s="3">
        <v>46170</v>
      </c>
      <c r="C338" s="36" t="s">
        <v>790</v>
      </c>
      <c r="D338" s="2">
        <f>MONTH(ProductionData[[#This Row],[Month]])</f>
        <v>5</v>
      </c>
      <c r="E338" s="2" t="s">
        <v>107</v>
      </c>
      <c r="F338" s="2" t="s">
        <v>66</v>
      </c>
      <c r="G338" s="2" t="s">
        <v>81</v>
      </c>
      <c r="H338" s="2" t="s">
        <v>82</v>
      </c>
      <c r="I338" s="2" t="s">
        <v>83</v>
      </c>
      <c r="J338" s="2" t="s">
        <v>84</v>
      </c>
      <c r="K338" s="2" t="s">
        <v>85</v>
      </c>
      <c r="L338" s="2" t="s">
        <v>805</v>
      </c>
      <c r="M338" s="2" t="s">
        <v>73</v>
      </c>
      <c r="N338" s="2" t="s">
        <v>88</v>
      </c>
      <c r="O338" s="2">
        <v>18</v>
      </c>
      <c r="P338" s="2">
        <v>17</v>
      </c>
      <c r="Q338" s="4">
        <v>10490</v>
      </c>
      <c r="R338" s="4">
        <v>9450</v>
      </c>
      <c r="S338" s="4">
        <v>308</v>
      </c>
      <c r="T338" s="19">
        <f>(ProductionData[[#This Row],[Rejected_Qty]])/ProductionData[[#This Row],[Produced_Qty]]</f>
        <v>3.259259259259259E-2</v>
      </c>
      <c r="U338" s="19">
        <f>ProductionData[[#This Row],[Produced_Qty]]/ProductionData[[#This Row],[Planned_Qty]]</f>
        <v>0.90085795996186846</v>
      </c>
      <c r="V338" s="2" t="s">
        <v>113</v>
      </c>
      <c r="W338" s="11">
        <v>0</v>
      </c>
      <c r="X338" s="13">
        <f>W338/60</f>
        <v>0</v>
      </c>
      <c r="Y338" s="2" t="s">
        <v>90</v>
      </c>
      <c r="Z338" s="2">
        <v>18</v>
      </c>
      <c r="AA338" s="2">
        <f>ProductionData[[#This Row],[Rejected_Qty]]*ProductionData[[#This Row],[Unit_Cost_INR]]</f>
        <v>5544</v>
      </c>
      <c r="AB338" s="4">
        <v>33006</v>
      </c>
      <c r="AC338" s="4">
        <v>8720</v>
      </c>
      <c r="AD338" s="4">
        <v>8720</v>
      </c>
      <c r="AE338" s="4">
        <v>33428</v>
      </c>
      <c r="AF338" s="4">
        <v>15000</v>
      </c>
    </row>
    <row r="339" spans="1:32">
      <c r="A339" s="2" t="s">
        <v>806</v>
      </c>
      <c r="B339" s="3">
        <v>46166</v>
      </c>
      <c r="C339" s="36" t="s">
        <v>790</v>
      </c>
      <c r="D339" s="2">
        <f>MONTH(ProductionData[[#This Row],[Month]])</f>
        <v>5</v>
      </c>
      <c r="E339" s="2" t="s">
        <v>186</v>
      </c>
      <c r="F339" s="2" t="s">
        <v>66</v>
      </c>
      <c r="G339" s="2" t="s">
        <v>81</v>
      </c>
      <c r="H339" s="2" t="s">
        <v>82</v>
      </c>
      <c r="I339" s="2" t="s">
        <v>83</v>
      </c>
      <c r="J339" s="2" t="s">
        <v>84</v>
      </c>
      <c r="K339" s="2" t="s">
        <v>85</v>
      </c>
      <c r="L339" s="2" t="s">
        <v>807</v>
      </c>
      <c r="M339" s="2" t="s">
        <v>73</v>
      </c>
      <c r="N339" s="2" t="s">
        <v>88</v>
      </c>
      <c r="O339" s="2">
        <v>18</v>
      </c>
      <c r="P339" s="2">
        <v>18</v>
      </c>
      <c r="Q339" s="4">
        <v>7210</v>
      </c>
      <c r="R339" s="4">
        <v>6740</v>
      </c>
      <c r="S339" s="4">
        <v>151</v>
      </c>
      <c r="T339" s="19">
        <f>(ProductionData[[#This Row],[Rejected_Qty]])/ProductionData[[#This Row],[Produced_Qty]]</f>
        <v>2.2403560830860533E-2</v>
      </c>
      <c r="U339" s="19">
        <f>ProductionData[[#This Row],[Produced_Qty]]/ProductionData[[#This Row],[Planned_Qty]]</f>
        <v>0.93481276005547853</v>
      </c>
      <c r="V339" s="2" t="s">
        <v>75</v>
      </c>
      <c r="W339" s="11">
        <v>73</v>
      </c>
      <c r="X339" s="13">
        <f>W339/60</f>
        <v>1.2166666666666666</v>
      </c>
      <c r="Y339" s="2" t="s">
        <v>110</v>
      </c>
      <c r="Z339" s="2">
        <v>18</v>
      </c>
      <c r="AA339" s="2">
        <f>ProductionData[[#This Row],[Rejected_Qty]]*ProductionData[[#This Row],[Unit_Cost_INR]]</f>
        <v>2718</v>
      </c>
      <c r="AB339" s="4">
        <v>33757</v>
      </c>
      <c r="AC339" s="4">
        <v>6960</v>
      </c>
      <c r="AD339" s="4">
        <v>6960</v>
      </c>
      <c r="AE339" s="4">
        <v>33386</v>
      </c>
      <c r="AF339" s="4">
        <v>15000</v>
      </c>
    </row>
    <row r="340" spans="1:32">
      <c r="A340" s="2" t="s">
        <v>808</v>
      </c>
      <c r="B340" s="3">
        <v>46169</v>
      </c>
      <c r="C340" s="36" t="s">
        <v>790</v>
      </c>
      <c r="D340" s="2">
        <f>MONTH(ProductionData[[#This Row],[Month]])</f>
        <v>5</v>
      </c>
      <c r="E340" s="2" t="s">
        <v>79</v>
      </c>
      <c r="F340" s="2" t="s">
        <v>93</v>
      </c>
      <c r="G340" s="2" t="s">
        <v>81</v>
      </c>
      <c r="H340" s="2" t="s">
        <v>82</v>
      </c>
      <c r="I340" s="2" t="s">
        <v>83</v>
      </c>
      <c r="J340" s="2" t="s">
        <v>84</v>
      </c>
      <c r="K340" s="2" t="s">
        <v>85</v>
      </c>
      <c r="L340" s="2" t="s">
        <v>809</v>
      </c>
      <c r="M340" s="2" t="s">
        <v>133</v>
      </c>
      <c r="N340" s="2" t="s">
        <v>96</v>
      </c>
      <c r="O340" s="2">
        <v>18</v>
      </c>
      <c r="P340" s="2">
        <v>14</v>
      </c>
      <c r="Q340" s="4">
        <v>9980</v>
      </c>
      <c r="R340" s="4">
        <v>8700</v>
      </c>
      <c r="S340" s="4">
        <v>162</v>
      </c>
      <c r="T340" s="19">
        <f>(ProductionData[[#This Row],[Rejected_Qty]])/ProductionData[[#This Row],[Produced_Qty]]</f>
        <v>1.8620689655172412E-2</v>
      </c>
      <c r="U340" s="19">
        <f>ProductionData[[#This Row],[Produced_Qty]]/ProductionData[[#This Row],[Planned_Qty]]</f>
        <v>0.87174348697394788</v>
      </c>
      <c r="V340" s="2" t="s">
        <v>113</v>
      </c>
      <c r="W340" s="11">
        <v>0</v>
      </c>
      <c r="X340" s="13">
        <f>W340/60</f>
        <v>0</v>
      </c>
      <c r="Y340" s="2" t="s">
        <v>90</v>
      </c>
      <c r="Z340" s="2">
        <v>18</v>
      </c>
      <c r="AA340" s="2">
        <f>ProductionData[[#This Row],[Rejected_Qty]]*ProductionData[[#This Row],[Unit_Cost_INR]]</f>
        <v>2916</v>
      </c>
      <c r="AB340" s="4">
        <v>34018</v>
      </c>
      <c r="AC340" s="4">
        <v>9550</v>
      </c>
      <c r="AD340" s="4">
        <v>9550</v>
      </c>
      <c r="AE340" s="4">
        <v>33006</v>
      </c>
      <c r="AF340" s="4">
        <v>15000</v>
      </c>
    </row>
    <row r="341" spans="1:32">
      <c r="A341" s="2" t="s">
        <v>810</v>
      </c>
      <c r="B341" s="3">
        <v>46161</v>
      </c>
      <c r="C341" s="36" t="s">
        <v>790</v>
      </c>
      <c r="D341" s="2">
        <f>MONTH(ProductionData[[#This Row],[Month]])</f>
        <v>5</v>
      </c>
      <c r="E341" s="2" t="s">
        <v>92</v>
      </c>
      <c r="F341" s="2" t="s">
        <v>93</v>
      </c>
      <c r="G341" s="2" t="s">
        <v>81</v>
      </c>
      <c r="H341" s="2" t="s">
        <v>82</v>
      </c>
      <c r="I341" s="2" t="s">
        <v>83</v>
      </c>
      <c r="J341" s="2" t="s">
        <v>84</v>
      </c>
      <c r="K341" s="2" t="s">
        <v>85</v>
      </c>
      <c r="L341" s="2" t="s">
        <v>811</v>
      </c>
      <c r="M341" s="2" t="s">
        <v>133</v>
      </c>
      <c r="N341" s="2" t="s">
        <v>96</v>
      </c>
      <c r="O341" s="2">
        <v>18</v>
      </c>
      <c r="P341" s="2">
        <v>15</v>
      </c>
      <c r="Q341" s="4">
        <v>9780</v>
      </c>
      <c r="R341" s="4">
        <v>8900</v>
      </c>
      <c r="S341" s="4">
        <v>313</v>
      </c>
      <c r="T341" s="19">
        <f>(ProductionData[[#This Row],[Rejected_Qty]])/ProductionData[[#This Row],[Produced_Qty]]</f>
        <v>3.5168539325842699E-2</v>
      </c>
      <c r="U341" s="19">
        <f>ProductionData[[#This Row],[Produced_Qty]]/ProductionData[[#This Row],[Planned_Qty]]</f>
        <v>0.91002044989775055</v>
      </c>
      <c r="V341" s="2" t="s">
        <v>109</v>
      </c>
      <c r="W341" s="11">
        <v>54</v>
      </c>
      <c r="X341" s="13">
        <f>W341/60</f>
        <v>0.9</v>
      </c>
      <c r="Y341" s="2" t="s">
        <v>76</v>
      </c>
      <c r="Z341" s="2">
        <v>18</v>
      </c>
      <c r="AA341" s="2">
        <f>ProductionData[[#This Row],[Rejected_Qty]]*ProductionData[[#This Row],[Unit_Cost_INR]]</f>
        <v>5634</v>
      </c>
      <c r="AB341" s="4">
        <v>31691</v>
      </c>
      <c r="AC341" s="4">
        <v>7400</v>
      </c>
      <c r="AD341" s="4">
        <v>7400</v>
      </c>
      <c r="AE341" s="4">
        <v>32878</v>
      </c>
      <c r="AF341" s="4">
        <v>15000</v>
      </c>
    </row>
    <row r="342" spans="1:32">
      <c r="A342" s="2" t="s">
        <v>812</v>
      </c>
      <c r="B342" s="3">
        <v>46144</v>
      </c>
      <c r="C342" s="36" t="s">
        <v>790</v>
      </c>
      <c r="D342" s="2">
        <f>MONTH(ProductionData[[#This Row],[Month]])</f>
        <v>5</v>
      </c>
      <c r="E342" s="2" t="s">
        <v>65</v>
      </c>
      <c r="F342" s="2" t="s">
        <v>66</v>
      </c>
      <c r="G342" s="2" t="s">
        <v>81</v>
      </c>
      <c r="H342" s="2" t="s">
        <v>82</v>
      </c>
      <c r="I342" s="2" t="s">
        <v>83</v>
      </c>
      <c r="J342" s="2" t="s">
        <v>84</v>
      </c>
      <c r="K342" s="2" t="s">
        <v>85</v>
      </c>
      <c r="L342" s="2" t="s">
        <v>813</v>
      </c>
      <c r="M342" s="2" t="s">
        <v>99</v>
      </c>
      <c r="N342" s="2" t="s">
        <v>96</v>
      </c>
      <c r="O342" s="2">
        <v>18</v>
      </c>
      <c r="P342" s="2">
        <v>18</v>
      </c>
      <c r="Q342" s="4">
        <v>10640</v>
      </c>
      <c r="R342" s="4">
        <v>10240</v>
      </c>
      <c r="S342" s="4">
        <v>224</v>
      </c>
      <c r="T342" s="19">
        <f>(ProductionData[[#This Row],[Rejected_Qty]])/ProductionData[[#This Row],[Produced_Qty]]</f>
        <v>2.1874999999999999E-2</v>
      </c>
      <c r="U342" s="19">
        <f>ProductionData[[#This Row],[Produced_Qty]]/ProductionData[[#This Row],[Planned_Qty]]</f>
        <v>0.96240601503759393</v>
      </c>
      <c r="V342" s="2" t="s">
        <v>103</v>
      </c>
      <c r="W342" s="11">
        <v>0</v>
      </c>
      <c r="X342" s="13">
        <f>W342/60</f>
        <v>0</v>
      </c>
      <c r="Y342" s="2" t="s">
        <v>90</v>
      </c>
      <c r="Z342" s="2">
        <v>18</v>
      </c>
      <c r="AA342" s="2">
        <f>ProductionData[[#This Row],[Rejected_Qty]]*ProductionData[[#This Row],[Unit_Cost_INR]]</f>
        <v>4032</v>
      </c>
      <c r="AB342" s="4">
        <v>31530</v>
      </c>
      <c r="AC342" s="4">
        <v>9030</v>
      </c>
      <c r="AD342" s="4">
        <v>9030</v>
      </c>
      <c r="AE342" s="4">
        <v>32516</v>
      </c>
      <c r="AF342" s="4">
        <v>15000</v>
      </c>
    </row>
    <row r="343" spans="1:32">
      <c r="A343" s="2" t="s">
        <v>814</v>
      </c>
      <c r="B343" s="3">
        <v>46146</v>
      </c>
      <c r="C343" s="36" t="s">
        <v>790</v>
      </c>
      <c r="D343" s="2">
        <f>MONTH(ProductionData[[#This Row],[Month]])</f>
        <v>5</v>
      </c>
      <c r="E343" s="2" t="s">
        <v>116</v>
      </c>
      <c r="F343" s="2" t="s">
        <v>66</v>
      </c>
      <c r="G343" s="2" t="s">
        <v>81</v>
      </c>
      <c r="H343" s="2" t="s">
        <v>82</v>
      </c>
      <c r="I343" s="2" t="s">
        <v>83</v>
      </c>
      <c r="J343" s="2" t="s">
        <v>84</v>
      </c>
      <c r="K343" s="2" t="s">
        <v>85</v>
      </c>
      <c r="L343" s="2" t="s">
        <v>815</v>
      </c>
      <c r="M343" s="2" t="s">
        <v>99</v>
      </c>
      <c r="N343" s="2" t="s">
        <v>96</v>
      </c>
      <c r="O343" s="2">
        <v>18</v>
      </c>
      <c r="P343" s="2">
        <v>17</v>
      </c>
      <c r="Q343" s="4">
        <v>10620</v>
      </c>
      <c r="R343" s="4">
        <v>9740</v>
      </c>
      <c r="S343" s="4">
        <v>205</v>
      </c>
      <c r="T343" s="19">
        <f>(ProductionData[[#This Row],[Rejected_Qty]])/ProductionData[[#This Row],[Produced_Qty]]</f>
        <v>2.1047227926078028E-2</v>
      </c>
      <c r="U343" s="19">
        <f>ProductionData[[#This Row],[Produced_Qty]]/ProductionData[[#This Row],[Planned_Qty]]</f>
        <v>0.91713747645951038</v>
      </c>
      <c r="V343" s="2" t="s">
        <v>89</v>
      </c>
      <c r="W343" s="11">
        <v>70</v>
      </c>
      <c r="X343" s="13">
        <f>W343/60</f>
        <v>1.1666666666666667</v>
      </c>
      <c r="Y343" s="2" t="s">
        <v>182</v>
      </c>
      <c r="Z343" s="2">
        <v>18</v>
      </c>
      <c r="AA343" s="2">
        <f>ProductionData[[#This Row],[Rejected_Qty]]*ProductionData[[#This Row],[Unit_Cost_INR]]</f>
        <v>3690</v>
      </c>
      <c r="AB343" s="4">
        <v>32516</v>
      </c>
      <c r="AC343" s="4">
        <v>9660</v>
      </c>
      <c r="AD343" s="4">
        <v>9660</v>
      </c>
      <c r="AE343" s="4">
        <v>32391</v>
      </c>
      <c r="AF343" s="4">
        <v>15000</v>
      </c>
    </row>
    <row r="344" spans="1:32">
      <c r="A344" s="2" t="s">
        <v>816</v>
      </c>
      <c r="B344" s="3">
        <v>46148</v>
      </c>
      <c r="C344" s="36" t="s">
        <v>790</v>
      </c>
      <c r="D344" s="2">
        <f>MONTH(ProductionData[[#This Row],[Month]])</f>
        <v>5</v>
      </c>
      <c r="E344" s="2" t="s">
        <v>79</v>
      </c>
      <c r="F344" s="2" t="s">
        <v>80</v>
      </c>
      <c r="G344" s="2" t="s">
        <v>81</v>
      </c>
      <c r="H344" s="2" t="s">
        <v>82</v>
      </c>
      <c r="I344" s="2" t="s">
        <v>83</v>
      </c>
      <c r="J344" s="2" t="s">
        <v>84</v>
      </c>
      <c r="K344" s="2" t="s">
        <v>85</v>
      </c>
      <c r="L344" s="2" t="s">
        <v>817</v>
      </c>
      <c r="M344" s="2" t="s">
        <v>102</v>
      </c>
      <c r="N344" s="2" t="s">
        <v>88</v>
      </c>
      <c r="O344" s="2">
        <v>18</v>
      </c>
      <c r="P344" s="2">
        <v>16</v>
      </c>
      <c r="Q344" s="4">
        <v>9390</v>
      </c>
      <c r="R344" s="4">
        <v>8670</v>
      </c>
      <c r="S344" s="4">
        <v>287</v>
      </c>
      <c r="T344" s="19">
        <f>(ProductionData[[#This Row],[Rejected_Qty]])/ProductionData[[#This Row],[Produced_Qty]]</f>
        <v>3.3102652825836215E-2</v>
      </c>
      <c r="U344" s="19">
        <f>ProductionData[[#This Row],[Produced_Qty]]/ProductionData[[#This Row],[Planned_Qty]]</f>
        <v>0.92332268370607029</v>
      </c>
      <c r="V344" s="2" t="s">
        <v>89</v>
      </c>
      <c r="W344" s="11">
        <v>0</v>
      </c>
      <c r="X344" s="13">
        <f>W344/60</f>
        <v>0</v>
      </c>
      <c r="Y344" s="2" t="s">
        <v>90</v>
      </c>
      <c r="Z344" s="2">
        <v>18</v>
      </c>
      <c r="AA344" s="2">
        <f>ProductionData[[#This Row],[Rejected_Qty]]*ProductionData[[#This Row],[Unit_Cost_INR]]</f>
        <v>5166</v>
      </c>
      <c r="AB344" s="4">
        <v>33775</v>
      </c>
      <c r="AC344" s="4">
        <v>9840</v>
      </c>
      <c r="AD344" s="4">
        <v>9840</v>
      </c>
      <c r="AE344" s="4">
        <v>32318</v>
      </c>
      <c r="AF344" s="4">
        <v>15000</v>
      </c>
    </row>
    <row r="345" spans="1:32">
      <c r="A345" s="2" t="s">
        <v>818</v>
      </c>
      <c r="B345" s="3">
        <v>46150</v>
      </c>
      <c r="C345" s="36" t="s">
        <v>790</v>
      </c>
      <c r="D345" s="2">
        <f>MONTH(ProductionData[[#This Row],[Month]])</f>
        <v>5</v>
      </c>
      <c r="E345" s="2" t="s">
        <v>125</v>
      </c>
      <c r="F345" s="2" t="s">
        <v>93</v>
      </c>
      <c r="G345" s="2" t="s">
        <v>81</v>
      </c>
      <c r="H345" s="2" t="s">
        <v>82</v>
      </c>
      <c r="I345" s="2" t="s">
        <v>83</v>
      </c>
      <c r="J345" s="2" t="s">
        <v>84</v>
      </c>
      <c r="K345" s="2" t="s">
        <v>85</v>
      </c>
      <c r="L345" s="2" t="s">
        <v>819</v>
      </c>
      <c r="M345" s="2" t="s">
        <v>133</v>
      </c>
      <c r="N345" s="2" t="s">
        <v>96</v>
      </c>
      <c r="O345" s="2">
        <v>18</v>
      </c>
      <c r="P345" s="2">
        <v>16</v>
      </c>
      <c r="Q345" s="4">
        <v>9380</v>
      </c>
      <c r="R345" s="4">
        <v>8670</v>
      </c>
      <c r="S345" s="4">
        <v>265</v>
      </c>
      <c r="T345" s="19">
        <f>(ProductionData[[#This Row],[Rejected_Qty]])/ProductionData[[#This Row],[Produced_Qty]]</f>
        <v>3.0565167243367934E-2</v>
      </c>
      <c r="U345" s="19">
        <f>ProductionData[[#This Row],[Produced_Qty]]/ProductionData[[#This Row],[Planned_Qty]]</f>
        <v>0.92430703624733479</v>
      </c>
      <c r="V345" s="2" t="s">
        <v>103</v>
      </c>
      <c r="W345" s="11">
        <v>0</v>
      </c>
      <c r="X345" s="13">
        <f>W345/60</f>
        <v>0</v>
      </c>
      <c r="Y345" s="2" t="s">
        <v>90</v>
      </c>
      <c r="Z345" s="2">
        <v>18</v>
      </c>
      <c r="AA345" s="2">
        <f>ProductionData[[#This Row],[Rejected_Qty]]*ProductionData[[#This Row],[Unit_Cost_INR]]</f>
        <v>4770</v>
      </c>
      <c r="AB345" s="4">
        <v>31923</v>
      </c>
      <c r="AC345" s="4">
        <v>8250</v>
      </c>
      <c r="AD345" s="4">
        <v>8250</v>
      </c>
      <c r="AE345" s="4">
        <v>32078</v>
      </c>
      <c r="AF345" s="4">
        <v>15000</v>
      </c>
    </row>
    <row r="346" spans="1:32">
      <c r="A346" s="2" t="s">
        <v>820</v>
      </c>
      <c r="B346" s="3">
        <v>46149</v>
      </c>
      <c r="C346" s="36" t="s">
        <v>790</v>
      </c>
      <c r="D346" s="2">
        <f>MONTH(ProductionData[[#This Row],[Month]])</f>
        <v>5</v>
      </c>
      <c r="E346" s="2" t="s">
        <v>107</v>
      </c>
      <c r="F346" s="2" t="s">
        <v>93</v>
      </c>
      <c r="G346" s="2" t="s">
        <v>81</v>
      </c>
      <c r="H346" s="2" t="s">
        <v>82</v>
      </c>
      <c r="I346" s="2" t="s">
        <v>83</v>
      </c>
      <c r="J346" s="2" t="s">
        <v>84</v>
      </c>
      <c r="K346" s="2" t="s">
        <v>85</v>
      </c>
      <c r="L346" s="2" t="s">
        <v>821</v>
      </c>
      <c r="M346" s="2" t="s">
        <v>133</v>
      </c>
      <c r="N346" s="2" t="s">
        <v>88</v>
      </c>
      <c r="O346" s="2">
        <v>18</v>
      </c>
      <c r="P346" s="2">
        <v>17</v>
      </c>
      <c r="Q346" s="4">
        <v>9530</v>
      </c>
      <c r="R346" s="4">
        <v>8870</v>
      </c>
      <c r="S346" s="4">
        <v>208</v>
      </c>
      <c r="T346" s="19">
        <f>(ProductionData[[#This Row],[Rejected_Qty]])/ProductionData[[#This Row],[Produced_Qty]]</f>
        <v>2.3449830890642617E-2</v>
      </c>
      <c r="U346" s="19">
        <f>ProductionData[[#This Row],[Produced_Qty]]/ProductionData[[#This Row],[Planned_Qty]]</f>
        <v>0.9307450157397692</v>
      </c>
      <c r="V346" s="2" t="s">
        <v>103</v>
      </c>
      <c r="W346" s="11">
        <v>69</v>
      </c>
      <c r="X346" s="13">
        <f>W346/60</f>
        <v>1.1499999999999999</v>
      </c>
      <c r="Y346" s="2" t="s">
        <v>136</v>
      </c>
      <c r="Z346" s="2">
        <v>18</v>
      </c>
      <c r="AA346" s="2">
        <f>ProductionData[[#This Row],[Rejected_Qty]]*ProductionData[[#This Row],[Unit_Cost_INR]]</f>
        <v>3744</v>
      </c>
      <c r="AB346" s="4">
        <v>32318</v>
      </c>
      <c r="AC346" s="4">
        <v>8950</v>
      </c>
      <c r="AD346" s="4">
        <v>8950</v>
      </c>
      <c r="AE346" s="4">
        <v>32030</v>
      </c>
      <c r="AF346" s="4">
        <v>15000</v>
      </c>
    </row>
    <row r="347" spans="1:32">
      <c r="A347" s="2" t="s">
        <v>822</v>
      </c>
      <c r="B347" s="3">
        <v>46150</v>
      </c>
      <c r="C347" s="36" t="s">
        <v>790</v>
      </c>
      <c r="D347" s="2">
        <f>MONTH(ProductionData[[#This Row],[Month]])</f>
        <v>5</v>
      </c>
      <c r="E347" s="2" t="s">
        <v>125</v>
      </c>
      <c r="F347" s="2" t="s">
        <v>66</v>
      </c>
      <c r="G347" s="2" t="s">
        <v>81</v>
      </c>
      <c r="H347" s="2" t="s">
        <v>82</v>
      </c>
      <c r="I347" s="2" t="s">
        <v>83</v>
      </c>
      <c r="J347" s="2" t="s">
        <v>84</v>
      </c>
      <c r="K347" s="2" t="s">
        <v>85</v>
      </c>
      <c r="L347" s="2" t="s">
        <v>823</v>
      </c>
      <c r="M347" s="2" t="s">
        <v>99</v>
      </c>
      <c r="N347" s="2" t="s">
        <v>96</v>
      </c>
      <c r="O347" s="2">
        <v>18</v>
      </c>
      <c r="P347" s="2">
        <v>17</v>
      </c>
      <c r="Q347" s="4">
        <v>9910</v>
      </c>
      <c r="R347" s="4">
        <v>9560</v>
      </c>
      <c r="S347" s="4">
        <v>317</v>
      </c>
      <c r="T347" s="19">
        <f>(ProductionData[[#This Row],[Rejected_Qty]])/ProductionData[[#This Row],[Produced_Qty]]</f>
        <v>3.3158995815899581E-2</v>
      </c>
      <c r="U347" s="19">
        <f>ProductionData[[#This Row],[Produced_Qty]]/ProductionData[[#This Row],[Planned_Qty]]</f>
        <v>0.9646821392532795</v>
      </c>
      <c r="V347" s="2" t="s">
        <v>113</v>
      </c>
      <c r="W347" s="11">
        <v>0</v>
      </c>
      <c r="X347" s="13">
        <f>W347/60</f>
        <v>0</v>
      </c>
      <c r="Y347" s="2" t="s">
        <v>90</v>
      </c>
      <c r="Z347" s="2">
        <v>18</v>
      </c>
      <c r="AA347" s="2">
        <f>ProductionData[[#This Row],[Rejected_Qty]]*ProductionData[[#This Row],[Unit_Cost_INR]]</f>
        <v>5706</v>
      </c>
      <c r="AB347" s="4">
        <v>32030</v>
      </c>
      <c r="AC347" s="4">
        <v>9350</v>
      </c>
      <c r="AD347" s="4">
        <v>9350</v>
      </c>
      <c r="AE347" s="4">
        <v>31923</v>
      </c>
      <c r="AF347" s="4">
        <v>15000</v>
      </c>
    </row>
    <row r="348" spans="1:32">
      <c r="A348" s="2" t="s">
        <v>824</v>
      </c>
      <c r="B348" s="3">
        <v>46161</v>
      </c>
      <c r="C348" s="36" t="s">
        <v>790</v>
      </c>
      <c r="D348" s="2">
        <f>MONTH(ProductionData[[#This Row],[Month]])</f>
        <v>5</v>
      </c>
      <c r="E348" s="2" t="s">
        <v>92</v>
      </c>
      <c r="F348" s="2" t="s">
        <v>80</v>
      </c>
      <c r="G348" s="2" t="s">
        <v>81</v>
      </c>
      <c r="H348" s="2" t="s">
        <v>82</v>
      </c>
      <c r="I348" s="2" t="s">
        <v>83</v>
      </c>
      <c r="J348" s="2" t="s">
        <v>84</v>
      </c>
      <c r="K348" s="2" t="s">
        <v>85</v>
      </c>
      <c r="L348" s="2" t="s">
        <v>825</v>
      </c>
      <c r="M348" s="2" t="s">
        <v>87</v>
      </c>
      <c r="N348" s="2" t="s">
        <v>96</v>
      </c>
      <c r="O348" s="2">
        <v>18</v>
      </c>
      <c r="P348" s="2">
        <v>18</v>
      </c>
      <c r="Q348" s="4">
        <v>9350</v>
      </c>
      <c r="R348" s="4">
        <v>9160</v>
      </c>
      <c r="S348" s="4">
        <v>228</v>
      </c>
      <c r="T348" s="19">
        <f>(ProductionData[[#This Row],[Rejected_Qty]])/ProductionData[[#This Row],[Produced_Qty]]</f>
        <v>2.4890829694323144E-2</v>
      </c>
      <c r="U348" s="19">
        <f>ProductionData[[#This Row],[Produced_Qty]]/ProductionData[[#This Row],[Planned_Qty]]</f>
        <v>0.97967914438502679</v>
      </c>
      <c r="V348" s="2" t="s">
        <v>103</v>
      </c>
      <c r="W348" s="11">
        <v>0</v>
      </c>
      <c r="X348" s="13">
        <f>W348/60</f>
        <v>0</v>
      </c>
      <c r="Y348" s="2" t="s">
        <v>90</v>
      </c>
      <c r="Z348" s="2">
        <v>18</v>
      </c>
      <c r="AA348" s="2">
        <f>ProductionData[[#This Row],[Rejected_Qty]]*ProductionData[[#This Row],[Unit_Cost_INR]]</f>
        <v>4104</v>
      </c>
      <c r="AB348" s="4">
        <v>31339</v>
      </c>
      <c r="AC348" s="4">
        <v>8580</v>
      </c>
      <c r="AD348" s="4">
        <v>8580</v>
      </c>
      <c r="AE348" s="4">
        <v>31691</v>
      </c>
      <c r="AF348" s="4">
        <v>15000</v>
      </c>
    </row>
    <row r="349" spans="1:32">
      <c r="A349" s="2" t="s">
        <v>826</v>
      </c>
      <c r="B349" s="3">
        <v>46152</v>
      </c>
      <c r="C349" s="36" t="s">
        <v>790</v>
      </c>
      <c r="D349" s="2">
        <f>MONTH(ProductionData[[#This Row],[Month]])</f>
        <v>5</v>
      </c>
      <c r="E349" s="2" t="s">
        <v>186</v>
      </c>
      <c r="F349" s="2" t="s">
        <v>66</v>
      </c>
      <c r="G349" s="2" t="s">
        <v>81</v>
      </c>
      <c r="H349" s="2" t="s">
        <v>82</v>
      </c>
      <c r="I349" s="2" t="s">
        <v>83</v>
      </c>
      <c r="J349" s="2" t="s">
        <v>84</v>
      </c>
      <c r="K349" s="2" t="s">
        <v>85</v>
      </c>
      <c r="L349" s="2" t="s">
        <v>827</v>
      </c>
      <c r="M349" s="2" t="s">
        <v>73</v>
      </c>
      <c r="N349" s="2" t="s">
        <v>88</v>
      </c>
      <c r="O349" s="2">
        <v>18</v>
      </c>
      <c r="P349" s="2">
        <v>16</v>
      </c>
      <c r="Q349" s="4">
        <v>6870</v>
      </c>
      <c r="R349" s="4">
        <v>6590</v>
      </c>
      <c r="S349" s="4">
        <v>213</v>
      </c>
      <c r="T349" s="19">
        <f>(ProductionData[[#This Row],[Rejected_Qty]])/ProductionData[[#This Row],[Produced_Qty]]</f>
        <v>3.2321699544764798E-2</v>
      </c>
      <c r="U349" s="19">
        <f>ProductionData[[#This Row],[Produced_Qty]]/ProductionData[[#This Row],[Planned_Qty]]</f>
        <v>0.95924308588064044</v>
      </c>
      <c r="V349" s="2" t="s">
        <v>89</v>
      </c>
      <c r="W349" s="11">
        <v>48</v>
      </c>
      <c r="X349" s="13">
        <f>W349/60</f>
        <v>0.8</v>
      </c>
      <c r="Y349" s="2" t="s">
        <v>76</v>
      </c>
      <c r="Z349" s="2">
        <v>18</v>
      </c>
      <c r="AA349" s="2">
        <f>ProductionData[[#This Row],[Rejected_Qty]]*ProductionData[[#This Row],[Unit_Cost_INR]]</f>
        <v>3834</v>
      </c>
      <c r="AB349" s="4">
        <v>31139</v>
      </c>
      <c r="AC349" s="4">
        <v>5960</v>
      </c>
      <c r="AD349" s="4">
        <v>5960</v>
      </c>
      <c r="AE349" s="4">
        <v>31556</v>
      </c>
      <c r="AF349" s="4">
        <v>15000</v>
      </c>
    </row>
    <row r="350" spans="1:32">
      <c r="A350" s="2" t="s">
        <v>828</v>
      </c>
      <c r="B350" s="3">
        <v>46143</v>
      </c>
      <c r="C350" s="36" t="s">
        <v>790</v>
      </c>
      <c r="D350" s="2">
        <f>MONTH(ProductionData[[#This Row],[Month]])</f>
        <v>5</v>
      </c>
      <c r="E350" s="2" t="s">
        <v>125</v>
      </c>
      <c r="F350" s="2" t="s">
        <v>80</v>
      </c>
      <c r="G350" s="2" t="s">
        <v>81</v>
      </c>
      <c r="H350" s="2" t="s">
        <v>82</v>
      </c>
      <c r="I350" s="2" t="s">
        <v>83</v>
      </c>
      <c r="J350" s="2" t="s">
        <v>84</v>
      </c>
      <c r="K350" s="2" t="s">
        <v>85</v>
      </c>
      <c r="L350" s="2" t="s">
        <v>829</v>
      </c>
      <c r="M350" s="2" t="s">
        <v>87</v>
      </c>
      <c r="N350" s="2" t="s">
        <v>88</v>
      </c>
      <c r="O350" s="2">
        <v>18</v>
      </c>
      <c r="P350" s="2">
        <v>17</v>
      </c>
      <c r="Q350" s="4">
        <v>9570</v>
      </c>
      <c r="R350" s="4">
        <v>9140</v>
      </c>
      <c r="S350" s="4">
        <v>257</v>
      </c>
      <c r="T350" s="19">
        <f>(ProductionData[[#This Row],[Rejected_Qty]])/ProductionData[[#This Row],[Produced_Qty]]</f>
        <v>2.8118161925601751E-2</v>
      </c>
      <c r="U350" s="19">
        <f>ProductionData[[#This Row],[Produced_Qty]]/ProductionData[[#This Row],[Planned_Qty]]</f>
        <v>0.95506792058516199</v>
      </c>
      <c r="V350" s="2" t="s">
        <v>103</v>
      </c>
      <c r="W350" s="11">
        <v>33</v>
      </c>
      <c r="X350" s="13">
        <f>W350/60</f>
        <v>0.55000000000000004</v>
      </c>
      <c r="Y350" s="2" t="s">
        <v>76</v>
      </c>
      <c r="Z350" s="2">
        <v>18</v>
      </c>
      <c r="AA350" s="2">
        <f>ProductionData[[#This Row],[Rejected_Qty]]*ProductionData[[#This Row],[Unit_Cost_INR]]</f>
        <v>4626</v>
      </c>
      <c r="AB350" s="4">
        <v>31707</v>
      </c>
      <c r="AC350" s="4">
        <v>9060</v>
      </c>
      <c r="AD350" s="4">
        <v>9060</v>
      </c>
      <c r="AE350" s="4">
        <v>31530</v>
      </c>
      <c r="AF350" s="4">
        <v>15000</v>
      </c>
    </row>
    <row r="351" spans="1:32">
      <c r="A351" s="2" t="s">
        <v>830</v>
      </c>
      <c r="B351" s="3">
        <v>46155</v>
      </c>
      <c r="C351" s="36" t="s">
        <v>790</v>
      </c>
      <c r="D351" s="2">
        <f>MONTH(ProductionData[[#This Row],[Month]])</f>
        <v>5</v>
      </c>
      <c r="E351" s="2" t="s">
        <v>79</v>
      </c>
      <c r="F351" s="2" t="s">
        <v>80</v>
      </c>
      <c r="G351" s="2" t="s">
        <v>81</v>
      </c>
      <c r="H351" s="2" t="s">
        <v>82</v>
      </c>
      <c r="I351" s="2" t="s">
        <v>83</v>
      </c>
      <c r="J351" s="2" t="s">
        <v>84</v>
      </c>
      <c r="K351" s="2" t="s">
        <v>85</v>
      </c>
      <c r="L351" s="2" t="s">
        <v>831</v>
      </c>
      <c r="M351" s="2" t="s">
        <v>102</v>
      </c>
      <c r="N351" s="2" t="s">
        <v>88</v>
      </c>
      <c r="O351" s="2">
        <v>18</v>
      </c>
      <c r="P351" s="2">
        <v>17</v>
      </c>
      <c r="Q351" s="4">
        <v>9930</v>
      </c>
      <c r="R351" s="4">
        <v>9460</v>
      </c>
      <c r="S351" s="4">
        <v>180</v>
      </c>
      <c r="T351" s="19">
        <f>(ProductionData[[#This Row],[Rejected_Qty]])/ProductionData[[#This Row],[Produced_Qty]]</f>
        <v>1.9027484143763214E-2</v>
      </c>
      <c r="U351" s="19">
        <f>ProductionData[[#This Row],[Produced_Qty]]/ProductionData[[#This Row],[Planned_Qty]]</f>
        <v>0.95266868076535749</v>
      </c>
      <c r="V351" s="2" t="s">
        <v>75</v>
      </c>
      <c r="W351" s="11">
        <v>0</v>
      </c>
      <c r="X351" s="13">
        <f>W351/60</f>
        <v>0</v>
      </c>
      <c r="Y351" s="2" t="s">
        <v>90</v>
      </c>
      <c r="Z351" s="2">
        <v>18</v>
      </c>
      <c r="AA351" s="2">
        <f>ProductionData[[#This Row],[Rejected_Qty]]*ProductionData[[#This Row],[Unit_Cost_INR]]</f>
        <v>3240</v>
      </c>
      <c r="AB351" s="4">
        <v>30748</v>
      </c>
      <c r="AC351" s="4">
        <v>8550</v>
      </c>
      <c r="AD351" s="4">
        <v>8550</v>
      </c>
      <c r="AE351" s="4">
        <v>31478</v>
      </c>
      <c r="AF351" s="4">
        <v>15000</v>
      </c>
    </row>
    <row r="352" spans="1:32">
      <c r="A352" s="2" t="s">
        <v>832</v>
      </c>
      <c r="B352" s="3">
        <v>46158</v>
      </c>
      <c r="C352" s="36" t="s">
        <v>790</v>
      </c>
      <c r="D352" s="2">
        <f>MONTH(ProductionData[[#This Row],[Month]])</f>
        <v>5</v>
      </c>
      <c r="E352" s="2" t="s">
        <v>65</v>
      </c>
      <c r="F352" s="2" t="s">
        <v>66</v>
      </c>
      <c r="G352" s="2" t="s">
        <v>81</v>
      </c>
      <c r="H352" s="2" t="s">
        <v>82</v>
      </c>
      <c r="I352" s="2" t="s">
        <v>83</v>
      </c>
      <c r="J352" s="2" t="s">
        <v>84</v>
      </c>
      <c r="K352" s="2" t="s">
        <v>85</v>
      </c>
      <c r="L352" s="2" t="s">
        <v>833</v>
      </c>
      <c r="M352" s="2" t="s">
        <v>73</v>
      </c>
      <c r="N352" s="2" t="s">
        <v>88</v>
      </c>
      <c r="O352" s="2">
        <v>18</v>
      </c>
      <c r="P352" s="2">
        <v>18</v>
      </c>
      <c r="Q352" s="4">
        <v>9740</v>
      </c>
      <c r="R352" s="4">
        <v>9470</v>
      </c>
      <c r="S352" s="4">
        <v>276</v>
      </c>
      <c r="T352" s="19">
        <f>(ProductionData[[#This Row],[Rejected_Qty]])/ProductionData[[#This Row],[Produced_Qty]]</f>
        <v>2.9144667370644139E-2</v>
      </c>
      <c r="U352" s="19">
        <f>ProductionData[[#This Row],[Produced_Qty]]/ProductionData[[#This Row],[Planned_Qty]]</f>
        <v>0.97227926078028748</v>
      </c>
      <c r="V352" s="2" t="s">
        <v>109</v>
      </c>
      <c r="W352" s="11">
        <v>0</v>
      </c>
      <c r="X352" s="13">
        <f>W352/60</f>
        <v>0</v>
      </c>
      <c r="Y352" s="2" t="s">
        <v>90</v>
      </c>
      <c r="Z352" s="2">
        <v>18</v>
      </c>
      <c r="AA352" s="2">
        <f>ProductionData[[#This Row],[Rejected_Qty]]*ProductionData[[#This Row],[Unit_Cost_INR]]</f>
        <v>4968</v>
      </c>
      <c r="AB352" s="4">
        <v>31181</v>
      </c>
      <c r="AC352" s="4">
        <v>8980</v>
      </c>
      <c r="AD352" s="4">
        <v>8980</v>
      </c>
      <c r="AE352" s="4">
        <v>31395</v>
      </c>
      <c r="AF352" s="4">
        <v>15000</v>
      </c>
    </row>
    <row r="353" spans="1:32">
      <c r="A353" s="2" t="s">
        <v>834</v>
      </c>
      <c r="B353" s="3">
        <v>46159</v>
      </c>
      <c r="C353" s="36" t="s">
        <v>790</v>
      </c>
      <c r="D353" s="2">
        <f>MONTH(ProductionData[[#This Row],[Month]])</f>
        <v>5</v>
      </c>
      <c r="E353" s="2" t="s">
        <v>186</v>
      </c>
      <c r="F353" s="2" t="s">
        <v>80</v>
      </c>
      <c r="G353" s="2" t="s">
        <v>81</v>
      </c>
      <c r="H353" s="2" t="s">
        <v>82</v>
      </c>
      <c r="I353" s="2" t="s">
        <v>83</v>
      </c>
      <c r="J353" s="2" t="s">
        <v>84</v>
      </c>
      <c r="K353" s="2" t="s">
        <v>85</v>
      </c>
      <c r="L353" s="2" t="s">
        <v>835</v>
      </c>
      <c r="M353" s="2" t="s">
        <v>87</v>
      </c>
      <c r="N353" s="2" t="s">
        <v>96</v>
      </c>
      <c r="O353" s="2">
        <v>18</v>
      </c>
      <c r="P353" s="2">
        <v>16</v>
      </c>
      <c r="Q353" s="4">
        <v>6820</v>
      </c>
      <c r="R353" s="4">
        <v>6140</v>
      </c>
      <c r="S353" s="4">
        <v>126</v>
      </c>
      <c r="T353" s="19">
        <f>(ProductionData[[#This Row],[Rejected_Qty]])/ProductionData[[#This Row],[Produced_Qty]]</f>
        <v>2.0521172638436481E-2</v>
      </c>
      <c r="U353" s="19">
        <f>ProductionData[[#This Row],[Produced_Qty]]/ProductionData[[#This Row],[Planned_Qty]]</f>
        <v>0.90029325513196479</v>
      </c>
      <c r="V353" s="2" t="s">
        <v>89</v>
      </c>
      <c r="W353" s="11">
        <v>73</v>
      </c>
      <c r="X353" s="13">
        <f>W353/60</f>
        <v>1.2166666666666666</v>
      </c>
      <c r="Y353" s="2" t="s">
        <v>76</v>
      </c>
      <c r="Z353" s="2">
        <v>18</v>
      </c>
      <c r="AA353" s="2">
        <f>ProductionData[[#This Row],[Rejected_Qty]]*ProductionData[[#This Row],[Unit_Cost_INR]]</f>
        <v>2268</v>
      </c>
      <c r="AB353" s="4">
        <v>31395</v>
      </c>
      <c r="AC353" s="4">
        <v>6070</v>
      </c>
      <c r="AD353" s="4">
        <v>6070</v>
      </c>
      <c r="AE353" s="4">
        <v>31339</v>
      </c>
      <c r="AF353" s="4">
        <v>15000</v>
      </c>
    </row>
    <row r="354" spans="1:32">
      <c r="A354" s="2" t="s">
        <v>836</v>
      </c>
      <c r="B354" s="3">
        <v>46153</v>
      </c>
      <c r="C354" s="36" t="s">
        <v>790</v>
      </c>
      <c r="D354" s="2">
        <f>MONTH(ProductionData[[#This Row],[Month]])</f>
        <v>5</v>
      </c>
      <c r="E354" s="2" t="s">
        <v>116</v>
      </c>
      <c r="F354" s="2" t="s">
        <v>80</v>
      </c>
      <c r="G354" s="2" t="s">
        <v>81</v>
      </c>
      <c r="H354" s="2" t="s">
        <v>82</v>
      </c>
      <c r="I354" s="2" t="s">
        <v>83</v>
      </c>
      <c r="J354" s="2" t="s">
        <v>84</v>
      </c>
      <c r="K354" s="2" t="s">
        <v>85</v>
      </c>
      <c r="L354" s="2" t="s">
        <v>837</v>
      </c>
      <c r="M354" s="2" t="s">
        <v>87</v>
      </c>
      <c r="N354" s="2" t="s">
        <v>96</v>
      </c>
      <c r="O354" s="2">
        <v>18</v>
      </c>
      <c r="P354" s="2">
        <v>18</v>
      </c>
      <c r="Q354" s="4">
        <v>9500</v>
      </c>
      <c r="R354" s="4">
        <v>9000</v>
      </c>
      <c r="S354" s="4">
        <v>234</v>
      </c>
      <c r="T354" s="19">
        <f>(ProductionData[[#This Row],[Rejected_Qty]])/ProductionData[[#This Row],[Produced_Qty]]</f>
        <v>2.5999999999999999E-2</v>
      </c>
      <c r="U354" s="19">
        <f>ProductionData[[#This Row],[Produced_Qty]]/ProductionData[[#This Row],[Planned_Qty]]</f>
        <v>0.94736842105263153</v>
      </c>
      <c r="V354" s="2" t="s">
        <v>103</v>
      </c>
      <c r="W354" s="11">
        <v>0</v>
      </c>
      <c r="X354" s="13">
        <f>W354/60</f>
        <v>0</v>
      </c>
      <c r="Y354" s="2" t="s">
        <v>90</v>
      </c>
      <c r="Z354" s="2">
        <v>18</v>
      </c>
      <c r="AA354" s="2">
        <f>ProductionData[[#This Row],[Rejected_Qty]]*ProductionData[[#This Row],[Unit_Cost_INR]]</f>
        <v>4212</v>
      </c>
      <c r="AB354" s="4">
        <v>31556</v>
      </c>
      <c r="AC354" s="4">
        <v>9130</v>
      </c>
      <c r="AD354" s="4">
        <v>9130</v>
      </c>
      <c r="AE354" s="4">
        <v>31192</v>
      </c>
      <c r="AF354" s="4">
        <v>15000</v>
      </c>
    </row>
    <row r="355" spans="1:32">
      <c r="A355" s="2" t="s">
        <v>838</v>
      </c>
      <c r="B355" s="3">
        <v>46157</v>
      </c>
      <c r="C355" s="36" t="s">
        <v>790</v>
      </c>
      <c r="D355" s="2">
        <f>MONTH(ProductionData[[#This Row],[Month]])</f>
        <v>5</v>
      </c>
      <c r="E355" s="2" t="s">
        <v>125</v>
      </c>
      <c r="F355" s="2" t="s">
        <v>80</v>
      </c>
      <c r="G355" s="2" t="s">
        <v>81</v>
      </c>
      <c r="H355" s="2" t="s">
        <v>82</v>
      </c>
      <c r="I355" s="2" t="s">
        <v>83</v>
      </c>
      <c r="J355" s="2" t="s">
        <v>84</v>
      </c>
      <c r="K355" s="2" t="s">
        <v>85</v>
      </c>
      <c r="L355" s="2" t="s">
        <v>839</v>
      </c>
      <c r="M355" s="2" t="s">
        <v>102</v>
      </c>
      <c r="N355" s="2" t="s">
        <v>96</v>
      </c>
      <c r="O355" s="2">
        <v>18</v>
      </c>
      <c r="P355" s="2">
        <v>17</v>
      </c>
      <c r="Q355" s="4">
        <v>10190</v>
      </c>
      <c r="R355" s="4">
        <v>9460</v>
      </c>
      <c r="S355" s="4">
        <v>263</v>
      </c>
      <c r="T355" s="19">
        <f>(ProductionData[[#This Row],[Rejected_Qty]])/ProductionData[[#This Row],[Produced_Qty]]</f>
        <v>2.7801268498942919E-2</v>
      </c>
      <c r="U355" s="19">
        <f>ProductionData[[#This Row],[Produced_Qty]]/ProductionData[[#This Row],[Planned_Qty]]</f>
        <v>0.92836113837095191</v>
      </c>
      <c r="V355" s="2" t="s">
        <v>103</v>
      </c>
      <c r="W355" s="11">
        <v>0</v>
      </c>
      <c r="X355" s="13">
        <f>W355/60</f>
        <v>0</v>
      </c>
      <c r="Y355" s="2" t="s">
        <v>90</v>
      </c>
      <c r="Z355" s="2">
        <v>18</v>
      </c>
      <c r="AA355" s="2">
        <f>ProductionData[[#This Row],[Rejected_Qty]]*ProductionData[[#This Row],[Unit_Cost_INR]]</f>
        <v>4734</v>
      </c>
      <c r="AB355" s="4">
        <v>31144</v>
      </c>
      <c r="AC355" s="4">
        <v>9160</v>
      </c>
      <c r="AD355" s="4">
        <v>9160</v>
      </c>
      <c r="AE355" s="4">
        <v>31181</v>
      </c>
      <c r="AF355" s="4">
        <v>15000</v>
      </c>
    </row>
    <row r="356" spans="1:32">
      <c r="A356" s="2" t="s">
        <v>840</v>
      </c>
      <c r="B356" s="3">
        <v>46156</v>
      </c>
      <c r="C356" s="36" t="s">
        <v>790</v>
      </c>
      <c r="D356" s="2">
        <f>MONTH(ProductionData[[#This Row],[Month]])</f>
        <v>5</v>
      </c>
      <c r="E356" s="2" t="s">
        <v>107</v>
      </c>
      <c r="F356" s="2" t="s">
        <v>66</v>
      </c>
      <c r="G356" s="2" t="s">
        <v>81</v>
      </c>
      <c r="H356" s="2" t="s">
        <v>82</v>
      </c>
      <c r="I356" s="2" t="s">
        <v>83</v>
      </c>
      <c r="J356" s="2" t="s">
        <v>84</v>
      </c>
      <c r="K356" s="2" t="s">
        <v>85</v>
      </c>
      <c r="L356" s="2" t="s">
        <v>841</v>
      </c>
      <c r="M356" s="2" t="s">
        <v>73</v>
      </c>
      <c r="N356" s="2" t="s">
        <v>96</v>
      </c>
      <c r="O356" s="2">
        <v>18</v>
      </c>
      <c r="P356" s="2">
        <v>17</v>
      </c>
      <c r="Q356" s="4">
        <v>10200</v>
      </c>
      <c r="R356" s="4">
        <v>9530</v>
      </c>
      <c r="S356" s="4">
        <v>234</v>
      </c>
      <c r="T356" s="19">
        <f>(ProductionData[[#This Row],[Rejected_Qty]])/ProductionData[[#This Row],[Produced_Qty]]</f>
        <v>2.4554039874081848E-2</v>
      </c>
      <c r="U356" s="19">
        <f>ProductionData[[#This Row],[Produced_Qty]]/ProductionData[[#This Row],[Planned_Qty]]</f>
        <v>0.93431372549019609</v>
      </c>
      <c r="V356" s="2" t="s">
        <v>113</v>
      </c>
      <c r="W356" s="11">
        <v>0</v>
      </c>
      <c r="X356" s="13">
        <f>W356/60</f>
        <v>0</v>
      </c>
      <c r="Y356" s="2" t="s">
        <v>90</v>
      </c>
      <c r="Z356" s="2">
        <v>18</v>
      </c>
      <c r="AA356" s="2">
        <f>ProductionData[[#This Row],[Rejected_Qty]]*ProductionData[[#This Row],[Unit_Cost_INR]]</f>
        <v>4212</v>
      </c>
      <c r="AB356" s="4">
        <v>31478</v>
      </c>
      <c r="AC356" s="4">
        <v>9630</v>
      </c>
      <c r="AD356" s="4">
        <v>9630</v>
      </c>
      <c r="AE356" s="4">
        <v>31144</v>
      </c>
      <c r="AF356" s="4">
        <v>15000</v>
      </c>
    </row>
    <row r="357" spans="1:32">
      <c r="A357" s="2" t="s">
        <v>842</v>
      </c>
      <c r="B357" s="3">
        <v>46151</v>
      </c>
      <c r="C357" s="36" t="s">
        <v>790</v>
      </c>
      <c r="D357" s="2">
        <f>MONTH(ProductionData[[#This Row],[Month]])</f>
        <v>5</v>
      </c>
      <c r="E357" s="2" t="s">
        <v>65</v>
      </c>
      <c r="F357" s="2" t="s">
        <v>93</v>
      </c>
      <c r="G357" s="2" t="s">
        <v>81</v>
      </c>
      <c r="H357" s="2" t="s">
        <v>82</v>
      </c>
      <c r="I357" s="2" t="s">
        <v>83</v>
      </c>
      <c r="J357" s="2" t="s">
        <v>84</v>
      </c>
      <c r="K357" s="2" t="s">
        <v>85</v>
      </c>
      <c r="L357" s="2" t="s">
        <v>843</v>
      </c>
      <c r="M357" s="2" t="s">
        <v>133</v>
      </c>
      <c r="N357" s="2" t="s">
        <v>88</v>
      </c>
      <c r="O357" s="2">
        <v>18</v>
      </c>
      <c r="P357" s="2">
        <v>14</v>
      </c>
      <c r="Q357" s="4">
        <v>10040</v>
      </c>
      <c r="R357" s="4">
        <v>8620</v>
      </c>
      <c r="S357" s="4">
        <v>219</v>
      </c>
      <c r="T357" s="19">
        <f>(ProductionData[[#This Row],[Rejected_Qty]])/ProductionData[[#This Row],[Produced_Qty]]</f>
        <v>2.5406032482598609E-2</v>
      </c>
      <c r="U357" s="19">
        <f>ProductionData[[#This Row],[Produced_Qty]]/ProductionData[[#This Row],[Planned_Qty]]</f>
        <v>0.85856573705179284</v>
      </c>
      <c r="V357" s="2" t="s">
        <v>113</v>
      </c>
      <c r="W357" s="11">
        <v>24</v>
      </c>
      <c r="X357" s="13">
        <f>W357/60</f>
        <v>0.4</v>
      </c>
      <c r="Y357" s="2" t="s">
        <v>182</v>
      </c>
      <c r="Z357" s="2">
        <v>18</v>
      </c>
      <c r="AA357" s="2">
        <f>ProductionData[[#This Row],[Rejected_Qty]]*ProductionData[[#This Row],[Unit_Cost_INR]]</f>
        <v>3942</v>
      </c>
      <c r="AB357" s="4">
        <v>32078</v>
      </c>
      <c r="AC357" s="4">
        <v>9340</v>
      </c>
      <c r="AD357" s="4">
        <v>9340</v>
      </c>
      <c r="AE357" s="4">
        <v>31139</v>
      </c>
      <c r="AF357" s="4">
        <v>15000</v>
      </c>
    </row>
    <row r="358" spans="1:32">
      <c r="A358" s="2" t="s">
        <v>844</v>
      </c>
      <c r="B358" s="3">
        <v>46153</v>
      </c>
      <c r="C358" s="36" t="s">
        <v>790</v>
      </c>
      <c r="D358" s="2">
        <f>MONTH(ProductionData[[#This Row],[Month]])</f>
        <v>5</v>
      </c>
      <c r="E358" s="2" t="s">
        <v>116</v>
      </c>
      <c r="F358" s="2" t="s">
        <v>93</v>
      </c>
      <c r="G358" s="2" t="s">
        <v>81</v>
      </c>
      <c r="H358" s="2" t="s">
        <v>82</v>
      </c>
      <c r="I358" s="2" t="s">
        <v>83</v>
      </c>
      <c r="J358" s="2" t="s">
        <v>84</v>
      </c>
      <c r="K358" s="2" t="s">
        <v>85</v>
      </c>
      <c r="L358" s="2" t="s">
        <v>845</v>
      </c>
      <c r="M358" s="2" t="s">
        <v>133</v>
      </c>
      <c r="N358" s="2" t="s">
        <v>96</v>
      </c>
      <c r="O358" s="2">
        <v>18</v>
      </c>
      <c r="P358" s="2">
        <v>17</v>
      </c>
      <c r="Q358" s="4">
        <v>9390</v>
      </c>
      <c r="R358" s="4">
        <v>8790</v>
      </c>
      <c r="S358" s="4">
        <v>244</v>
      </c>
      <c r="T358" s="19">
        <f>(ProductionData[[#This Row],[Rejected_Qty]])/ProductionData[[#This Row],[Produced_Qty]]</f>
        <v>2.7758816837315133E-2</v>
      </c>
      <c r="U358" s="19">
        <f>ProductionData[[#This Row],[Produced_Qty]]/ProductionData[[#This Row],[Planned_Qty]]</f>
        <v>0.93610223642172519</v>
      </c>
      <c r="V358" s="2" t="s">
        <v>75</v>
      </c>
      <c r="W358" s="11">
        <v>0</v>
      </c>
      <c r="X358" s="13">
        <f>W358/60</f>
        <v>0</v>
      </c>
      <c r="Y358" s="2" t="s">
        <v>90</v>
      </c>
      <c r="Z358" s="2">
        <v>18</v>
      </c>
      <c r="AA358" s="2">
        <f>ProductionData[[#This Row],[Rejected_Qty]]*ProductionData[[#This Row],[Unit_Cost_INR]]</f>
        <v>4392</v>
      </c>
      <c r="AB358" s="4">
        <v>31192</v>
      </c>
      <c r="AC358" s="4">
        <v>8990</v>
      </c>
      <c r="AD358" s="4">
        <v>8990</v>
      </c>
      <c r="AE358" s="4">
        <v>30748</v>
      </c>
      <c r="AF358" s="4">
        <v>15000</v>
      </c>
    </row>
    <row r="359" spans="1:32">
      <c r="A359" s="2" t="s">
        <v>846</v>
      </c>
      <c r="B359" s="3">
        <v>46173</v>
      </c>
      <c r="C359" s="36" t="s">
        <v>790</v>
      </c>
      <c r="D359" s="2">
        <f>MONTH(ProductionData[[#This Row],[Month]])</f>
        <v>5</v>
      </c>
      <c r="E359" s="2" t="s">
        <v>186</v>
      </c>
      <c r="F359" s="2" t="s">
        <v>66</v>
      </c>
      <c r="G359" s="2" t="s">
        <v>81</v>
      </c>
      <c r="H359" s="2" t="s">
        <v>82</v>
      </c>
      <c r="I359" s="2" t="s">
        <v>83</v>
      </c>
      <c r="J359" s="2" t="s">
        <v>166</v>
      </c>
      <c r="K359" s="2" t="s">
        <v>167</v>
      </c>
      <c r="L359" s="2" t="s">
        <v>847</v>
      </c>
      <c r="M359" s="2" t="s">
        <v>99</v>
      </c>
      <c r="N359" s="2" t="s">
        <v>96</v>
      </c>
      <c r="O359" s="2">
        <v>18</v>
      </c>
      <c r="P359" s="2">
        <v>17</v>
      </c>
      <c r="Q359" s="4">
        <v>6340</v>
      </c>
      <c r="R359" s="4">
        <v>6250</v>
      </c>
      <c r="S359" s="4">
        <v>102</v>
      </c>
      <c r="T359" s="19">
        <f>(ProductionData[[#This Row],[Rejected_Qty]])/ProductionData[[#This Row],[Produced_Qty]]</f>
        <v>1.6320000000000001E-2</v>
      </c>
      <c r="U359" s="19">
        <f>ProductionData[[#This Row],[Produced_Qty]]/ProductionData[[#This Row],[Planned_Qty]]</f>
        <v>0.98580441640378547</v>
      </c>
      <c r="V359" s="2" t="s">
        <v>103</v>
      </c>
      <c r="W359" s="11">
        <v>22</v>
      </c>
      <c r="X359" s="13">
        <f>W359/60</f>
        <v>0.36666666666666664</v>
      </c>
      <c r="Y359" s="2" t="s">
        <v>136</v>
      </c>
      <c r="Z359" s="2">
        <v>17</v>
      </c>
      <c r="AA359" s="2">
        <f>ProductionData[[#This Row],[Rejected_Qty]]*ProductionData[[#This Row],[Unit_Cost_INR]]</f>
        <v>1734</v>
      </c>
      <c r="AB359" s="4">
        <v>29192</v>
      </c>
      <c r="AC359" s="4">
        <v>5650</v>
      </c>
      <c r="AD359" s="4">
        <v>5650</v>
      </c>
      <c r="AE359" s="4">
        <v>29690</v>
      </c>
      <c r="AF359" s="4">
        <v>13500</v>
      </c>
    </row>
    <row r="360" spans="1:32">
      <c r="A360" s="2" t="s">
        <v>848</v>
      </c>
      <c r="B360" s="3">
        <v>46167</v>
      </c>
      <c r="C360" s="36" t="s">
        <v>790</v>
      </c>
      <c r="D360" s="2">
        <f>MONTH(ProductionData[[#This Row],[Month]])</f>
        <v>5</v>
      </c>
      <c r="E360" s="2" t="s">
        <v>116</v>
      </c>
      <c r="F360" s="2" t="s">
        <v>80</v>
      </c>
      <c r="G360" s="2" t="s">
        <v>174</v>
      </c>
      <c r="H360" s="2" t="s">
        <v>175</v>
      </c>
      <c r="I360" s="2" t="s">
        <v>176</v>
      </c>
      <c r="J360" s="2" t="s">
        <v>177</v>
      </c>
      <c r="K360" s="2" t="s">
        <v>178</v>
      </c>
      <c r="L360" s="2" t="s">
        <v>849</v>
      </c>
      <c r="M360" s="2" t="s">
        <v>102</v>
      </c>
      <c r="N360" s="2" t="s">
        <v>96</v>
      </c>
      <c r="O360" s="2">
        <v>10</v>
      </c>
      <c r="P360" s="2">
        <v>10</v>
      </c>
      <c r="Q360" s="4">
        <v>8150</v>
      </c>
      <c r="R360" s="4">
        <v>8190</v>
      </c>
      <c r="S360" s="4">
        <v>172</v>
      </c>
      <c r="T360" s="19">
        <f>(ProductionData[[#This Row],[Rejected_Qty]])/ProductionData[[#This Row],[Produced_Qty]]</f>
        <v>2.1001221001221003E-2</v>
      </c>
      <c r="U360" s="19">
        <f>ProductionData[[#This Row],[Produced_Qty]]/ProductionData[[#This Row],[Planned_Qty]]</f>
        <v>1.0049079754601227</v>
      </c>
      <c r="V360" s="2" t="s">
        <v>103</v>
      </c>
      <c r="W360" s="11">
        <v>0</v>
      </c>
      <c r="X360" s="13">
        <f>W360/60</f>
        <v>0</v>
      </c>
      <c r="Y360" s="2" t="s">
        <v>90</v>
      </c>
      <c r="Z360" s="2">
        <v>24</v>
      </c>
      <c r="AA360" s="2">
        <f>ProductionData[[#This Row],[Rejected_Qty]]*ProductionData[[#This Row],[Unit_Cost_INR]]</f>
        <v>4128</v>
      </c>
      <c r="AB360" s="4">
        <v>28492</v>
      </c>
      <c r="AC360" s="4">
        <v>6900</v>
      </c>
      <c r="AD360" s="4">
        <v>6900</v>
      </c>
      <c r="AE360" s="4">
        <v>29610</v>
      </c>
      <c r="AF360" s="4">
        <v>12000</v>
      </c>
    </row>
    <row r="361" spans="1:32">
      <c r="A361" s="2" t="s">
        <v>850</v>
      </c>
      <c r="B361" s="3">
        <v>46154</v>
      </c>
      <c r="C361" s="36" t="s">
        <v>790</v>
      </c>
      <c r="D361" s="2">
        <f>MONTH(ProductionData[[#This Row],[Month]])</f>
        <v>5</v>
      </c>
      <c r="E361" s="2" t="s">
        <v>92</v>
      </c>
      <c r="F361" s="2" t="s">
        <v>66</v>
      </c>
      <c r="G361" s="2" t="s">
        <v>81</v>
      </c>
      <c r="H361" s="2" t="s">
        <v>82</v>
      </c>
      <c r="I361" s="2" t="s">
        <v>83</v>
      </c>
      <c r="J361" s="2" t="s">
        <v>166</v>
      </c>
      <c r="K361" s="2" t="s">
        <v>167</v>
      </c>
      <c r="L361" s="2" t="s">
        <v>851</v>
      </c>
      <c r="M361" s="2" t="s">
        <v>99</v>
      </c>
      <c r="N361" s="2" t="s">
        <v>96</v>
      </c>
      <c r="O361" s="2">
        <v>18</v>
      </c>
      <c r="P361" s="2">
        <v>17</v>
      </c>
      <c r="Q361" s="4">
        <v>8750</v>
      </c>
      <c r="R361" s="4">
        <v>8150</v>
      </c>
      <c r="S361" s="4">
        <v>138</v>
      </c>
      <c r="T361" s="19">
        <f>(ProductionData[[#This Row],[Rejected_Qty]])/ProductionData[[#This Row],[Produced_Qty]]</f>
        <v>1.6932515337423314E-2</v>
      </c>
      <c r="U361" s="19">
        <f>ProductionData[[#This Row],[Produced_Qty]]/ProductionData[[#This Row],[Planned_Qty]]</f>
        <v>0.93142857142857138</v>
      </c>
      <c r="V361" s="2" t="s">
        <v>103</v>
      </c>
      <c r="W361" s="11">
        <v>0</v>
      </c>
      <c r="X361" s="13">
        <f>W361/60</f>
        <v>0</v>
      </c>
      <c r="Y361" s="2" t="s">
        <v>90</v>
      </c>
      <c r="Z361" s="2">
        <v>17</v>
      </c>
      <c r="AA361" s="2">
        <f>ProductionData[[#This Row],[Rejected_Qty]]*ProductionData[[#This Row],[Unit_Cost_INR]]</f>
        <v>2346</v>
      </c>
      <c r="AB361" s="4">
        <v>28440</v>
      </c>
      <c r="AC361" s="4">
        <v>7130</v>
      </c>
      <c r="AD361" s="4">
        <v>7130</v>
      </c>
      <c r="AE361" s="4">
        <v>29322</v>
      </c>
      <c r="AF361" s="4">
        <v>13500</v>
      </c>
    </row>
    <row r="362" spans="1:32">
      <c r="A362" s="2" t="s">
        <v>852</v>
      </c>
      <c r="B362" s="3">
        <v>46172</v>
      </c>
      <c r="C362" s="36" t="s">
        <v>790</v>
      </c>
      <c r="D362" s="2">
        <f>MONTH(ProductionData[[#This Row],[Month]])</f>
        <v>5</v>
      </c>
      <c r="E362" s="2" t="s">
        <v>65</v>
      </c>
      <c r="F362" s="2" t="s">
        <v>66</v>
      </c>
      <c r="G362" s="2" t="s">
        <v>81</v>
      </c>
      <c r="H362" s="2" t="s">
        <v>82</v>
      </c>
      <c r="I362" s="2" t="s">
        <v>83</v>
      </c>
      <c r="J362" s="2" t="s">
        <v>166</v>
      </c>
      <c r="K362" s="2" t="s">
        <v>167</v>
      </c>
      <c r="L362" s="2" t="s">
        <v>853</v>
      </c>
      <c r="M362" s="2" t="s">
        <v>99</v>
      </c>
      <c r="N362" s="2" t="s">
        <v>96</v>
      </c>
      <c r="O362" s="2">
        <v>18</v>
      </c>
      <c r="P362" s="2">
        <v>18</v>
      </c>
      <c r="Q362" s="4">
        <v>8710</v>
      </c>
      <c r="R362" s="4">
        <v>8270</v>
      </c>
      <c r="S362" s="4">
        <v>288</v>
      </c>
      <c r="T362" s="19">
        <f>(ProductionData[[#This Row],[Rejected_Qty]])/ProductionData[[#This Row],[Produced_Qty]]</f>
        <v>3.4824667472793232E-2</v>
      </c>
      <c r="U362" s="19">
        <f>ProductionData[[#This Row],[Produced_Qty]]/ProductionData[[#This Row],[Planned_Qty]]</f>
        <v>0.94948335246842708</v>
      </c>
      <c r="V362" s="2" t="s">
        <v>75</v>
      </c>
      <c r="W362" s="11">
        <v>0</v>
      </c>
      <c r="X362" s="13">
        <f>W362/60</f>
        <v>0</v>
      </c>
      <c r="Y362" s="2" t="s">
        <v>90</v>
      </c>
      <c r="Z362" s="2">
        <v>17</v>
      </c>
      <c r="AA362" s="2">
        <f>ProductionData[[#This Row],[Rejected_Qty]]*ProductionData[[#This Row],[Unit_Cost_INR]]</f>
        <v>4896</v>
      </c>
      <c r="AB362" s="4">
        <v>28910</v>
      </c>
      <c r="AC362" s="4">
        <v>7700</v>
      </c>
      <c r="AD362" s="4">
        <v>7700</v>
      </c>
      <c r="AE362" s="4">
        <v>29192</v>
      </c>
      <c r="AF362" s="4">
        <v>13500</v>
      </c>
    </row>
    <row r="363" spans="1:32">
      <c r="A363" s="2" t="s">
        <v>854</v>
      </c>
      <c r="B363" s="3">
        <v>46154</v>
      </c>
      <c r="C363" s="36" t="s">
        <v>790</v>
      </c>
      <c r="D363" s="2">
        <f>MONTH(ProductionData[[#This Row],[Month]])</f>
        <v>5</v>
      </c>
      <c r="E363" s="2" t="s">
        <v>92</v>
      </c>
      <c r="F363" s="2" t="s">
        <v>80</v>
      </c>
      <c r="G363" s="2" t="s">
        <v>81</v>
      </c>
      <c r="H363" s="2" t="s">
        <v>82</v>
      </c>
      <c r="I363" s="2" t="s">
        <v>83</v>
      </c>
      <c r="J363" s="2" t="s">
        <v>166</v>
      </c>
      <c r="K363" s="2" t="s">
        <v>167</v>
      </c>
      <c r="L363" s="2" t="s">
        <v>855</v>
      </c>
      <c r="M363" s="2" t="s">
        <v>87</v>
      </c>
      <c r="N363" s="2" t="s">
        <v>96</v>
      </c>
      <c r="O363" s="2">
        <v>18</v>
      </c>
      <c r="P363" s="2">
        <v>16</v>
      </c>
      <c r="Q363" s="4">
        <v>9460</v>
      </c>
      <c r="R363" s="4">
        <v>8670</v>
      </c>
      <c r="S363" s="4">
        <v>136</v>
      </c>
      <c r="T363" s="19">
        <f>(ProductionData[[#This Row],[Rejected_Qty]])/ProductionData[[#This Row],[Produced_Qty]]</f>
        <v>1.5686274509803921E-2</v>
      </c>
      <c r="U363" s="19">
        <f>ProductionData[[#This Row],[Produced_Qty]]/ProductionData[[#This Row],[Planned_Qty]]</f>
        <v>0.91649048625792817</v>
      </c>
      <c r="V363" s="2" t="s">
        <v>89</v>
      </c>
      <c r="W363" s="11">
        <v>0</v>
      </c>
      <c r="X363" s="13">
        <f>W363/60</f>
        <v>0</v>
      </c>
      <c r="Y363" s="2" t="s">
        <v>90</v>
      </c>
      <c r="Z363" s="2">
        <v>17</v>
      </c>
      <c r="AA363" s="2">
        <f>ProductionData[[#This Row],[Rejected_Qty]]*ProductionData[[#This Row],[Unit_Cost_INR]]</f>
        <v>2312</v>
      </c>
      <c r="AB363" s="4">
        <v>29322</v>
      </c>
      <c r="AC363" s="4">
        <v>8830</v>
      </c>
      <c r="AD363" s="4">
        <v>8830</v>
      </c>
      <c r="AE363" s="4">
        <v>29026</v>
      </c>
      <c r="AF363" s="4">
        <v>13500</v>
      </c>
    </row>
    <row r="364" spans="1:32">
      <c r="A364" s="2" t="s">
        <v>856</v>
      </c>
      <c r="B364" s="3">
        <v>46171</v>
      </c>
      <c r="C364" s="36" t="s">
        <v>790</v>
      </c>
      <c r="D364" s="2">
        <f>MONTH(ProductionData[[#This Row],[Month]])</f>
        <v>5</v>
      </c>
      <c r="E364" s="2" t="s">
        <v>125</v>
      </c>
      <c r="F364" s="2" t="s">
        <v>66</v>
      </c>
      <c r="G364" s="2" t="s">
        <v>81</v>
      </c>
      <c r="H364" s="2" t="s">
        <v>82</v>
      </c>
      <c r="I364" s="2" t="s">
        <v>83</v>
      </c>
      <c r="J364" s="2" t="s">
        <v>166</v>
      </c>
      <c r="K364" s="2" t="s">
        <v>167</v>
      </c>
      <c r="L364" s="2" t="s">
        <v>857</v>
      </c>
      <c r="M364" s="2" t="s">
        <v>99</v>
      </c>
      <c r="N364" s="2" t="s">
        <v>96</v>
      </c>
      <c r="O364" s="2">
        <v>18</v>
      </c>
      <c r="P364" s="2">
        <v>17</v>
      </c>
      <c r="Q364" s="4">
        <v>9270</v>
      </c>
      <c r="R364" s="4">
        <v>8410</v>
      </c>
      <c r="S364" s="4">
        <v>62</v>
      </c>
      <c r="T364" s="19">
        <f>(ProductionData[[#This Row],[Rejected_Qty]])/ProductionData[[#This Row],[Produced_Qty]]</f>
        <v>7.3721759809750294E-3</v>
      </c>
      <c r="U364" s="19">
        <f>ProductionData[[#This Row],[Produced_Qty]]/ProductionData[[#This Row],[Planned_Qty]]</f>
        <v>0.90722761596548007</v>
      </c>
      <c r="V364" s="2" t="s">
        <v>109</v>
      </c>
      <c r="W364" s="11">
        <v>0</v>
      </c>
      <c r="X364" s="13">
        <f>W364/60</f>
        <v>0</v>
      </c>
      <c r="Y364" s="2" t="s">
        <v>90</v>
      </c>
      <c r="Z364" s="2">
        <v>17</v>
      </c>
      <c r="AA364" s="2">
        <f>ProductionData[[#This Row],[Rejected_Qty]]*ProductionData[[#This Row],[Unit_Cost_INR]]</f>
        <v>1054</v>
      </c>
      <c r="AB364" s="4">
        <v>28762</v>
      </c>
      <c r="AC364" s="4">
        <v>8200</v>
      </c>
      <c r="AD364" s="4">
        <v>8200</v>
      </c>
      <c r="AE364" s="4">
        <v>28910</v>
      </c>
      <c r="AF364" s="4">
        <v>13500</v>
      </c>
    </row>
    <row r="365" spans="1:32">
      <c r="A365" s="2" t="s">
        <v>858</v>
      </c>
      <c r="B365" s="3">
        <v>46169</v>
      </c>
      <c r="C365" s="36" t="s">
        <v>790</v>
      </c>
      <c r="D365" s="2">
        <f>MONTH(ProductionData[[#This Row],[Month]])</f>
        <v>5</v>
      </c>
      <c r="E365" s="2" t="s">
        <v>79</v>
      </c>
      <c r="F365" s="2" t="s">
        <v>80</v>
      </c>
      <c r="G365" s="2" t="s">
        <v>174</v>
      </c>
      <c r="H365" s="2" t="s">
        <v>175</v>
      </c>
      <c r="I365" s="2" t="s">
        <v>176</v>
      </c>
      <c r="J365" s="2" t="s">
        <v>177</v>
      </c>
      <c r="K365" s="2" t="s">
        <v>178</v>
      </c>
      <c r="L365" s="2" t="s">
        <v>859</v>
      </c>
      <c r="M365" s="2" t="s">
        <v>87</v>
      </c>
      <c r="N365" s="2" t="s">
        <v>88</v>
      </c>
      <c r="O365" s="2">
        <v>10</v>
      </c>
      <c r="P365" s="2">
        <v>9</v>
      </c>
      <c r="Q365" s="4">
        <v>8500</v>
      </c>
      <c r="R365" s="4">
        <v>7500</v>
      </c>
      <c r="S365" s="4">
        <v>208</v>
      </c>
      <c r="T365" s="19">
        <f>(ProductionData[[#This Row],[Rejected_Qty]])/ProductionData[[#This Row],[Produced_Qty]]</f>
        <v>2.7733333333333332E-2</v>
      </c>
      <c r="U365" s="19">
        <f>ProductionData[[#This Row],[Produced_Qty]]/ProductionData[[#This Row],[Planned_Qty]]</f>
        <v>0.88235294117647056</v>
      </c>
      <c r="V365" s="2" t="s">
        <v>75</v>
      </c>
      <c r="W365" s="11">
        <v>0</v>
      </c>
      <c r="X365" s="13">
        <f>W365/60</f>
        <v>0</v>
      </c>
      <c r="Y365" s="2" t="s">
        <v>90</v>
      </c>
      <c r="Z365" s="2">
        <v>24</v>
      </c>
      <c r="AA365" s="2">
        <f>ProductionData[[#This Row],[Rejected_Qty]]*ProductionData[[#This Row],[Unit_Cost_INR]]</f>
        <v>4992</v>
      </c>
      <c r="AB365" s="4">
        <v>29610</v>
      </c>
      <c r="AC365" s="4">
        <v>8000</v>
      </c>
      <c r="AD365" s="4">
        <v>8000</v>
      </c>
      <c r="AE365" s="4">
        <v>28902</v>
      </c>
      <c r="AF365" s="4">
        <v>12000</v>
      </c>
    </row>
    <row r="366" spans="1:32">
      <c r="A366" s="2" t="s">
        <v>860</v>
      </c>
      <c r="B366" s="3">
        <v>46156</v>
      </c>
      <c r="C366" s="36" t="s">
        <v>790</v>
      </c>
      <c r="D366" s="2">
        <f>MONTH(ProductionData[[#This Row],[Month]])</f>
        <v>5</v>
      </c>
      <c r="E366" s="2" t="s">
        <v>107</v>
      </c>
      <c r="F366" s="2" t="s">
        <v>80</v>
      </c>
      <c r="G366" s="2" t="s">
        <v>81</v>
      </c>
      <c r="H366" s="2" t="s">
        <v>82</v>
      </c>
      <c r="I366" s="2" t="s">
        <v>83</v>
      </c>
      <c r="J366" s="2" t="s">
        <v>166</v>
      </c>
      <c r="K366" s="2" t="s">
        <v>167</v>
      </c>
      <c r="L366" s="2" t="s">
        <v>861</v>
      </c>
      <c r="M366" s="2" t="s">
        <v>102</v>
      </c>
      <c r="N366" s="2" t="s">
        <v>96</v>
      </c>
      <c r="O366" s="2">
        <v>18</v>
      </c>
      <c r="P366" s="2">
        <v>18</v>
      </c>
      <c r="Q366" s="4">
        <v>8840</v>
      </c>
      <c r="R366" s="4">
        <v>8590</v>
      </c>
      <c r="S366" s="4">
        <v>190</v>
      </c>
      <c r="T366" s="19">
        <f>(ProductionData[[#This Row],[Rejected_Qty]])/ProductionData[[#This Row],[Produced_Qty]]</f>
        <v>2.2118742724097789E-2</v>
      </c>
      <c r="U366" s="19">
        <f>ProductionData[[#This Row],[Produced_Qty]]/ProductionData[[#This Row],[Planned_Qty]]</f>
        <v>0.97171945701357465</v>
      </c>
      <c r="V366" s="2" t="s">
        <v>109</v>
      </c>
      <c r="W366" s="11">
        <v>40</v>
      </c>
      <c r="X366" s="13">
        <f>W366/60</f>
        <v>0.66666666666666663</v>
      </c>
      <c r="Y366" s="2" t="s">
        <v>182</v>
      </c>
      <c r="Z366" s="2">
        <v>17</v>
      </c>
      <c r="AA366" s="2">
        <f>ProductionData[[#This Row],[Rejected_Qty]]*ProductionData[[#This Row],[Unit_Cost_INR]]</f>
        <v>3230</v>
      </c>
      <c r="AB366" s="4">
        <v>28493</v>
      </c>
      <c r="AC366" s="4">
        <v>8000</v>
      </c>
      <c r="AD366" s="4">
        <v>8000</v>
      </c>
      <c r="AE366" s="4">
        <v>28893</v>
      </c>
      <c r="AF366" s="4">
        <v>13500</v>
      </c>
    </row>
    <row r="367" spans="1:32">
      <c r="A367" s="2" t="s">
        <v>862</v>
      </c>
      <c r="B367" s="3">
        <v>46159</v>
      </c>
      <c r="C367" s="36" t="s">
        <v>790</v>
      </c>
      <c r="D367" s="2">
        <f>MONTH(ProductionData[[#This Row],[Month]])</f>
        <v>5</v>
      </c>
      <c r="E367" s="2" t="s">
        <v>186</v>
      </c>
      <c r="F367" s="2" t="s">
        <v>66</v>
      </c>
      <c r="G367" s="2" t="s">
        <v>195</v>
      </c>
      <c r="H367" s="2" t="s">
        <v>196</v>
      </c>
      <c r="I367" s="2" t="s">
        <v>197</v>
      </c>
      <c r="J367" s="2" t="s">
        <v>198</v>
      </c>
      <c r="K367" s="2" t="s">
        <v>199</v>
      </c>
      <c r="L367" s="2" t="s">
        <v>863</v>
      </c>
      <c r="M367" s="2" t="s">
        <v>99</v>
      </c>
      <c r="N367" s="2" t="s">
        <v>88</v>
      </c>
      <c r="O367" s="2">
        <v>14</v>
      </c>
      <c r="P367" s="2">
        <v>13</v>
      </c>
      <c r="Q367" s="4">
        <v>6120</v>
      </c>
      <c r="R367" s="4">
        <v>5590</v>
      </c>
      <c r="S367" s="4">
        <v>184</v>
      </c>
      <c r="T367" s="19">
        <f>(ProductionData[[#This Row],[Rejected_Qty]])/ProductionData[[#This Row],[Produced_Qty]]</f>
        <v>3.2915921288014315E-2</v>
      </c>
      <c r="U367" s="19">
        <f>ProductionData[[#This Row],[Produced_Qty]]/ProductionData[[#This Row],[Planned_Qty]]</f>
        <v>0.91339869281045749</v>
      </c>
      <c r="V367" s="2" t="s">
        <v>109</v>
      </c>
      <c r="W367" s="11">
        <v>0</v>
      </c>
      <c r="X367" s="13">
        <f>W367/60</f>
        <v>0</v>
      </c>
      <c r="Y367" s="2" t="s">
        <v>90</v>
      </c>
      <c r="Z367" s="2">
        <v>38</v>
      </c>
      <c r="AA367" s="2">
        <f>ProductionData[[#This Row],[Rejected_Qty]]*ProductionData[[#This Row],[Unit_Cost_INR]]</f>
        <v>6992</v>
      </c>
      <c r="AB367" s="4">
        <v>28337</v>
      </c>
      <c r="AC367" s="4">
        <v>4950</v>
      </c>
      <c r="AD367" s="4">
        <v>4950</v>
      </c>
      <c r="AE367" s="4">
        <v>28793</v>
      </c>
      <c r="AF367" s="4">
        <v>13500</v>
      </c>
    </row>
    <row r="368" spans="1:32">
      <c r="A368" s="2" t="s">
        <v>864</v>
      </c>
      <c r="B368" s="3">
        <v>46169</v>
      </c>
      <c r="C368" s="36" t="s">
        <v>790</v>
      </c>
      <c r="D368" s="2">
        <f>MONTH(ProductionData[[#This Row],[Month]])</f>
        <v>5</v>
      </c>
      <c r="E368" s="2" t="s">
        <v>79</v>
      </c>
      <c r="F368" s="2" t="s">
        <v>66</v>
      </c>
      <c r="G368" s="2" t="s">
        <v>81</v>
      </c>
      <c r="H368" s="2" t="s">
        <v>82</v>
      </c>
      <c r="I368" s="2" t="s">
        <v>83</v>
      </c>
      <c r="J368" s="2" t="s">
        <v>166</v>
      </c>
      <c r="K368" s="2" t="s">
        <v>167</v>
      </c>
      <c r="L368" s="2" t="s">
        <v>865</v>
      </c>
      <c r="M368" s="2" t="s">
        <v>99</v>
      </c>
      <c r="N368" s="2" t="s">
        <v>96</v>
      </c>
      <c r="O368" s="2">
        <v>18</v>
      </c>
      <c r="P368" s="2">
        <v>17</v>
      </c>
      <c r="Q368" s="4">
        <v>9500</v>
      </c>
      <c r="R368" s="4">
        <v>9620</v>
      </c>
      <c r="S368" s="4">
        <v>254</v>
      </c>
      <c r="T368" s="19">
        <f>(ProductionData[[#This Row],[Rejected_Qty]])/ProductionData[[#This Row],[Produced_Qty]]</f>
        <v>2.6403326403326405E-2</v>
      </c>
      <c r="U368" s="19">
        <f>ProductionData[[#This Row],[Produced_Qty]]/ProductionData[[#This Row],[Planned_Qty]]</f>
        <v>1.0126315789473683</v>
      </c>
      <c r="V368" s="2" t="s">
        <v>75</v>
      </c>
      <c r="W368" s="11">
        <v>58</v>
      </c>
      <c r="X368" s="13">
        <f>W368/60</f>
        <v>0.96666666666666667</v>
      </c>
      <c r="Y368" s="2" t="s">
        <v>110</v>
      </c>
      <c r="Z368" s="2">
        <v>17</v>
      </c>
      <c r="AA368" s="2">
        <f>ProductionData[[#This Row],[Rejected_Qty]]*ProductionData[[#This Row],[Unit_Cost_INR]]</f>
        <v>4318</v>
      </c>
      <c r="AB368" s="4">
        <v>27346</v>
      </c>
      <c r="AC368" s="4">
        <v>7950</v>
      </c>
      <c r="AD368" s="4">
        <v>7950</v>
      </c>
      <c r="AE368" s="4">
        <v>28762</v>
      </c>
      <c r="AF368" s="4">
        <v>13500</v>
      </c>
    </row>
    <row r="369" spans="1:32">
      <c r="A369" s="2" t="s">
        <v>866</v>
      </c>
      <c r="B369" s="3">
        <v>46172</v>
      </c>
      <c r="C369" s="36" t="s">
        <v>790</v>
      </c>
      <c r="D369" s="2">
        <f>MONTH(ProductionData[[#This Row],[Month]])</f>
        <v>5</v>
      </c>
      <c r="E369" s="2" t="s">
        <v>65</v>
      </c>
      <c r="F369" s="2" t="s">
        <v>80</v>
      </c>
      <c r="G369" s="2" t="s">
        <v>67</v>
      </c>
      <c r="H369" s="2" t="s">
        <v>68</v>
      </c>
      <c r="I369" s="2" t="s">
        <v>69</v>
      </c>
      <c r="J369" s="2" t="s">
        <v>70</v>
      </c>
      <c r="K369" s="2" t="s">
        <v>71</v>
      </c>
      <c r="L369" s="2" t="s">
        <v>867</v>
      </c>
      <c r="M369" s="2" t="s">
        <v>102</v>
      </c>
      <c r="N369" s="2" t="s">
        <v>88</v>
      </c>
      <c r="O369" s="2">
        <v>16</v>
      </c>
      <c r="P369" s="2">
        <v>16</v>
      </c>
      <c r="Q369" s="4">
        <v>7230</v>
      </c>
      <c r="R369" s="4">
        <v>7090</v>
      </c>
      <c r="S369" s="4">
        <v>161</v>
      </c>
      <c r="T369" s="19">
        <f>(ProductionData[[#This Row],[Rejected_Qty]])/ProductionData[[#This Row],[Produced_Qty]]</f>
        <v>2.2708039492242597E-2</v>
      </c>
      <c r="U369" s="19">
        <f>ProductionData[[#This Row],[Produced_Qty]]/ProductionData[[#This Row],[Planned_Qty]]</f>
        <v>0.98063623789764864</v>
      </c>
      <c r="V369" s="2" t="s">
        <v>103</v>
      </c>
      <c r="W369" s="11">
        <v>0</v>
      </c>
      <c r="X369" s="13">
        <f>W369/60</f>
        <v>0</v>
      </c>
      <c r="Y369" s="2" t="s">
        <v>90</v>
      </c>
      <c r="Z369" s="2">
        <v>46</v>
      </c>
      <c r="AA369" s="2">
        <f>ProductionData[[#This Row],[Rejected_Qty]]*ProductionData[[#This Row],[Unit_Cost_INR]]</f>
        <v>7406</v>
      </c>
      <c r="AB369" s="4">
        <v>27830</v>
      </c>
      <c r="AC369" s="4">
        <v>6230</v>
      </c>
      <c r="AD369" s="4">
        <v>6230</v>
      </c>
      <c r="AE369" s="4">
        <v>28529</v>
      </c>
      <c r="AF369" s="4">
        <v>10500</v>
      </c>
    </row>
    <row r="370" spans="1:32">
      <c r="A370" s="2" t="s">
        <v>868</v>
      </c>
      <c r="B370" s="3">
        <v>46155</v>
      </c>
      <c r="C370" s="36" t="s">
        <v>790</v>
      </c>
      <c r="D370" s="2">
        <f>MONTH(ProductionData[[#This Row],[Month]])</f>
        <v>5</v>
      </c>
      <c r="E370" s="2" t="s">
        <v>79</v>
      </c>
      <c r="F370" s="2" t="s">
        <v>93</v>
      </c>
      <c r="G370" s="2" t="s">
        <v>81</v>
      </c>
      <c r="H370" s="2" t="s">
        <v>82</v>
      </c>
      <c r="I370" s="2" t="s">
        <v>83</v>
      </c>
      <c r="J370" s="2" t="s">
        <v>166</v>
      </c>
      <c r="K370" s="2" t="s">
        <v>167</v>
      </c>
      <c r="L370" s="2" t="s">
        <v>869</v>
      </c>
      <c r="M370" s="2" t="s">
        <v>95</v>
      </c>
      <c r="N370" s="2" t="s">
        <v>88</v>
      </c>
      <c r="O370" s="2">
        <v>18</v>
      </c>
      <c r="P370" s="2">
        <v>16</v>
      </c>
      <c r="Q370" s="4">
        <v>9190</v>
      </c>
      <c r="R370" s="4">
        <v>8030</v>
      </c>
      <c r="S370" s="4">
        <v>303</v>
      </c>
      <c r="T370" s="19">
        <f>(ProductionData[[#This Row],[Rejected_Qty]])/ProductionData[[#This Row],[Produced_Qty]]</f>
        <v>3.7733499377334993E-2</v>
      </c>
      <c r="U370" s="19">
        <f>ProductionData[[#This Row],[Produced_Qty]]/ProductionData[[#This Row],[Planned_Qty]]</f>
        <v>0.87377584330794345</v>
      </c>
      <c r="V370" s="2" t="s">
        <v>113</v>
      </c>
      <c r="W370" s="11">
        <v>0</v>
      </c>
      <c r="X370" s="13">
        <f>W370/60</f>
        <v>0</v>
      </c>
      <c r="Y370" s="2" t="s">
        <v>90</v>
      </c>
      <c r="Z370" s="2">
        <v>17</v>
      </c>
      <c r="AA370" s="2">
        <f>ProductionData[[#This Row],[Rejected_Qty]]*ProductionData[[#This Row],[Unit_Cost_INR]]</f>
        <v>5151</v>
      </c>
      <c r="AB370" s="4">
        <v>29026</v>
      </c>
      <c r="AC370" s="4">
        <v>8260</v>
      </c>
      <c r="AD370" s="4">
        <v>8260</v>
      </c>
      <c r="AE370" s="4">
        <v>28493</v>
      </c>
      <c r="AF370" s="4">
        <v>13500</v>
      </c>
    </row>
    <row r="371" spans="1:32">
      <c r="A371" s="2" t="s">
        <v>870</v>
      </c>
      <c r="B371" s="3">
        <v>46165</v>
      </c>
      <c r="C371" s="36" t="s">
        <v>790</v>
      </c>
      <c r="D371" s="2">
        <f>MONTH(ProductionData[[#This Row],[Month]])</f>
        <v>5</v>
      </c>
      <c r="E371" s="2" t="s">
        <v>65</v>
      </c>
      <c r="F371" s="2" t="s">
        <v>80</v>
      </c>
      <c r="G371" s="2" t="s">
        <v>174</v>
      </c>
      <c r="H371" s="2" t="s">
        <v>175</v>
      </c>
      <c r="I371" s="2" t="s">
        <v>176</v>
      </c>
      <c r="J371" s="2" t="s">
        <v>177</v>
      </c>
      <c r="K371" s="2" t="s">
        <v>178</v>
      </c>
      <c r="L371" s="2" t="s">
        <v>871</v>
      </c>
      <c r="M371" s="2" t="s">
        <v>102</v>
      </c>
      <c r="N371" s="2" t="s">
        <v>88</v>
      </c>
      <c r="O371" s="2">
        <v>10</v>
      </c>
      <c r="P371" s="2">
        <v>10</v>
      </c>
      <c r="Q371" s="4">
        <v>7480</v>
      </c>
      <c r="R371" s="4">
        <v>7120</v>
      </c>
      <c r="S371" s="4">
        <v>178</v>
      </c>
      <c r="T371" s="19">
        <f>(ProductionData[[#This Row],[Rejected_Qty]])/ProductionData[[#This Row],[Produced_Qty]]</f>
        <v>2.5000000000000001E-2</v>
      </c>
      <c r="U371" s="19">
        <f>ProductionData[[#This Row],[Produced_Qty]]/ProductionData[[#This Row],[Planned_Qty]]</f>
        <v>0.95187165775401072</v>
      </c>
      <c r="V371" s="2" t="s">
        <v>113</v>
      </c>
      <c r="W371" s="11">
        <v>0</v>
      </c>
      <c r="X371" s="13">
        <f>W371/60</f>
        <v>0</v>
      </c>
      <c r="Y371" s="2" t="s">
        <v>90</v>
      </c>
      <c r="Z371" s="2">
        <v>24</v>
      </c>
      <c r="AA371" s="2">
        <f>ProductionData[[#This Row],[Rejected_Qty]]*ProductionData[[#This Row],[Unit_Cost_INR]]</f>
        <v>4272</v>
      </c>
      <c r="AB371" s="4">
        <v>28430</v>
      </c>
      <c r="AC371" s="4">
        <v>6880</v>
      </c>
      <c r="AD371" s="4">
        <v>6880</v>
      </c>
      <c r="AE371" s="4">
        <v>28492</v>
      </c>
      <c r="AF371" s="4">
        <v>12000</v>
      </c>
    </row>
    <row r="372" spans="1:32">
      <c r="A372" s="2" t="s">
        <v>872</v>
      </c>
      <c r="B372" s="3">
        <v>46162</v>
      </c>
      <c r="C372" s="36" t="s">
        <v>790</v>
      </c>
      <c r="D372" s="2">
        <f>MONTH(ProductionData[[#This Row],[Month]])</f>
        <v>5</v>
      </c>
      <c r="E372" s="2" t="s">
        <v>79</v>
      </c>
      <c r="F372" s="2" t="s">
        <v>66</v>
      </c>
      <c r="G372" s="2" t="s">
        <v>174</v>
      </c>
      <c r="H372" s="2" t="s">
        <v>175</v>
      </c>
      <c r="I372" s="2" t="s">
        <v>176</v>
      </c>
      <c r="J372" s="2" t="s">
        <v>177</v>
      </c>
      <c r="K372" s="2" t="s">
        <v>178</v>
      </c>
      <c r="L372" s="2" t="s">
        <v>873</v>
      </c>
      <c r="M372" s="2" t="s">
        <v>99</v>
      </c>
      <c r="N372" s="2" t="s">
        <v>88</v>
      </c>
      <c r="O372" s="2">
        <v>10</v>
      </c>
      <c r="P372" s="2">
        <v>10</v>
      </c>
      <c r="Q372" s="4">
        <v>8240</v>
      </c>
      <c r="R372" s="4">
        <v>8050</v>
      </c>
      <c r="S372" s="4">
        <v>211</v>
      </c>
      <c r="T372" s="19">
        <f>(ProductionData[[#This Row],[Rejected_Qty]])/ProductionData[[#This Row],[Produced_Qty]]</f>
        <v>2.6211180124223604E-2</v>
      </c>
      <c r="U372" s="19">
        <f>ProductionData[[#This Row],[Produced_Qty]]/ProductionData[[#This Row],[Planned_Qty]]</f>
        <v>0.97694174757281549</v>
      </c>
      <c r="V372" s="2" t="s">
        <v>103</v>
      </c>
      <c r="W372" s="11">
        <v>0</v>
      </c>
      <c r="X372" s="13">
        <f>W372/60</f>
        <v>0</v>
      </c>
      <c r="Y372" s="2" t="s">
        <v>90</v>
      </c>
      <c r="Z372" s="2">
        <v>24</v>
      </c>
      <c r="AA372" s="2">
        <f>ProductionData[[#This Row],[Rejected_Qty]]*ProductionData[[#This Row],[Unit_Cost_INR]]</f>
        <v>5064</v>
      </c>
      <c r="AB372" s="4">
        <v>28008</v>
      </c>
      <c r="AC372" s="4">
        <v>7370</v>
      </c>
      <c r="AD372" s="4">
        <v>7370</v>
      </c>
      <c r="AE372" s="4">
        <v>28477</v>
      </c>
      <c r="AF372" s="4">
        <v>12000</v>
      </c>
    </row>
    <row r="373" spans="1:32">
      <c r="A373" s="2" t="s">
        <v>874</v>
      </c>
      <c r="B373" s="3">
        <v>46151</v>
      </c>
      <c r="C373" s="36" t="s">
        <v>790</v>
      </c>
      <c r="D373" s="2">
        <f>MONTH(ProductionData[[#This Row],[Month]])</f>
        <v>5</v>
      </c>
      <c r="E373" s="2" t="s">
        <v>65</v>
      </c>
      <c r="F373" s="2" t="s">
        <v>80</v>
      </c>
      <c r="G373" s="2" t="s">
        <v>81</v>
      </c>
      <c r="H373" s="2" t="s">
        <v>82</v>
      </c>
      <c r="I373" s="2" t="s">
        <v>83</v>
      </c>
      <c r="J373" s="2" t="s">
        <v>166</v>
      </c>
      <c r="K373" s="2" t="s">
        <v>167</v>
      </c>
      <c r="L373" s="2" t="s">
        <v>875</v>
      </c>
      <c r="M373" s="2" t="s">
        <v>102</v>
      </c>
      <c r="N373" s="2" t="s">
        <v>96</v>
      </c>
      <c r="O373" s="2">
        <v>18</v>
      </c>
      <c r="P373" s="2">
        <v>17</v>
      </c>
      <c r="Q373" s="4">
        <v>8350</v>
      </c>
      <c r="R373" s="4">
        <v>7600</v>
      </c>
      <c r="S373" s="4">
        <v>185</v>
      </c>
      <c r="T373" s="19">
        <f>(ProductionData[[#This Row],[Rejected_Qty]])/ProductionData[[#This Row],[Produced_Qty]]</f>
        <v>2.4342105263157894E-2</v>
      </c>
      <c r="U373" s="19">
        <f>ProductionData[[#This Row],[Produced_Qty]]/ProductionData[[#This Row],[Planned_Qty]]</f>
        <v>0.91017964071856283</v>
      </c>
      <c r="V373" s="2" t="s">
        <v>109</v>
      </c>
      <c r="W373" s="11">
        <v>0</v>
      </c>
      <c r="X373" s="13">
        <f>W373/60</f>
        <v>0</v>
      </c>
      <c r="Y373" s="2" t="s">
        <v>90</v>
      </c>
      <c r="Z373" s="2">
        <v>17</v>
      </c>
      <c r="AA373" s="2">
        <f>ProductionData[[#This Row],[Rejected_Qty]]*ProductionData[[#This Row],[Unit_Cost_INR]]</f>
        <v>3145</v>
      </c>
      <c r="AB373" s="4">
        <v>27825</v>
      </c>
      <c r="AC373" s="4">
        <v>6800</v>
      </c>
      <c r="AD373" s="4">
        <v>6800</v>
      </c>
      <c r="AE373" s="4">
        <v>28440</v>
      </c>
      <c r="AF373" s="4">
        <v>13500</v>
      </c>
    </row>
    <row r="374" spans="1:32">
      <c r="A374" s="2" t="s">
        <v>876</v>
      </c>
      <c r="B374" s="3">
        <v>46156</v>
      </c>
      <c r="C374" s="36" t="s">
        <v>790</v>
      </c>
      <c r="D374" s="2">
        <f>MONTH(ProductionData[[#This Row],[Month]])</f>
        <v>5</v>
      </c>
      <c r="E374" s="2" t="s">
        <v>107</v>
      </c>
      <c r="F374" s="2" t="s">
        <v>93</v>
      </c>
      <c r="G374" s="2" t="s">
        <v>81</v>
      </c>
      <c r="H374" s="2" t="s">
        <v>82</v>
      </c>
      <c r="I374" s="2" t="s">
        <v>83</v>
      </c>
      <c r="J374" s="2" t="s">
        <v>166</v>
      </c>
      <c r="K374" s="2" t="s">
        <v>167</v>
      </c>
      <c r="L374" s="2" t="s">
        <v>877</v>
      </c>
      <c r="M374" s="2" t="s">
        <v>133</v>
      </c>
      <c r="N374" s="2" t="s">
        <v>88</v>
      </c>
      <c r="O374" s="2">
        <v>18</v>
      </c>
      <c r="P374" s="2">
        <v>13</v>
      </c>
      <c r="Q374" s="4">
        <v>7900</v>
      </c>
      <c r="R374" s="4">
        <v>6290</v>
      </c>
      <c r="S374" s="4">
        <v>176</v>
      </c>
      <c r="T374" s="19">
        <f>(ProductionData[[#This Row],[Rejected_Qty]])/ProductionData[[#This Row],[Produced_Qty]]</f>
        <v>2.7980922098569158E-2</v>
      </c>
      <c r="U374" s="19">
        <f>ProductionData[[#This Row],[Produced_Qty]]/ProductionData[[#This Row],[Planned_Qty]]</f>
        <v>0.79620253164556964</v>
      </c>
      <c r="V374" s="2" t="s">
        <v>103</v>
      </c>
      <c r="W374" s="11">
        <v>29</v>
      </c>
      <c r="X374" s="13">
        <f>W374/60</f>
        <v>0.48333333333333334</v>
      </c>
      <c r="Y374" s="2" t="s">
        <v>76</v>
      </c>
      <c r="Z374" s="2">
        <v>17</v>
      </c>
      <c r="AA374" s="2">
        <f>ProductionData[[#This Row],[Rejected_Qty]]*ProductionData[[#This Row],[Unit_Cost_INR]]</f>
        <v>2992</v>
      </c>
      <c r="AB374" s="4">
        <v>28893</v>
      </c>
      <c r="AC374" s="4">
        <v>6570</v>
      </c>
      <c r="AD374" s="4">
        <v>6570</v>
      </c>
      <c r="AE374" s="4">
        <v>28437</v>
      </c>
      <c r="AF374" s="4">
        <v>13500</v>
      </c>
    </row>
    <row r="375" spans="1:32">
      <c r="A375" s="2" t="s">
        <v>878</v>
      </c>
      <c r="B375" s="3">
        <v>46164</v>
      </c>
      <c r="C375" s="36" t="s">
        <v>790</v>
      </c>
      <c r="D375" s="2">
        <f>MONTH(ProductionData[[#This Row],[Month]])</f>
        <v>5</v>
      </c>
      <c r="E375" s="2" t="s">
        <v>125</v>
      </c>
      <c r="F375" s="2" t="s">
        <v>66</v>
      </c>
      <c r="G375" s="2" t="s">
        <v>174</v>
      </c>
      <c r="H375" s="2" t="s">
        <v>175</v>
      </c>
      <c r="I375" s="2" t="s">
        <v>176</v>
      </c>
      <c r="J375" s="2" t="s">
        <v>177</v>
      </c>
      <c r="K375" s="2" t="s">
        <v>178</v>
      </c>
      <c r="L375" s="2" t="s">
        <v>879</v>
      </c>
      <c r="M375" s="2" t="s">
        <v>73</v>
      </c>
      <c r="N375" s="2" t="s">
        <v>88</v>
      </c>
      <c r="O375" s="2">
        <v>10</v>
      </c>
      <c r="P375" s="2">
        <v>10</v>
      </c>
      <c r="Q375" s="4">
        <v>7780</v>
      </c>
      <c r="R375" s="4">
        <v>7400</v>
      </c>
      <c r="S375" s="4">
        <v>206</v>
      </c>
      <c r="T375" s="19">
        <f>(ProductionData[[#This Row],[Rejected_Qty]])/ProductionData[[#This Row],[Produced_Qty]]</f>
        <v>2.7837837837837838E-2</v>
      </c>
      <c r="U375" s="19">
        <f>ProductionData[[#This Row],[Produced_Qty]]/ProductionData[[#This Row],[Planned_Qty]]</f>
        <v>0.95115681233933158</v>
      </c>
      <c r="V375" s="2" t="s">
        <v>103</v>
      </c>
      <c r="W375" s="11">
        <v>32</v>
      </c>
      <c r="X375" s="13">
        <f>W375/60</f>
        <v>0.53333333333333333</v>
      </c>
      <c r="Y375" s="2" t="s">
        <v>110</v>
      </c>
      <c r="Z375" s="2">
        <v>24</v>
      </c>
      <c r="AA375" s="2">
        <f>ProductionData[[#This Row],[Rejected_Qty]]*ProductionData[[#This Row],[Unit_Cost_INR]]</f>
        <v>4944</v>
      </c>
      <c r="AB375" s="4">
        <v>28426</v>
      </c>
      <c r="AC375" s="4">
        <v>7190</v>
      </c>
      <c r="AD375" s="4">
        <v>7190</v>
      </c>
      <c r="AE375" s="4">
        <v>28430</v>
      </c>
      <c r="AF375" s="4">
        <v>12000</v>
      </c>
    </row>
    <row r="376" spans="1:32">
      <c r="A376" s="2" t="s">
        <v>880</v>
      </c>
      <c r="B376" s="3">
        <v>46162</v>
      </c>
      <c r="C376" s="36" t="s">
        <v>790</v>
      </c>
      <c r="D376" s="2">
        <f>MONTH(ProductionData[[#This Row],[Month]])</f>
        <v>5</v>
      </c>
      <c r="E376" s="2" t="s">
        <v>79</v>
      </c>
      <c r="F376" s="2" t="s">
        <v>93</v>
      </c>
      <c r="G376" s="2" t="s">
        <v>174</v>
      </c>
      <c r="H376" s="2" t="s">
        <v>175</v>
      </c>
      <c r="I376" s="2" t="s">
        <v>176</v>
      </c>
      <c r="J376" s="2" t="s">
        <v>177</v>
      </c>
      <c r="K376" s="2" t="s">
        <v>178</v>
      </c>
      <c r="L376" s="2" t="s">
        <v>881</v>
      </c>
      <c r="M376" s="2" t="s">
        <v>133</v>
      </c>
      <c r="N376" s="2" t="s">
        <v>96</v>
      </c>
      <c r="O376" s="2">
        <v>10</v>
      </c>
      <c r="P376" s="2">
        <v>8</v>
      </c>
      <c r="Q376" s="4">
        <v>7790</v>
      </c>
      <c r="R376" s="4">
        <v>7280</v>
      </c>
      <c r="S376" s="4">
        <v>181</v>
      </c>
      <c r="T376" s="19">
        <f>(ProductionData[[#This Row],[Rejected_Qty]])/ProductionData[[#This Row],[Produced_Qty]]</f>
        <v>2.4862637362637361E-2</v>
      </c>
      <c r="U376" s="19">
        <f>ProductionData[[#This Row],[Produced_Qty]]/ProductionData[[#This Row],[Planned_Qty]]</f>
        <v>0.93453145057766362</v>
      </c>
      <c r="V376" s="2" t="s">
        <v>89</v>
      </c>
      <c r="W376" s="11">
        <v>43</v>
      </c>
      <c r="X376" s="13">
        <f>W376/60</f>
        <v>0.71666666666666667</v>
      </c>
      <c r="Y376" s="2" t="s">
        <v>76</v>
      </c>
      <c r="Z376" s="2">
        <v>24</v>
      </c>
      <c r="AA376" s="2">
        <f>ProductionData[[#This Row],[Rejected_Qty]]*ProductionData[[#This Row],[Unit_Cost_INR]]</f>
        <v>4344</v>
      </c>
      <c r="AB376" s="4">
        <v>28477</v>
      </c>
      <c r="AC376" s="4">
        <v>7150</v>
      </c>
      <c r="AD376" s="4">
        <v>7150</v>
      </c>
      <c r="AE376" s="4">
        <v>28426</v>
      </c>
      <c r="AF376" s="4">
        <v>12000</v>
      </c>
    </row>
    <row r="377" spans="1:32">
      <c r="A377" s="2" t="s">
        <v>882</v>
      </c>
      <c r="B377" s="3">
        <v>46155</v>
      </c>
      <c r="C377" s="36" t="s">
        <v>790</v>
      </c>
      <c r="D377" s="2">
        <f>MONTH(ProductionData[[#This Row],[Month]])</f>
        <v>5</v>
      </c>
      <c r="E377" s="2" t="s">
        <v>79</v>
      </c>
      <c r="F377" s="2" t="s">
        <v>66</v>
      </c>
      <c r="G377" s="2" t="s">
        <v>195</v>
      </c>
      <c r="H377" s="2" t="s">
        <v>196</v>
      </c>
      <c r="I377" s="2" t="s">
        <v>197</v>
      </c>
      <c r="J377" s="2" t="s">
        <v>198</v>
      </c>
      <c r="K377" s="2" t="s">
        <v>199</v>
      </c>
      <c r="L377" s="2" t="s">
        <v>883</v>
      </c>
      <c r="M377" s="2" t="s">
        <v>73</v>
      </c>
      <c r="N377" s="2" t="s">
        <v>96</v>
      </c>
      <c r="O377" s="2">
        <v>14</v>
      </c>
      <c r="P377" s="2">
        <v>14</v>
      </c>
      <c r="Q377" s="4">
        <v>9570</v>
      </c>
      <c r="R377" s="4">
        <v>8850</v>
      </c>
      <c r="S377" s="4">
        <v>150</v>
      </c>
      <c r="T377" s="19">
        <f>(ProductionData[[#This Row],[Rejected_Qty]])/ProductionData[[#This Row],[Produced_Qty]]</f>
        <v>1.6949152542372881E-2</v>
      </c>
      <c r="U377" s="19">
        <f>ProductionData[[#This Row],[Produced_Qty]]/ProductionData[[#This Row],[Planned_Qty]]</f>
        <v>0.92476489028213171</v>
      </c>
      <c r="V377" s="2" t="s">
        <v>89</v>
      </c>
      <c r="W377" s="11">
        <v>0</v>
      </c>
      <c r="X377" s="13">
        <f>W377/60</f>
        <v>0</v>
      </c>
      <c r="Y377" s="2" t="s">
        <v>90</v>
      </c>
      <c r="Z377" s="2">
        <v>38</v>
      </c>
      <c r="AA377" s="2">
        <f>ProductionData[[#This Row],[Rejected_Qty]]*ProductionData[[#This Row],[Unit_Cost_INR]]</f>
        <v>5700</v>
      </c>
      <c r="AB377" s="4">
        <v>27037</v>
      </c>
      <c r="AC377" s="4">
        <v>7350</v>
      </c>
      <c r="AD377" s="4">
        <v>7350</v>
      </c>
      <c r="AE377" s="4">
        <v>28387</v>
      </c>
      <c r="AF377" s="4">
        <v>13500</v>
      </c>
    </row>
    <row r="378" spans="1:32">
      <c r="A378" s="2" t="s">
        <v>884</v>
      </c>
      <c r="B378" s="3">
        <v>46148</v>
      </c>
      <c r="C378" s="36" t="s">
        <v>790</v>
      </c>
      <c r="D378" s="2">
        <f>MONTH(ProductionData[[#This Row],[Month]])</f>
        <v>5</v>
      </c>
      <c r="E378" s="2" t="s">
        <v>79</v>
      </c>
      <c r="F378" s="2" t="s">
        <v>80</v>
      </c>
      <c r="G378" s="2" t="s">
        <v>195</v>
      </c>
      <c r="H378" s="2" t="s">
        <v>196</v>
      </c>
      <c r="I378" s="2" t="s">
        <v>197</v>
      </c>
      <c r="J378" s="2" t="s">
        <v>198</v>
      </c>
      <c r="K378" s="2" t="s">
        <v>199</v>
      </c>
      <c r="L378" s="2" t="s">
        <v>885</v>
      </c>
      <c r="M378" s="2" t="s">
        <v>102</v>
      </c>
      <c r="N378" s="2" t="s">
        <v>88</v>
      </c>
      <c r="O378" s="2">
        <v>14</v>
      </c>
      <c r="P378" s="2">
        <v>14</v>
      </c>
      <c r="Q378" s="4">
        <v>9710</v>
      </c>
      <c r="R378" s="4">
        <v>9270</v>
      </c>
      <c r="S378" s="4">
        <v>111</v>
      </c>
      <c r="T378" s="19">
        <f>(ProductionData[[#This Row],[Rejected_Qty]])/ProductionData[[#This Row],[Produced_Qty]]</f>
        <v>1.197411003236246E-2</v>
      </c>
      <c r="U378" s="19">
        <f>ProductionData[[#This Row],[Produced_Qty]]/ProductionData[[#This Row],[Planned_Qty]]</f>
        <v>0.95468589083419153</v>
      </c>
      <c r="V378" s="2" t="s">
        <v>103</v>
      </c>
      <c r="W378" s="11">
        <v>12</v>
      </c>
      <c r="X378" s="13">
        <f>W378/60</f>
        <v>0.2</v>
      </c>
      <c r="Y378" s="2" t="s">
        <v>114</v>
      </c>
      <c r="Z378" s="2">
        <v>38</v>
      </c>
      <c r="AA378" s="2">
        <f>ProductionData[[#This Row],[Rejected_Qty]]*ProductionData[[#This Row],[Unit_Cost_INR]]</f>
        <v>4218</v>
      </c>
      <c r="AB378" s="4">
        <v>28140</v>
      </c>
      <c r="AC378" s="4">
        <v>8940</v>
      </c>
      <c r="AD378" s="4">
        <v>8940</v>
      </c>
      <c r="AE378" s="4">
        <v>28359</v>
      </c>
      <c r="AF378" s="4">
        <v>13500</v>
      </c>
    </row>
    <row r="379" spans="1:32">
      <c r="A379" s="2" t="s">
        <v>886</v>
      </c>
      <c r="B379" s="3">
        <v>46158</v>
      </c>
      <c r="C379" s="36" t="s">
        <v>790</v>
      </c>
      <c r="D379" s="2">
        <f>MONTH(ProductionData[[#This Row],[Month]])</f>
        <v>5</v>
      </c>
      <c r="E379" s="2" t="s">
        <v>65</v>
      </c>
      <c r="F379" s="2" t="s">
        <v>93</v>
      </c>
      <c r="G379" s="2" t="s">
        <v>195</v>
      </c>
      <c r="H379" s="2" t="s">
        <v>196</v>
      </c>
      <c r="I379" s="2" t="s">
        <v>197</v>
      </c>
      <c r="J379" s="2" t="s">
        <v>198</v>
      </c>
      <c r="K379" s="2" t="s">
        <v>199</v>
      </c>
      <c r="L379" s="2" t="s">
        <v>887</v>
      </c>
      <c r="M379" s="2" t="s">
        <v>133</v>
      </c>
      <c r="N379" s="2" t="s">
        <v>96</v>
      </c>
      <c r="O379" s="2">
        <v>14</v>
      </c>
      <c r="P379" s="2">
        <v>14</v>
      </c>
      <c r="Q379" s="4">
        <v>8550</v>
      </c>
      <c r="R379" s="4">
        <v>8400</v>
      </c>
      <c r="S379" s="4">
        <v>327</v>
      </c>
      <c r="T379" s="19">
        <f>(ProductionData[[#This Row],[Rejected_Qty]])/ProductionData[[#This Row],[Produced_Qty]]</f>
        <v>3.892857142857143E-2</v>
      </c>
      <c r="U379" s="19">
        <f>ProductionData[[#This Row],[Produced_Qty]]/ProductionData[[#This Row],[Planned_Qty]]</f>
        <v>0.98245614035087714</v>
      </c>
      <c r="V379" s="2" t="s">
        <v>113</v>
      </c>
      <c r="W379" s="11">
        <v>0</v>
      </c>
      <c r="X379" s="13">
        <f>W379/60</f>
        <v>0</v>
      </c>
      <c r="Y379" s="2" t="s">
        <v>90</v>
      </c>
      <c r="Z379" s="2">
        <v>38</v>
      </c>
      <c r="AA379" s="2">
        <f>ProductionData[[#This Row],[Rejected_Qty]]*ProductionData[[#This Row],[Unit_Cost_INR]]</f>
        <v>12426</v>
      </c>
      <c r="AB379" s="4">
        <v>27094</v>
      </c>
      <c r="AC379" s="4">
        <v>6830</v>
      </c>
      <c r="AD379" s="4">
        <v>6830</v>
      </c>
      <c r="AE379" s="4">
        <v>28337</v>
      </c>
      <c r="AF379" s="4">
        <v>13500</v>
      </c>
    </row>
    <row r="380" spans="1:32">
      <c r="A380" s="2" t="s">
        <v>888</v>
      </c>
      <c r="B380" s="3">
        <v>46162</v>
      </c>
      <c r="C380" s="36" t="s">
        <v>790</v>
      </c>
      <c r="D380" s="2">
        <f>MONTH(ProductionData[[#This Row],[Month]])</f>
        <v>5</v>
      </c>
      <c r="E380" s="2" t="s">
        <v>79</v>
      </c>
      <c r="F380" s="2" t="s">
        <v>66</v>
      </c>
      <c r="G380" s="2" t="s">
        <v>81</v>
      </c>
      <c r="H380" s="2" t="s">
        <v>82</v>
      </c>
      <c r="I380" s="2" t="s">
        <v>83</v>
      </c>
      <c r="J380" s="2" t="s">
        <v>166</v>
      </c>
      <c r="K380" s="2" t="s">
        <v>167</v>
      </c>
      <c r="L380" s="2" t="s">
        <v>889</v>
      </c>
      <c r="M380" s="2" t="s">
        <v>73</v>
      </c>
      <c r="N380" s="2" t="s">
        <v>96</v>
      </c>
      <c r="O380" s="2">
        <v>18</v>
      </c>
      <c r="P380" s="2">
        <v>18</v>
      </c>
      <c r="Q380" s="4">
        <v>8320</v>
      </c>
      <c r="R380" s="4">
        <v>7760</v>
      </c>
      <c r="S380" s="4">
        <v>142</v>
      </c>
      <c r="T380" s="19">
        <f>(ProductionData[[#This Row],[Rejected_Qty]])/ProductionData[[#This Row],[Produced_Qty]]</f>
        <v>1.8298969072164949E-2</v>
      </c>
      <c r="U380" s="19">
        <f>ProductionData[[#This Row],[Produced_Qty]]/ProductionData[[#This Row],[Planned_Qty]]</f>
        <v>0.93269230769230771</v>
      </c>
      <c r="V380" s="2" t="s">
        <v>113</v>
      </c>
      <c r="W380" s="11">
        <v>72</v>
      </c>
      <c r="X380" s="13">
        <f>W380/60</f>
        <v>1.2</v>
      </c>
      <c r="Y380" s="2" t="s">
        <v>114</v>
      </c>
      <c r="Z380" s="2">
        <v>17</v>
      </c>
      <c r="AA380" s="2">
        <f>ProductionData[[#This Row],[Rejected_Qty]]*ProductionData[[#This Row],[Unit_Cost_INR]]</f>
        <v>2414</v>
      </c>
      <c r="AB380" s="4">
        <v>27703</v>
      </c>
      <c r="AC380" s="4">
        <v>7030</v>
      </c>
      <c r="AD380" s="4">
        <v>7030</v>
      </c>
      <c r="AE380" s="4">
        <v>28291</v>
      </c>
      <c r="AF380" s="4">
        <v>13500</v>
      </c>
    </row>
    <row r="381" spans="1:32">
      <c r="A381" s="2" t="s">
        <v>890</v>
      </c>
      <c r="B381" s="3">
        <v>46162</v>
      </c>
      <c r="C381" s="36" t="s">
        <v>790</v>
      </c>
      <c r="D381" s="2">
        <f>MONTH(ProductionData[[#This Row],[Month]])</f>
        <v>5</v>
      </c>
      <c r="E381" s="2" t="s">
        <v>79</v>
      </c>
      <c r="F381" s="2" t="s">
        <v>93</v>
      </c>
      <c r="G381" s="2" t="s">
        <v>195</v>
      </c>
      <c r="H381" s="2" t="s">
        <v>196</v>
      </c>
      <c r="I381" s="2" t="s">
        <v>197</v>
      </c>
      <c r="J381" s="2" t="s">
        <v>198</v>
      </c>
      <c r="K381" s="2" t="s">
        <v>199</v>
      </c>
      <c r="L381" s="2" t="s">
        <v>891</v>
      </c>
      <c r="M381" s="2" t="s">
        <v>133</v>
      </c>
      <c r="N381" s="2" t="s">
        <v>88</v>
      </c>
      <c r="O381" s="2">
        <v>14</v>
      </c>
      <c r="P381" s="2">
        <v>14</v>
      </c>
      <c r="Q381" s="4">
        <v>9120</v>
      </c>
      <c r="R381" s="4">
        <v>8830</v>
      </c>
      <c r="S381" s="4">
        <v>280</v>
      </c>
      <c r="T381" s="19">
        <f>(ProductionData[[#This Row],[Rejected_Qty]])/ProductionData[[#This Row],[Produced_Qty]]</f>
        <v>3.1710079275198186E-2</v>
      </c>
      <c r="U381" s="19">
        <f>ProductionData[[#This Row],[Produced_Qty]]/ProductionData[[#This Row],[Planned_Qty]]</f>
        <v>0.9682017543859649</v>
      </c>
      <c r="V381" s="2" t="s">
        <v>75</v>
      </c>
      <c r="W381" s="11">
        <v>41</v>
      </c>
      <c r="X381" s="13">
        <f>W381/60</f>
        <v>0.68333333333333335</v>
      </c>
      <c r="Y381" s="2" t="s">
        <v>110</v>
      </c>
      <c r="Z381" s="2">
        <v>38</v>
      </c>
      <c r="AA381" s="2">
        <f>ProductionData[[#This Row],[Rejected_Qty]]*ProductionData[[#This Row],[Unit_Cost_INR]]</f>
        <v>10640</v>
      </c>
      <c r="AB381" s="4">
        <v>28210</v>
      </c>
      <c r="AC381" s="4">
        <v>8490</v>
      </c>
      <c r="AD381" s="4">
        <v>8490</v>
      </c>
      <c r="AE381" s="4">
        <v>28270</v>
      </c>
      <c r="AF381" s="4">
        <v>13500</v>
      </c>
    </row>
    <row r="382" spans="1:32">
      <c r="A382" s="2" t="s">
        <v>892</v>
      </c>
      <c r="B382" s="3">
        <v>46160</v>
      </c>
      <c r="C382" s="36" t="s">
        <v>790</v>
      </c>
      <c r="D382" s="2">
        <f>MONTH(ProductionData[[#This Row],[Month]])</f>
        <v>5</v>
      </c>
      <c r="E382" s="2" t="s">
        <v>116</v>
      </c>
      <c r="F382" s="2" t="s">
        <v>66</v>
      </c>
      <c r="G382" s="2" t="s">
        <v>81</v>
      </c>
      <c r="H382" s="2" t="s">
        <v>82</v>
      </c>
      <c r="I382" s="2" t="s">
        <v>83</v>
      </c>
      <c r="J382" s="2" t="s">
        <v>166</v>
      </c>
      <c r="K382" s="2" t="s">
        <v>167</v>
      </c>
      <c r="L382" s="2" t="s">
        <v>893</v>
      </c>
      <c r="M382" s="2" t="s">
        <v>73</v>
      </c>
      <c r="N382" s="2" t="s">
        <v>96</v>
      </c>
      <c r="O382" s="2">
        <v>18</v>
      </c>
      <c r="P382" s="2">
        <v>17</v>
      </c>
      <c r="Q382" s="4">
        <v>8900</v>
      </c>
      <c r="R382" s="4">
        <v>8620</v>
      </c>
      <c r="S382" s="4">
        <v>221</v>
      </c>
      <c r="T382" s="19">
        <f>(ProductionData[[#This Row],[Rejected_Qty]])/ProductionData[[#This Row],[Produced_Qty]]</f>
        <v>2.5638051044083527E-2</v>
      </c>
      <c r="U382" s="19">
        <f>ProductionData[[#This Row],[Produced_Qty]]/ProductionData[[#This Row],[Planned_Qty]]</f>
        <v>0.96853932584269664</v>
      </c>
      <c r="V382" s="2" t="s">
        <v>75</v>
      </c>
      <c r="W382" s="11">
        <v>70</v>
      </c>
      <c r="X382" s="13">
        <f>W382/60</f>
        <v>1.1666666666666667</v>
      </c>
      <c r="Y382" s="2" t="s">
        <v>136</v>
      </c>
      <c r="Z382" s="2">
        <v>17</v>
      </c>
      <c r="AA382" s="2">
        <f>ProductionData[[#This Row],[Rejected_Qty]]*ProductionData[[#This Row],[Unit_Cost_INR]]</f>
        <v>3757</v>
      </c>
      <c r="AB382" s="4">
        <v>27437</v>
      </c>
      <c r="AC382" s="4">
        <v>7620</v>
      </c>
      <c r="AD382" s="4">
        <v>7620</v>
      </c>
      <c r="AE382" s="4">
        <v>28216</v>
      </c>
      <c r="AF382" s="4">
        <v>13500</v>
      </c>
    </row>
    <row r="383" spans="1:32">
      <c r="A383" s="2" t="s">
        <v>894</v>
      </c>
      <c r="B383" s="3">
        <v>46157</v>
      </c>
      <c r="C383" s="36" t="s">
        <v>790</v>
      </c>
      <c r="D383" s="2">
        <f>MONTH(ProductionData[[#This Row],[Month]])</f>
        <v>5</v>
      </c>
      <c r="E383" s="2" t="s">
        <v>125</v>
      </c>
      <c r="F383" s="2" t="s">
        <v>66</v>
      </c>
      <c r="G383" s="2" t="s">
        <v>81</v>
      </c>
      <c r="H383" s="2" t="s">
        <v>82</v>
      </c>
      <c r="I383" s="2" t="s">
        <v>83</v>
      </c>
      <c r="J383" s="2" t="s">
        <v>166</v>
      </c>
      <c r="K383" s="2" t="s">
        <v>167</v>
      </c>
      <c r="L383" s="2" t="s">
        <v>895</v>
      </c>
      <c r="M383" s="2" t="s">
        <v>99</v>
      </c>
      <c r="N383" s="2" t="s">
        <v>88</v>
      </c>
      <c r="O383" s="2">
        <v>18</v>
      </c>
      <c r="P383" s="2">
        <v>17</v>
      </c>
      <c r="Q383" s="4">
        <v>8560</v>
      </c>
      <c r="R383" s="4">
        <v>7940</v>
      </c>
      <c r="S383" s="4">
        <v>175</v>
      </c>
      <c r="T383" s="19">
        <f>(ProductionData[[#This Row],[Rejected_Qty]])/ProductionData[[#This Row],[Produced_Qty]]</f>
        <v>2.2040302267002519E-2</v>
      </c>
      <c r="U383" s="19">
        <f>ProductionData[[#This Row],[Produced_Qty]]/ProductionData[[#This Row],[Planned_Qty]]</f>
        <v>0.92757009345794394</v>
      </c>
      <c r="V383" s="2" t="s">
        <v>75</v>
      </c>
      <c r="W383" s="11">
        <v>28</v>
      </c>
      <c r="X383" s="13">
        <f>W383/60</f>
        <v>0.46666666666666667</v>
      </c>
      <c r="Y383" s="2" t="s">
        <v>110</v>
      </c>
      <c r="Z383" s="2">
        <v>17</v>
      </c>
      <c r="AA383" s="2">
        <f>ProductionData[[#This Row],[Rejected_Qty]]*ProductionData[[#This Row],[Unit_Cost_INR]]</f>
        <v>2975</v>
      </c>
      <c r="AB383" s="4">
        <v>28437</v>
      </c>
      <c r="AC383" s="4">
        <v>7990</v>
      </c>
      <c r="AD383" s="4">
        <v>7990</v>
      </c>
      <c r="AE383" s="4">
        <v>28212</v>
      </c>
      <c r="AF383" s="4">
        <v>13500</v>
      </c>
    </row>
    <row r="384" spans="1:32">
      <c r="A384" s="2" t="s">
        <v>896</v>
      </c>
      <c r="B384" s="3">
        <v>46162</v>
      </c>
      <c r="C384" s="36" t="s">
        <v>790</v>
      </c>
      <c r="D384" s="2">
        <f>MONTH(ProductionData[[#This Row],[Month]])</f>
        <v>5</v>
      </c>
      <c r="E384" s="2" t="s">
        <v>79</v>
      </c>
      <c r="F384" s="2" t="s">
        <v>66</v>
      </c>
      <c r="G384" s="2" t="s">
        <v>195</v>
      </c>
      <c r="H384" s="2" t="s">
        <v>196</v>
      </c>
      <c r="I384" s="2" t="s">
        <v>197</v>
      </c>
      <c r="J384" s="2" t="s">
        <v>198</v>
      </c>
      <c r="K384" s="2" t="s">
        <v>199</v>
      </c>
      <c r="L384" s="2" t="s">
        <v>897</v>
      </c>
      <c r="M384" s="2" t="s">
        <v>99</v>
      </c>
      <c r="N384" s="2" t="s">
        <v>88</v>
      </c>
      <c r="O384" s="2">
        <v>14</v>
      </c>
      <c r="P384" s="2">
        <v>14</v>
      </c>
      <c r="Q384" s="4">
        <v>8480</v>
      </c>
      <c r="R384" s="4">
        <v>8060</v>
      </c>
      <c r="S384" s="4">
        <v>202</v>
      </c>
      <c r="T384" s="19">
        <f>(ProductionData[[#This Row],[Rejected_Qty]])/ProductionData[[#This Row],[Produced_Qty]]</f>
        <v>2.5062034739454096E-2</v>
      </c>
      <c r="U384" s="19">
        <f>ProductionData[[#This Row],[Produced_Qty]]/ProductionData[[#This Row],[Planned_Qty]]</f>
        <v>0.95047169811320753</v>
      </c>
      <c r="V384" s="2" t="s">
        <v>103</v>
      </c>
      <c r="W384" s="11">
        <v>0</v>
      </c>
      <c r="X384" s="13">
        <f>W384/60</f>
        <v>0</v>
      </c>
      <c r="Y384" s="2" t="s">
        <v>90</v>
      </c>
      <c r="Z384" s="2">
        <v>38</v>
      </c>
      <c r="AA384" s="2">
        <f>ProductionData[[#This Row],[Rejected_Qty]]*ProductionData[[#This Row],[Unit_Cost_INR]]</f>
        <v>7676</v>
      </c>
      <c r="AB384" s="4">
        <v>27742</v>
      </c>
      <c r="AC384" s="4">
        <v>7390</v>
      </c>
      <c r="AD384" s="4">
        <v>7390</v>
      </c>
      <c r="AE384" s="4">
        <v>28210</v>
      </c>
      <c r="AF384" s="4">
        <v>13500</v>
      </c>
    </row>
    <row r="385" spans="1:32">
      <c r="A385" s="2" t="s">
        <v>898</v>
      </c>
      <c r="B385" s="3">
        <v>46165</v>
      </c>
      <c r="C385" s="36" t="s">
        <v>790</v>
      </c>
      <c r="D385" s="2">
        <f>MONTH(ProductionData[[#This Row],[Month]])</f>
        <v>5</v>
      </c>
      <c r="E385" s="2" t="s">
        <v>65</v>
      </c>
      <c r="F385" s="2" t="s">
        <v>80</v>
      </c>
      <c r="G385" s="2" t="s">
        <v>81</v>
      </c>
      <c r="H385" s="2" t="s">
        <v>82</v>
      </c>
      <c r="I385" s="2" t="s">
        <v>83</v>
      </c>
      <c r="J385" s="2" t="s">
        <v>166</v>
      </c>
      <c r="K385" s="2" t="s">
        <v>167</v>
      </c>
      <c r="L385" s="2" t="s">
        <v>899</v>
      </c>
      <c r="M385" s="2" t="s">
        <v>87</v>
      </c>
      <c r="N385" s="2" t="s">
        <v>88</v>
      </c>
      <c r="O385" s="2">
        <v>18</v>
      </c>
      <c r="P385" s="2">
        <v>18</v>
      </c>
      <c r="Q385" s="4">
        <v>9030</v>
      </c>
      <c r="R385" s="4">
        <v>8840</v>
      </c>
      <c r="S385" s="4">
        <v>186</v>
      </c>
      <c r="T385" s="19">
        <f>(ProductionData[[#This Row],[Rejected_Qty]])/ProductionData[[#This Row],[Produced_Qty]]</f>
        <v>2.1040723981900454E-2</v>
      </c>
      <c r="U385" s="19">
        <f>ProductionData[[#This Row],[Produced_Qty]]/ProductionData[[#This Row],[Planned_Qty]]</f>
        <v>0.97895902547065339</v>
      </c>
      <c r="V385" s="2" t="s">
        <v>89</v>
      </c>
      <c r="W385" s="11">
        <v>55</v>
      </c>
      <c r="X385" s="13">
        <f>W385/60</f>
        <v>0.91666666666666663</v>
      </c>
      <c r="Y385" s="2" t="s">
        <v>76</v>
      </c>
      <c r="Z385" s="2">
        <v>17</v>
      </c>
      <c r="AA385" s="2">
        <f>ProductionData[[#This Row],[Rejected_Qty]]*ProductionData[[#This Row],[Unit_Cost_INR]]</f>
        <v>3162</v>
      </c>
      <c r="AB385" s="4">
        <v>27383</v>
      </c>
      <c r="AC385" s="4">
        <v>7830</v>
      </c>
      <c r="AD385" s="4">
        <v>7830</v>
      </c>
      <c r="AE385" s="4">
        <v>28207</v>
      </c>
      <c r="AF385" s="4">
        <v>13500</v>
      </c>
    </row>
    <row r="386" spans="1:32">
      <c r="A386" s="2" t="s">
        <v>900</v>
      </c>
      <c r="B386" s="3">
        <v>46147</v>
      </c>
      <c r="C386" s="36" t="s">
        <v>790</v>
      </c>
      <c r="D386" s="2">
        <f>MONTH(ProductionData[[#This Row],[Month]])</f>
        <v>5</v>
      </c>
      <c r="E386" s="2" t="s">
        <v>92</v>
      </c>
      <c r="F386" s="2" t="s">
        <v>66</v>
      </c>
      <c r="G386" s="2" t="s">
        <v>195</v>
      </c>
      <c r="H386" s="2" t="s">
        <v>196</v>
      </c>
      <c r="I386" s="2" t="s">
        <v>197</v>
      </c>
      <c r="J386" s="2" t="s">
        <v>198</v>
      </c>
      <c r="K386" s="2" t="s">
        <v>199</v>
      </c>
      <c r="L386" s="2" t="s">
        <v>901</v>
      </c>
      <c r="M386" s="2" t="s">
        <v>73</v>
      </c>
      <c r="N386" s="2" t="s">
        <v>88</v>
      </c>
      <c r="O386" s="2">
        <v>14</v>
      </c>
      <c r="P386" s="2">
        <v>14</v>
      </c>
      <c r="Q386" s="4">
        <v>9680</v>
      </c>
      <c r="R386" s="4">
        <v>9580</v>
      </c>
      <c r="S386" s="4">
        <v>312</v>
      </c>
      <c r="T386" s="19">
        <f>(ProductionData[[#This Row],[Rejected_Qty]])/ProductionData[[#This Row],[Produced_Qty]]</f>
        <v>3.2567849686847603E-2</v>
      </c>
      <c r="U386" s="19">
        <f>ProductionData[[#This Row],[Produced_Qty]]/ProductionData[[#This Row],[Planned_Qty]]</f>
        <v>0.98966942148760328</v>
      </c>
      <c r="V386" s="2" t="s">
        <v>113</v>
      </c>
      <c r="W386" s="11">
        <v>0</v>
      </c>
      <c r="X386" s="13">
        <f>W386/60</f>
        <v>0</v>
      </c>
      <c r="Y386" s="2" t="s">
        <v>90</v>
      </c>
      <c r="Z386" s="2">
        <v>38</v>
      </c>
      <c r="AA386" s="2">
        <f>ProductionData[[#This Row],[Rejected_Qty]]*ProductionData[[#This Row],[Unit_Cost_INR]]</f>
        <v>11856</v>
      </c>
      <c r="AB386" s="4">
        <v>27192</v>
      </c>
      <c r="AC386" s="4">
        <v>8320</v>
      </c>
      <c r="AD386" s="4">
        <v>8320</v>
      </c>
      <c r="AE386" s="4">
        <v>28140</v>
      </c>
      <c r="AF386" s="4">
        <v>13500</v>
      </c>
    </row>
    <row r="387" spans="1:32">
      <c r="A387" s="2" t="s">
        <v>902</v>
      </c>
      <c r="B387" s="3">
        <v>46155</v>
      </c>
      <c r="C387" s="36" t="s">
        <v>790</v>
      </c>
      <c r="D387" s="2">
        <f>MONTH(ProductionData[[#This Row],[Month]])</f>
        <v>5</v>
      </c>
      <c r="E387" s="2" t="s">
        <v>79</v>
      </c>
      <c r="F387" s="2" t="s">
        <v>66</v>
      </c>
      <c r="G387" s="2" t="s">
        <v>174</v>
      </c>
      <c r="H387" s="2" t="s">
        <v>175</v>
      </c>
      <c r="I387" s="2" t="s">
        <v>176</v>
      </c>
      <c r="J387" s="2" t="s">
        <v>177</v>
      </c>
      <c r="K387" s="2" t="s">
        <v>178</v>
      </c>
      <c r="L387" s="2" t="s">
        <v>903</v>
      </c>
      <c r="M387" s="2" t="s">
        <v>99</v>
      </c>
      <c r="N387" s="2" t="s">
        <v>88</v>
      </c>
      <c r="O387" s="2">
        <v>10</v>
      </c>
      <c r="P387" s="2">
        <v>10</v>
      </c>
      <c r="Q387" s="4">
        <v>8540</v>
      </c>
      <c r="R387" s="4">
        <v>8380</v>
      </c>
      <c r="S387" s="4">
        <v>300</v>
      </c>
      <c r="T387" s="19">
        <f>(ProductionData[[#This Row],[Rejected_Qty]])/ProductionData[[#This Row],[Produced_Qty]]</f>
        <v>3.5799522673031027E-2</v>
      </c>
      <c r="U387" s="19">
        <f>ProductionData[[#This Row],[Produced_Qty]]/ProductionData[[#This Row],[Planned_Qty]]</f>
        <v>0.9812646370023419</v>
      </c>
      <c r="V387" s="2" t="s">
        <v>113</v>
      </c>
      <c r="W387" s="11">
        <v>0</v>
      </c>
      <c r="X387" s="13">
        <f>W387/60</f>
        <v>0</v>
      </c>
      <c r="Y387" s="2" t="s">
        <v>90</v>
      </c>
      <c r="Z387" s="2">
        <v>24</v>
      </c>
      <c r="AA387" s="2">
        <f>ProductionData[[#This Row],[Rejected_Qty]]*ProductionData[[#This Row],[Unit_Cost_INR]]</f>
        <v>7200</v>
      </c>
      <c r="AB387" s="4">
        <v>27426</v>
      </c>
      <c r="AC387" s="4">
        <v>7370</v>
      </c>
      <c r="AD387" s="4">
        <v>7370</v>
      </c>
      <c r="AE387" s="4">
        <v>28136</v>
      </c>
      <c r="AF387" s="4">
        <v>12000</v>
      </c>
    </row>
    <row r="388" spans="1:32">
      <c r="A388" s="2" t="s">
        <v>904</v>
      </c>
      <c r="B388" s="3">
        <v>46148</v>
      </c>
      <c r="C388" s="36" t="s">
        <v>790</v>
      </c>
      <c r="D388" s="2">
        <f>MONTH(ProductionData[[#This Row],[Month]])</f>
        <v>5</v>
      </c>
      <c r="E388" s="2" t="s">
        <v>79</v>
      </c>
      <c r="F388" s="2" t="s">
        <v>66</v>
      </c>
      <c r="G388" s="2" t="s">
        <v>174</v>
      </c>
      <c r="H388" s="2" t="s">
        <v>175</v>
      </c>
      <c r="I388" s="2" t="s">
        <v>176</v>
      </c>
      <c r="J388" s="2" t="s">
        <v>177</v>
      </c>
      <c r="K388" s="2" t="s">
        <v>178</v>
      </c>
      <c r="L388" s="2" t="s">
        <v>905</v>
      </c>
      <c r="M388" s="2" t="s">
        <v>99</v>
      </c>
      <c r="N388" s="2" t="s">
        <v>96</v>
      </c>
      <c r="O388" s="2">
        <v>10</v>
      </c>
      <c r="P388" s="2">
        <v>10</v>
      </c>
      <c r="Q388" s="4">
        <v>8180</v>
      </c>
      <c r="R388" s="4">
        <v>7870</v>
      </c>
      <c r="S388" s="4">
        <v>208</v>
      </c>
      <c r="T388" s="19">
        <f>(ProductionData[[#This Row],[Rejected_Qty]])/ProductionData[[#This Row],[Produced_Qty]]</f>
        <v>2.6429479034307497E-2</v>
      </c>
      <c r="U388" s="19">
        <f>ProductionData[[#This Row],[Produced_Qty]]/ProductionData[[#This Row],[Planned_Qty]]</f>
        <v>0.96210268948655253</v>
      </c>
      <c r="V388" s="2" t="s">
        <v>75</v>
      </c>
      <c r="W388" s="11">
        <v>0</v>
      </c>
      <c r="X388" s="13">
        <f>W388/60</f>
        <v>0</v>
      </c>
      <c r="Y388" s="2" t="s">
        <v>90</v>
      </c>
      <c r="Z388" s="2">
        <v>24</v>
      </c>
      <c r="AA388" s="2">
        <f>ProductionData[[#This Row],[Rejected_Qty]]*ProductionData[[#This Row],[Unit_Cost_INR]]</f>
        <v>4992</v>
      </c>
      <c r="AB388" s="4">
        <v>26919</v>
      </c>
      <c r="AC388" s="4">
        <v>6570</v>
      </c>
      <c r="AD388" s="4">
        <v>6570</v>
      </c>
      <c r="AE388" s="4">
        <v>28011</v>
      </c>
      <c r="AF388" s="4">
        <v>12000</v>
      </c>
    </row>
    <row r="389" spans="1:32">
      <c r="A389" s="2" t="s">
        <v>906</v>
      </c>
      <c r="B389" s="3">
        <v>46161</v>
      </c>
      <c r="C389" s="36" t="s">
        <v>790</v>
      </c>
      <c r="D389" s="2">
        <f>MONTH(ProductionData[[#This Row],[Month]])</f>
        <v>5</v>
      </c>
      <c r="E389" s="2" t="s">
        <v>92</v>
      </c>
      <c r="F389" s="2" t="s">
        <v>80</v>
      </c>
      <c r="G389" s="2" t="s">
        <v>174</v>
      </c>
      <c r="H389" s="2" t="s">
        <v>175</v>
      </c>
      <c r="I389" s="2" t="s">
        <v>176</v>
      </c>
      <c r="J389" s="2" t="s">
        <v>177</v>
      </c>
      <c r="K389" s="2" t="s">
        <v>178</v>
      </c>
      <c r="L389" s="2" t="s">
        <v>907</v>
      </c>
      <c r="M389" s="2" t="s">
        <v>102</v>
      </c>
      <c r="N389" s="2" t="s">
        <v>88</v>
      </c>
      <c r="O389" s="2">
        <v>10</v>
      </c>
      <c r="P389" s="2">
        <v>9</v>
      </c>
      <c r="Q389" s="4">
        <v>7770</v>
      </c>
      <c r="R389" s="4">
        <v>7650</v>
      </c>
      <c r="S389" s="4">
        <v>111</v>
      </c>
      <c r="T389" s="19">
        <f>(ProductionData[[#This Row],[Rejected_Qty]])/ProductionData[[#This Row],[Produced_Qty]]</f>
        <v>1.4509803921568627E-2</v>
      </c>
      <c r="U389" s="19">
        <f>ProductionData[[#This Row],[Produced_Qty]]/ProductionData[[#This Row],[Planned_Qty]]</f>
        <v>0.98455598455598459</v>
      </c>
      <c r="V389" s="2" t="s">
        <v>103</v>
      </c>
      <c r="W389" s="11">
        <v>0</v>
      </c>
      <c r="X389" s="13">
        <f>W389/60</f>
        <v>0</v>
      </c>
      <c r="Y389" s="2" t="s">
        <v>90</v>
      </c>
      <c r="Z389" s="2">
        <v>24</v>
      </c>
      <c r="AA389" s="2">
        <f>ProductionData[[#This Row],[Rejected_Qty]]*ProductionData[[#This Row],[Unit_Cost_INR]]</f>
        <v>2664</v>
      </c>
      <c r="AB389" s="4">
        <v>27679</v>
      </c>
      <c r="AC389" s="4">
        <v>7210</v>
      </c>
      <c r="AD389" s="4">
        <v>7210</v>
      </c>
      <c r="AE389" s="4">
        <v>28008</v>
      </c>
      <c r="AF389" s="4">
        <v>12000</v>
      </c>
    </row>
    <row r="390" spans="1:32">
      <c r="A390" s="2" t="s">
        <v>908</v>
      </c>
      <c r="B390" s="3">
        <v>46148</v>
      </c>
      <c r="C390" s="36" t="s">
        <v>790</v>
      </c>
      <c r="D390" s="2">
        <f>MONTH(ProductionData[[#This Row],[Month]])</f>
        <v>5</v>
      </c>
      <c r="E390" s="2" t="s">
        <v>79</v>
      </c>
      <c r="F390" s="2" t="s">
        <v>80</v>
      </c>
      <c r="G390" s="2" t="s">
        <v>174</v>
      </c>
      <c r="H390" s="2" t="s">
        <v>175</v>
      </c>
      <c r="I390" s="2" t="s">
        <v>176</v>
      </c>
      <c r="J390" s="2" t="s">
        <v>177</v>
      </c>
      <c r="K390" s="2" t="s">
        <v>178</v>
      </c>
      <c r="L390" s="2" t="s">
        <v>909</v>
      </c>
      <c r="M390" s="2" t="s">
        <v>87</v>
      </c>
      <c r="N390" s="2" t="s">
        <v>88</v>
      </c>
      <c r="O390" s="2">
        <v>10</v>
      </c>
      <c r="P390" s="2">
        <v>10</v>
      </c>
      <c r="Q390" s="4">
        <v>7580</v>
      </c>
      <c r="R390" s="4">
        <v>7180</v>
      </c>
      <c r="S390" s="4">
        <v>140</v>
      </c>
      <c r="T390" s="19">
        <f>(ProductionData[[#This Row],[Rejected_Qty]])/ProductionData[[#This Row],[Produced_Qty]]</f>
        <v>1.9498607242339833E-2</v>
      </c>
      <c r="U390" s="19">
        <f>ProductionData[[#This Row],[Produced_Qty]]/ProductionData[[#This Row],[Planned_Qty]]</f>
        <v>0.94722955145118737</v>
      </c>
      <c r="V390" s="2" t="s">
        <v>109</v>
      </c>
      <c r="W390" s="11">
        <v>0</v>
      </c>
      <c r="X390" s="13">
        <f>W390/60</f>
        <v>0</v>
      </c>
      <c r="Y390" s="2" t="s">
        <v>90</v>
      </c>
      <c r="Z390" s="2">
        <v>24</v>
      </c>
      <c r="AA390" s="2">
        <f>ProductionData[[#This Row],[Rejected_Qty]]*ProductionData[[#This Row],[Unit_Cost_INR]]</f>
        <v>3360</v>
      </c>
      <c r="AB390" s="4">
        <v>28011</v>
      </c>
      <c r="AC390" s="4">
        <v>7130</v>
      </c>
      <c r="AD390" s="4">
        <v>7130</v>
      </c>
      <c r="AE390" s="4">
        <v>27921</v>
      </c>
      <c r="AF390" s="4">
        <v>12000</v>
      </c>
    </row>
    <row r="391" spans="1:32">
      <c r="A391" s="2" t="s">
        <v>910</v>
      </c>
      <c r="B391" s="3">
        <v>46148</v>
      </c>
      <c r="C391" s="36" t="s">
        <v>790</v>
      </c>
      <c r="D391" s="2">
        <f>MONTH(ProductionData[[#This Row],[Month]])</f>
        <v>5</v>
      </c>
      <c r="E391" s="2" t="s">
        <v>79</v>
      </c>
      <c r="F391" s="2" t="s">
        <v>93</v>
      </c>
      <c r="G391" s="2" t="s">
        <v>81</v>
      </c>
      <c r="H391" s="2" t="s">
        <v>82</v>
      </c>
      <c r="I391" s="2" t="s">
        <v>83</v>
      </c>
      <c r="J391" s="2" t="s">
        <v>166</v>
      </c>
      <c r="K391" s="2" t="s">
        <v>167</v>
      </c>
      <c r="L391" s="2" t="s">
        <v>911</v>
      </c>
      <c r="M391" s="2" t="s">
        <v>95</v>
      </c>
      <c r="N391" s="2" t="s">
        <v>96</v>
      </c>
      <c r="O391" s="2">
        <v>18</v>
      </c>
      <c r="P391" s="2">
        <v>17</v>
      </c>
      <c r="Q391" s="4">
        <v>8720</v>
      </c>
      <c r="R391" s="4">
        <v>8420</v>
      </c>
      <c r="S391" s="4">
        <v>224</v>
      </c>
      <c r="T391" s="19">
        <f>(ProductionData[[#This Row],[Rejected_Qty]])/ProductionData[[#This Row],[Produced_Qty]]</f>
        <v>2.6603325415676959E-2</v>
      </c>
      <c r="U391" s="19">
        <f>ProductionData[[#This Row],[Produced_Qty]]/ProductionData[[#This Row],[Planned_Qty]]</f>
        <v>0.9655963302752294</v>
      </c>
      <c r="V391" s="2" t="s">
        <v>89</v>
      </c>
      <c r="W391" s="11">
        <v>0</v>
      </c>
      <c r="X391" s="13">
        <f>W391/60</f>
        <v>0</v>
      </c>
      <c r="Y391" s="2" t="s">
        <v>90</v>
      </c>
      <c r="Z391" s="2">
        <v>17</v>
      </c>
      <c r="AA391" s="2">
        <f>ProductionData[[#This Row],[Rejected_Qty]]*ProductionData[[#This Row],[Unit_Cost_INR]]</f>
        <v>3808</v>
      </c>
      <c r="AB391" s="4">
        <v>27545</v>
      </c>
      <c r="AC391" s="4">
        <v>7830</v>
      </c>
      <c r="AD391" s="4">
        <v>7830</v>
      </c>
      <c r="AE391" s="4">
        <v>27911</v>
      </c>
      <c r="AF391" s="4">
        <v>13500</v>
      </c>
    </row>
    <row r="392" spans="1:32">
      <c r="A392" s="2" t="s">
        <v>912</v>
      </c>
      <c r="B392" s="3">
        <v>46155</v>
      </c>
      <c r="C392" s="36" t="s">
        <v>790</v>
      </c>
      <c r="D392" s="2">
        <f>MONTH(ProductionData[[#This Row],[Month]])</f>
        <v>5</v>
      </c>
      <c r="E392" s="2" t="s">
        <v>79</v>
      </c>
      <c r="F392" s="2" t="s">
        <v>93</v>
      </c>
      <c r="G392" s="2" t="s">
        <v>195</v>
      </c>
      <c r="H392" s="2" t="s">
        <v>196</v>
      </c>
      <c r="I392" s="2" t="s">
        <v>197</v>
      </c>
      <c r="J392" s="2" t="s">
        <v>198</v>
      </c>
      <c r="K392" s="2" t="s">
        <v>199</v>
      </c>
      <c r="L392" s="2" t="s">
        <v>913</v>
      </c>
      <c r="M392" s="2" t="s">
        <v>133</v>
      </c>
      <c r="N392" s="2" t="s">
        <v>96</v>
      </c>
      <c r="O392" s="2">
        <v>14</v>
      </c>
      <c r="P392" s="2">
        <v>13</v>
      </c>
      <c r="Q392" s="4">
        <v>8290</v>
      </c>
      <c r="R392" s="4">
        <v>7640</v>
      </c>
      <c r="S392" s="4">
        <v>223</v>
      </c>
      <c r="T392" s="19">
        <f>(ProductionData[[#This Row],[Rejected_Qty]])/ProductionData[[#This Row],[Produced_Qty]]</f>
        <v>2.9188481675392671E-2</v>
      </c>
      <c r="U392" s="19">
        <f>ProductionData[[#This Row],[Produced_Qty]]/ProductionData[[#This Row],[Planned_Qty]]</f>
        <v>0.92159227985524728</v>
      </c>
      <c r="V392" s="2" t="s">
        <v>103</v>
      </c>
      <c r="W392" s="11">
        <v>0</v>
      </c>
      <c r="X392" s="13">
        <f>W392/60</f>
        <v>0</v>
      </c>
      <c r="Y392" s="2" t="s">
        <v>90</v>
      </c>
      <c r="Z392" s="2">
        <v>38</v>
      </c>
      <c r="AA392" s="2">
        <f>ProductionData[[#This Row],[Rejected_Qty]]*ProductionData[[#This Row],[Unit_Cost_INR]]</f>
        <v>8474</v>
      </c>
      <c r="AB392" s="4">
        <v>28387</v>
      </c>
      <c r="AC392" s="4">
        <v>7910</v>
      </c>
      <c r="AD392" s="4">
        <v>7910</v>
      </c>
      <c r="AE392" s="4">
        <v>27894</v>
      </c>
      <c r="AF392" s="4">
        <v>13500</v>
      </c>
    </row>
    <row r="393" spans="1:32">
      <c r="A393" s="2" t="s">
        <v>914</v>
      </c>
      <c r="B393" s="3">
        <v>46165</v>
      </c>
      <c r="C393" s="36" t="s">
        <v>790</v>
      </c>
      <c r="D393" s="2">
        <f>MONTH(ProductionData[[#This Row],[Month]])</f>
        <v>5</v>
      </c>
      <c r="E393" s="2" t="s">
        <v>65</v>
      </c>
      <c r="F393" s="2" t="s">
        <v>93</v>
      </c>
      <c r="G393" s="2" t="s">
        <v>81</v>
      </c>
      <c r="H393" s="2" t="s">
        <v>82</v>
      </c>
      <c r="I393" s="2" t="s">
        <v>83</v>
      </c>
      <c r="J393" s="2" t="s">
        <v>166</v>
      </c>
      <c r="K393" s="2" t="s">
        <v>167</v>
      </c>
      <c r="L393" s="2" t="s">
        <v>915</v>
      </c>
      <c r="M393" s="2" t="s">
        <v>133</v>
      </c>
      <c r="N393" s="2" t="s">
        <v>88</v>
      </c>
      <c r="O393" s="2">
        <v>18</v>
      </c>
      <c r="P393" s="2">
        <v>14</v>
      </c>
      <c r="Q393" s="4">
        <v>8880</v>
      </c>
      <c r="R393" s="4">
        <v>7760</v>
      </c>
      <c r="S393" s="4">
        <v>195</v>
      </c>
      <c r="T393" s="19">
        <f>(ProductionData[[#This Row],[Rejected_Qty]])/ProductionData[[#This Row],[Produced_Qty]]</f>
        <v>2.5128865979381444E-2</v>
      </c>
      <c r="U393" s="19">
        <f>ProductionData[[#This Row],[Produced_Qty]]/ProductionData[[#This Row],[Planned_Qty]]</f>
        <v>0.87387387387387383</v>
      </c>
      <c r="V393" s="2" t="s">
        <v>103</v>
      </c>
      <c r="W393" s="11">
        <v>44</v>
      </c>
      <c r="X393" s="13">
        <f>W393/60</f>
        <v>0.73333333333333328</v>
      </c>
      <c r="Y393" s="2" t="s">
        <v>110</v>
      </c>
      <c r="Z393" s="2">
        <v>17</v>
      </c>
      <c r="AA393" s="2">
        <f>ProductionData[[#This Row],[Rejected_Qty]]*ProductionData[[#This Row],[Unit_Cost_INR]]</f>
        <v>3315</v>
      </c>
      <c r="AB393" s="4">
        <v>28207</v>
      </c>
      <c r="AC393" s="4">
        <v>7920</v>
      </c>
      <c r="AD393" s="4">
        <v>7920</v>
      </c>
      <c r="AE393" s="4">
        <v>27852</v>
      </c>
      <c r="AF393" s="4">
        <v>13500</v>
      </c>
    </row>
    <row r="394" spans="1:32">
      <c r="A394" s="2" t="s">
        <v>916</v>
      </c>
      <c r="B394" s="3">
        <v>46157</v>
      </c>
      <c r="C394" s="36" t="s">
        <v>790</v>
      </c>
      <c r="D394" s="2">
        <f>MONTH(ProductionData[[#This Row],[Month]])</f>
        <v>5</v>
      </c>
      <c r="E394" s="2" t="s">
        <v>125</v>
      </c>
      <c r="F394" s="2" t="s">
        <v>93</v>
      </c>
      <c r="G394" s="2" t="s">
        <v>81</v>
      </c>
      <c r="H394" s="2" t="s">
        <v>82</v>
      </c>
      <c r="I394" s="2" t="s">
        <v>83</v>
      </c>
      <c r="J394" s="2" t="s">
        <v>166</v>
      </c>
      <c r="K394" s="2" t="s">
        <v>167</v>
      </c>
      <c r="L394" s="2" t="s">
        <v>917</v>
      </c>
      <c r="M394" s="2" t="s">
        <v>133</v>
      </c>
      <c r="N394" s="2" t="s">
        <v>96</v>
      </c>
      <c r="O394" s="2">
        <v>18</v>
      </c>
      <c r="P394" s="2">
        <v>14</v>
      </c>
      <c r="Q394" s="4">
        <v>8260</v>
      </c>
      <c r="R394" s="4">
        <v>7230</v>
      </c>
      <c r="S394" s="4">
        <v>243</v>
      </c>
      <c r="T394" s="19">
        <f>(ProductionData[[#This Row],[Rejected_Qty]])/ProductionData[[#This Row],[Produced_Qty]]</f>
        <v>3.3609958506224065E-2</v>
      </c>
      <c r="U394" s="19">
        <f>ProductionData[[#This Row],[Produced_Qty]]/ProductionData[[#This Row],[Planned_Qty]]</f>
        <v>0.87530266343825669</v>
      </c>
      <c r="V394" s="2" t="s">
        <v>109</v>
      </c>
      <c r="W394" s="11">
        <v>69</v>
      </c>
      <c r="X394" s="13">
        <f>W394/60</f>
        <v>1.1499999999999999</v>
      </c>
      <c r="Y394" s="2" t="s">
        <v>182</v>
      </c>
      <c r="Z394" s="2">
        <v>17</v>
      </c>
      <c r="AA394" s="2">
        <f>ProductionData[[#This Row],[Rejected_Qty]]*ProductionData[[#This Row],[Unit_Cost_INR]]</f>
        <v>4131</v>
      </c>
      <c r="AB394" s="4">
        <v>28212</v>
      </c>
      <c r="AC394" s="4">
        <v>7350</v>
      </c>
      <c r="AD394" s="4">
        <v>7350</v>
      </c>
      <c r="AE394" s="4">
        <v>27849</v>
      </c>
      <c r="AF394" s="4">
        <v>13500</v>
      </c>
    </row>
    <row r="395" spans="1:32">
      <c r="A395" s="2" t="s">
        <v>918</v>
      </c>
      <c r="B395" s="3">
        <v>46171</v>
      </c>
      <c r="C395" s="36" t="s">
        <v>790</v>
      </c>
      <c r="D395" s="2">
        <f>MONTH(ProductionData[[#This Row],[Month]])</f>
        <v>5</v>
      </c>
      <c r="E395" s="2" t="s">
        <v>125</v>
      </c>
      <c r="F395" s="2" t="s">
        <v>66</v>
      </c>
      <c r="G395" s="2" t="s">
        <v>67</v>
      </c>
      <c r="H395" s="2" t="s">
        <v>68</v>
      </c>
      <c r="I395" s="2" t="s">
        <v>69</v>
      </c>
      <c r="J395" s="2" t="s">
        <v>70</v>
      </c>
      <c r="K395" s="2" t="s">
        <v>71</v>
      </c>
      <c r="L395" s="2" t="s">
        <v>919</v>
      </c>
      <c r="M395" s="2" t="s">
        <v>73</v>
      </c>
      <c r="N395" s="2" t="s">
        <v>96</v>
      </c>
      <c r="O395" s="2">
        <v>16</v>
      </c>
      <c r="P395" s="2">
        <v>15</v>
      </c>
      <c r="Q395" s="4">
        <v>7110</v>
      </c>
      <c r="R395" s="4">
        <v>6900</v>
      </c>
      <c r="S395" s="4">
        <v>154</v>
      </c>
      <c r="T395" s="19">
        <f>(ProductionData[[#This Row],[Rejected_Qty]])/ProductionData[[#This Row],[Produced_Qty]]</f>
        <v>2.2318840579710144E-2</v>
      </c>
      <c r="U395" s="19">
        <f>ProductionData[[#This Row],[Produced_Qty]]/ProductionData[[#This Row],[Planned_Qty]]</f>
        <v>0.97046413502109707</v>
      </c>
      <c r="V395" s="2" t="s">
        <v>103</v>
      </c>
      <c r="W395" s="11">
        <v>0</v>
      </c>
      <c r="X395" s="13">
        <f>W395/60</f>
        <v>0</v>
      </c>
      <c r="Y395" s="2" t="s">
        <v>90</v>
      </c>
      <c r="Z395" s="2">
        <v>46</v>
      </c>
      <c r="AA395" s="2">
        <f>ProductionData[[#This Row],[Rejected_Qty]]*ProductionData[[#This Row],[Unit_Cost_INR]]</f>
        <v>7084</v>
      </c>
      <c r="AB395" s="4">
        <v>26794</v>
      </c>
      <c r="AC395" s="4">
        <v>5710</v>
      </c>
      <c r="AD395" s="4">
        <v>5710</v>
      </c>
      <c r="AE395" s="4">
        <v>27830</v>
      </c>
      <c r="AF395" s="4">
        <v>10500</v>
      </c>
    </row>
    <row r="396" spans="1:32">
      <c r="A396" s="2" t="s">
        <v>920</v>
      </c>
      <c r="B396" s="3">
        <v>46149</v>
      </c>
      <c r="C396" s="36" t="s">
        <v>790</v>
      </c>
      <c r="D396" s="2">
        <f>MONTH(ProductionData[[#This Row],[Month]])</f>
        <v>5</v>
      </c>
      <c r="E396" s="2" t="s">
        <v>107</v>
      </c>
      <c r="F396" s="2" t="s">
        <v>66</v>
      </c>
      <c r="G396" s="2" t="s">
        <v>81</v>
      </c>
      <c r="H396" s="2" t="s">
        <v>82</v>
      </c>
      <c r="I396" s="2" t="s">
        <v>83</v>
      </c>
      <c r="J396" s="2" t="s">
        <v>166</v>
      </c>
      <c r="K396" s="2" t="s">
        <v>167</v>
      </c>
      <c r="L396" s="2" t="s">
        <v>921</v>
      </c>
      <c r="M396" s="2" t="s">
        <v>99</v>
      </c>
      <c r="N396" s="2" t="s">
        <v>88</v>
      </c>
      <c r="O396" s="2">
        <v>18</v>
      </c>
      <c r="P396" s="2">
        <v>17</v>
      </c>
      <c r="Q396" s="4">
        <v>8640</v>
      </c>
      <c r="R396" s="4">
        <v>8550</v>
      </c>
      <c r="S396" s="4">
        <v>306</v>
      </c>
      <c r="T396" s="19">
        <f>(ProductionData[[#This Row],[Rejected_Qty]])/ProductionData[[#This Row],[Produced_Qty]]</f>
        <v>3.5789473684210524E-2</v>
      </c>
      <c r="U396" s="19">
        <f>ProductionData[[#This Row],[Produced_Qty]]/ProductionData[[#This Row],[Planned_Qty]]</f>
        <v>0.98958333333333337</v>
      </c>
      <c r="V396" s="2" t="s">
        <v>89</v>
      </c>
      <c r="W396" s="11">
        <v>57</v>
      </c>
      <c r="X396" s="13">
        <f>W396/60</f>
        <v>0.95</v>
      </c>
      <c r="Y396" s="2" t="s">
        <v>110</v>
      </c>
      <c r="Z396" s="2">
        <v>17</v>
      </c>
      <c r="AA396" s="2">
        <f>ProductionData[[#This Row],[Rejected_Qty]]*ProductionData[[#This Row],[Unit_Cost_INR]]</f>
        <v>5202</v>
      </c>
      <c r="AB396" s="4">
        <v>27911</v>
      </c>
      <c r="AC396" s="4">
        <v>8330</v>
      </c>
      <c r="AD396" s="4">
        <v>8330</v>
      </c>
      <c r="AE396" s="4">
        <v>27825</v>
      </c>
      <c r="AF396" s="4">
        <v>13500</v>
      </c>
    </row>
    <row r="397" spans="1:32">
      <c r="A397" s="2" t="s">
        <v>922</v>
      </c>
      <c r="B397" s="3">
        <v>46157</v>
      </c>
      <c r="C397" s="36" t="s">
        <v>790</v>
      </c>
      <c r="D397" s="2">
        <f>MONTH(ProductionData[[#This Row],[Month]])</f>
        <v>5</v>
      </c>
      <c r="E397" s="2" t="s">
        <v>125</v>
      </c>
      <c r="F397" s="2" t="s">
        <v>93</v>
      </c>
      <c r="G397" s="2" t="s">
        <v>174</v>
      </c>
      <c r="H397" s="2" t="s">
        <v>175</v>
      </c>
      <c r="I397" s="2" t="s">
        <v>176</v>
      </c>
      <c r="J397" s="2" t="s">
        <v>177</v>
      </c>
      <c r="K397" s="2" t="s">
        <v>178</v>
      </c>
      <c r="L397" s="2" t="s">
        <v>923</v>
      </c>
      <c r="M397" s="2" t="s">
        <v>95</v>
      </c>
      <c r="N397" s="2" t="s">
        <v>88</v>
      </c>
      <c r="O397" s="2">
        <v>10</v>
      </c>
      <c r="P397" s="2">
        <v>10</v>
      </c>
      <c r="Q397" s="4">
        <v>7470</v>
      </c>
      <c r="R397" s="4">
        <v>7060</v>
      </c>
      <c r="S397" s="4">
        <v>237</v>
      </c>
      <c r="T397" s="19">
        <f>(ProductionData[[#This Row],[Rejected_Qty]])/ProductionData[[#This Row],[Produced_Qty]]</f>
        <v>3.3569405099150143E-2</v>
      </c>
      <c r="U397" s="19">
        <f>ProductionData[[#This Row],[Produced_Qty]]/ProductionData[[#This Row],[Planned_Qty]]</f>
        <v>0.94511378848728245</v>
      </c>
      <c r="V397" s="2" t="s">
        <v>109</v>
      </c>
      <c r="W397" s="11">
        <v>0</v>
      </c>
      <c r="X397" s="13">
        <f>W397/60</f>
        <v>0</v>
      </c>
      <c r="Y397" s="2" t="s">
        <v>90</v>
      </c>
      <c r="Z397" s="2">
        <v>24</v>
      </c>
      <c r="AA397" s="2">
        <f>ProductionData[[#This Row],[Rejected_Qty]]*ProductionData[[#This Row],[Unit_Cost_INR]]</f>
        <v>5688</v>
      </c>
      <c r="AB397" s="4">
        <v>28136</v>
      </c>
      <c r="AC397" s="4">
        <v>7210</v>
      </c>
      <c r="AD397" s="4">
        <v>7210</v>
      </c>
      <c r="AE397" s="4">
        <v>27749</v>
      </c>
      <c r="AF397" s="4">
        <v>12000</v>
      </c>
    </row>
    <row r="398" spans="1:32">
      <c r="A398" s="2" t="s">
        <v>924</v>
      </c>
      <c r="B398" s="3">
        <v>46161</v>
      </c>
      <c r="C398" s="36" t="s">
        <v>790</v>
      </c>
      <c r="D398" s="2">
        <f>MONTH(ProductionData[[#This Row],[Month]])</f>
        <v>5</v>
      </c>
      <c r="E398" s="2" t="s">
        <v>92</v>
      </c>
      <c r="F398" s="2" t="s">
        <v>80</v>
      </c>
      <c r="G398" s="2" t="s">
        <v>195</v>
      </c>
      <c r="H398" s="2" t="s">
        <v>196</v>
      </c>
      <c r="I398" s="2" t="s">
        <v>197</v>
      </c>
      <c r="J398" s="2" t="s">
        <v>198</v>
      </c>
      <c r="K398" s="2" t="s">
        <v>199</v>
      </c>
      <c r="L398" s="2" t="s">
        <v>925</v>
      </c>
      <c r="M398" s="2" t="s">
        <v>102</v>
      </c>
      <c r="N398" s="2" t="s">
        <v>96</v>
      </c>
      <c r="O398" s="2">
        <v>14</v>
      </c>
      <c r="P398" s="2">
        <v>14</v>
      </c>
      <c r="Q398" s="4">
        <v>9230</v>
      </c>
      <c r="R398" s="4">
        <v>8660</v>
      </c>
      <c r="S398" s="4">
        <v>211</v>
      </c>
      <c r="T398" s="19">
        <f>(ProductionData[[#This Row],[Rejected_Qty]])/ProductionData[[#This Row],[Produced_Qty]]</f>
        <v>2.4364896073903002E-2</v>
      </c>
      <c r="U398" s="19">
        <f>ProductionData[[#This Row],[Produced_Qty]]/ProductionData[[#This Row],[Planned_Qty]]</f>
        <v>0.93824485373781152</v>
      </c>
      <c r="V398" s="2" t="s">
        <v>103</v>
      </c>
      <c r="W398" s="11">
        <v>74</v>
      </c>
      <c r="X398" s="13">
        <f>W398/60</f>
        <v>1.2333333333333334</v>
      </c>
      <c r="Y398" s="2" t="s">
        <v>110</v>
      </c>
      <c r="Z398" s="2">
        <v>38</v>
      </c>
      <c r="AA398" s="2">
        <f>ProductionData[[#This Row],[Rejected_Qty]]*ProductionData[[#This Row],[Unit_Cost_INR]]</f>
        <v>8018</v>
      </c>
      <c r="AB398" s="4">
        <v>28793</v>
      </c>
      <c r="AC398" s="4">
        <v>9500</v>
      </c>
      <c r="AD398" s="4">
        <v>9500</v>
      </c>
      <c r="AE398" s="4">
        <v>27742</v>
      </c>
      <c r="AF398" s="4">
        <v>13500</v>
      </c>
    </row>
    <row r="399" spans="1:32">
      <c r="A399" s="2" t="s">
        <v>926</v>
      </c>
      <c r="B399" s="3">
        <v>46160</v>
      </c>
      <c r="C399" s="36" t="s">
        <v>790</v>
      </c>
      <c r="D399" s="2">
        <f>MONTH(ProductionData[[#This Row],[Month]])</f>
        <v>5</v>
      </c>
      <c r="E399" s="2" t="s">
        <v>116</v>
      </c>
      <c r="F399" s="2" t="s">
        <v>80</v>
      </c>
      <c r="G399" s="2" t="s">
        <v>81</v>
      </c>
      <c r="H399" s="2" t="s">
        <v>82</v>
      </c>
      <c r="I399" s="2" t="s">
        <v>83</v>
      </c>
      <c r="J399" s="2" t="s">
        <v>166</v>
      </c>
      <c r="K399" s="2" t="s">
        <v>167</v>
      </c>
      <c r="L399" s="2" t="s">
        <v>927</v>
      </c>
      <c r="M399" s="2" t="s">
        <v>102</v>
      </c>
      <c r="N399" s="2" t="s">
        <v>88</v>
      </c>
      <c r="O399" s="2">
        <v>18</v>
      </c>
      <c r="P399" s="2">
        <v>16</v>
      </c>
      <c r="Q399" s="4">
        <v>8290</v>
      </c>
      <c r="R399" s="4">
        <v>7780</v>
      </c>
      <c r="S399" s="4">
        <v>233</v>
      </c>
      <c r="T399" s="19">
        <f>(ProductionData[[#This Row],[Rejected_Qty]])/ProductionData[[#This Row],[Produced_Qty]]</f>
        <v>2.9948586118251928E-2</v>
      </c>
      <c r="U399" s="19">
        <f>ProductionData[[#This Row],[Produced_Qty]]/ProductionData[[#This Row],[Planned_Qty]]</f>
        <v>0.93848009650180941</v>
      </c>
      <c r="V399" s="2" t="s">
        <v>109</v>
      </c>
      <c r="W399" s="11">
        <v>43</v>
      </c>
      <c r="X399" s="13">
        <f>W399/60</f>
        <v>0.71666666666666667</v>
      </c>
      <c r="Y399" s="2" t="s">
        <v>76</v>
      </c>
      <c r="Z399" s="2">
        <v>17</v>
      </c>
      <c r="AA399" s="2">
        <f>ProductionData[[#This Row],[Rejected_Qty]]*ProductionData[[#This Row],[Unit_Cost_INR]]</f>
        <v>3961</v>
      </c>
      <c r="AB399" s="4">
        <v>28216</v>
      </c>
      <c r="AC399" s="4">
        <v>8060</v>
      </c>
      <c r="AD399" s="4">
        <v>8060</v>
      </c>
      <c r="AE399" s="4">
        <v>27703</v>
      </c>
      <c r="AF399" s="4">
        <v>13500</v>
      </c>
    </row>
    <row r="400" spans="1:32">
      <c r="A400" s="2" t="s">
        <v>928</v>
      </c>
      <c r="B400" s="3">
        <v>46160</v>
      </c>
      <c r="C400" s="36" t="s">
        <v>790</v>
      </c>
      <c r="D400" s="2">
        <f>MONTH(ProductionData[[#This Row],[Month]])</f>
        <v>5</v>
      </c>
      <c r="E400" s="2" t="s">
        <v>116</v>
      </c>
      <c r="F400" s="2" t="s">
        <v>93</v>
      </c>
      <c r="G400" s="2" t="s">
        <v>174</v>
      </c>
      <c r="H400" s="2" t="s">
        <v>175</v>
      </c>
      <c r="I400" s="2" t="s">
        <v>176</v>
      </c>
      <c r="J400" s="2" t="s">
        <v>177</v>
      </c>
      <c r="K400" s="2" t="s">
        <v>178</v>
      </c>
      <c r="L400" s="2" t="s">
        <v>929</v>
      </c>
      <c r="M400" s="2" t="s">
        <v>133</v>
      </c>
      <c r="N400" s="2" t="s">
        <v>88</v>
      </c>
      <c r="O400" s="2">
        <v>10</v>
      </c>
      <c r="P400" s="2">
        <v>8</v>
      </c>
      <c r="Q400" s="4">
        <v>7680</v>
      </c>
      <c r="R400" s="4">
        <v>6850</v>
      </c>
      <c r="S400" s="4">
        <v>70</v>
      </c>
      <c r="T400" s="19">
        <f>(ProductionData[[#This Row],[Rejected_Qty]])/ProductionData[[#This Row],[Produced_Qty]]</f>
        <v>1.0218978102189781E-2</v>
      </c>
      <c r="U400" s="19">
        <f>ProductionData[[#This Row],[Produced_Qty]]/ProductionData[[#This Row],[Planned_Qty]]</f>
        <v>0.89192708333333337</v>
      </c>
      <c r="V400" s="2" t="s">
        <v>89</v>
      </c>
      <c r="W400" s="11">
        <v>0</v>
      </c>
      <c r="X400" s="13">
        <f>W400/60</f>
        <v>0</v>
      </c>
      <c r="Y400" s="2" t="s">
        <v>90</v>
      </c>
      <c r="Z400" s="2">
        <v>24</v>
      </c>
      <c r="AA400" s="2">
        <f>ProductionData[[#This Row],[Rejected_Qty]]*ProductionData[[#This Row],[Unit_Cost_INR]]</f>
        <v>1680</v>
      </c>
      <c r="AB400" s="4">
        <v>27749</v>
      </c>
      <c r="AC400" s="4">
        <v>6850</v>
      </c>
      <c r="AD400" s="4">
        <v>6850</v>
      </c>
      <c r="AE400" s="4">
        <v>27679</v>
      </c>
      <c r="AF400" s="4">
        <v>12000</v>
      </c>
    </row>
    <row r="401" spans="1:32">
      <c r="A401" s="2" t="s">
        <v>930</v>
      </c>
      <c r="B401" s="3">
        <v>46150</v>
      </c>
      <c r="C401" s="36" t="s">
        <v>790</v>
      </c>
      <c r="D401" s="2">
        <f>MONTH(ProductionData[[#This Row],[Month]])</f>
        <v>5</v>
      </c>
      <c r="E401" s="2" t="s">
        <v>125</v>
      </c>
      <c r="F401" s="2" t="s">
        <v>66</v>
      </c>
      <c r="G401" s="2" t="s">
        <v>195</v>
      </c>
      <c r="H401" s="2" t="s">
        <v>196</v>
      </c>
      <c r="I401" s="2" t="s">
        <v>197</v>
      </c>
      <c r="J401" s="2" t="s">
        <v>198</v>
      </c>
      <c r="K401" s="2" t="s">
        <v>199</v>
      </c>
      <c r="L401" s="2" t="s">
        <v>931</v>
      </c>
      <c r="M401" s="2" t="s">
        <v>73</v>
      </c>
      <c r="N401" s="2" t="s">
        <v>96</v>
      </c>
      <c r="O401" s="2">
        <v>14</v>
      </c>
      <c r="P401" s="2">
        <v>11</v>
      </c>
      <c r="Q401" s="4">
        <v>9340</v>
      </c>
      <c r="R401" s="4">
        <v>8030</v>
      </c>
      <c r="S401" s="4">
        <v>201</v>
      </c>
      <c r="T401" s="19">
        <f>(ProductionData[[#This Row],[Rejected_Qty]])/ProductionData[[#This Row],[Produced_Qty]]</f>
        <v>2.5031133250311331E-2</v>
      </c>
      <c r="U401" s="19">
        <f>ProductionData[[#This Row],[Produced_Qty]]/ProductionData[[#This Row],[Planned_Qty]]</f>
        <v>0.85974304068522489</v>
      </c>
      <c r="V401" s="2" t="s">
        <v>89</v>
      </c>
      <c r="W401" s="11">
        <v>38</v>
      </c>
      <c r="X401" s="13">
        <f>W401/60</f>
        <v>0.6333333333333333</v>
      </c>
      <c r="Y401" s="2" t="s">
        <v>76</v>
      </c>
      <c r="Z401" s="2">
        <v>38</v>
      </c>
      <c r="AA401" s="2">
        <f>ProductionData[[#This Row],[Rejected_Qty]]*ProductionData[[#This Row],[Unit_Cost_INR]]</f>
        <v>7638</v>
      </c>
      <c r="AB401" s="4">
        <v>28359</v>
      </c>
      <c r="AC401" s="4">
        <v>8600</v>
      </c>
      <c r="AD401" s="4">
        <v>8600</v>
      </c>
      <c r="AE401" s="4">
        <v>27588</v>
      </c>
      <c r="AF401" s="4">
        <v>13500</v>
      </c>
    </row>
    <row r="402" spans="1:32">
      <c r="A402" s="2" t="s">
        <v>932</v>
      </c>
      <c r="B402" s="3">
        <v>46146</v>
      </c>
      <c r="C402" s="36" t="s">
        <v>790</v>
      </c>
      <c r="D402" s="2">
        <f>MONTH(ProductionData[[#This Row],[Month]])</f>
        <v>5</v>
      </c>
      <c r="E402" s="2" t="s">
        <v>116</v>
      </c>
      <c r="F402" s="2" t="s">
        <v>80</v>
      </c>
      <c r="G402" s="2" t="s">
        <v>81</v>
      </c>
      <c r="H402" s="2" t="s">
        <v>82</v>
      </c>
      <c r="I402" s="2" t="s">
        <v>83</v>
      </c>
      <c r="J402" s="2" t="s">
        <v>166</v>
      </c>
      <c r="K402" s="2" t="s">
        <v>167</v>
      </c>
      <c r="L402" s="2" t="s">
        <v>933</v>
      </c>
      <c r="M402" s="2" t="s">
        <v>87</v>
      </c>
      <c r="N402" s="2" t="s">
        <v>96</v>
      </c>
      <c r="O402" s="2">
        <v>18</v>
      </c>
      <c r="P402" s="2">
        <v>17</v>
      </c>
      <c r="Q402" s="4">
        <v>9010</v>
      </c>
      <c r="R402" s="4">
        <v>8800</v>
      </c>
      <c r="S402" s="4">
        <v>223</v>
      </c>
      <c r="T402" s="19">
        <f>(ProductionData[[#This Row],[Rejected_Qty]])/ProductionData[[#This Row],[Produced_Qty]]</f>
        <v>2.5340909090909091E-2</v>
      </c>
      <c r="U402" s="19">
        <f>ProductionData[[#This Row],[Produced_Qty]]/ProductionData[[#This Row],[Planned_Qty]]</f>
        <v>0.97669256381797998</v>
      </c>
      <c r="V402" s="2" t="s">
        <v>103</v>
      </c>
      <c r="W402" s="11">
        <v>0</v>
      </c>
      <c r="X402" s="13">
        <f>W402/60</f>
        <v>0</v>
      </c>
      <c r="Y402" s="2" t="s">
        <v>90</v>
      </c>
      <c r="Z402" s="2">
        <v>17</v>
      </c>
      <c r="AA402" s="2">
        <f>ProductionData[[#This Row],[Rejected_Qty]]*ProductionData[[#This Row],[Unit_Cost_INR]]</f>
        <v>3791</v>
      </c>
      <c r="AB402" s="4">
        <v>27108</v>
      </c>
      <c r="AC402" s="4">
        <v>8140</v>
      </c>
      <c r="AD402" s="4">
        <v>8140</v>
      </c>
      <c r="AE402" s="4">
        <v>27545</v>
      </c>
      <c r="AF402" s="4">
        <v>13500</v>
      </c>
    </row>
    <row r="403" spans="1:32">
      <c r="A403" s="2" t="s">
        <v>934</v>
      </c>
      <c r="B403" s="3">
        <v>46154</v>
      </c>
      <c r="C403" s="36" t="s">
        <v>790</v>
      </c>
      <c r="D403" s="2">
        <f>MONTH(ProductionData[[#This Row],[Month]])</f>
        <v>5</v>
      </c>
      <c r="E403" s="2" t="s">
        <v>92</v>
      </c>
      <c r="F403" s="2" t="s">
        <v>66</v>
      </c>
      <c r="G403" s="2" t="s">
        <v>174</v>
      </c>
      <c r="H403" s="2" t="s">
        <v>175</v>
      </c>
      <c r="I403" s="2" t="s">
        <v>176</v>
      </c>
      <c r="J403" s="2" t="s">
        <v>177</v>
      </c>
      <c r="K403" s="2" t="s">
        <v>178</v>
      </c>
      <c r="L403" s="2" t="s">
        <v>935</v>
      </c>
      <c r="M403" s="2" t="s">
        <v>99</v>
      </c>
      <c r="N403" s="2" t="s">
        <v>88</v>
      </c>
      <c r="O403" s="2">
        <v>10</v>
      </c>
      <c r="P403" s="2">
        <v>10</v>
      </c>
      <c r="Q403" s="4">
        <v>8120</v>
      </c>
      <c r="R403" s="4">
        <v>7910</v>
      </c>
      <c r="S403" s="4">
        <v>170</v>
      </c>
      <c r="T403" s="19">
        <f>(ProductionData[[#This Row],[Rejected_Qty]])/ProductionData[[#This Row],[Produced_Qty]]</f>
        <v>2.1491782553729456E-2</v>
      </c>
      <c r="U403" s="19">
        <f>ProductionData[[#This Row],[Produced_Qty]]/ProductionData[[#This Row],[Planned_Qty]]</f>
        <v>0.97413793103448276</v>
      </c>
      <c r="V403" s="2" t="s">
        <v>89</v>
      </c>
      <c r="W403" s="11">
        <v>0</v>
      </c>
      <c r="X403" s="13">
        <f>W403/60</f>
        <v>0</v>
      </c>
      <c r="Y403" s="2" t="s">
        <v>90</v>
      </c>
      <c r="Z403" s="2">
        <v>24</v>
      </c>
      <c r="AA403" s="2">
        <f>ProductionData[[#This Row],[Rejected_Qty]]*ProductionData[[#This Row],[Unit_Cost_INR]]</f>
        <v>4080</v>
      </c>
      <c r="AB403" s="4">
        <v>26558</v>
      </c>
      <c r="AC403" s="4">
        <v>6780</v>
      </c>
      <c r="AD403" s="4">
        <v>6780</v>
      </c>
      <c r="AE403" s="4">
        <v>27518</v>
      </c>
      <c r="AF403" s="4">
        <v>12000</v>
      </c>
    </row>
    <row r="404" spans="1:32">
      <c r="A404" s="2" t="s">
        <v>936</v>
      </c>
      <c r="B404" s="3">
        <v>46164</v>
      </c>
      <c r="C404" s="36" t="s">
        <v>790</v>
      </c>
      <c r="D404" s="2">
        <f>MONTH(ProductionData[[#This Row],[Month]])</f>
        <v>5</v>
      </c>
      <c r="E404" s="2" t="s">
        <v>125</v>
      </c>
      <c r="F404" s="2" t="s">
        <v>80</v>
      </c>
      <c r="G404" s="2" t="s">
        <v>195</v>
      </c>
      <c r="H404" s="2" t="s">
        <v>196</v>
      </c>
      <c r="I404" s="2" t="s">
        <v>197</v>
      </c>
      <c r="J404" s="2" t="s">
        <v>198</v>
      </c>
      <c r="K404" s="2" t="s">
        <v>199</v>
      </c>
      <c r="L404" s="2" t="s">
        <v>937</v>
      </c>
      <c r="M404" s="2" t="s">
        <v>87</v>
      </c>
      <c r="N404" s="2" t="s">
        <v>96</v>
      </c>
      <c r="O404" s="2">
        <v>14</v>
      </c>
      <c r="P404" s="2">
        <v>13</v>
      </c>
      <c r="Q404" s="4">
        <v>8860</v>
      </c>
      <c r="R404" s="4">
        <v>7960</v>
      </c>
      <c r="S404" s="4">
        <v>106</v>
      </c>
      <c r="T404" s="19">
        <f>(ProductionData[[#This Row],[Rejected_Qty]])/ProductionData[[#This Row],[Produced_Qty]]</f>
        <v>1.3316582914572864E-2</v>
      </c>
      <c r="U404" s="19">
        <f>ProductionData[[#This Row],[Produced_Qty]]/ProductionData[[#This Row],[Planned_Qty]]</f>
        <v>0.89841986455981937</v>
      </c>
      <c r="V404" s="2" t="s">
        <v>109</v>
      </c>
      <c r="W404" s="11">
        <v>23</v>
      </c>
      <c r="X404" s="13">
        <f>W404/60</f>
        <v>0.38333333333333336</v>
      </c>
      <c r="Y404" s="2" t="s">
        <v>110</v>
      </c>
      <c r="Z404" s="2">
        <v>38</v>
      </c>
      <c r="AA404" s="2">
        <f>ProductionData[[#This Row],[Rejected_Qty]]*ProductionData[[#This Row],[Unit_Cost_INR]]</f>
        <v>4028</v>
      </c>
      <c r="AB404" s="4">
        <v>28270</v>
      </c>
      <c r="AC404" s="4">
        <v>8610</v>
      </c>
      <c r="AD404" s="4">
        <v>8610</v>
      </c>
      <c r="AE404" s="4">
        <v>27514</v>
      </c>
      <c r="AF404" s="4">
        <v>13500</v>
      </c>
    </row>
    <row r="405" spans="1:32">
      <c r="A405" s="2" t="s">
        <v>938</v>
      </c>
      <c r="B405" s="3">
        <v>46159</v>
      </c>
      <c r="C405" s="36" t="s">
        <v>790</v>
      </c>
      <c r="D405" s="2">
        <f>MONTH(ProductionData[[#This Row],[Month]])</f>
        <v>5</v>
      </c>
      <c r="E405" s="2" t="s">
        <v>186</v>
      </c>
      <c r="F405" s="2" t="s">
        <v>66</v>
      </c>
      <c r="G405" s="2" t="s">
        <v>81</v>
      </c>
      <c r="H405" s="2" t="s">
        <v>82</v>
      </c>
      <c r="I405" s="2" t="s">
        <v>83</v>
      </c>
      <c r="J405" s="2" t="s">
        <v>166</v>
      </c>
      <c r="K405" s="2" t="s">
        <v>167</v>
      </c>
      <c r="L405" s="2" t="s">
        <v>939</v>
      </c>
      <c r="M405" s="2" t="s">
        <v>73</v>
      </c>
      <c r="N405" s="2" t="s">
        <v>88</v>
      </c>
      <c r="O405" s="2">
        <v>18</v>
      </c>
      <c r="P405" s="2">
        <v>17</v>
      </c>
      <c r="Q405" s="4">
        <v>6430</v>
      </c>
      <c r="R405" s="4">
        <v>6030</v>
      </c>
      <c r="S405" s="4">
        <v>132</v>
      </c>
      <c r="T405" s="19">
        <f>(ProductionData[[#This Row],[Rejected_Qty]])/ProductionData[[#This Row],[Produced_Qty]]</f>
        <v>2.1890547263681594E-2</v>
      </c>
      <c r="U405" s="19">
        <f>ProductionData[[#This Row],[Produced_Qty]]/ProductionData[[#This Row],[Planned_Qty]]</f>
        <v>0.93779160186625199</v>
      </c>
      <c r="V405" s="2" t="s">
        <v>109</v>
      </c>
      <c r="W405" s="11">
        <v>39</v>
      </c>
      <c r="X405" s="13">
        <f>W405/60</f>
        <v>0.65</v>
      </c>
      <c r="Y405" s="2" t="s">
        <v>76</v>
      </c>
      <c r="Z405" s="2">
        <v>17</v>
      </c>
      <c r="AA405" s="2">
        <f>ProductionData[[#This Row],[Rejected_Qty]]*ProductionData[[#This Row],[Unit_Cost_INR]]</f>
        <v>2244</v>
      </c>
      <c r="AB405" s="4">
        <v>27849</v>
      </c>
      <c r="AC405" s="4">
        <v>6310</v>
      </c>
      <c r="AD405" s="4">
        <v>6310</v>
      </c>
      <c r="AE405" s="4">
        <v>27437</v>
      </c>
      <c r="AF405" s="4">
        <v>13500</v>
      </c>
    </row>
    <row r="406" spans="1:32">
      <c r="A406" s="2" t="s">
        <v>940</v>
      </c>
      <c r="B406" s="3">
        <v>46149</v>
      </c>
      <c r="C406" s="36" t="s">
        <v>790</v>
      </c>
      <c r="D406" s="2">
        <f>MONTH(ProductionData[[#This Row],[Month]])</f>
        <v>5</v>
      </c>
      <c r="E406" s="2" t="s">
        <v>107</v>
      </c>
      <c r="F406" s="2" t="s">
        <v>80</v>
      </c>
      <c r="G406" s="2" t="s">
        <v>174</v>
      </c>
      <c r="H406" s="2" t="s">
        <v>175</v>
      </c>
      <c r="I406" s="2" t="s">
        <v>176</v>
      </c>
      <c r="J406" s="2" t="s">
        <v>177</v>
      </c>
      <c r="K406" s="2" t="s">
        <v>178</v>
      </c>
      <c r="L406" s="2" t="s">
        <v>941</v>
      </c>
      <c r="M406" s="2" t="s">
        <v>87</v>
      </c>
      <c r="N406" s="2" t="s">
        <v>88</v>
      </c>
      <c r="O406" s="2">
        <v>10</v>
      </c>
      <c r="P406" s="2">
        <v>9</v>
      </c>
      <c r="Q406" s="4">
        <v>8110</v>
      </c>
      <c r="R406" s="4">
        <v>7300</v>
      </c>
      <c r="S406" s="4">
        <v>245</v>
      </c>
      <c r="T406" s="19">
        <f>(ProductionData[[#This Row],[Rejected_Qty]])/ProductionData[[#This Row],[Produced_Qty]]</f>
        <v>3.3561643835616439E-2</v>
      </c>
      <c r="U406" s="19">
        <f>ProductionData[[#This Row],[Produced_Qty]]/ProductionData[[#This Row],[Planned_Qty]]</f>
        <v>0.90012330456226886</v>
      </c>
      <c r="V406" s="2" t="s">
        <v>113</v>
      </c>
      <c r="W406" s="11">
        <v>0</v>
      </c>
      <c r="X406" s="13">
        <f>W406/60</f>
        <v>0</v>
      </c>
      <c r="Y406" s="2" t="s">
        <v>90</v>
      </c>
      <c r="Z406" s="2">
        <v>24</v>
      </c>
      <c r="AA406" s="2">
        <f>ProductionData[[#This Row],[Rejected_Qty]]*ProductionData[[#This Row],[Unit_Cost_INR]]</f>
        <v>5880</v>
      </c>
      <c r="AB406" s="4">
        <v>27921</v>
      </c>
      <c r="AC406" s="4">
        <v>7540</v>
      </c>
      <c r="AD406" s="4">
        <v>7540</v>
      </c>
      <c r="AE406" s="4">
        <v>27436</v>
      </c>
      <c r="AF406" s="4">
        <v>12000</v>
      </c>
    </row>
    <row r="407" spans="1:32">
      <c r="A407" s="2" t="s">
        <v>942</v>
      </c>
      <c r="B407" s="3">
        <v>46154</v>
      </c>
      <c r="C407" s="36" t="s">
        <v>790</v>
      </c>
      <c r="D407" s="2">
        <f>MONTH(ProductionData[[#This Row],[Month]])</f>
        <v>5</v>
      </c>
      <c r="E407" s="2" t="s">
        <v>92</v>
      </c>
      <c r="F407" s="2" t="s">
        <v>93</v>
      </c>
      <c r="G407" s="2" t="s">
        <v>174</v>
      </c>
      <c r="H407" s="2" t="s">
        <v>175</v>
      </c>
      <c r="I407" s="2" t="s">
        <v>176</v>
      </c>
      <c r="J407" s="2" t="s">
        <v>177</v>
      </c>
      <c r="K407" s="2" t="s">
        <v>178</v>
      </c>
      <c r="L407" s="2" t="s">
        <v>943</v>
      </c>
      <c r="M407" s="2" t="s">
        <v>95</v>
      </c>
      <c r="N407" s="2" t="s">
        <v>96</v>
      </c>
      <c r="O407" s="2">
        <v>10</v>
      </c>
      <c r="P407" s="2">
        <v>9</v>
      </c>
      <c r="Q407" s="4">
        <v>7020</v>
      </c>
      <c r="R407" s="4">
        <v>6620</v>
      </c>
      <c r="S407" s="4">
        <v>132</v>
      </c>
      <c r="T407" s="19">
        <f>(ProductionData[[#This Row],[Rejected_Qty]])/ProductionData[[#This Row],[Produced_Qty]]</f>
        <v>1.9939577039274924E-2</v>
      </c>
      <c r="U407" s="19">
        <f>ProductionData[[#This Row],[Produced_Qty]]/ProductionData[[#This Row],[Planned_Qty]]</f>
        <v>0.94301994301994307</v>
      </c>
      <c r="V407" s="2" t="s">
        <v>113</v>
      </c>
      <c r="W407" s="11">
        <v>55</v>
      </c>
      <c r="X407" s="13">
        <f>W407/60</f>
        <v>0.91666666666666663</v>
      </c>
      <c r="Y407" s="2" t="s">
        <v>110</v>
      </c>
      <c r="Z407" s="2">
        <v>24</v>
      </c>
      <c r="AA407" s="2">
        <f>ProductionData[[#This Row],[Rejected_Qty]]*ProductionData[[#This Row],[Unit_Cost_INR]]</f>
        <v>3168</v>
      </c>
      <c r="AB407" s="4">
        <v>27518</v>
      </c>
      <c r="AC407" s="4">
        <v>6580</v>
      </c>
      <c r="AD407" s="4">
        <v>6580</v>
      </c>
      <c r="AE407" s="4">
        <v>27426</v>
      </c>
      <c r="AF407" s="4">
        <v>12000</v>
      </c>
    </row>
    <row r="408" spans="1:32">
      <c r="A408" s="2" t="s">
        <v>944</v>
      </c>
      <c r="B408" s="3">
        <v>46151</v>
      </c>
      <c r="C408" s="36" t="s">
        <v>790</v>
      </c>
      <c r="D408" s="2">
        <f>MONTH(ProductionData[[#This Row],[Month]])</f>
        <v>5</v>
      </c>
      <c r="E408" s="2" t="s">
        <v>65</v>
      </c>
      <c r="F408" s="2" t="s">
        <v>93</v>
      </c>
      <c r="G408" s="2" t="s">
        <v>195</v>
      </c>
      <c r="H408" s="2" t="s">
        <v>196</v>
      </c>
      <c r="I408" s="2" t="s">
        <v>197</v>
      </c>
      <c r="J408" s="2" t="s">
        <v>198</v>
      </c>
      <c r="K408" s="2" t="s">
        <v>199</v>
      </c>
      <c r="L408" s="2" t="s">
        <v>945</v>
      </c>
      <c r="M408" s="2" t="s">
        <v>95</v>
      </c>
      <c r="N408" s="2" t="s">
        <v>96</v>
      </c>
      <c r="O408" s="2">
        <v>14</v>
      </c>
      <c r="P408" s="2">
        <v>12</v>
      </c>
      <c r="Q408" s="4">
        <v>8450</v>
      </c>
      <c r="R408" s="4">
        <v>7570</v>
      </c>
      <c r="S408" s="4">
        <v>188</v>
      </c>
      <c r="T408" s="19">
        <f>(ProductionData[[#This Row],[Rejected_Qty]])/ProductionData[[#This Row],[Produced_Qty]]</f>
        <v>2.4834874504623513E-2</v>
      </c>
      <c r="U408" s="19">
        <f>ProductionData[[#This Row],[Produced_Qty]]/ProductionData[[#This Row],[Planned_Qty]]</f>
        <v>0.89585798816568052</v>
      </c>
      <c r="V408" s="2" t="s">
        <v>89</v>
      </c>
      <c r="W408" s="11">
        <v>0</v>
      </c>
      <c r="X408" s="13">
        <f>W408/60</f>
        <v>0</v>
      </c>
      <c r="Y408" s="2" t="s">
        <v>90</v>
      </c>
      <c r="Z408" s="2">
        <v>38</v>
      </c>
      <c r="AA408" s="2">
        <f>ProductionData[[#This Row],[Rejected_Qty]]*ProductionData[[#This Row],[Unit_Cost_INR]]</f>
        <v>7144</v>
      </c>
      <c r="AB408" s="4">
        <v>27588</v>
      </c>
      <c r="AC408" s="4">
        <v>7550</v>
      </c>
      <c r="AD408" s="4">
        <v>7550</v>
      </c>
      <c r="AE408" s="4">
        <v>27420</v>
      </c>
      <c r="AF408" s="4">
        <v>13500</v>
      </c>
    </row>
    <row r="409" spans="1:32">
      <c r="A409" s="2" t="s">
        <v>946</v>
      </c>
      <c r="B409" s="3">
        <v>46164</v>
      </c>
      <c r="C409" s="36" t="s">
        <v>790</v>
      </c>
      <c r="D409" s="2">
        <f>MONTH(ProductionData[[#This Row],[Month]])</f>
        <v>5</v>
      </c>
      <c r="E409" s="2" t="s">
        <v>125</v>
      </c>
      <c r="F409" s="2" t="s">
        <v>66</v>
      </c>
      <c r="G409" s="2" t="s">
        <v>81</v>
      </c>
      <c r="H409" s="2" t="s">
        <v>82</v>
      </c>
      <c r="I409" s="2" t="s">
        <v>83</v>
      </c>
      <c r="J409" s="2" t="s">
        <v>166</v>
      </c>
      <c r="K409" s="2" t="s">
        <v>167</v>
      </c>
      <c r="L409" s="2" t="s">
        <v>947</v>
      </c>
      <c r="M409" s="2" t="s">
        <v>73</v>
      </c>
      <c r="N409" s="2" t="s">
        <v>96</v>
      </c>
      <c r="O409" s="2">
        <v>18</v>
      </c>
      <c r="P409" s="2">
        <v>16</v>
      </c>
      <c r="Q409" s="4">
        <v>8940</v>
      </c>
      <c r="R409" s="4">
        <v>8050</v>
      </c>
      <c r="S409" s="4">
        <v>229</v>
      </c>
      <c r="T409" s="19">
        <f>(ProductionData[[#This Row],[Rejected_Qty]])/ProductionData[[#This Row],[Produced_Qty]]</f>
        <v>2.8447204968944099E-2</v>
      </c>
      <c r="U409" s="19">
        <f>ProductionData[[#This Row],[Produced_Qty]]/ProductionData[[#This Row],[Planned_Qty]]</f>
        <v>0.90044742729306493</v>
      </c>
      <c r="V409" s="2" t="s">
        <v>109</v>
      </c>
      <c r="W409" s="11">
        <v>0</v>
      </c>
      <c r="X409" s="13">
        <f>W409/60</f>
        <v>0</v>
      </c>
      <c r="Y409" s="2" t="s">
        <v>90</v>
      </c>
      <c r="Z409" s="2">
        <v>17</v>
      </c>
      <c r="AA409" s="2">
        <f>ProductionData[[#This Row],[Rejected_Qty]]*ProductionData[[#This Row],[Unit_Cost_INR]]</f>
        <v>3893</v>
      </c>
      <c r="AB409" s="4">
        <v>26902</v>
      </c>
      <c r="AC409" s="4">
        <v>7340</v>
      </c>
      <c r="AD409" s="4">
        <v>7340</v>
      </c>
      <c r="AE409" s="4">
        <v>27383</v>
      </c>
      <c r="AF409" s="4">
        <v>13500</v>
      </c>
    </row>
    <row r="410" spans="1:32">
      <c r="A410" s="2" t="s">
        <v>948</v>
      </c>
      <c r="B410" s="3">
        <v>46166</v>
      </c>
      <c r="C410" s="36" t="s">
        <v>790</v>
      </c>
      <c r="D410" s="2">
        <f>MONTH(ProductionData[[#This Row],[Month]])</f>
        <v>5</v>
      </c>
      <c r="E410" s="2" t="s">
        <v>186</v>
      </c>
      <c r="F410" s="2" t="s">
        <v>80</v>
      </c>
      <c r="G410" s="2" t="s">
        <v>81</v>
      </c>
      <c r="H410" s="2" t="s">
        <v>82</v>
      </c>
      <c r="I410" s="2" t="s">
        <v>83</v>
      </c>
      <c r="J410" s="2" t="s">
        <v>166</v>
      </c>
      <c r="K410" s="2" t="s">
        <v>167</v>
      </c>
      <c r="L410" s="2" t="s">
        <v>949</v>
      </c>
      <c r="M410" s="2" t="s">
        <v>87</v>
      </c>
      <c r="N410" s="2" t="s">
        <v>96</v>
      </c>
      <c r="O410" s="2">
        <v>18</v>
      </c>
      <c r="P410" s="2">
        <v>16</v>
      </c>
      <c r="Q410" s="4">
        <v>5830</v>
      </c>
      <c r="R410" s="4">
        <v>5570</v>
      </c>
      <c r="S410" s="4">
        <v>104</v>
      </c>
      <c r="T410" s="19">
        <f>(ProductionData[[#This Row],[Rejected_Qty]])/ProductionData[[#This Row],[Produced_Qty]]</f>
        <v>1.867145421903052E-2</v>
      </c>
      <c r="U410" s="19">
        <f>ProductionData[[#This Row],[Produced_Qty]]/ProductionData[[#This Row],[Planned_Qty]]</f>
        <v>0.95540308747855918</v>
      </c>
      <c r="V410" s="2" t="s">
        <v>75</v>
      </c>
      <c r="W410" s="11">
        <v>0</v>
      </c>
      <c r="X410" s="13">
        <f>W410/60</f>
        <v>0</v>
      </c>
      <c r="Y410" s="2" t="s">
        <v>90</v>
      </c>
      <c r="Z410" s="2">
        <v>17</v>
      </c>
      <c r="AA410" s="2">
        <f>ProductionData[[#This Row],[Rejected_Qty]]*ProductionData[[#This Row],[Unit_Cost_INR]]</f>
        <v>1768</v>
      </c>
      <c r="AB410" s="4">
        <v>27852</v>
      </c>
      <c r="AC410" s="4">
        <v>5940</v>
      </c>
      <c r="AD410" s="4">
        <v>5940</v>
      </c>
      <c r="AE410" s="4">
        <v>27378</v>
      </c>
      <c r="AF410" s="4">
        <v>13500</v>
      </c>
    </row>
    <row r="411" spans="1:32">
      <c r="A411" s="2" t="s">
        <v>950</v>
      </c>
      <c r="B411" s="3">
        <v>46168</v>
      </c>
      <c r="C411" s="36" t="s">
        <v>790</v>
      </c>
      <c r="D411" s="2">
        <f>MONTH(ProductionData[[#This Row],[Month]])</f>
        <v>5</v>
      </c>
      <c r="E411" s="2" t="s">
        <v>92</v>
      </c>
      <c r="F411" s="2" t="s">
        <v>66</v>
      </c>
      <c r="G411" s="2" t="s">
        <v>81</v>
      </c>
      <c r="H411" s="2" t="s">
        <v>82</v>
      </c>
      <c r="I411" s="2" t="s">
        <v>83</v>
      </c>
      <c r="J411" s="2" t="s">
        <v>166</v>
      </c>
      <c r="K411" s="2" t="s">
        <v>167</v>
      </c>
      <c r="L411" s="2" t="s">
        <v>951</v>
      </c>
      <c r="M411" s="2" t="s">
        <v>73</v>
      </c>
      <c r="N411" s="2" t="s">
        <v>96</v>
      </c>
      <c r="O411" s="2">
        <v>18</v>
      </c>
      <c r="P411" s="2">
        <v>17</v>
      </c>
      <c r="Q411" s="4">
        <v>8800</v>
      </c>
      <c r="R411" s="4">
        <v>8350</v>
      </c>
      <c r="S411" s="4">
        <v>232</v>
      </c>
      <c r="T411" s="19">
        <f>(ProductionData[[#This Row],[Rejected_Qty]])/ProductionData[[#This Row],[Produced_Qty]]</f>
        <v>2.7784431137724552E-2</v>
      </c>
      <c r="U411" s="19">
        <f>ProductionData[[#This Row],[Produced_Qty]]/ProductionData[[#This Row],[Planned_Qty]]</f>
        <v>0.94886363636363635</v>
      </c>
      <c r="V411" s="2" t="s">
        <v>103</v>
      </c>
      <c r="W411" s="11">
        <v>0</v>
      </c>
      <c r="X411" s="13">
        <f>W411/60</f>
        <v>0</v>
      </c>
      <c r="Y411" s="2" t="s">
        <v>90</v>
      </c>
      <c r="Z411" s="2">
        <v>17</v>
      </c>
      <c r="AA411" s="2">
        <f>ProductionData[[#This Row],[Rejected_Qty]]*ProductionData[[#This Row],[Unit_Cost_INR]]</f>
        <v>3944</v>
      </c>
      <c r="AB411" s="4">
        <v>27378</v>
      </c>
      <c r="AC411" s="4">
        <v>8150</v>
      </c>
      <c r="AD411" s="4">
        <v>8150</v>
      </c>
      <c r="AE411" s="4">
        <v>27346</v>
      </c>
      <c r="AF411" s="4">
        <v>13500</v>
      </c>
    </row>
    <row r="412" spans="1:32">
      <c r="A412" s="2" t="s">
        <v>952</v>
      </c>
      <c r="B412" s="3">
        <v>46165</v>
      </c>
      <c r="C412" s="36" t="s">
        <v>790</v>
      </c>
      <c r="D412" s="2">
        <f>MONTH(ProductionData[[#This Row],[Month]])</f>
        <v>5</v>
      </c>
      <c r="E412" s="2" t="s">
        <v>65</v>
      </c>
      <c r="F412" s="2" t="s">
        <v>66</v>
      </c>
      <c r="G412" s="2" t="s">
        <v>195</v>
      </c>
      <c r="H412" s="2" t="s">
        <v>196</v>
      </c>
      <c r="I412" s="2" t="s">
        <v>197</v>
      </c>
      <c r="J412" s="2" t="s">
        <v>198</v>
      </c>
      <c r="K412" s="2" t="s">
        <v>199</v>
      </c>
      <c r="L412" s="2" t="s">
        <v>953</v>
      </c>
      <c r="M412" s="2" t="s">
        <v>99</v>
      </c>
      <c r="N412" s="2" t="s">
        <v>88</v>
      </c>
      <c r="O412" s="2">
        <v>14</v>
      </c>
      <c r="P412" s="2">
        <v>13</v>
      </c>
      <c r="Q412" s="4">
        <v>9290</v>
      </c>
      <c r="R412" s="4">
        <v>8870</v>
      </c>
      <c r="S412" s="4">
        <v>177</v>
      </c>
      <c r="T412" s="19">
        <f>(ProductionData[[#This Row],[Rejected_Qty]])/ProductionData[[#This Row],[Produced_Qty]]</f>
        <v>1.9954904171364148E-2</v>
      </c>
      <c r="U412" s="19">
        <f>ProductionData[[#This Row],[Produced_Qty]]/ProductionData[[#This Row],[Planned_Qty]]</f>
        <v>0.9547900968783638</v>
      </c>
      <c r="V412" s="2" t="s">
        <v>75</v>
      </c>
      <c r="W412" s="11">
        <v>0</v>
      </c>
      <c r="X412" s="13">
        <f>W412/60</f>
        <v>0</v>
      </c>
      <c r="Y412" s="2" t="s">
        <v>90</v>
      </c>
      <c r="Z412" s="2">
        <v>38</v>
      </c>
      <c r="AA412" s="2">
        <f>ProductionData[[#This Row],[Rejected_Qty]]*ProductionData[[#This Row],[Unit_Cost_INR]]</f>
        <v>6726</v>
      </c>
      <c r="AB412" s="4">
        <v>27514</v>
      </c>
      <c r="AC412" s="4">
        <v>8890</v>
      </c>
      <c r="AD412" s="4">
        <v>8890</v>
      </c>
      <c r="AE412" s="4">
        <v>27317</v>
      </c>
      <c r="AF412" s="4">
        <v>13500</v>
      </c>
    </row>
    <row r="413" spans="1:32">
      <c r="A413" s="2" t="s">
        <v>954</v>
      </c>
      <c r="B413" s="3">
        <v>46150</v>
      </c>
      <c r="C413" s="36" t="s">
        <v>790</v>
      </c>
      <c r="D413" s="2">
        <f>MONTH(ProductionData[[#This Row],[Month]])</f>
        <v>5</v>
      </c>
      <c r="E413" s="2" t="s">
        <v>125</v>
      </c>
      <c r="F413" s="2" t="s">
        <v>66</v>
      </c>
      <c r="G413" s="2" t="s">
        <v>174</v>
      </c>
      <c r="H413" s="2" t="s">
        <v>175</v>
      </c>
      <c r="I413" s="2" t="s">
        <v>176</v>
      </c>
      <c r="J413" s="2" t="s">
        <v>177</v>
      </c>
      <c r="K413" s="2" t="s">
        <v>178</v>
      </c>
      <c r="L413" s="2" t="s">
        <v>955</v>
      </c>
      <c r="M413" s="2" t="s">
        <v>73</v>
      </c>
      <c r="N413" s="2" t="s">
        <v>88</v>
      </c>
      <c r="O413" s="2">
        <v>10</v>
      </c>
      <c r="P413" s="2">
        <v>10</v>
      </c>
      <c r="Q413" s="4">
        <v>8490</v>
      </c>
      <c r="R413" s="4">
        <v>8250</v>
      </c>
      <c r="S413" s="4">
        <v>182</v>
      </c>
      <c r="T413" s="19">
        <f>(ProductionData[[#This Row],[Rejected_Qty]])/ProductionData[[#This Row],[Produced_Qty]]</f>
        <v>2.2060606060606062E-2</v>
      </c>
      <c r="U413" s="19">
        <f>ProductionData[[#This Row],[Produced_Qty]]/ProductionData[[#This Row],[Planned_Qty]]</f>
        <v>0.9717314487632509</v>
      </c>
      <c r="V413" s="2" t="s">
        <v>103</v>
      </c>
      <c r="W413" s="11">
        <v>10</v>
      </c>
      <c r="X413" s="13">
        <f>W413/60</f>
        <v>0.16666666666666666</v>
      </c>
      <c r="Y413" s="2" t="s">
        <v>76</v>
      </c>
      <c r="Z413" s="2">
        <v>24</v>
      </c>
      <c r="AA413" s="2">
        <f>ProductionData[[#This Row],[Rejected_Qty]]*ProductionData[[#This Row],[Unit_Cost_INR]]</f>
        <v>4368</v>
      </c>
      <c r="AB413" s="4">
        <v>27436</v>
      </c>
      <c r="AC413" s="4">
        <v>8200</v>
      </c>
      <c r="AD413" s="4">
        <v>8200</v>
      </c>
      <c r="AE413" s="4">
        <v>27304</v>
      </c>
      <c r="AF413" s="4">
        <v>12000</v>
      </c>
    </row>
    <row r="414" spans="1:32">
      <c r="A414" s="2" t="s">
        <v>956</v>
      </c>
      <c r="B414" s="3">
        <v>46162</v>
      </c>
      <c r="C414" s="36" t="s">
        <v>790</v>
      </c>
      <c r="D414" s="2">
        <f>MONTH(ProductionData[[#This Row],[Month]])</f>
        <v>5</v>
      </c>
      <c r="E414" s="2" t="s">
        <v>79</v>
      </c>
      <c r="F414" s="2" t="s">
        <v>80</v>
      </c>
      <c r="G414" s="2" t="s">
        <v>81</v>
      </c>
      <c r="H414" s="2" t="s">
        <v>82</v>
      </c>
      <c r="I414" s="2" t="s">
        <v>83</v>
      </c>
      <c r="J414" s="2" t="s">
        <v>166</v>
      </c>
      <c r="K414" s="2" t="s">
        <v>167</v>
      </c>
      <c r="L414" s="2" t="s">
        <v>957</v>
      </c>
      <c r="M414" s="2" t="s">
        <v>87</v>
      </c>
      <c r="N414" s="2" t="s">
        <v>88</v>
      </c>
      <c r="O414" s="2">
        <v>18</v>
      </c>
      <c r="P414" s="2">
        <v>14</v>
      </c>
      <c r="Q414" s="4">
        <v>9130</v>
      </c>
      <c r="R414" s="4">
        <v>7470</v>
      </c>
      <c r="S414" s="4">
        <v>222</v>
      </c>
      <c r="T414" s="19">
        <f>(ProductionData[[#This Row],[Rejected_Qty]])/ProductionData[[#This Row],[Produced_Qty]]</f>
        <v>2.9718875502008031E-2</v>
      </c>
      <c r="U414" s="19">
        <f>ProductionData[[#This Row],[Produced_Qty]]/ProductionData[[#This Row],[Planned_Qty]]</f>
        <v>0.81818181818181823</v>
      </c>
      <c r="V414" s="2" t="s">
        <v>75</v>
      </c>
      <c r="W414" s="11">
        <v>58</v>
      </c>
      <c r="X414" s="13">
        <f>W414/60</f>
        <v>0.96666666666666667</v>
      </c>
      <c r="Y414" s="2" t="s">
        <v>182</v>
      </c>
      <c r="Z414" s="2">
        <v>17</v>
      </c>
      <c r="AA414" s="2">
        <f>ProductionData[[#This Row],[Rejected_Qty]]*ProductionData[[#This Row],[Unit_Cost_INR]]</f>
        <v>3774</v>
      </c>
      <c r="AB414" s="4">
        <v>28291</v>
      </c>
      <c r="AC414" s="4">
        <v>8300</v>
      </c>
      <c r="AD414" s="4">
        <v>8300</v>
      </c>
      <c r="AE414" s="4">
        <v>27239</v>
      </c>
      <c r="AF414" s="4">
        <v>13500</v>
      </c>
    </row>
    <row r="415" spans="1:32">
      <c r="A415" s="2" t="s">
        <v>958</v>
      </c>
      <c r="B415" s="3">
        <v>46146</v>
      </c>
      <c r="C415" s="36" t="s">
        <v>790</v>
      </c>
      <c r="D415" s="2">
        <f>MONTH(ProductionData[[#This Row],[Month]])</f>
        <v>5</v>
      </c>
      <c r="E415" s="2" t="s">
        <v>116</v>
      </c>
      <c r="F415" s="2" t="s">
        <v>80</v>
      </c>
      <c r="G415" s="2" t="s">
        <v>195</v>
      </c>
      <c r="H415" s="2" t="s">
        <v>196</v>
      </c>
      <c r="I415" s="2" t="s">
        <v>197</v>
      </c>
      <c r="J415" s="2" t="s">
        <v>198</v>
      </c>
      <c r="K415" s="2" t="s">
        <v>199</v>
      </c>
      <c r="L415" s="2" t="s">
        <v>959</v>
      </c>
      <c r="M415" s="2" t="s">
        <v>87</v>
      </c>
      <c r="N415" s="2" t="s">
        <v>88</v>
      </c>
      <c r="O415" s="2">
        <v>14</v>
      </c>
      <c r="P415" s="2">
        <v>13</v>
      </c>
      <c r="Q415" s="4">
        <v>8930</v>
      </c>
      <c r="R415" s="4">
        <v>7990</v>
      </c>
      <c r="S415" s="4">
        <v>203</v>
      </c>
      <c r="T415" s="19">
        <f>(ProductionData[[#This Row],[Rejected_Qty]])/ProductionData[[#This Row],[Produced_Qty]]</f>
        <v>2.5406758448060077E-2</v>
      </c>
      <c r="U415" s="19">
        <f>ProductionData[[#This Row],[Produced_Qty]]/ProductionData[[#This Row],[Planned_Qty]]</f>
        <v>0.89473684210526316</v>
      </c>
      <c r="V415" s="2" t="s">
        <v>113</v>
      </c>
      <c r="W415" s="11">
        <v>0</v>
      </c>
      <c r="X415" s="13">
        <f>W415/60</f>
        <v>0</v>
      </c>
      <c r="Y415" s="2" t="s">
        <v>90</v>
      </c>
      <c r="Z415" s="2">
        <v>38</v>
      </c>
      <c r="AA415" s="2">
        <f>ProductionData[[#This Row],[Rejected_Qty]]*ProductionData[[#This Row],[Unit_Cost_INR]]</f>
        <v>7714</v>
      </c>
      <c r="AB415" s="4">
        <v>27175</v>
      </c>
      <c r="AC415" s="4">
        <v>7770</v>
      </c>
      <c r="AD415" s="4">
        <v>7770</v>
      </c>
      <c r="AE415" s="4">
        <v>27192</v>
      </c>
      <c r="AF415" s="4">
        <v>13500</v>
      </c>
    </row>
    <row r="416" spans="1:32">
      <c r="A416" s="2" t="s">
        <v>960</v>
      </c>
      <c r="B416" s="3">
        <v>46145</v>
      </c>
      <c r="C416" s="36" t="s">
        <v>790</v>
      </c>
      <c r="D416" s="2">
        <f>MONTH(ProductionData[[#This Row],[Month]])</f>
        <v>5</v>
      </c>
      <c r="E416" s="2" t="s">
        <v>186</v>
      </c>
      <c r="F416" s="2" t="s">
        <v>80</v>
      </c>
      <c r="G416" s="2" t="s">
        <v>195</v>
      </c>
      <c r="H416" s="2" t="s">
        <v>196</v>
      </c>
      <c r="I416" s="2" t="s">
        <v>197</v>
      </c>
      <c r="J416" s="2" t="s">
        <v>198</v>
      </c>
      <c r="K416" s="2" t="s">
        <v>199</v>
      </c>
      <c r="L416" s="2" t="s">
        <v>961</v>
      </c>
      <c r="M416" s="2" t="s">
        <v>102</v>
      </c>
      <c r="N416" s="2" t="s">
        <v>88</v>
      </c>
      <c r="O416" s="2">
        <v>14</v>
      </c>
      <c r="P416" s="2">
        <v>14</v>
      </c>
      <c r="Q416" s="4">
        <v>6390</v>
      </c>
      <c r="R416" s="4">
        <v>6250</v>
      </c>
      <c r="S416" s="4">
        <v>132</v>
      </c>
      <c r="T416" s="19">
        <f>(ProductionData[[#This Row],[Rejected_Qty]])/ProductionData[[#This Row],[Produced_Qty]]</f>
        <v>2.112E-2</v>
      </c>
      <c r="U416" s="19">
        <f>ProductionData[[#This Row],[Produced_Qty]]/ProductionData[[#This Row],[Planned_Qty]]</f>
        <v>0.97809076682316121</v>
      </c>
      <c r="V416" s="2" t="s">
        <v>89</v>
      </c>
      <c r="W416" s="11">
        <v>47</v>
      </c>
      <c r="X416" s="13">
        <f>W416/60</f>
        <v>0.78333333333333333</v>
      </c>
      <c r="Y416" s="2" t="s">
        <v>110</v>
      </c>
      <c r="Z416" s="2">
        <v>38</v>
      </c>
      <c r="AA416" s="2">
        <f>ProductionData[[#This Row],[Rejected_Qty]]*ProductionData[[#This Row],[Unit_Cost_INR]]</f>
        <v>5016</v>
      </c>
      <c r="AB416" s="4">
        <v>27097</v>
      </c>
      <c r="AC416" s="4">
        <v>6040</v>
      </c>
      <c r="AD416" s="4">
        <v>6040</v>
      </c>
      <c r="AE416" s="4">
        <v>27175</v>
      </c>
      <c r="AF416" s="4">
        <v>13500</v>
      </c>
    </row>
    <row r="417" spans="1:32">
      <c r="A417" s="2" t="s">
        <v>962</v>
      </c>
      <c r="B417" s="3">
        <v>46144</v>
      </c>
      <c r="C417" s="36" t="s">
        <v>790</v>
      </c>
      <c r="D417" s="2">
        <f>MONTH(ProductionData[[#This Row],[Month]])</f>
        <v>5</v>
      </c>
      <c r="E417" s="2" t="s">
        <v>65</v>
      </c>
      <c r="F417" s="2" t="s">
        <v>80</v>
      </c>
      <c r="G417" s="2" t="s">
        <v>174</v>
      </c>
      <c r="H417" s="2" t="s">
        <v>175</v>
      </c>
      <c r="I417" s="2" t="s">
        <v>176</v>
      </c>
      <c r="J417" s="2" t="s">
        <v>177</v>
      </c>
      <c r="K417" s="2" t="s">
        <v>178</v>
      </c>
      <c r="L417" s="2" t="s">
        <v>963</v>
      </c>
      <c r="M417" s="2" t="s">
        <v>102</v>
      </c>
      <c r="N417" s="2" t="s">
        <v>88</v>
      </c>
      <c r="O417" s="2">
        <v>10</v>
      </c>
      <c r="P417" s="2">
        <v>9</v>
      </c>
      <c r="Q417" s="4">
        <v>8400</v>
      </c>
      <c r="R417" s="4">
        <v>7640</v>
      </c>
      <c r="S417" s="4">
        <v>245</v>
      </c>
      <c r="T417" s="19">
        <f>(ProductionData[[#This Row],[Rejected_Qty]])/ProductionData[[#This Row],[Produced_Qty]]</f>
        <v>3.206806282722513E-2</v>
      </c>
      <c r="U417" s="19">
        <f>ProductionData[[#This Row],[Produced_Qty]]/ProductionData[[#This Row],[Planned_Qty]]</f>
        <v>0.90952380952380951</v>
      </c>
      <c r="V417" s="2" t="s">
        <v>103</v>
      </c>
      <c r="W417" s="11">
        <v>0</v>
      </c>
      <c r="X417" s="13">
        <f>W417/60</f>
        <v>0</v>
      </c>
      <c r="Y417" s="2" t="s">
        <v>90</v>
      </c>
      <c r="Z417" s="2">
        <v>24</v>
      </c>
      <c r="AA417" s="2">
        <f>ProductionData[[#This Row],[Rejected_Qty]]*ProductionData[[#This Row],[Unit_Cost_INR]]</f>
        <v>5880</v>
      </c>
      <c r="AB417" s="4">
        <v>26983</v>
      </c>
      <c r="AC417" s="4">
        <v>7230</v>
      </c>
      <c r="AD417" s="4">
        <v>7230</v>
      </c>
      <c r="AE417" s="4">
        <v>27148</v>
      </c>
      <c r="AF417" s="4">
        <v>12000</v>
      </c>
    </row>
    <row r="418" spans="1:32">
      <c r="A418" s="2" t="s">
        <v>964</v>
      </c>
      <c r="B418" s="3">
        <v>46143</v>
      </c>
      <c r="C418" s="36" t="s">
        <v>790</v>
      </c>
      <c r="D418" s="2">
        <f>MONTH(ProductionData[[#This Row],[Month]])</f>
        <v>5</v>
      </c>
      <c r="E418" s="2" t="s">
        <v>125</v>
      </c>
      <c r="F418" s="2" t="s">
        <v>66</v>
      </c>
      <c r="G418" s="2" t="s">
        <v>81</v>
      </c>
      <c r="H418" s="2" t="s">
        <v>82</v>
      </c>
      <c r="I418" s="2" t="s">
        <v>83</v>
      </c>
      <c r="J418" s="2" t="s">
        <v>166</v>
      </c>
      <c r="K418" s="2" t="s">
        <v>167</v>
      </c>
      <c r="L418" s="2" t="s">
        <v>965</v>
      </c>
      <c r="M418" s="2" t="s">
        <v>73</v>
      </c>
      <c r="N418" s="2" t="s">
        <v>88</v>
      </c>
      <c r="O418" s="2">
        <v>18</v>
      </c>
      <c r="P418" s="2">
        <v>17</v>
      </c>
      <c r="Q418" s="4">
        <v>9150</v>
      </c>
      <c r="R418" s="4">
        <v>9040</v>
      </c>
      <c r="S418" s="4">
        <v>235</v>
      </c>
      <c r="T418" s="19">
        <f>(ProductionData[[#This Row],[Rejected_Qty]])/ProductionData[[#This Row],[Produced_Qty]]</f>
        <v>2.5995575221238937E-2</v>
      </c>
      <c r="U418" s="19">
        <f>ProductionData[[#This Row],[Produced_Qty]]/ProductionData[[#This Row],[Planned_Qty]]</f>
        <v>0.9879781420765027</v>
      </c>
      <c r="V418" s="2" t="s">
        <v>75</v>
      </c>
      <c r="W418" s="11">
        <v>54</v>
      </c>
      <c r="X418" s="13">
        <f>W418/60</f>
        <v>0.9</v>
      </c>
      <c r="Y418" s="2" t="s">
        <v>182</v>
      </c>
      <c r="Z418" s="2">
        <v>17</v>
      </c>
      <c r="AA418" s="2">
        <f>ProductionData[[#This Row],[Rejected_Qty]]*ProductionData[[#This Row],[Unit_Cost_INR]]</f>
        <v>3995</v>
      </c>
      <c r="AB418" s="4">
        <v>27493</v>
      </c>
      <c r="AC418" s="4">
        <v>9190</v>
      </c>
      <c r="AD418" s="4">
        <v>9190</v>
      </c>
      <c r="AE418" s="4">
        <v>27108</v>
      </c>
      <c r="AF418" s="4">
        <v>13500</v>
      </c>
    </row>
    <row r="419" spans="1:32">
      <c r="A419" s="2" t="s">
        <v>966</v>
      </c>
      <c r="B419" s="3">
        <v>46143</v>
      </c>
      <c r="C419" s="36" t="s">
        <v>790</v>
      </c>
      <c r="D419" s="2">
        <f>MONTH(ProductionData[[#This Row],[Month]])</f>
        <v>5</v>
      </c>
      <c r="E419" s="2" t="s">
        <v>125</v>
      </c>
      <c r="F419" s="2" t="s">
        <v>80</v>
      </c>
      <c r="G419" s="2" t="s">
        <v>195</v>
      </c>
      <c r="H419" s="2" t="s">
        <v>196</v>
      </c>
      <c r="I419" s="2" t="s">
        <v>197</v>
      </c>
      <c r="J419" s="2" t="s">
        <v>198</v>
      </c>
      <c r="K419" s="2" t="s">
        <v>199</v>
      </c>
      <c r="L419" s="2" t="s">
        <v>967</v>
      </c>
      <c r="M419" s="2" t="s">
        <v>87</v>
      </c>
      <c r="N419" s="2" t="s">
        <v>96</v>
      </c>
      <c r="O419" s="2">
        <v>14</v>
      </c>
      <c r="P419" s="2">
        <v>14</v>
      </c>
      <c r="Q419" s="4">
        <v>8940</v>
      </c>
      <c r="R419" s="4">
        <v>8390</v>
      </c>
      <c r="S419" s="4">
        <v>360</v>
      </c>
      <c r="T419" s="19">
        <f>(ProductionData[[#This Row],[Rejected_Qty]])/ProductionData[[#This Row],[Produced_Qty]]</f>
        <v>4.2908224076281289E-2</v>
      </c>
      <c r="U419" s="19">
        <f>ProductionData[[#This Row],[Produced_Qty]]/ProductionData[[#This Row],[Planned_Qty]]</f>
        <v>0.93847874720357938</v>
      </c>
      <c r="V419" s="2" t="s">
        <v>109</v>
      </c>
      <c r="W419" s="11">
        <v>0</v>
      </c>
      <c r="X419" s="13">
        <f>W419/60</f>
        <v>0</v>
      </c>
      <c r="Y419" s="2" t="s">
        <v>90</v>
      </c>
      <c r="Z419" s="2">
        <v>38</v>
      </c>
      <c r="AA419" s="2">
        <f>ProductionData[[#This Row],[Rejected_Qty]]*ProductionData[[#This Row],[Unit_Cost_INR]]</f>
        <v>13680</v>
      </c>
      <c r="AB419" s="4">
        <v>26567</v>
      </c>
      <c r="AC419" s="4">
        <v>7500</v>
      </c>
      <c r="AD419" s="4">
        <v>7500</v>
      </c>
      <c r="AE419" s="4">
        <v>27097</v>
      </c>
      <c r="AF419" s="4">
        <v>13500</v>
      </c>
    </row>
    <row r="420" spans="1:32">
      <c r="A420" s="2" t="s">
        <v>968</v>
      </c>
      <c r="B420" s="3">
        <v>46156</v>
      </c>
      <c r="C420" s="36" t="s">
        <v>790</v>
      </c>
      <c r="D420" s="2">
        <f>MONTH(ProductionData[[#This Row],[Month]])</f>
        <v>5</v>
      </c>
      <c r="E420" s="2" t="s">
        <v>107</v>
      </c>
      <c r="F420" s="2" t="s">
        <v>80</v>
      </c>
      <c r="G420" s="2" t="s">
        <v>195</v>
      </c>
      <c r="H420" s="2" t="s">
        <v>196</v>
      </c>
      <c r="I420" s="2" t="s">
        <v>197</v>
      </c>
      <c r="J420" s="2" t="s">
        <v>198</v>
      </c>
      <c r="K420" s="2" t="s">
        <v>199</v>
      </c>
      <c r="L420" s="2" t="s">
        <v>969</v>
      </c>
      <c r="M420" s="2" t="s">
        <v>102</v>
      </c>
      <c r="N420" s="2" t="s">
        <v>96</v>
      </c>
      <c r="O420" s="2">
        <v>14</v>
      </c>
      <c r="P420" s="2">
        <v>14</v>
      </c>
      <c r="Q420" s="4">
        <v>9290</v>
      </c>
      <c r="R420" s="4">
        <v>9450</v>
      </c>
      <c r="S420" s="4">
        <v>220</v>
      </c>
      <c r="T420" s="19">
        <f>(ProductionData[[#This Row],[Rejected_Qty]])/ProductionData[[#This Row],[Produced_Qty]]</f>
        <v>2.328042328042328E-2</v>
      </c>
      <c r="U420" s="19">
        <f>ProductionData[[#This Row],[Produced_Qty]]/ProductionData[[#This Row],[Planned_Qty]]</f>
        <v>1.0172228202368139</v>
      </c>
      <c r="V420" s="2" t="s">
        <v>103</v>
      </c>
      <c r="W420" s="11">
        <v>0</v>
      </c>
      <c r="X420" s="13">
        <f>W420/60</f>
        <v>0</v>
      </c>
      <c r="Y420" s="2" t="s">
        <v>90</v>
      </c>
      <c r="Z420" s="2">
        <v>38</v>
      </c>
      <c r="AA420" s="2">
        <f>ProductionData[[#This Row],[Rejected_Qty]]*ProductionData[[#This Row],[Unit_Cost_INR]]</f>
        <v>8360</v>
      </c>
      <c r="AB420" s="4">
        <v>27894</v>
      </c>
      <c r="AC420" s="4">
        <v>10030</v>
      </c>
      <c r="AD420" s="4">
        <v>10030</v>
      </c>
      <c r="AE420" s="4">
        <v>27094</v>
      </c>
      <c r="AF420" s="4">
        <v>13500</v>
      </c>
    </row>
    <row r="421" spans="1:32">
      <c r="A421" s="2" t="s">
        <v>970</v>
      </c>
      <c r="B421" s="3">
        <v>46154</v>
      </c>
      <c r="C421" s="36" t="s">
        <v>790</v>
      </c>
      <c r="D421" s="2">
        <f>MONTH(ProductionData[[#This Row],[Month]])</f>
        <v>5</v>
      </c>
      <c r="E421" s="2" t="s">
        <v>92</v>
      </c>
      <c r="F421" s="2" t="s">
        <v>66</v>
      </c>
      <c r="G421" s="2" t="s">
        <v>195</v>
      </c>
      <c r="H421" s="2" t="s">
        <v>196</v>
      </c>
      <c r="I421" s="2" t="s">
        <v>197</v>
      </c>
      <c r="J421" s="2" t="s">
        <v>198</v>
      </c>
      <c r="K421" s="2" t="s">
        <v>199</v>
      </c>
      <c r="L421" s="2" t="s">
        <v>971</v>
      </c>
      <c r="M421" s="2" t="s">
        <v>99</v>
      </c>
      <c r="N421" s="2" t="s">
        <v>96</v>
      </c>
      <c r="O421" s="2">
        <v>14</v>
      </c>
      <c r="P421" s="2">
        <v>13</v>
      </c>
      <c r="Q421" s="4">
        <v>8930</v>
      </c>
      <c r="R421" s="4">
        <v>8340</v>
      </c>
      <c r="S421" s="4">
        <v>33</v>
      </c>
      <c r="T421" s="19">
        <f>(ProductionData[[#This Row],[Rejected_Qty]])/ProductionData[[#This Row],[Produced_Qty]]</f>
        <v>3.9568345323741008E-3</v>
      </c>
      <c r="U421" s="19">
        <f>ProductionData[[#This Row],[Produced_Qty]]/ProductionData[[#This Row],[Planned_Qty]]</f>
        <v>0.93393057110862265</v>
      </c>
      <c r="V421" s="2" t="s">
        <v>113</v>
      </c>
      <c r="W421" s="11">
        <v>0</v>
      </c>
      <c r="X421" s="13">
        <f>W421/60</f>
        <v>0</v>
      </c>
      <c r="Y421" s="2" t="s">
        <v>90</v>
      </c>
      <c r="Z421" s="2">
        <v>38</v>
      </c>
      <c r="AA421" s="2">
        <f>ProductionData[[#This Row],[Rejected_Qty]]*ProductionData[[#This Row],[Unit_Cost_INR]]</f>
        <v>1254</v>
      </c>
      <c r="AB421" s="4">
        <v>27420</v>
      </c>
      <c r="AC421" s="4">
        <v>8690</v>
      </c>
      <c r="AD421" s="4">
        <v>8690</v>
      </c>
      <c r="AE421" s="4">
        <v>27037</v>
      </c>
      <c r="AF421" s="4">
        <v>13500</v>
      </c>
    </row>
    <row r="422" spans="1:32">
      <c r="A422" s="2" t="s">
        <v>972</v>
      </c>
      <c r="B422" s="3">
        <v>46143</v>
      </c>
      <c r="C422" s="36" t="s">
        <v>790</v>
      </c>
      <c r="D422" s="2">
        <f>MONTH(ProductionData[[#This Row],[Month]])</f>
        <v>5</v>
      </c>
      <c r="E422" s="2" t="s">
        <v>125</v>
      </c>
      <c r="F422" s="2" t="s">
        <v>93</v>
      </c>
      <c r="G422" s="2" t="s">
        <v>174</v>
      </c>
      <c r="H422" s="2" t="s">
        <v>175</v>
      </c>
      <c r="I422" s="2" t="s">
        <v>176</v>
      </c>
      <c r="J422" s="2" t="s">
        <v>177</v>
      </c>
      <c r="K422" s="2" t="s">
        <v>178</v>
      </c>
      <c r="L422" s="2" t="s">
        <v>973</v>
      </c>
      <c r="M422" s="2" t="s">
        <v>133</v>
      </c>
      <c r="N422" s="2" t="s">
        <v>96</v>
      </c>
      <c r="O422" s="2">
        <v>10</v>
      </c>
      <c r="P422" s="2">
        <v>8</v>
      </c>
      <c r="Q422" s="4">
        <v>7880</v>
      </c>
      <c r="R422" s="4">
        <v>7210</v>
      </c>
      <c r="S422" s="4">
        <v>304</v>
      </c>
      <c r="T422" s="19">
        <f>(ProductionData[[#This Row],[Rejected_Qty]])/ProductionData[[#This Row],[Produced_Qty]]</f>
        <v>4.216366158113731E-2</v>
      </c>
      <c r="U422" s="19">
        <f>ProductionData[[#This Row],[Produced_Qty]]/ProductionData[[#This Row],[Planned_Qty]]</f>
        <v>0.9149746192893401</v>
      </c>
      <c r="V422" s="2" t="s">
        <v>103</v>
      </c>
      <c r="W422" s="11">
        <v>63</v>
      </c>
      <c r="X422" s="13">
        <f>W422/60</f>
        <v>1.05</v>
      </c>
      <c r="Y422" s="2" t="s">
        <v>182</v>
      </c>
      <c r="Z422" s="2">
        <v>24</v>
      </c>
      <c r="AA422" s="2">
        <f>ProductionData[[#This Row],[Rejected_Qty]]*ProductionData[[#This Row],[Unit_Cost_INR]]</f>
        <v>7296</v>
      </c>
      <c r="AB422" s="4">
        <v>26927</v>
      </c>
      <c r="AC422" s="4">
        <v>6850</v>
      </c>
      <c r="AD422" s="4">
        <v>6850</v>
      </c>
      <c r="AE422" s="4">
        <v>26983</v>
      </c>
      <c r="AF422" s="4">
        <v>12000</v>
      </c>
    </row>
    <row r="423" spans="1:32">
      <c r="A423" s="2" t="s">
        <v>974</v>
      </c>
      <c r="B423" s="3">
        <v>46170</v>
      </c>
      <c r="C423" s="36" t="s">
        <v>790</v>
      </c>
      <c r="D423" s="2">
        <f>MONTH(ProductionData[[#This Row],[Month]])</f>
        <v>5</v>
      </c>
      <c r="E423" s="2" t="s">
        <v>107</v>
      </c>
      <c r="F423" s="2" t="s">
        <v>66</v>
      </c>
      <c r="G423" s="2" t="s">
        <v>67</v>
      </c>
      <c r="H423" s="2" t="s">
        <v>68</v>
      </c>
      <c r="I423" s="2" t="s">
        <v>69</v>
      </c>
      <c r="J423" s="2" t="s">
        <v>70</v>
      </c>
      <c r="K423" s="2" t="s">
        <v>71</v>
      </c>
      <c r="L423" s="2" t="s">
        <v>975</v>
      </c>
      <c r="M423" s="2" t="s">
        <v>99</v>
      </c>
      <c r="N423" s="2" t="s">
        <v>96</v>
      </c>
      <c r="O423" s="2">
        <v>16</v>
      </c>
      <c r="P423" s="2">
        <v>15</v>
      </c>
      <c r="Q423" s="4">
        <v>6880</v>
      </c>
      <c r="R423" s="4">
        <v>6800</v>
      </c>
      <c r="S423" s="4">
        <v>178</v>
      </c>
      <c r="T423" s="19">
        <f>(ProductionData[[#This Row],[Rejected_Qty]])/ProductionData[[#This Row],[Produced_Qty]]</f>
        <v>2.6176470588235294E-2</v>
      </c>
      <c r="U423" s="19">
        <f>ProductionData[[#This Row],[Produced_Qty]]/ProductionData[[#This Row],[Planned_Qty]]</f>
        <v>0.98837209302325579</v>
      </c>
      <c r="V423" s="2" t="s">
        <v>113</v>
      </c>
      <c r="W423" s="11">
        <v>0</v>
      </c>
      <c r="X423" s="13">
        <f>W423/60</f>
        <v>0</v>
      </c>
      <c r="Y423" s="2" t="s">
        <v>90</v>
      </c>
      <c r="Z423" s="2">
        <v>46</v>
      </c>
      <c r="AA423" s="2">
        <f>ProductionData[[#This Row],[Rejected_Qty]]*ProductionData[[#This Row],[Unit_Cost_INR]]</f>
        <v>8188</v>
      </c>
      <c r="AB423" s="4">
        <v>26040</v>
      </c>
      <c r="AC423" s="4">
        <v>5700</v>
      </c>
      <c r="AD423" s="4">
        <v>5700</v>
      </c>
      <c r="AE423" s="4">
        <v>26962</v>
      </c>
      <c r="AF423" s="4">
        <v>10500</v>
      </c>
    </row>
    <row r="424" spans="1:32">
      <c r="A424" s="2" t="s">
        <v>976</v>
      </c>
      <c r="B424" s="3">
        <v>46145</v>
      </c>
      <c r="C424" s="36" t="s">
        <v>790</v>
      </c>
      <c r="D424" s="2">
        <f>MONTH(ProductionData[[#This Row],[Month]])</f>
        <v>5</v>
      </c>
      <c r="E424" s="2" t="s">
        <v>186</v>
      </c>
      <c r="F424" s="2" t="s">
        <v>80</v>
      </c>
      <c r="G424" s="2" t="s">
        <v>174</v>
      </c>
      <c r="H424" s="2" t="s">
        <v>175</v>
      </c>
      <c r="I424" s="2" t="s">
        <v>176</v>
      </c>
      <c r="J424" s="2" t="s">
        <v>177</v>
      </c>
      <c r="K424" s="2" t="s">
        <v>178</v>
      </c>
      <c r="L424" s="2" t="s">
        <v>977</v>
      </c>
      <c r="M424" s="2" t="s">
        <v>87</v>
      </c>
      <c r="N424" s="2" t="s">
        <v>96</v>
      </c>
      <c r="O424" s="2">
        <v>10</v>
      </c>
      <c r="P424" s="2">
        <v>10</v>
      </c>
      <c r="Q424" s="4">
        <v>5720</v>
      </c>
      <c r="R424" s="4">
        <v>5710</v>
      </c>
      <c r="S424" s="4">
        <v>199</v>
      </c>
      <c r="T424" s="19">
        <f>(ProductionData[[#This Row],[Rejected_Qty]])/ProductionData[[#This Row],[Produced_Qty]]</f>
        <v>3.4851138353765326E-2</v>
      </c>
      <c r="U424" s="19">
        <f>ProductionData[[#This Row],[Produced_Qty]]/ProductionData[[#This Row],[Planned_Qty]]</f>
        <v>0.99825174825174823</v>
      </c>
      <c r="V424" s="2" t="s">
        <v>113</v>
      </c>
      <c r="W424" s="11">
        <v>0</v>
      </c>
      <c r="X424" s="13">
        <f>W424/60</f>
        <v>0</v>
      </c>
      <c r="Y424" s="2" t="s">
        <v>90</v>
      </c>
      <c r="Z424" s="2">
        <v>24</v>
      </c>
      <c r="AA424" s="2">
        <f>ProductionData[[#This Row],[Rejected_Qty]]*ProductionData[[#This Row],[Unit_Cost_INR]]</f>
        <v>4776</v>
      </c>
      <c r="AB424" s="4">
        <v>27148</v>
      </c>
      <c r="AC424" s="4">
        <v>5740</v>
      </c>
      <c r="AD424" s="4">
        <v>5740</v>
      </c>
      <c r="AE424" s="4">
        <v>26919</v>
      </c>
      <c r="AF424" s="4">
        <v>12000</v>
      </c>
    </row>
    <row r="425" spans="1:32">
      <c r="A425" s="2" t="s">
        <v>978</v>
      </c>
      <c r="B425" s="3">
        <v>46163</v>
      </c>
      <c r="C425" s="36" t="s">
        <v>790</v>
      </c>
      <c r="D425" s="2">
        <f>MONTH(ProductionData[[#This Row],[Month]])</f>
        <v>5</v>
      </c>
      <c r="E425" s="2" t="s">
        <v>107</v>
      </c>
      <c r="F425" s="2" t="s">
        <v>66</v>
      </c>
      <c r="G425" s="2" t="s">
        <v>81</v>
      </c>
      <c r="H425" s="2" t="s">
        <v>82</v>
      </c>
      <c r="I425" s="2" t="s">
        <v>83</v>
      </c>
      <c r="J425" s="2" t="s">
        <v>166</v>
      </c>
      <c r="K425" s="2" t="s">
        <v>167</v>
      </c>
      <c r="L425" s="2" t="s">
        <v>979</v>
      </c>
      <c r="M425" s="2" t="s">
        <v>99</v>
      </c>
      <c r="N425" s="2" t="s">
        <v>96</v>
      </c>
      <c r="O425" s="2">
        <v>18</v>
      </c>
      <c r="P425" s="2">
        <v>17</v>
      </c>
      <c r="Q425" s="4">
        <v>8460</v>
      </c>
      <c r="R425" s="4">
        <v>7910</v>
      </c>
      <c r="S425" s="4">
        <v>286</v>
      </c>
      <c r="T425" s="19">
        <f>(ProductionData[[#This Row],[Rejected_Qty]])/ProductionData[[#This Row],[Produced_Qty]]</f>
        <v>3.615676359039191E-2</v>
      </c>
      <c r="U425" s="19">
        <f>ProductionData[[#This Row],[Produced_Qty]]/ProductionData[[#This Row],[Planned_Qty]]</f>
        <v>0.93498817966903069</v>
      </c>
      <c r="V425" s="2" t="s">
        <v>113</v>
      </c>
      <c r="W425" s="11">
        <v>0</v>
      </c>
      <c r="X425" s="13">
        <f>W425/60</f>
        <v>0</v>
      </c>
      <c r="Y425" s="2" t="s">
        <v>90</v>
      </c>
      <c r="Z425" s="2">
        <v>17</v>
      </c>
      <c r="AA425" s="2">
        <f>ProductionData[[#This Row],[Rejected_Qty]]*ProductionData[[#This Row],[Unit_Cost_INR]]</f>
        <v>4862</v>
      </c>
      <c r="AB425" s="4">
        <v>26228</v>
      </c>
      <c r="AC425" s="4">
        <v>6950</v>
      </c>
      <c r="AD425" s="4">
        <v>6950</v>
      </c>
      <c r="AE425" s="4">
        <v>26902</v>
      </c>
      <c r="AF425" s="4">
        <v>13500</v>
      </c>
    </row>
    <row r="426" spans="1:32">
      <c r="A426" s="2" t="s">
        <v>980</v>
      </c>
      <c r="B426" s="3">
        <v>46170</v>
      </c>
      <c r="C426" s="36" t="s">
        <v>790</v>
      </c>
      <c r="D426" s="2">
        <f>MONTH(ProductionData[[#This Row],[Month]])</f>
        <v>5</v>
      </c>
      <c r="E426" s="2" t="s">
        <v>107</v>
      </c>
      <c r="F426" s="2" t="s">
        <v>80</v>
      </c>
      <c r="G426" s="2" t="s">
        <v>67</v>
      </c>
      <c r="H426" s="2" t="s">
        <v>68</v>
      </c>
      <c r="I426" s="2" t="s">
        <v>69</v>
      </c>
      <c r="J426" s="2" t="s">
        <v>70</v>
      </c>
      <c r="K426" s="2" t="s">
        <v>71</v>
      </c>
      <c r="L426" s="2" t="s">
        <v>981</v>
      </c>
      <c r="M426" s="2" t="s">
        <v>87</v>
      </c>
      <c r="N426" s="2" t="s">
        <v>88</v>
      </c>
      <c r="O426" s="2">
        <v>16</v>
      </c>
      <c r="P426" s="2">
        <v>15</v>
      </c>
      <c r="Q426" s="4">
        <v>6760</v>
      </c>
      <c r="R426" s="4">
        <v>6330</v>
      </c>
      <c r="S426" s="4">
        <v>148</v>
      </c>
      <c r="T426" s="19">
        <f>(ProductionData[[#This Row],[Rejected_Qty]])/ProductionData[[#This Row],[Produced_Qty]]</f>
        <v>2.3380726698262244E-2</v>
      </c>
      <c r="U426" s="19">
        <f>ProductionData[[#This Row],[Produced_Qty]]/ProductionData[[#This Row],[Planned_Qty]]</f>
        <v>0.93639053254437865</v>
      </c>
      <c r="V426" s="2" t="s">
        <v>109</v>
      </c>
      <c r="W426" s="11">
        <v>0</v>
      </c>
      <c r="X426" s="13">
        <f>W426/60</f>
        <v>0</v>
      </c>
      <c r="Y426" s="2" t="s">
        <v>90</v>
      </c>
      <c r="Z426" s="2">
        <v>46</v>
      </c>
      <c r="AA426" s="2">
        <f>ProductionData[[#This Row],[Rejected_Qty]]*ProductionData[[#This Row],[Unit_Cost_INR]]</f>
        <v>6808</v>
      </c>
      <c r="AB426" s="4">
        <v>26962</v>
      </c>
      <c r="AC426" s="4">
        <v>6350</v>
      </c>
      <c r="AD426" s="4">
        <v>6350</v>
      </c>
      <c r="AE426" s="4">
        <v>26794</v>
      </c>
      <c r="AF426" s="4">
        <v>10500</v>
      </c>
    </row>
    <row r="427" spans="1:32">
      <c r="A427" s="2" t="s">
        <v>982</v>
      </c>
      <c r="B427" s="3">
        <v>46160</v>
      </c>
      <c r="C427" s="36" t="s">
        <v>790</v>
      </c>
      <c r="D427" s="2">
        <f>MONTH(ProductionData[[#This Row],[Month]])</f>
        <v>5</v>
      </c>
      <c r="E427" s="2" t="s">
        <v>116</v>
      </c>
      <c r="F427" s="2" t="s">
        <v>80</v>
      </c>
      <c r="G427" s="2" t="s">
        <v>67</v>
      </c>
      <c r="H427" s="2" t="s">
        <v>68</v>
      </c>
      <c r="I427" s="2" t="s">
        <v>69</v>
      </c>
      <c r="J427" s="2" t="s">
        <v>70</v>
      </c>
      <c r="K427" s="2" t="s">
        <v>71</v>
      </c>
      <c r="L427" s="2" t="s">
        <v>983</v>
      </c>
      <c r="M427" s="2" t="s">
        <v>102</v>
      </c>
      <c r="N427" s="2" t="s">
        <v>88</v>
      </c>
      <c r="O427" s="2">
        <v>16</v>
      </c>
      <c r="P427" s="2">
        <v>15</v>
      </c>
      <c r="Q427" s="4">
        <v>7360</v>
      </c>
      <c r="R427" s="4">
        <v>7330</v>
      </c>
      <c r="S427" s="4">
        <v>218</v>
      </c>
      <c r="T427" s="19">
        <f>(ProductionData[[#This Row],[Rejected_Qty]])/ProductionData[[#This Row],[Produced_Qty]]</f>
        <v>2.9740791268758525E-2</v>
      </c>
      <c r="U427" s="19">
        <f>ProductionData[[#This Row],[Produced_Qty]]/ProductionData[[#This Row],[Planned_Qty]]</f>
        <v>0.99592391304347827</v>
      </c>
      <c r="V427" s="2" t="s">
        <v>103</v>
      </c>
      <c r="W427" s="11">
        <v>0</v>
      </c>
      <c r="X427" s="13">
        <f>W427/60</f>
        <v>0</v>
      </c>
      <c r="Y427" s="2" t="s">
        <v>90</v>
      </c>
      <c r="Z427" s="2">
        <v>46</v>
      </c>
      <c r="AA427" s="2">
        <f>ProductionData[[#This Row],[Rejected_Qty]]*ProductionData[[#This Row],[Unit_Cost_INR]]</f>
        <v>10028</v>
      </c>
      <c r="AB427" s="4">
        <v>26229</v>
      </c>
      <c r="AC427" s="4">
        <v>6550</v>
      </c>
      <c r="AD427" s="4">
        <v>6550</v>
      </c>
      <c r="AE427" s="4">
        <v>26791</v>
      </c>
      <c r="AF427" s="4">
        <v>10500</v>
      </c>
    </row>
    <row r="428" spans="1:32">
      <c r="A428" s="2" t="s">
        <v>984</v>
      </c>
      <c r="B428" s="3">
        <v>46165</v>
      </c>
      <c r="C428" s="36" t="s">
        <v>790</v>
      </c>
      <c r="D428" s="2">
        <f>MONTH(ProductionData[[#This Row],[Month]])</f>
        <v>5</v>
      </c>
      <c r="E428" s="2" t="s">
        <v>65</v>
      </c>
      <c r="F428" s="2" t="s">
        <v>93</v>
      </c>
      <c r="G428" s="2" t="s">
        <v>195</v>
      </c>
      <c r="H428" s="2" t="s">
        <v>196</v>
      </c>
      <c r="I428" s="2" t="s">
        <v>197</v>
      </c>
      <c r="J428" s="2" t="s">
        <v>198</v>
      </c>
      <c r="K428" s="2" t="s">
        <v>199</v>
      </c>
      <c r="L428" s="2" t="s">
        <v>985</v>
      </c>
      <c r="M428" s="2" t="s">
        <v>95</v>
      </c>
      <c r="N428" s="2" t="s">
        <v>96</v>
      </c>
      <c r="O428" s="2">
        <v>14</v>
      </c>
      <c r="P428" s="2">
        <v>12</v>
      </c>
      <c r="Q428" s="4">
        <v>8410</v>
      </c>
      <c r="R428" s="4">
        <v>7770</v>
      </c>
      <c r="S428" s="4">
        <v>272</v>
      </c>
      <c r="T428" s="19">
        <f>(ProductionData[[#This Row],[Rejected_Qty]])/ProductionData[[#This Row],[Produced_Qty]]</f>
        <v>3.5006435006435008E-2</v>
      </c>
      <c r="U428" s="19">
        <f>ProductionData[[#This Row],[Produced_Qty]]/ProductionData[[#This Row],[Planned_Qty]]</f>
        <v>0.92390011890606416</v>
      </c>
      <c r="V428" s="2" t="s">
        <v>89</v>
      </c>
      <c r="W428" s="11">
        <v>0</v>
      </c>
      <c r="X428" s="13">
        <f>W428/60</f>
        <v>0</v>
      </c>
      <c r="Y428" s="2" t="s">
        <v>90</v>
      </c>
      <c r="Z428" s="2">
        <v>38</v>
      </c>
      <c r="AA428" s="2">
        <f>ProductionData[[#This Row],[Rejected_Qty]]*ProductionData[[#This Row],[Unit_Cost_INR]]</f>
        <v>10336</v>
      </c>
      <c r="AB428" s="4">
        <v>27317</v>
      </c>
      <c r="AC428" s="4">
        <v>8060</v>
      </c>
      <c r="AD428" s="4">
        <v>8060</v>
      </c>
      <c r="AE428" s="4">
        <v>26755</v>
      </c>
      <c r="AF428" s="4">
        <v>13500</v>
      </c>
    </row>
    <row r="429" spans="1:32">
      <c r="A429" s="2" t="s">
        <v>986</v>
      </c>
      <c r="B429" s="3">
        <v>46150</v>
      </c>
      <c r="C429" s="36" t="s">
        <v>790</v>
      </c>
      <c r="D429" s="2">
        <f>MONTH(ProductionData[[#This Row],[Month]])</f>
        <v>5</v>
      </c>
      <c r="E429" s="2" t="s">
        <v>125</v>
      </c>
      <c r="F429" s="2" t="s">
        <v>93</v>
      </c>
      <c r="G429" s="2" t="s">
        <v>174</v>
      </c>
      <c r="H429" s="2" t="s">
        <v>175</v>
      </c>
      <c r="I429" s="2" t="s">
        <v>176</v>
      </c>
      <c r="J429" s="2" t="s">
        <v>177</v>
      </c>
      <c r="K429" s="2" t="s">
        <v>178</v>
      </c>
      <c r="L429" s="2" t="s">
        <v>987</v>
      </c>
      <c r="M429" s="2" t="s">
        <v>95</v>
      </c>
      <c r="N429" s="2" t="s">
        <v>96</v>
      </c>
      <c r="O429" s="2">
        <v>10</v>
      </c>
      <c r="P429" s="2">
        <v>9</v>
      </c>
      <c r="Q429" s="4">
        <v>7690</v>
      </c>
      <c r="R429" s="4">
        <v>7030</v>
      </c>
      <c r="S429" s="4">
        <v>196</v>
      </c>
      <c r="T429" s="19">
        <f>(ProductionData[[#This Row],[Rejected_Qty]])/ProductionData[[#This Row],[Produced_Qty]]</f>
        <v>2.7880512091038406E-2</v>
      </c>
      <c r="U429" s="19">
        <f>ProductionData[[#This Row],[Produced_Qty]]/ProductionData[[#This Row],[Planned_Qty]]</f>
        <v>0.91417425227568272</v>
      </c>
      <c r="V429" s="2" t="s">
        <v>103</v>
      </c>
      <c r="W429" s="11">
        <v>0</v>
      </c>
      <c r="X429" s="13">
        <f>W429/60</f>
        <v>0</v>
      </c>
      <c r="Y429" s="2" t="s">
        <v>90</v>
      </c>
      <c r="Z429" s="2">
        <v>24</v>
      </c>
      <c r="AA429" s="2">
        <f>ProductionData[[#This Row],[Rejected_Qty]]*ProductionData[[#This Row],[Unit_Cost_INR]]</f>
        <v>4704</v>
      </c>
      <c r="AB429" s="4">
        <v>27304</v>
      </c>
      <c r="AC429" s="4">
        <v>7580</v>
      </c>
      <c r="AD429" s="4">
        <v>7580</v>
      </c>
      <c r="AE429" s="4">
        <v>26558</v>
      </c>
      <c r="AF429" s="4">
        <v>12000</v>
      </c>
    </row>
    <row r="430" spans="1:32">
      <c r="A430" s="2" t="s">
        <v>988</v>
      </c>
      <c r="B430" s="3">
        <v>46172</v>
      </c>
      <c r="C430" s="36" t="s">
        <v>790</v>
      </c>
      <c r="D430" s="2">
        <f>MONTH(ProductionData[[#This Row],[Month]])</f>
        <v>5</v>
      </c>
      <c r="E430" s="2" t="s">
        <v>65</v>
      </c>
      <c r="F430" s="2" t="s">
        <v>93</v>
      </c>
      <c r="G430" s="2" t="s">
        <v>174</v>
      </c>
      <c r="H430" s="2" t="s">
        <v>175</v>
      </c>
      <c r="I430" s="2" t="s">
        <v>176</v>
      </c>
      <c r="J430" s="2" t="s">
        <v>443</v>
      </c>
      <c r="K430" s="2" t="s">
        <v>444</v>
      </c>
      <c r="L430" s="2" t="s">
        <v>989</v>
      </c>
      <c r="M430" s="2" t="s">
        <v>133</v>
      </c>
      <c r="N430" s="2" t="s">
        <v>88</v>
      </c>
      <c r="O430" s="2">
        <v>10</v>
      </c>
      <c r="P430" s="2">
        <v>9</v>
      </c>
      <c r="Q430" s="4">
        <v>6020</v>
      </c>
      <c r="R430" s="4">
        <v>5690</v>
      </c>
      <c r="S430" s="4">
        <v>140</v>
      </c>
      <c r="T430" s="19">
        <f>(ProductionData[[#This Row],[Rejected_Qty]])/ProductionData[[#This Row],[Produced_Qty]]</f>
        <v>2.4604569420035149E-2</v>
      </c>
      <c r="U430" s="19">
        <f>ProductionData[[#This Row],[Produced_Qty]]/ProductionData[[#This Row],[Planned_Qty]]</f>
        <v>0.94518272425249172</v>
      </c>
      <c r="V430" s="2" t="s">
        <v>89</v>
      </c>
      <c r="W430" s="11">
        <v>0</v>
      </c>
      <c r="X430" s="13">
        <f>W430/60</f>
        <v>0</v>
      </c>
      <c r="Y430" s="2" t="s">
        <v>90</v>
      </c>
      <c r="Z430" s="2">
        <v>33</v>
      </c>
      <c r="AA430" s="2">
        <f>ProductionData[[#This Row],[Rejected_Qty]]*ProductionData[[#This Row],[Unit_Cost_INR]]</f>
        <v>4620</v>
      </c>
      <c r="AB430" s="4">
        <v>26003</v>
      </c>
      <c r="AC430" s="4">
        <v>5200</v>
      </c>
      <c r="AD430" s="4">
        <v>5200</v>
      </c>
      <c r="AE430" s="4">
        <v>26353</v>
      </c>
      <c r="AF430" s="4">
        <v>9750</v>
      </c>
    </row>
    <row r="431" spans="1:32">
      <c r="A431" s="2" t="s">
        <v>990</v>
      </c>
      <c r="B431" s="3">
        <v>46158</v>
      </c>
      <c r="C431" s="36" t="s">
        <v>790</v>
      </c>
      <c r="D431" s="2">
        <f>MONTH(ProductionData[[#This Row],[Month]])</f>
        <v>5</v>
      </c>
      <c r="E431" s="2" t="s">
        <v>65</v>
      </c>
      <c r="F431" s="2" t="s">
        <v>66</v>
      </c>
      <c r="G431" s="2" t="s">
        <v>67</v>
      </c>
      <c r="H431" s="2" t="s">
        <v>68</v>
      </c>
      <c r="I431" s="2" t="s">
        <v>69</v>
      </c>
      <c r="J431" s="2" t="s">
        <v>70</v>
      </c>
      <c r="K431" s="2" t="s">
        <v>71</v>
      </c>
      <c r="L431" s="2" t="s">
        <v>991</v>
      </c>
      <c r="M431" s="2" t="s">
        <v>73</v>
      </c>
      <c r="N431" s="2" t="s">
        <v>96</v>
      </c>
      <c r="O431" s="2">
        <v>16</v>
      </c>
      <c r="P431" s="2">
        <v>16</v>
      </c>
      <c r="Q431" s="4">
        <v>6660</v>
      </c>
      <c r="R431" s="4">
        <v>6600</v>
      </c>
      <c r="S431" s="4">
        <v>132</v>
      </c>
      <c r="T431" s="19">
        <f>(ProductionData[[#This Row],[Rejected_Qty]])/ProductionData[[#This Row],[Produced_Qty]]</f>
        <v>0.02</v>
      </c>
      <c r="U431" s="19">
        <f>ProductionData[[#This Row],[Produced_Qty]]/ProductionData[[#This Row],[Planned_Qty]]</f>
        <v>0.99099099099099097</v>
      </c>
      <c r="V431" s="2" t="s">
        <v>109</v>
      </c>
      <c r="W431" s="11">
        <v>41</v>
      </c>
      <c r="X431" s="13">
        <f>W431/60</f>
        <v>0.68333333333333335</v>
      </c>
      <c r="Y431" s="2" t="s">
        <v>76</v>
      </c>
      <c r="Z431" s="2">
        <v>46</v>
      </c>
      <c r="AA431" s="2">
        <f>ProductionData[[#This Row],[Rejected_Qty]]*ProductionData[[#This Row],[Unit_Cost_INR]]</f>
        <v>6072</v>
      </c>
      <c r="AB431" s="4">
        <v>25431</v>
      </c>
      <c r="AC431" s="4">
        <v>5670</v>
      </c>
      <c r="AD431" s="4">
        <v>5670</v>
      </c>
      <c r="AE431" s="4">
        <v>26229</v>
      </c>
      <c r="AF431" s="4">
        <v>10500</v>
      </c>
    </row>
    <row r="432" spans="1:32">
      <c r="A432" s="2" t="s">
        <v>992</v>
      </c>
      <c r="B432" s="3">
        <v>46162</v>
      </c>
      <c r="C432" s="36" t="s">
        <v>790</v>
      </c>
      <c r="D432" s="2">
        <f>MONTH(ProductionData[[#This Row],[Month]])</f>
        <v>5</v>
      </c>
      <c r="E432" s="2" t="s">
        <v>79</v>
      </c>
      <c r="F432" s="2" t="s">
        <v>93</v>
      </c>
      <c r="G432" s="2" t="s">
        <v>81</v>
      </c>
      <c r="H432" s="2" t="s">
        <v>82</v>
      </c>
      <c r="I432" s="2" t="s">
        <v>83</v>
      </c>
      <c r="J432" s="2" t="s">
        <v>166</v>
      </c>
      <c r="K432" s="2" t="s">
        <v>167</v>
      </c>
      <c r="L432" s="2" t="s">
        <v>993</v>
      </c>
      <c r="M432" s="2" t="s">
        <v>95</v>
      </c>
      <c r="N432" s="2" t="s">
        <v>96</v>
      </c>
      <c r="O432" s="2">
        <v>18</v>
      </c>
      <c r="P432" s="2">
        <v>18</v>
      </c>
      <c r="Q432" s="4">
        <v>9180</v>
      </c>
      <c r="R432" s="4">
        <v>8710</v>
      </c>
      <c r="S432" s="4">
        <v>231</v>
      </c>
      <c r="T432" s="19">
        <f>(ProductionData[[#This Row],[Rejected_Qty]])/ProductionData[[#This Row],[Produced_Qty]]</f>
        <v>2.6521239954075775E-2</v>
      </c>
      <c r="U432" s="19">
        <f>ProductionData[[#This Row],[Produced_Qty]]/ProductionData[[#This Row],[Planned_Qty]]</f>
        <v>0.94880174291939001</v>
      </c>
      <c r="V432" s="2" t="s">
        <v>75</v>
      </c>
      <c r="W432" s="11">
        <v>0</v>
      </c>
      <c r="X432" s="13">
        <f>W432/60</f>
        <v>0</v>
      </c>
      <c r="Y432" s="2" t="s">
        <v>90</v>
      </c>
      <c r="Z432" s="2">
        <v>17</v>
      </c>
      <c r="AA432" s="2">
        <f>ProductionData[[#This Row],[Rejected_Qty]]*ProductionData[[#This Row],[Unit_Cost_INR]]</f>
        <v>3927</v>
      </c>
      <c r="AB432" s="4">
        <v>27239</v>
      </c>
      <c r="AC432" s="4">
        <v>9490</v>
      </c>
      <c r="AD432" s="4">
        <v>9490</v>
      </c>
      <c r="AE432" s="4">
        <v>26228</v>
      </c>
      <c r="AF432" s="4">
        <v>13500</v>
      </c>
    </row>
    <row r="433" spans="1:32">
      <c r="A433" s="2" t="s">
        <v>994</v>
      </c>
      <c r="B433" s="3">
        <v>46171</v>
      </c>
      <c r="C433" s="36" t="s">
        <v>790</v>
      </c>
      <c r="D433" s="2">
        <f>MONTH(ProductionData[[#This Row],[Month]])</f>
        <v>5</v>
      </c>
      <c r="E433" s="2" t="s">
        <v>125</v>
      </c>
      <c r="F433" s="2" t="s">
        <v>93</v>
      </c>
      <c r="G433" s="2" t="s">
        <v>174</v>
      </c>
      <c r="H433" s="2" t="s">
        <v>175</v>
      </c>
      <c r="I433" s="2" t="s">
        <v>176</v>
      </c>
      <c r="J433" s="2" t="s">
        <v>443</v>
      </c>
      <c r="K433" s="2" t="s">
        <v>444</v>
      </c>
      <c r="L433" s="2" t="s">
        <v>995</v>
      </c>
      <c r="M433" s="2" t="s">
        <v>133</v>
      </c>
      <c r="N433" s="2" t="s">
        <v>96</v>
      </c>
      <c r="O433" s="2">
        <v>10</v>
      </c>
      <c r="P433" s="2">
        <v>10</v>
      </c>
      <c r="Q433" s="4">
        <v>6210</v>
      </c>
      <c r="R433" s="4">
        <v>6290</v>
      </c>
      <c r="S433" s="4">
        <v>145</v>
      </c>
      <c r="T433" s="19">
        <f>(ProductionData[[#This Row],[Rejected_Qty]])/ProductionData[[#This Row],[Produced_Qty]]</f>
        <v>2.3052464228934817E-2</v>
      </c>
      <c r="U433" s="19">
        <f>ProductionData[[#This Row],[Produced_Qty]]/ProductionData[[#This Row],[Planned_Qty]]</f>
        <v>1.0128824476650564</v>
      </c>
      <c r="V433" s="2" t="s">
        <v>103</v>
      </c>
      <c r="W433" s="11">
        <v>0</v>
      </c>
      <c r="X433" s="13">
        <f>W433/60</f>
        <v>0</v>
      </c>
      <c r="Y433" s="2" t="s">
        <v>90</v>
      </c>
      <c r="Z433" s="2">
        <v>33</v>
      </c>
      <c r="AA433" s="2">
        <f>ProductionData[[#This Row],[Rejected_Qty]]*ProductionData[[#This Row],[Unit_Cost_INR]]</f>
        <v>4785</v>
      </c>
      <c r="AB433" s="4">
        <v>26044</v>
      </c>
      <c r="AC433" s="4">
        <v>6110</v>
      </c>
      <c r="AD433" s="4">
        <v>6110</v>
      </c>
      <c r="AE433" s="4">
        <v>26079</v>
      </c>
      <c r="AF433" s="4">
        <v>9750</v>
      </c>
    </row>
    <row r="434" spans="1:32">
      <c r="A434" s="2" t="s">
        <v>996</v>
      </c>
      <c r="B434" s="3">
        <v>46171</v>
      </c>
      <c r="C434" s="36" t="s">
        <v>790</v>
      </c>
      <c r="D434" s="2">
        <f>MONTH(ProductionData[[#This Row],[Month]])</f>
        <v>5</v>
      </c>
      <c r="E434" s="2" t="s">
        <v>125</v>
      </c>
      <c r="F434" s="2" t="s">
        <v>80</v>
      </c>
      <c r="G434" s="2" t="s">
        <v>174</v>
      </c>
      <c r="H434" s="2" t="s">
        <v>175</v>
      </c>
      <c r="I434" s="2" t="s">
        <v>176</v>
      </c>
      <c r="J434" s="2" t="s">
        <v>443</v>
      </c>
      <c r="K434" s="2" t="s">
        <v>444</v>
      </c>
      <c r="L434" s="2" t="s">
        <v>997</v>
      </c>
      <c r="M434" s="2" t="s">
        <v>87</v>
      </c>
      <c r="N434" s="2" t="s">
        <v>88</v>
      </c>
      <c r="O434" s="2">
        <v>10</v>
      </c>
      <c r="P434" s="2">
        <v>8</v>
      </c>
      <c r="Q434" s="4">
        <v>6730</v>
      </c>
      <c r="R434" s="4">
        <v>5790</v>
      </c>
      <c r="S434" s="4">
        <v>154</v>
      </c>
      <c r="T434" s="19">
        <f>(ProductionData[[#This Row],[Rejected_Qty]])/ProductionData[[#This Row],[Produced_Qty]]</f>
        <v>2.6597582037996545E-2</v>
      </c>
      <c r="U434" s="19">
        <f>ProductionData[[#This Row],[Produced_Qty]]/ProductionData[[#This Row],[Planned_Qty]]</f>
        <v>0.86032689450222888</v>
      </c>
      <c r="V434" s="2" t="s">
        <v>75</v>
      </c>
      <c r="W434" s="11">
        <v>0</v>
      </c>
      <c r="X434" s="13">
        <f>W434/60</f>
        <v>0</v>
      </c>
      <c r="Y434" s="2" t="s">
        <v>90</v>
      </c>
      <c r="Z434" s="2">
        <v>33</v>
      </c>
      <c r="AA434" s="2">
        <f>ProductionData[[#This Row],[Rejected_Qty]]*ProductionData[[#This Row],[Unit_Cost_INR]]</f>
        <v>5082</v>
      </c>
      <c r="AB434" s="4">
        <v>25708</v>
      </c>
      <c r="AC434" s="4">
        <v>5300</v>
      </c>
      <c r="AD434" s="4">
        <v>5300</v>
      </c>
      <c r="AE434" s="4">
        <v>26044</v>
      </c>
      <c r="AF434" s="4">
        <v>9750</v>
      </c>
    </row>
    <row r="435" spans="1:32">
      <c r="A435" s="2" t="s">
        <v>998</v>
      </c>
      <c r="B435" s="3">
        <v>46169</v>
      </c>
      <c r="C435" s="36" t="s">
        <v>790</v>
      </c>
      <c r="D435" s="2">
        <f>MONTH(ProductionData[[#This Row],[Month]])</f>
        <v>5</v>
      </c>
      <c r="E435" s="2" t="s">
        <v>79</v>
      </c>
      <c r="F435" s="2" t="s">
        <v>80</v>
      </c>
      <c r="G435" s="2" t="s">
        <v>67</v>
      </c>
      <c r="H435" s="2" t="s">
        <v>68</v>
      </c>
      <c r="I435" s="2" t="s">
        <v>69</v>
      </c>
      <c r="J435" s="2" t="s">
        <v>70</v>
      </c>
      <c r="K435" s="2" t="s">
        <v>71</v>
      </c>
      <c r="L435" s="2" t="s">
        <v>999</v>
      </c>
      <c r="M435" s="2" t="s">
        <v>102</v>
      </c>
      <c r="N435" s="2" t="s">
        <v>96</v>
      </c>
      <c r="O435" s="2">
        <v>16</v>
      </c>
      <c r="P435" s="2">
        <v>16</v>
      </c>
      <c r="Q435" s="4">
        <v>6840</v>
      </c>
      <c r="R435" s="4">
        <v>7000</v>
      </c>
      <c r="S435" s="4">
        <v>243</v>
      </c>
      <c r="T435" s="19">
        <f>(ProductionData[[#This Row],[Rejected_Qty]])/ProductionData[[#This Row],[Produced_Qty]]</f>
        <v>3.4714285714285711E-2</v>
      </c>
      <c r="U435" s="19">
        <f>ProductionData[[#This Row],[Produced_Qty]]/ProductionData[[#This Row],[Planned_Qty]]</f>
        <v>1.0233918128654971</v>
      </c>
      <c r="V435" s="2" t="s">
        <v>103</v>
      </c>
      <c r="W435" s="11">
        <v>0</v>
      </c>
      <c r="X435" s="13">
        <f>W435/60</f>
        <v>0</v>
      </c>
      <c r="Y435" s="2" t="s">
        <v>90</v>
      </c>
      <c r="Z435" s="2">
        <v>46</v>
      </c>
      <c r="AA435" s="2">
        <f>ProductionData[[#This Row],[Rejected_Qty]]*ProductionData[[#This Row],[Unit_Cost_INR]]</f>
        <v>11178</v>
      </c>
      <c r="AB435" s="4">
        <v>25193</v>
      </c>
      <c r="AC435" s="4">
        <v>5910</v>
      </c>
      <c r="AD435" s="4">
        <v>5910</v>
      </c>
      <c r="AE435" s="4">
        <v>26040</v>
      </c>
      <c r="AF435" s="4">
        <v>10500</v>
      </c>
    </row>
    <row r="436" spans="1:32">
      <c r="A436" s="2" t="s">
        <v>1000</v>
      </c>
      <c r="B436" s="3">
        <v>46172</v>
      </c>
      <c r="C436" s="36" t="s">
        <v>790</v>
      </c>
      <c r="D436" s="2">
        <f>MONTH(ProductionData[[#This Row],[Month]])</f>
        <v>5</v>
      </c>
      <c r="E436" s="2" t="s">
        <v>65</v>
      </c>
      <c r="F436" s="2" t="s">
        <v>80</v>
      </c>
      <c r="G436" s="2" t="s">
        <v>174</v>
      </c>
      <c r="H436" s="2" t="s">
        <v>175</v>
      </c>
      <c r="I436" s="2" t="s">
        <v>176</v>
      </c>
      <c r="J436" s="2" t="s">
        <v>443</v>
      </c>
      <c r="K436" s="2" t="s">
        <v>444</v>
      </c>
      <c r="L436" s="2" t="s">
        <v>1001</v>
      </c>
      <c r="M436" s="2" t="s">
        <v>102</v>
      </c>
      <c r="N436" s="2" t="s">
        <v>88</v>
      </c>
      <c r="O436" s="2">
        <v>10</v>
      </c>
      <c r="P436" s="2">
        <v>10</v>
      </c>
      <c r="Q436" s="4">
        <v>6560</v>
      </c>
      <c r="R436" s="4">
        <v>6400</v>
      </c>
      <c r="S436" s="4">
        <v>142</v>
      </c>
      <c r="T436" s="19">
        <f>(ProductionData[[#This Row],[Rejected_Qty]])/ProductionData[[#This Row],[Produced_Qty]]</f>
        <v>2.2187499999999999E-2</v>
      </c>
      <c r="U436" s="19">
        <f>ProductionData[[#This Row],[Produced_Qty]]/ProductionData[[#This Row],[Planned_Qty]]</f>
        <v>0.97560975609756095</v>
      </c>
      <c r="V436" s="2" t="s">
        <v>89</v>
      </c>
      <c r="W436" s="11">
        <v>20</v>
      </c>
      <c r="X436" s="13">
        <f>W436/60</f>
        <v>0.33333333333333331</v>
      </c>
      <c r="Y436" s="2" t="s">
        <v>182</v>
      </c>
      <c r="Z436" s="2">
        <v>33</v>
      </c>
      <c r="AA436" s="2">
        <f>ProductionData[[#This Row],[Rejected_Qty]]*ProductionData[[#This Row],[Unit_Cost_INR]]</f>
        <v>4686</v>
      </c>
      <c r="AB436" s="4">
        <v>25905</v>
      </c>
      <c r="AC436" s="4">
        <v>6160</v>
      </c>
      <c r="AD436" s="4">
        <v>6160</v>
      </c>
      <c r="AE436" s="4">
        <v>26003</v>
      </c>
      <c r="AF436" s="4">
        <v>9750</v>
      </c>
    </row>
    <row r="437" spans="1:32">
      <c r="A437" s="2" t="s">
        <v>1002</v>
      </c>
      <c r="B437" s="3">
        <v>46160</v>
      </c>
      <c r="C437" s="36" t="s">
        <v>790</v>
      </c>
      <c r="D437" s="2">
        <f>MONTH(ProductionData[[#This Row],[Month]])</f>
        <v>5</v>
      </c>
      <c r="E437" s="2" t="s">
        <v>116</v>
      </c>
      <c r="F437" s="2" t="s">
        <v>93</v>
      </c>
      <c r="G437" s="2" t="s">
        <v>67</v>
      </c>
      <c r="H437" s="2" t="s">
        <v>68</v>
      </c>
      <c r="I437" s="2" t="s">
        <v>69</v>
      </c>
      <c r="J437" s="2" t="s">
        <v>70</v>
      </c>
      <c r="K437" s="2" t="s">
        <v>71</v>
      </c>
      <c r="L437" s="2" t="s">
        <v>1003</v>
      </c>
      <c r="M437" s="2" t="s">
        <v>95</v>
      </c>
      <c r="N437" s="2" t="s">
        <v>96</v>
      </c>
      <c r="O437" s="2">
        <v>16</v>
      </c>
      <c r="P437" s="2">
        <v>12</v>
      </c>
      <c r="Q437" s="4">
        <v>6810</v>
      </c>
      <c r="R437" s="4">
        <v>5650</v>
      </c>
      <c r="S437" s="4">
        <v>162</v>
      </c>
      <c r="T437" s="19">
        <f>(ProductionData[[#This Row],[Rejected_Qty]])/ProductionData[[#This Row],[Produced_Qty]]</f>
        <v>2.8672566371681415E-2</v>
      </c>
      <c r="U437" s="19">
        <f>ProductionData[[#This Row],[Produced_Qty]]/ProductionData[[#This Row],[Planned_Qty]]</f>
        <v>0.82966226138032306</v>
      </c>
      <c r="V437" s="2" t="s">
        <v>109</v>
      </c>
      <c r="W437" s="11">
        <v>0</v>
      </c>
      <c r="X437" s="13">
        <f>W437/60</f>
        <v>0</v>
      </c>
      <c r="Y437" s="2" t="s">
        <v>90</v>
      </c>
      <c r="Z437" s="2">
        <v>46</v>
      </c>
      <c r="AA437" s="2">
        <f>ProductionData[[#This Row],[Rejected_Qty]]*ProductionData[[#This Row],[Unit_Cost_INR]]</f>
        <v>7452</v>
      </c>
      <c r="AB437" s="4">
        <v>26791</v>
      </c>
      <c r="AC437" s="4">
        <v>6280</v>
      </c>
      <c r="AD437" s="4">
        <v>6280</v>
      </c>
      <c r="AE437" s="4">
        <v>25999</v>
      </c>
      <c r="AF437" s="4">
        <v>10500</v>
      </c>
    </row>
    <row r="438" spans="1:32">
      <c r="A438" s="2" t="s">
        <v>1004</v>
      </c>
      <c r="B438" s="3">
        <v>46161</v>
      </c>
      <c r="C438" s="36" t="s">
        <v>790</v>
      </c>
      <c r="D438" s="2">
        <f>MONTH(ProductionData[[#This Row],[Month]])</f>
        <v>5</v>
      </c>
      <c r="E438" s="2" t="s">
        <v>92</v>
      </c>
      <c r="F438" s="2" t="s">
        <v>93</v>
      </c>
      <c r="G438" s="2" t="s">
        <v>67</v>
      </c>
      <c r="H438" s="2" t="s">
        <v>68</v>
      </c>
      <c r="I438" s="2" t="s">
        <v>69</v>
      </c>
      <c r="J438" s="2" t="s">
        <v>70</v>
      </c>
      <c r="K438" s="2" t="s">
        <v>71</v>
      </c>
      <c r="L438" s="2" t="s">
        <v>1005</v>
      </c>
      <c r="M438" s="2" t="s">
        <v>133</v>
      </c>
      <c r="N438" s="2" t="s">
        <v>88</v>
      </c>
      <c r="O438" s="2">
        <v>16</v>
      </c>
      <c r="P438" s="2">
        <v>15</v>
      </c>
      <c r="Q438" s="4">
        <v>7000</v>
      </c>
      <c r="R438" s="4">
        <v>6660</v>
      </c>
      <c r="S438" s="4">
        <v>180</v>
      </c>
      <c r="T438" s="19">
        <f>(ProductionData[[#This Row],[Rejected_Qty]])/ProductionData[[#This Row],[Produced_Qty]]</f>
        <v>2.7027027027027029E-2</v>
      </c>
      <c r="U438" s="19">
        <f>ProductionData[[#This Row],[Produced_Qty]]/ProductionData[[#This Row],[Planned_Qty]]</f>
        <v>0.9514285714285714</v>
      </c>
      <c r="V438" s="2" t="s">
        <v>103</v>
      </c>
      <c r="W438" s="11">
        <v>54</v>
      </c>
      <c r="X438" s="13">
        <f>W438/60</f>
        <v>0.9</v>
      </c>
      <c r="Y438" s="2" t="s">
        <v>110</v>
      </c>
      <c r="Z438" s="2">
        <v>46</v>
      </c>
      <c r="AA438" s="2">
        <f>ProductionData[[#This Row],[Rejected_Qty]]*ProductionData[[#This Row],[Unit_Cost_INR]]</f>
        <v>8280</v>
      </c>
      <c r="AB438" s="4">
        <v>25999</v>
      </c>
      <c r="AC438" s="4">
        <v>6540</v>
      </c>
      <c r="AD438" s="4">
        <v>6540</v>
      </c>
      <c r="AE438" s="4">
        <v>25939</v>
      </c>
      <c r="AF438" s="4">
        <v>10500</v>
      </c>
    </row>
    <row r="439" spans="1:32">
      <c r="A439" s="2" t="s">
        <v>1006</v>
      </c>
      <c r="B439" s="3">
        <v>46172</v>
      </c>
      <c r="C439" s="36" t="s">
        <v>790</v>
      </c>
      <c r="D439" s="2">
        <f>MONTH(ProductionData[[#This Row],[Month]])</f>
        <v>5</v>
      </c>
      <c r="E439" s="2" t="s">
        <v>65</v>
      </c>
      <c r="F439" s="2" t="s">
        <v>66</v>
      </c>
      <c r="G439" s="2" t="s">
        <v>174</v>
      </c>
      <c r="H439" s="2" t="s">
        <v>175</v>
      </c>
      <c r="I439" s="2" t="s">
        <v>176</v>
      </c>
      <c r="J439" s="2" t="s">
        <v>443</v>
      </c>
      <c r="K439" s="2" t="s">
        <v>444</v>
      </c>
      <c r="L439" s="2" t="s">
        <v>1007</v>
      </c>
      <c r="M439" s="2" t="s">
        <v>73</v>
      </c>
      <c r="N439" s="2" t="s">
        <v>88</v>
      </c>
      <c r="O439" s="2">
        <v>10</v>
      </c>
      <c r="P439" s="2">
        <v>9</v>
      </c>
      <c r="Q439" s="4">
        <v>6390</v>
      </c>
      <c r="R439" s="4">
        <v>5790</v>
      </c>
      <c r="S439" s="4">
        <v>164</v>
      </c>
      <c r="T439" s="19">
        <f>(ProductionData[[#This Row],[Rejected_Qty]])/ProductionData[[#This Row],[Produced_Qty]]</f>
        <v>2.8324697754749568E-2</v>
      </c>
      <c r="U439" s="19">
        <f>ProductionData[[#This Row],[Produced_Qty]]/ProductionData[[#This Row],[Planned_Qty]]</f>
        <v>0.9061032863849765</v>
      </c>
      <c r="V439" s="2" t="s">
        <v>113</v>
      </c>
      <c r="W439" s="11">
        <v>0</v>
      </c>
      <c r="X439" s="13">
        <f>W439/60</f>
        <v>0</v>
      </c>
      <c r="Y439" s="2" t="s">
        <v>90</v>
      </c>
      <c r="Z439" s="2">
        <v>33</v>
      </c>
      <c r="AA439" s="2">
        <f>ProductionData[[#This Row],[Rejected_Qty]]*ProductionData[[#This Row],[Unit_Cost_INR]]</f>
        <v>5412</v>
      </c>
      <c r="AB439" s="4">
        <v>26079</v>
      </c>
      <c r="AC439" s="4">
        <v>5800</v>
      </c>
      <c r="AD439" s="4">
        <v>5800</v>
      </c>
      <c r="AE439" s="4">
        <v>25905</v>
      </c>
      <c r="AF439" s="4">
        <v>9750</v>
      </c>
    </row>
    <row r="440" spans="1:32">
      <c r="A440" s="2" t="s">
        <v>1008</v>
      </c>
      <c r="B440" s="3">
        <v>46170</v>
      </c>
      <c r="C440" s="36" t="s">
        <v>790</v>
      </c>
      <c r="D440" s="2">
        <f>MONTH(ProductionData[[#This Row],[Month]])</f>
        <v>5</v>
      </c>
      <c r="E440" s="2" t="s">
        <v>107</v>
      </c>
      <c r="F440" s="2" t="s">
        <v>80</v>
      </c>
      <c r="G440" s="2" t="s">
        <v>174</v>
      </c>
      <c r="H440" s="2" t="s">
        <v>175</v>
      </c>
      <c r="I440" s="2" t="s">
        <v>176</v>
      </c>
      <c r="J440" s="2" t="s">
        <v>443</v>
      </c>
      <c r="K440" s="2" t="s">
        <v>444</v>
      </c>
      <c r="L440" s="2" t="s">
        <v>1009</v>
      </c>
      <c r="M440" s="2" t="s">
        <v>102</v>
      </c>
      <c r="N440" s="2" t="s">
        <v>88</v>
      </c>
      <c r="O440" s="2">
        <v>10</v>
      </c>
      <c r="P440" s="2">
        <v>10</v>
      </c>
      <c r="Q440" s="4">
        <v>6960</v>
      </c>
      <c r="R440" s="4">
        <v>6630</v>
      </c>
      <c r="S440" s="4">
        <v>174</v>
      </c>
      <c r="T440" s="19">
        <f>(ProductionData[[#This Row],[Rejected_Qty]])/ProductionData[[#This Row],[Produced_Qty]]</f>
        <v>2.6244343891402715E-2</v>
      </c>
      <c r="U440" s="19">
        <f>ProductionData[[#This Row],[Produced_Qty]]/ProductionData[[#This Row],[Planned_Qty]]</f>
        <v>0.95258620689655171</v>
      </c>
      <c r="V440" s="2" t="s">
        <v>103</v>
      </c>
      <c r="W440" s="11">
        <v>0</v>
      </c>
      <c r="X440" s="13">
        <f>W440/60</f>
        <v>0</v>
      </c>
      <c r="Y440" s="2" t="s">
        <v>90</v>
      </c>
      <c r="Z440" s="2">
        <v>33</v>
      </c>
      <c r="AA440" s="2">
        <f>ProductionData[[#This Row],[Rejected_Qty]]*ProductionData[[#This Row],[Unit_Cost_INR]]</f>
        <v>5742</v>
      </c>
      <c r="AB440" s="4">
        <v>25155</v>
      </c>
      <c r="AC440" s="4">
        <v>5840</v>
      </c>
      <c r="AD440" s="4">
        <v>5840</v>
      </c>
      <c r="AE440" s="4">
        <v>25771</v>
      </c>
      <c r="AF440" s="4">
        <v>9750</v>
      </c>
    </row>
    <row r="441" spans="1:32">
      <c r="A441" s="2" t="s">
        <v>1010</v>
      </c>
      <c r="B441" s="3">
        <v>46163</v>
      </c>
      <c r="C441" s="36" t="s">
        <v>790</v>
      </c>
      <c r="D441" s="2">
        <f>MONTH(ProductionData[[#This Row],[Month]])</f>
        <v>5</v>
      </c>
      <c r="E441" s="2" t="s">
        <v>107</v>
      </c>
      <c r="F441" s="2" t="s">
        <v>66</v>
      </c>
      <c r="G441" s="2" t="s">
        <v>67</v>
      </c>
      <c r="H441" s="2" t="s">
        <v>68</v>
      </c>
      <c r="I441" s="2" t="s">
        <v>69</v>
      </c>
      <c r="J441" s="2" t="s">
        <v>70</v>
      </c>
      <c r="K441" s="2" t="s">
        <v>71</v>
      </c>
      <c r="L441" s="2" t="s">
        <v>1011</v>
      </c>
      <c r="M441" s="2" t="s">
        <v>73</v>
      </c>
      <c r="N441" s="2" t="s">
        <v>88</v>
      </c>
      <c r="O441" s="2">
        <v>16</v>
      </c>
      <c r="P441" s="2">
        <v>14</v>
      </c>
      <c r="Q441" s="4">
        <v>6640</v>
      </c>
      <c r="R441" s="4">
        <v>6130</v>
      </c>
      <c r="S441" s="4">
        <v>208</v>
      </c>
      <c r="T441" s="19">
        <f>(ProductionData[[#This Row],[Rejected_Qty]])/ProductionData[[#This Row],[Produced_Qty]]</f>
        <v>3.3931484502446985E-2</v>
      </c>
      <c r="U441" s="19">
        <f>ProductionData[[#This Row],[Produced_Qty]]/ProductionData[[#This Row],[Planned_Qty]]</f>
        <v>0.92319277108433739</v>
      </c>
      <c r="V441" s="2" t="s">
        <v>89</v>
      </c>
      <c r="W441" s="11">
        <v>11</v>
      </c>
      <c r="X441" s="13">
        <f>W441/60</f>
        <v>0.18333333333333332</v>
      </c>
      <c r="Y441" s="2" t="s">
        <v>182</v>
      </c>
      <c r="Z441" s="2">
        <v>46</v>
      </c>
      <c r="AA441" s="2">
        <f>ProductionData[[#This Row],[Rejected_Qty]]*ProductionData[[#This Row],[Unit_Cost_INR]]</f>
        <v>9568</v>
      </c>
      <c r="AB441" s="4">
        <v>25466</v>
      </c>
      <c r="AC441" s="4">
        <v>5620</v>
      </c>
      <c r="AD441" s="4">
        <v>5620</v>
      </c>
      <c r="AE441" s="4">
        <v>25768</v>
      </c>
      <c r="AF441" s="4">
        <v>10500</v>
      </c>
    </row>
    <row r="442" spans="1:32">
      <c r="A442" s="2" t="s">
        <v>1012</v>
      </c>
      <c r="B442" s="3">
        <v>46171</v>
      </c>
      <c r="C442" s="36" t="s">
        <v>790</v>
      </c>
      <c r="D442" s="2">
        <f>MONTH(ProductionData[[#This Row],[Month]])</f>
        <v>5</v>
      </c>
      <c r="E442" s="2" t="s">
        <v>125</v>
      </c>
      <c r="F442" s="2" t="s">
        <v>66</v>
      </c>
      <c r="G442" s="2" t="s">
        <v>174</v>
      </c>
      <c r="H442" s="2" t="s">
        <v>175</v>
      </c>
      <c r="I442" s="2" t="s">
        <v>176</v>
      </c>
      <c r="J442" s="2" t="s">
        <v>443</v>
      </c>
      <c r="K442" s="2" t="s">
        <v>444</v>
      </c>
      <c r="L442" s="2" t="s">
        <v>1013</v>
      </c>
      <c r="M442" s="2" t="s">
        <v>99</v>
      </c>
      <c r="N442" s="2" t="s">
        <v>88</v>
      </c>
      <c r="O442" s="2">
        <v>10</v>
      </c>
      <c r="P442" s="2">
        <v>10</v>
      </c>
      <c r="Q442" s="4">
        <v>6480</v>
      </c>
      <c r="R442" s="4">
        <v>6040</v>
      </c>
      <c r="S442" s="4">
        <v>124</v>
      </c>
      <c r="T442" s="19">
        <f>(ProductionData[[#This Row],[Rejected_Qty]])/ProductionData[[#This Row],[Produced_Qty]]</f>
        <v>2.052980132450331E-2</v>
      </c>
      <c r="U442" s="19">
        <f>ProductionData[[#This Row],[Produced_Qty]]/ProductionData[[#This Row],[Planned_Qty]]</f>
        <v>0.9320987654320988</v>
      </c>
      <c r="V442" s="2" t="s">
        <v>109</v>
      </c>
      <c r="W442" s="11">
        <v>53</v>
      </c>
      <c r="X442" s="13">
        <f>W442/60</f>
        <v>0.8833333333333333</v>
      </c>
      <c r="Y442" s="2" t="s">
        <v>76</v>
      </c>
      <c r="Z442" s="2">
        <v>33</v>
      </c>
      <c r="AA442" s="2">
        <f>ProductionData[[#This Row],[Rejected_Qty]]*ProductionData[[#This Row],[Unit_Cost_INR]]</f>
        <v>4092</v>
      </c>
      <c r="AB442" s="4">
        <v>25202</v>
      </c>
      <c r="AC442" s="4">
        <v>5410</v>
      </c>
      <c r="AD442" s="4">
        <v>5410</v>
      </c>
      <c r="AE442" s="4">
        <v>25708</v>
      </c>
      <c r="AF442" s="4">
        <v>9750</v>
      </c>
    </row>
    <row r="443" spans="1:32">
      <c r="A443" s="2" t="s">
        <v>1014</v>
      </c>
      <c r="B443" s="3">
        <v>46170</v>
      </c>
      <c r="C443" s="36" t="s">
        <v>790</v>
      </c>
      <c r="D443" s="2">
        <f>MONTH(ProductionData[[#This Row],[Month]])</f>
        <v>5</v>
      </c>
      <c r="E443" s="2" t="s">
        <v>107</v>
      </c>
      <c r="F443" s="2" t="s">
        <v>66</v>
      </c>
      <c r="G443" s="2" t="s">
        <v>195</v>
      </c>
      <c r="H443" s="2" t="s">
        <v>196</v>
      </c>
      <c r="I443" s="2" t="s">
        <v>197</v>
      </c>
      <c r="J443" s="2" t="s">
        <v>198</v>
      </c>
      <c r="K443" s="2" t="s">
        <v>199</v>
      </c>
      <c r="L443" s="2" t="s">
        <v>1015</v>
      </c>
      <c r="M443" s="2" t="s">
        <v>73</v>
      </c>
      <c r="N443" s="2" t="s">
        <v>88</v>
      </c>
      <c r="O443" s="2">
        <v>14</v>
      </c>
      <c r="P443" s="2">
        <v>14</v>
      </c>
      <c r="Q443" s="4">
        <v>9620</v>
      </c>
      <c r="R443" s="4">
        <v>9060</v>
      </c>
      <c r="S443" s="4">
        <v>302</v>
      </c>
      <c r="T443" s="19">
        <f>(ProductionData[[#This Row],[Rejected_Qty]])/ProductionData[[#This Row],[Produced_Qty]]</f>
        <v>3.3333333333333333E-2</v>
      </c>
      <c r="U443" s="19">
        <f>ProductionData[[#This Row],[Produced_Qty]]/ProductionData[[#This Row],[Planned_Qty]]</f>
        <v>0.94178794178794178</v>
      </c>
      <c r="V443" s="2" t="s">
        <v>103</v>
      </c>
      <c r="W443" s="11">
        <v>0</v>
      </c>
      <c r="X443" s="13">
        <f>W443/60</f>
        <v>0</v>
      </c>
      <c r="Y443" s="2" t="s">
        <v>90</v>
      </c>
      <c r="Z443" s="2">
        <v>38</v>
      </c>
      <c r="AA443" s="2">
        <f>ProductionData[[#This Row],[Rejected_Qty]]*ProductionData[[#This Row],[Unit_Cost_INR]]</f>
        <v>11476</v>
      </c>
      <c r="AB443" s="4">
        <v>24865</v>
      </c>
      <c r="AC443" s="4">
        <v>7940</v>
      </c>
      <c r="AD443" s="4">
        <v>7940</v>
      </c>
      <c r="AE443" s="4">
        <v>25683</v>
      </c>
      <c r="AF443" s="4">
        <v>13500</v>
      </c>
    </row>
    <row r="444" spans="1:32">
      <c r="A444" s="2" t="s">
        <v>1016</v>
      </c>
      <c r="B444" s="3">
        <v>46167</v>
      </c>
      <c r="C444" s="36" t="s">
        <v>790</v>
      </c>
      <c r="D444" s="2">
        <f>MONTH(ProductionData[[#This Row],[Month]])</f>
        <v>5</v>
      </c>
      <c r="E444" s="2" t="s">
        <v>116</v>
      </c>
      <c r="F444" s="2" t="s">
        <v>80</v>
      </c>
      <c r="G444" s="2" t="s">
        <v>195</v>
      </c>
      <c r="H444" s="2" t="s">
        <v>196</v>
      </c>
      <c r="I444" s="2" t="s">
        <v>197</v>
      </c>
      <c r="J444" s="2" t="s">
        <v>198</v>
      </c>
      <c r="K444" s="2" t="s">
        <v>199</v>
      </c>
      <c r="L444" s="2" t="s">
        <v>1017</v>
      </c>
      <c r="M444" s="2" t="s">
        <v>102</v>
      </c>
      <c r="N444" s="2" t="s">
        <v>88</v>
      </c>
      <c r="O444" s="2">
        <v>14</v>
      </c>
      <c r="P444" s="2">
        <v>14</v>
      </c>
      <c r="Q444" s="4">
        <v>9240</v>
      </c>
      <c r="R444" s="4">
        <v>8450</v>
      </c>
      <c r="S444" s="4">
        <v>177</v>
      </c>
      <c r="T444" s="19">
        <f>(ProductionData[[#This Row],[Rejected_Qty]])/ProductionData[[#This Row],[Produced_Qty]]</f>
        <v>2.0946745562130178E-2</v>
      </c>
      <c r="U444" s="19">
        <f>ProductionData[[#This Row],[Produced_Qty]]/ProductionData[[#This Row],[Planned_Qty]]</f>
        <v>0.91450216450216448</v>
      </c>
      <c r="V444" s="2" t="s">
        <v>109</v>
      </c>
      <c r="W444" s="11">
        <v>0</v>
      </c>
      <c r="X444" s="13">
        <f>W444/60</f>
        <v>0</v>
      </c>
      <c r="Y444" s="2" t="s">
        <v>90</v>
      </c>
      <c r="Z444" s="2">
        <v>38</v>
      </c>
      <c r="AA444" s="2">
        <f>ProductionData[[#This Row],[Rejected_Qty]]*ProductionData[[#This Row],[Unit_Cost_INR]]</f>
        <v>6726</v>
      </c>
      <c r="AB444" s="4">
        <v>25554</v>
      </c>
      <c r="AC444" s="4">
        <v>8200</v>
      </c>
      <c r="AD444" s="4">
        <v>8200</v>
      </c>
      <c r="AE444" s="4">
        <v>25627</v>
      </c>
      <c r="AF444" s="4">
        <v>13500</v>
      </c>
    </row>
    <row r="445" spans="1:32">
      <c r="A445" s="2" t="s">
        <v>1018</v>
      </c>
      <c r="B445" s="3">
        <v>46166</v>
      </c>
      <c r="C445" s="36" t="s">
        <v>790</v>
      </c>
      <c r="D445" s="2">
        <f>MONTH(ProductionData[[#This Row],[Month]])</f>
        <v>5</v>
      </c>
      <c r="E445" s="2" t="s">
        <v>186</v>
      </c>
      <c r="F445" s="2" t="s">
        <v>66</v>
      </c>
      <c r="G445" s="2" t="s">
        <v>195</v>
      </c>
      <c r="H445" s="2" t="s">
        <v>196</v>
      </c>
      <c r="I445" s="2" t="s">
        <v>197</v>
      </c>
      <c r="J445" s="2" t="s">
        <v>198</v>
      </c>
      <c r="K445" s="2" t="s">
        <v>199</v>
      </c>
      <c r="L445" s="2" t="s">
        <v>1019</v>
      </c>
      <c r="M445" s="2" t="s">
        <v>99</v>
      </c>
      <c r="N445" s="2" t="s">
        <v>88</v>
      </c>
      <c r="O445" s="2">
        <v>14</v>
      </c>
      <c r="P445" s="2">
        <v>12</v>
      </c>
      <c r="Q445" s="4">
        <v>6780</v>
      </c>
      <c r="R445" s="4">
        <v>6020</v>
      </c>
      <c r="S445" s="4">
        <v>141</v>
      </c>
      <c r="T445" s="19">
        <f>(ProductionData[[#This Row],[Rejected_Qty]])/ProductionData[[#This Row],[Produced_Qty]]</f>
        <v>2.3421926910299002E-2</v>
      </c>
      <c r="U445" s="19">
        <f>ProductionData[[#This Row],[Produced_Qty]]/ProductionData[[#This Row],[Planned_Qty]]</f>
        <v>0.88790560471976399</v>
      </c>
      <c r="V445" s="2" t="s">
        <v>75</v>
      </c>
      <c r="W445" s="11">
        <v>0</v>
      </c>
      <c r="X445" s="13">
        <f>W445/60</f>
        <v>0</v>
      </c>
      <c r="Y445" s="2" t="s">
        <v>90</v>
      </c>
      <c r="Z445" s="2">
        <v>38</v>
      </c>
      <c r="AA445" s="2">
        <f>ProductionData[[#This Row],[Rejected_Qty]]*ProductionData[[#This Row],[Unit_Cost_INR]]</f>
        <v>5358</v>
      </c>
      <c r="AB445" s="4">
        <v>26755</v>
      </c>
      <c r="AC445" s="4">
        <v>7080</v>
      </c>
      <c r="AD445" s="4">
        <v>7080</v>
      </c>
      <c r="AE445" s="4">
        <v>25554</v>
      </c>
      <c r="AF445" s="4">
        <v>13500</v>
      </c>
    </row>
    <row r="446" spans="1:32">
      <c r="A446" s="2" t="s">
        <v>1020</v>
      </c>
      <c r="B446" s="3">
        <v>46171</v>
      </c>
      <c r="C446" s="36" t="s">
        <v>790</v>
      </c>
      <c r="D446" s="2">
        <f>MONTH(ProductionData[[#This Row],[Month]])</f>
        <v>5</v>
      </c>
      <c r="E446" s="2" t="s">
        <v>125</v>
      </c>
      <c r="F446" s="2" t="s">
        <v>93</v>
      </c>
      <c r="G446" s="2" t="s">
        <v>195</v>
      </c>
      <c r="H446" s="2" t="s">
        <v>196</v>
      </c>
      <c r="I446" s="2" t="s">
        <v>197</v>
      </c>
      <c r="J446" s="2" t="s">
        <v>198</v>
      </c>
      <c r="K446" s="2" t="s">
        <v>199</v>
      </c>
      <c r="L446" s="2" t="s">
        <v>1021</v>
      </c>
      <c r="M446" s="2" t="s">
        <v>95</v>
      </c>
      <c r="N446" s="2" t="s">
        <v>96</v>
      </c>
      <c r="O446" s="2">
        <v>14</v>
      </c>
      <c r="P446" s="2">
        <v>14</v>
      </c>
      <c r="Q446" s="4">
        <v>8560</v>
      </c>
      <c r="R446" s="4">
        <v>8320</v>
      </c>
      <c r="S446" s="4">
        <v>203</v>
      </c>
      <c r="T446" s="19">
        <f>(ProductionData[[#This Row],[Rejected_Qty]])/ProductionData[[#This Row],[Produced_Qty]]</f>
        <v>2.4399038461538462E-2</v>
      </c>
      <c r="U446" s="19">
        <f>ProductionData[[#This Row],[Produced_Qty]]/ProductionData[[#This Row],[Planned_Qty]]</f>
        <v>0.9719626168224299</v>
      </c>
      <c r="V446" s="2" t="s">
        <v>113</v>
      </c>
      <c r="W446" s="11">
        <v>72</v>
      </c>
      <c r="X446" s="13">
        <f>W446/60</f>
        <v>1.2</v>
      </c>
      <c r="Y446" s="2" t="s">
        <v>110</v>
      </c>
      <c r="Z446" s="2">
        <v>38</v>
      </c>
      <c r="AA446" s="2">
        <f>ProductionData[[#This Row],[Rejected_Qty]]*ProductionData[[#This Row],[Unit_Cost_INR]]</f>
        <v>7714</v>
      </c>
      <c r="AB446" s="4">
        <v>24934</v>
      </c>
      <c r="AC446" s="4">
        <v>7540</v>
      </c>
      <c r="AD446" s="4">
        <v>7540</v>
      </c>
      <c r="AE446" s="4">
        <v>25511</v>
      </c>
      <c r="AF446" s="4">
        <v>13500</v>
      </c>
    </row>
    <row r="447" spans="1:32">
      <c r="A447" s="2" t="s">
        <v>1022</v>
      </c>
      <c r="B447" s="3">
        <v>46162</v>
      </c>
      <c r="C447" s="36" t="s">
        <v>790</v>
      </c>
      <c r="D447" s="2">
        <f>MONTH(ProductionData[[#This Row],[Month]])</f>
        <v>5</v>
      </c>
      <c r="E447" s="2" t="s">
        <v>79</v>
      </c>
      <c r="F447" s="2" t="s">
        <v>66</v>
      </c>
      <c r="G447" s="2" t="s">
        <v>67</v>
      </c>
      <c r="H447" s="2" t="s">
        <v>68</v>
      </c>
      <c r="I447" s="2" t="s">
        <v>69</v>
      </c>
      <c r="J447" s="2" t="s">
        <v>70</v>
      </c>
      <c r="K447" s="2" t="s">
        <v>71</v>
      </c>
      <c r="L447" s="2" t="s">
        <v>1023</v>
      </c>
      <c r="M447" s="2" t="s">
        <v>99</v>
      </c>
      <c r="N447" s="2" t="s">
        <v>88</v>
      </c>
      <c r="O447" s="2">
        <v>16</v>
      </c>
      <c r="P447" s="2">
        <v>16</v>
      </c>
      <c r="Q447" s="4">
        <v>7040</v>
      </c>
      <c r="R447" s="4">
        <v>6540</v>
      </c>
      <c r="S447" s="4">
        <v>193</v>
      </c>
      <c r="T447" s="19">
        <f>(ProductionData[[#This Row],[Rejected_Qty]])/ProductionData[[#This Row],[Produced_Qty]]</f>
        <v>2.9510703363914374E-2</v>
      </c>
      <c r="U447" s="19">
        <f>ProductionData[[#This Row],[Produced_Qty]]/ProductionData[[#This Row],[Planned_Qty]]</f>
        <v>0.92897727272727271</v>
      </c>
      <c r="V447" s="2" t="s">
        <v>113</v>
      </c>
      <c r="W447" s="11">
        <v>0</v>
      </c>
      <c r="X447" s="13">
        <f>W447/60</f>
        <v>0</v>
      </c>
      <c r="Y447" s="2" t="s">
        <v>90</v>
      </c>
      <c r="Z447" s="2">
        <v>46</v>
      </c>
      <c r="AA447" s="2">
        <f>ProductionData[[#This Row],[Rejected_Qty]]*ProductionData[[#This Row],[Unit_Cost_INR]]</f>
        <v>8878</v>
      </c>
      <c r="AB447" s="4">
        <v>25939</v>
      </c>
      <c r="AC447" s="4">
        <v>6820</v>
      </c>
      <c r="AD447" s="4">
        <v>6820</v>
      </c>
      <c r="AE447" s="4">
        <v>25466</v>
      </c>
      <c r="AF447" s="4">
        <v>10500</v>
      </c>
    </row>
    <row r="448" spans="1:32">
      <c r="A448" s="2" t="s">
        <v>1024</v>
      </c>
      <c r="B448" s="3">
        <v>46157</v>
      </c>
      <c r="C448" s="36" t="s">
        <v>790</v>
      </c>
      <c r="D448" s="2">
        <f>MONTH(ProductionData[[#This Row],[Month]])</f>
        <v>5</v>
      </c>
      <c r="E448" s="2" t="s">
        <v>125</v>
      </c>
      <c r="F448" s="2" t="s">
        <v>93</v>
      </c>
      <c r="G448" s="2" t="s">
        <v>67</v>
      </c>
      <c r="H448" s="2" t="s">
        <v>68</v>
      </c>
      <c r="I448" s="2" t="s">
        <v>69</v>
      </c>
      <c r="J448" s="2" t="s">
        <v>70</v>
      </c>
      <c r="K448" s="2" t="s">
        <v>71</v>
      </c>
      <c r="L448" s="2" t="s">
        <v>1025</v>
      </c>
      <c r="M448" s="2" t="s">
        <v>133</v>
      </c>
      <c r="N448" s="2" t="s">
        <v>88</v>
      </c>
      <c r="O448" s="2">
        <v>16</v>
      </c>
      <c r="P448" s="2">
        <v>16</v>
      </c>
      <c r="Q448" s="4">
        <v>6300</v>
      </c>
      <c r="R448" s="4">
        <v>5980</v>
      </c>
      <c r="S448" s="4">
        <v>210</v>
      </c>
      <c r="T448" s="19">
        <f>(ProductionData[[#This Row],[Rejected_Qty]])/ProductionData[[#This Row],[Produced_Qty]]</f>
        <v>3.5117056856187288E-2</v>
      </c>
      <c r="U448" s="19">
        <f>ProductionData[[#This Row],[Produced_Qty]]/ProductionData[[#This Row],[Planned_Qty]]</f>
        <v>0.94920634920634916</v>
      </c>
      <c r="V448" s="2" t="s">
        <v>103</v>
      </c>
      <c r="W448" s="11">
        <v>0</v>
      </c>
      <c r="X448" s="13">
        <f>W448/60</f>
        <v>0</v>
      </c>
      <c r="Y448" s="2" t="s">
        <v>90</v>
      </c>
      <c r="Z448" s="2">
        <v>46</v>
      </c>
      <c r="AA448" s="2">
        <f>ProductionData[[#This Row],[Rejected_Qty]]*ProductionData[[#This Row],[Unit_Cost_INR]]</f>
        <v>9660</v>
      </c>
      <c r="AB448" s="4">
        <v>25001</v>
      </c>
      <c r="AC448" s="4">
        <v>5340</v>
      </c>
      <c r="AD448" s="4">
        <v>5340</v>
      </c>
      <c r="AE448" s="4">
        <v>25431</v>
      </c>
      <c r="AF448" s="4">
        <v>10500</v>
      </c>
    </row>
    <row r="449" spans="1:32">
      <c r="A449" s="2" t="s">
        <v>1026</v>
      </c>
      <c r="B449" s="3">
        <v>46168</v>
      </c>
      <c r="C449" s="36" t="s">
        <v>790</v>
      </c>
      <c r="D449" s="2">
        <f>MONTH(ProductionData[[#This Row],[Month]])</f>
        <v>5</v>
      </c>
      <c r="E449" s="2" t="s">
        <v>92</v>
      </c>
      <c r="F449" s="2" t="s">
        <v>66</v>
      </c>
      <c r="G449" s="2" t="s">
        <v>67</v>
      </c>
      <c r="H449" s="2" t="s">
        <v>68</v>
      </c>
      <c r="I449" s="2" t="s">
        <v>69</v>
      </c>
      <c r="J449" s="2" t="s">
        <v>70</v>
      </c>
      <c r="K449" s="2" t="s">
        <v>71</v>
      </c>
      <c r="L449" s="2" t="s">
        <v>1027</v>
      </c>
      <c r="M449" s="2" t="s">
        <v>99</v>
      </c>
      <c r="N449" s="2" t="s">
        <v>88</v>
      </c>
      <c r="O449" s="2">
        <v>16</v>
      </c>
      <c r="P449" s="2">
        <v>16</v>
      </c>
      <c r="Q449" s="4">
        <v>6610</v>
      </c>
      <c r="R449" s="4">
        <v>6360</v>
      </c>
      <c r="S449" s="4">
        <v>157</v>
      </c>
      <c r="T449" s="19">
        <f>(ProductionData[[#This Row],[Rejected_Qty]])/ProductionData[[#This Row],[Produced_Qty]]</f>
        <v>2.468553459119497E-2</v>
      </c>
      <c r="U449" s="19">
        <f>ProductionData[[#This Row],[Produced_Qty]]/ProductionData[[#This Row],[Planned_Qty]]</f>
        <v>0.96217851739788196</v>
      </c>
      <c r="V449" s="2" t="s">
        <v>75</v>
      </c>
      <c r="W449" s="11">
        <v>41</v>
      </c>
      <c r="X449" s="13">
        <f>W449/60</f>
        <v>0.68333333333333335</v>
      </c>
      <c r="Y449" s="2" t="s">
        <v>110</v>
      </c>
      <c r="Z449" s="2">
        <v>46</v>
      </c>
      <c r="AA449" s="2">
        <f>ProductionData[[#This Row],[Rejected_Qty]]*ProductionData[[#This Row],[Unit_Cost_INR]]</f>
        <v>7222</v>
      </c>
      <c r="AB449" s="4">
        <v>25138</v>
      </c>
      <c r="AC449" s="4">
        <v>6020</v>
      </c>
      <c r="AD449" s="4">
        <v>6020</v>
      </c>
      <c r="AE449" s="4">
        <v>25321</v>
      </c>
      <c r="AF449" s="4">
        <v>10500</v>
      </c>
    </row>
    <row r="450" spans="1:32">
      <c r="A450" s="2" t="s">
        <v>1028</v>
      </c>
      <c r="B450" s="3">
        <v>46163</v>
      </c>
      <c r="C450" s="36" t="s">
        <v>790</v>
      </c>
      <c r="D450" s="2">
        <f>MONTH(ProductionData[[#This Row],[Month]])</f>
        <v>5</v>
      </c>
      <c r="E450" s="2" t="s">
        <v>107</v>
      </c>
      <c r="F450" s="2" t="s">
        <v>80</v>
      </c>
      <c r="G450" s="2" t="s">
        <v>67</v>
      </c>
      <c r="H450" s="2" t="s">
        <v>68</v>
      </c>
      <c r="I450" s="2" t="s">
        <v>69</v>
      </c>
      <c r="J450" s="2" t="s">
        <v>70</v>
      </c>
      <c r="K450" s="2" t="s">
        <v>71</v>
      </c>
      <c r="L450" s="2" t="s">
        <v>1029</v>
      </c>
      <c r="M450" s="2" t="s">
        <v>87</v>
      </c>
      <c r="N450" s="2" t="s">
        <v>96</v>
      </c>
      <c r="O450" s="2">
        <v>16</v>
      </c>
      <c r="P450" s="2">
        <v>16</v>
      </c>
      <c r="Q450" s="4">
        <v>7270</v>
      </c>
      <c r="R450" s="4">
        <v>6410</v>
      </c>
      <c r="S450" s="4">
        <v>236</v>
      </c>
      <c r="T450" s="19">
        <f>(ProductionData[[#This Row],[Rejected_Qty]])/ProductionData[[#This Row],[Produced_Qty]]</f>
        <v>3.6817472698907956E-2</v>
      </c>
      <c r="U450" s="19">
        <f>ProductionData[[#This Row],[Produced_Qty]]/ProductionData[[#This Row],[Planned_Qty]]</f>
        <v>0.8817056396148556</v>
      </c>
      <c r="V450" s="2" t="s">
        <v>75</v>
      </c>
      <c r="W450" s="11">
        <v>0</v>
      </c>
      <c r="X450" s="13">
        <f>W450/60</f>
        <v>0</v>
      </c>
      <c r="Y450" s="2" t="s">
        <v>90</v>
      </c>
      <c r="Z450" s="2">
        <v>46</v>
      </c>
      <c r="AA450" s="2">
        <f>ProductionData[[#This Row],[Rejected_Qty]]*ProductionData[[#This Row],[Unit_Cost_INR]]</f>
        <v>10856</v>
      </c>
      <c r="AB450" s="4">
        <v>25768</v>
      </c>
      <c r="AC450" s="4">
        <v>6650</v>
      </c>
      <c r="AD450" s="4">
        <v>6650</v>
      </c>
      <c r="AE450" s="4">
        <v>25292</v>
      </c>
      <c r="AF450" s="4">
        <v>10500</v>
      </c>
    </row>
    <row r="451" spans="1:32">
      <c r="A451" s="2" t="s">
        <v>1030</v>
      </c>
      <c r="B451" s="3">
        <v>46168</v>
      </c>
      <c r="C451" s="36" t="s">
        <v>790</v>
      </c>
      <c r="D451" s="2">
        <f>MONTH(ProductionData[[#This Row],[Month]])</f>
        <v>5</v>
      </c>
      <c r="E451" s="2" t="s">
        <v>92</v>
      </c>
      <c r="F451" s="2" t="s">
        <v>93</v>
      </c>
      <c r="G451" s="2" t="s">
        <v>195</v>
      </c>
      <c r="H451" s="2" t="s">
        <v>196</v>
      </c>
      <c r="I451" s="2" t="s">
        <v>197</v>
      </c>
      <c r="J451" s="2" t="s">
        <v>198</v>
      </c>
      <c r="K451" s="2" t="s">
        <v>199</v>
      </c>
      <c r="L451" s="2" t="s">
        <v>1031</v>
      </c>
      <c r="M451" s="2" t="s">
        <v>95</v>
      </c>
      <c r="N451" s="2" t="s">
        <v>88</v>
      </c>
      <c r="O451" s="2">
        <v>14</v>
      </c>
      <c r="P451" s="2">
        <v>11</v>
      </c>
      <c r="Q451" s="4">
        <v>8260</v>
      </c>
      <c r="R451" s="4">
        <v>7430</v>
      </c>
      <c r="S451" s="4">
        <v>162</v>
      </c>
      <c r="T451" s="19">
        <f>(ProductionData[[#This Row],[Rejected_Qty]])/ProductionData[[#This Row],[Produced_Qty]]</f>
        <v>2.180349932705249E-2</v>
      </c>
      <c r="U451" s="19">
        <f>ProductionData[[#This Row],[Produced_Qty]]/ProductionData[[#This Row],[Planned_Qty]]</f>
        <v>0.8995157384987893</v>
      </c>
      <c r="V451" s="2" t="s">
        <v>89</v>
      </c>
      <c r="W451" s="11">
        <v>0</v>
      </c>
      <c r="X451" s="13">
        <f>W451/60</f>
        <v>0</v>
      </c>
      <c r="Y451" s="2" t="s">
        <v>90</v>
      </c>
      <c r="Z451" s="2">
        <v>38</v>
      </c>
      <c r="AA451" s="2">
        <f>ProductionData[[#This Row],[Rejected_Qty]]*ProductionData[[#This Row],[Unit_Cost_INR]]</f>
        <v>6156</v>
      </c>
      <c r="AB451" s="4">
        <v>25627</v>
      </c>
      <c r="AC451" s="4">
        <v>7680</v>
      </c>
      <c r="AD451" s="4">
        <v>7680</v>
      </c>
      <c r="AE451" s="4">
        <v>25215</v>
      </c>
      <c r="AF451" s="4">
        <v>13500</v>
      </c>
    </row>
    <row r="452" spans="1:32">
      <c r="A452" s="2" t="s">
        <v>1032</v>
      </c>
      <c r="B452" s="3">
        <v>46170</v>
      </c>
      <c r="C452" s="36" t="s">
        <v>790</v>
      </c>
      <c r="D452" s="2">
        <f>MONTH(ProductionData[[#This Row],[Month]])</f>
        <v>5</v>
      </c>
      <c r="E452" s="2" t="s">
        <v>107</v>
      </c>
      <c r="F452" s="2" t="s">
        <v>93</v>
      </c>
      <c r="G452" s="2" t="s">
        <v>174</v>
      </c>
      <c r="H452" s="2" t="s">
        <v>175</v>
      </c>
      <c r="I452" s="2" t="s">
        <v>176</v>
      </c>
      <c r="J452" s="2" t="s">
        <v>443</v>
      </c>
      <c r="K452" s="2" t="s">
        <v>444</v>
      </c>
      <c r="L452" s="2" t="s">
        <v>1033</v>
      </c>
      <c r="M452" s="2" t="s">
        <v>95</v>
      </c>
      <c r="N452" s="2" t="s">
        <v>88</v>
      </c>
      <c r="O452" s="2">
        <v>10</v>
      </c>
      <c r="P452" s="2">
        <v>7</v>
      </c>
      <c r="Q452" s="4">
        <v>6270</v>
      </c>
      <c r="R452" s="4">
        <v>5480</v>
      </c>
      <c r="S452" s="4">
        <v>239</v>
      </c>
      <c r="T452" s="19">
        <f>(ProductionData[[#This Row],[Rejected_Qty]])/ProductionData[[#This Row],[Produced_Qty]]</f>
        <v>4.3613138686131384E-2</v>
      </c>
      <c r="U452" s="19">
        <f>ProductionData[[#This Row],[Produced_Qty]]/ProductionData[[#This Row],[Planned_Qty]]</f>
        <v>0.87400318979266345</v>
      </c>
      <c r="V452" s="2" t="s">
        <v>113</v>
      </c>
      <c r="W452" s="11">
        <v>0</v>
      </c>
      <c r="X452" s="13">
        <f>W452/60</f>
        <v>0</v>
      </c>
      <c r="Y452" s="2" t="s">
        <v>90</v>
      </c>
      <c r="Z452" s="2">
        <v>33</v>
      </c>
      <c r="AA452" s="2">
        <f>ProductionData[[#This Row],[Rejected_Qty]]*ProductionData[[#This Row],[Unit_Cost_INR]]</f>
        <v>7887</v>
      </c>
      <c r="AB452" s="4">
        <v>25771</v>
      </c>
      <c r="AC452" s="4">
        <v>5810</v>
      </c>
      <c r="AD452" s="4">
        <v>5810</v>
      </c>
      <c r="AE452" s="4">
        <v>25202</v>
      </c>
      <c r="AF452" s="4">
        <v>9750</v>
      </c>
    </row>
    <row r="453" spans="1:32">
      <c r="A453" s="2" t="s">
        <v>1034</v>
      </c>
      <c r="B453" s="3">
        <v>46168</v>
      </c>
      <c r="C453" s="36" t="s">
        <v>790</v>
      </c>
      <c r="D453" s="2">
        <f>MONTH(ProductionData[[#This Row],[Month]])</f>
        <v>5</v>
      </c>
      <c r="E453" s="2" t="s">
        <v>92</v>
      </c>
      <c r="F453" s="2" t="s">
        <v>93</v>
      </c>
      <c r="G453" s="2" t="s">
        <v>67</v>
      </c>
      <c r="H453" s="2" t="s">
        <v>68</v>
      </c>
      <c r="I453" s="2" t="s">
        <v>69</v>
      </c>
      <c r="J453" s="2" t="s">
        <v>70</v>
      </c>
      <c r="K453" s="2" t="s">
        <v>71</v>
      </c>
      <c r="L453" s="2" t="s">
        <v>1035</v>
      </c>
      <c r="M453" s="2" t="s">
        <v>95</v>
      </c>
      <c r="N453" s="2" t="s">
        <v>88</v>
      </c>
      <c r="O453" s="2">
        <v>16</v>
      </c>
      <c r="P453" s="2">
        <v>16</v>
      </c>
      <c r="Q453" s="4">
        <v>6910</v>
      </c>
      <c r="R453" s="4">
        <v>6830</v>
      </c>
      <c r="S453" s="4">
        <v>207</v>
      </c>
      <c r="T453" s="19">
        <f>(ProductionData[[#This Row],[Rejected_Qty]])/ProductionData[[#This Row],[Produced_Qty]]</f>
        <v>3.0307467057101026E-2</v>
      </c>
      <c r="U453" s="19">
        <f>ProductionData[[#This Row],[Produced_Qty]]/ProductionData[[#This Row],[Planned_Qty]]</f>
        <v>0.98842257597684513</v>
      </c>
      <c r="V453" s="2" t="s">
        <v>103</v>
      </c>
      <c r="W453" s="11">
        <v>0</v>
      </c>
      <c r="X453" s="13">
        <f>W453/60</f>
        <v>0</v>
      </c>
      <c r="Y453" s="2" t="s">
        <v>90</v>
      </c>
      <c r="Z453" s="2">
        <v>46</v>
      </c>
      <c r="AA453" s="2">
        <f>ProductionData[[#This Row],[Rejected_Qty]]*ProductionData[[#This Row],[Unit_Cost_INR]]</f>
        <v>9522</v>
      </c>
      <c r="AB453" s="4">
        <v>24780</v>
      </c>
      <c r="AC453" s="4">
        <v>6210</v>
      </c>
      <c r="AD453" s="4">
        <v>6210</v>
      </c>
      <c r="AE453" s="4">
        <v>25193</v>
      </c>
      <c r="AF453" s="4">
        <v>10500</v>
      </c>
    </row>
    <row r="454" spans="1:32">
      <c r="A454" s="2" t="s">
        <v>1036</v>
      </c>
      <c r="B454" s="3">
        <v>46169</v>
      </c>
      <c r="C454" s="36" t="s">
        <v>790</v>
      </c>
      <c r="D454" s="2">
        <f>MONTH(ProductionData[[#This Row],[Month]])</f>
        <v>5</v>
      </c>
      <c r="E454" s="2" t="s">
        <v>79</v>
      </c>
      <c r="F454" s="2" t="s">
        <v>66</v>
      </c>
      <c r="G454" s="2" t="s">
        <v>174</v>
      </c>
      <c r="H454" s="2" t="s">
        <v>175</v>
      </c>
      <c r="I454" s="2" t="s">
        <v>176</v>
      </c>
      <c r="J454" s="2" t="s">
        <v>443</v>
      </c>
      <c r="K454" s="2" t="s">
        <v>444</v>
      </c>
      <c r="L454" s="2" t="s">
        <v>1037</v>
      </c>
      <c r="M454" s="2" t="s">
        <v>99</v>
      </c>
      <c r="N454" s="2" t="s">
        <v>88</v>
      </c>
      <c r="O454" s="2">
        <v>10</v>
      </c>
      <c r="P454" s="2">
        <v>10</v>
      </c>
      <c r="Q454" s="4">
        <v>6850</v>
      </c>
      <c r="R454" s="4">
        <v>6930</v>
      </c>
      <c r="S454" s="4">
        <v>132</v>
      </c>
      <c r="T454" s="19">
        <f>(ProductionData[[#This Row],[Rejected_Qty]])/ProductionData[[#This Row],[Produced_Qty]]</f>
        <v>1.9047619047619049E-2</v>
      </c>
      <c r="U454" s="19">
        <f>ProductionData[[#This Row],[Produced_Qty]]/ProductionData[[#This Row],[Planned_Qty]]</f>
        <v>1.0116788321167882</v>
      </c>
      <c r="V454" s="2" t="s">
        <v>113</v>
      </c>
      <c r="W454" s="11">
        <v>73</v>
      </c>
      <c r="X454" s="13">
        <f>W454/60</f>
        <v>1.2166666666666666</v>
      </c>
      <c r="Y454" s="2" t="s">
        <v>110</v>
      </c>
      <c r="Z454" s="2">
        <v>33</v>
      </c>
      <c r="AA454" s="2">
        <f>ProductionData[[#This Row],[Rejected_Qty]]*ProductionData[[#This Row],[Unit_Cost_INR]]</f>
        <v>4356</v>
      </c>
      <c r="AB454" s="4">
        <v>24617</v>
      </c>
      <c r="AC454" s="4">
        <v>6260</v>
      </c>
      <c r="AD454" s="4">
        <v>6260</v>
      </c>
      <c r="AE454" s="4">
        <v>25155</v>
      </c>
      <c r="AF454" s="4">
        <v>9750</v>
      </c>
    </row>
    <row r="455" spans="1:32">
      <c r="A455" s="2" t="s">
        <v>1038</v>
      </c>
      <c r="B455" s="3">
        <v>46166</v>
      </c>
      <c r="C455" s="36" t="s">
        <v>790</v>
      </c>
      <c r="D455" s="2">
        <f>MONTH(ProductionData[[#This Row],[Month]])</f>
        <v>5</v>
      </c>
      <c r="E455" s="2" t="s">
        <v>186</v>
      </c>
      <c r="F455" s="2" t="s">
        <v>66</v>
      </c>
      <c r="G455" s="2" t="s">
        <v>67</v>
      </c>
      <c r="H455" s="2" t="s">
        <v>68</v>
      </c>
      <c r="I455" s="2" t="s">
        <v>69</v>
      </c>
      <c r="J455" s="2" t="s">
        <v>70</v>
      </c>
      <c r="K455" s="2" t="s">
        <v>71</v>
      </c>
      <c r="L455" s="2" t="s">
        <v>1039</v>
      </c>
      <c r="M455" s="2" t="s">
        <v>73</v>
      </c>
      <c r="N455" s="2" t="s">
        <v>88</v>
      </c>
      <c r="O455" s="2">
        <v>16</v>
      </c>
      <c r="P455" s="2">
        <v>16</v>
      </c>
      <c r="Q455" s="4">
        <v>4590</v>
      </c>
      <c r="R455" s="4">
        <v>4450</v>
      </c>
      <c r="S455" s="4">
        <v>132</v>
      </c>
      <c r="T455" s="19">
        <f>(ProductionData[[#This Row],[Rejected_Qty]])/ProductionData[[#This Row],[Produced_Qty]]</f>
        <v>2.9662921348314608E-2</v>
      </c>
      <c r="U455" s="19">
        <f>ProductionData[[#This Row],[Produced_Qty]]/ProductionData[[#This Row],[Planned_Qty]]</f>
        <v>0.9694989106753813</v>
      </c>
      <c r="V455" s="2" t="s">
        <v>103</v>
      </c>
      <c r="W455" s="11">
        <v>57</v>
      </c>
      <c r="X455" s="13">
        <f>W455/60</f>
        <v>0.95</v>
      </c>
      <c r="Y455" s="2" t="s">
        <v>110</v>
      </c>
      <c r="Z455" s="2">
        <v>46</v>
      </c>
      <c r="AA455" s="2">
        <f>ProductionData[[#This Row],[Rejected_Qty]]*ProductionData[[#This Row],[Unit_Cost_INR]]</f>
        <v>6072</v>
      </c>
      <c r="AB455" s="4">
        <v>24770</v>
      </c>
      <c r="AC455" s="4">
        <v>3950</v>
      </c>
      <c r="AD455" s="4">
        <v>3950</v>
      </c>
      <c r="AE455" s="4">
        <v>25138</v>
      </c>
      <c r="AF455" s="4">
        <v>10500</v>
      </c>
    </row>
    <row r="456" spans="1:32">
      <c r="A456" s="2" t="s">
        <v>1040</v>
      </c>
      <c r="B456" s="3">
        <v>46168</v>
      </c>
      <c r="C456" s="36" t="s">
        <v>790</v>
      </c>
      <c r="D456" s="2">
        <f>MONTH(ProductionData[[#This Row],[Month]])</f>
        <v>5</v>
      </c>
      <c r="E456" s="2" t="s">
        <v>92</v>
      </c>
      <c r="F456" s="2" t="s">
        <v>80</v>
      </c>
      <c r="G456" s="2" t="s">
        <v>174</v>
      </c>
      <c r="H456" s="2" t="s">
        <v>175</v>
      </c>
      <c r="I456" s="2" t="s">
        <v>176</v>
      </c>
      <c r="J456" s="2" t="s">
        <v>443</v>
      </c>
      <c r="K456" s="2" t="s">
        <v>444</v>
      </c>
      <c r="L456" s="2" t="s">
        <v>1041</v>
      </c>
      <c r="M456" s="2" t="s">
        <v>87</v>
      </c>
      <c r="N456" s="2" t="s">
        <v>96</v>
      </c>
      <c r="O456" s="2">
        <v>10</v>
      </c>
      <c r="P456" s="2">
        <v>9</v>
      </c>
      <c r="Q456" s="4">
        <v>7020</v>
      </c>
      <c r="R456" s="4">
        <v>6430</v>
      </c>
      <c r="S456" s="4">
        <v>186</v>
      </c>
      <c r="T456" s="19">
        <f>(ProductionData[[#This Row],[Rejected_Qty]])/ProductionData[[#This Row],[Produced_Qty]]</f>
        <v>2.8926905132192846E-2</v>
      </c>
      <c r="U456" s="19">
        <f>ProductionData[[#This Row],[Produced_Qty]]/ProductionData[[#This Row],[Planned_Qty]]</f>
        <v>0.91595441595441596</v>
      </c>
      <c r="V456" s="2" t="s">
        <v>89</v>
      </c>
      <c r="W456" s="11">
        <v>0</v>
      </c>
      <c r="X456" s="13">
        <f>W456/60</f>
        <v>0</v>
      </c>
      <c r="Y456" s="2" t="s">
        <v>90</v>
      </c>
      <c r="Z456" s="2">
        <v>33</v>
      </c>
      <c r="AA456" s="2">
        <f>ProductionData[[#This Row],[Rejected_Qty]]*ProductionData[[#This Row],[Unit_Cost_INR]]</f>
        <v>6138</v>
      </c>
      <c r="AB456" s="4">
        <v>24405</v>
      </c>
      <c r="AC456" s="4">
        <v>5620</v>
      </c>
      <c r="AD456" s="4">
        <v>5620</v>
      </c>
      <c r="AE456" s="4">
        <v>25029</v>
      </c>
      <c r="AF456" s="4">
        <v>9750</v>
      </c>
    </row>
    <row r="457" spans="1:32">
      <c r="A457" s="2" t="s">
        <v>1042</v>
      </c>
      <c r="B457" s="3">
        <v>46157</v>
      </c>
      <c r="C457" s="36" t="s">
        <v>790</v>
      </c>
      <c r="D457" s="2">
        <f>MONTH(ProductionData[[#This Row],[Month]])</f>
        <v>5</v>
      </c>
      <c r="E457" s="2" t="s">
        <v>125</v>
      </c>
      <c r="F457" s="2" t="s">
        <v>80</v>
      </c>
      <c r="G457" s="2" t="s">
        <v>67</v>
      </c>
      <c r="H457" s="2" t="s">
        <v>68</v>
      </c>
      <c r="I457" s="2" t="s">
        <v>69</v>
      </c>
      <c r="J457" s="2" t="s">
        <v>70</v>
      </c>
      <c r="K457" s="2" t="s">
        <v>71</v>
      </c>
      <c r="L457" s="2" t="s">
        <v>1043</v>
      </c>
      <c r="M457" s="2" t="s">
        <v>87</v>
      </c>
      <c r="N457" s="2" t="s">
        <v>96</v>
      </c>
      <c r="O457" s="2">
        <v>16</v>
      </c>
      <c r="P457" s="2">
        <v>15</v>
      </c>
      <c r="Q457" s="4">
        <v>6980</v>
      </c>
      <c r="R457" s="4">
        <v>6630</v>
      </c>
      <c r="S457" s="4">
        <v>101</v>
      </c>
      <c r="T457" s="19">
        <f>(ProductionData[[#This Row],[Rejected_Qty]])/ProductionData[[#This Row],[Produced_Qty]]</f>
        <v>1.5233785822021116E-2</v>
      </c>
      <c r="U457" s="19">
        <f>ProductionData[[#This Row],[Produced_Qty]]/ProductionData[[#This Row],[Planned_Qty]]</f>
        <v>0.94985673352435529</v>
      </c>
      <c r="V457" s="2" t="s">
        <v>109</v>
      </c>
      <c r="W457" s="11">
        <v>19</v>
      </c>
      <c r="X457" s="13">
        <f>W457/60</f>
        <v>0.31666666666666665</v>
      </c>
      <c r="Y457" s="2" t="s">
        <v>110</v>
      </c>
      <c r="Z457" s="2">
        <v>46</v>
      </c>
      <c r="AA457" s="2">
        <f>ProductionData[[#This Row],[Rejected_Qty]]*ProductionData[[#This Row],[Unit_Cost_INR]]</f>
        <v>4646</v>
      </c>
      <c r="AB457" s="4">
        <v>24802</v>
      </c>
      <c r="AC457" s="4">
        <v>6330</v>
      </c>
      <c r="AD457" s="4">
        <v>6330</v>
      </c>
      <c r="AE457" s="4">
        <v>25001</v>
      </c>
      <c r="AF457" s="4">
        <v>10500</v>
      </c>
    </row>
    <row r="458" spans="1:32">
      <c r="A458" s="2" t="s">
        <v>1044</v>
      </c>
      <c r="B458" s="3">
        <v>46171</v>
      </c>
      <c r="C458" s="36" t="s">
        <v>790</v>
      </c>
      <c r="D458" s="2">
        <f>MONTH(ProductionData[[#This Row],[Month]])</f>
        <v>5</v>
      </c>
      <c r="E458" s="2" t="s">
        <v>125</v>
      </c>
      <c r="F458" s="2" t="s">
        <v>66</v>
      </c>
      <c r="G458" s="2" t="s">
        <v>195</v>
      </c>
      <c r="H458" s="2" t="s">
        <v>196</v>
      </c>
      <c r="I458" s="2" t="s">
        <v>197</v>
      </c>
      <c r="J458" s="2" t="s">
        <v>198</v>
      </c>
      <c r="K458" s="2" t="s">
        <v>199</v>
      </c>
      <c r="L458" s="2" t="s">
        <v>1045</v>
      </c>
      <c r="M458" s="2" t="s">
        <v>73</v>
      </c>
      <c r="N458" s="2" t="s">
        <v>96</v>
      </c>
      <c r="O458" s="2">
        <v>14</v>
      </c>
      <c r="P458" s="2">
        <v>13</v>
      </c>
      <c r="Q458" s="4">
        <v>8850</v>
      </c>
      <c r="R458" s="4">
        <v>8250</v>
      </c>
      <c r="S458" s="4">
        <v>199</v>
      </c>
      <c r="T458" s="19">
        <f>(ProductionData[[#This Row],[Rejected_Qty]])/ProductionData[[#This Row],[Produced_Qty]]</f>
        <v>2.412121212121212E-2</v>
      </c>
      <c r="U458" s="19">
        <f>ProductionData[[#This Row],[Produced_Qty]]/ProductionData[[#This Row],[Planned_Qty]]</f>
        <v>0.93220338983050843</v>
      </c>
      <c r="V458" s="2" t="s">
        <v>103</v>
      </c>
      <c r="W458" s="11">
        <v>0</v>
      </c>
      <c r="X458" s="13">
        <f>W458/60</f>
        <v>0</v>
      </c>
      <c r="Y458" s="2" t="s">
        <v>90</v>
      </c>
      <c r="Z458" s="2">
        <v>38</v>
      </c>
      <c r="AA458" s="2">
        <f>ProductionData[[#This Row],[Rejected_Qty]]*ProductionData[[#This Row],[Unit_Cost_INR]]</f>
        <v>7562</v>
      </c>
      <c r="AB458" s="4">
        <v>25683</v>
      </c>
      <c r="AC458" s="4">
        <v>8800</v>
      </c>
      <c r="AD458" s="4">
        <v>8800</v>
      </c>
      <c r="AE458" s="4">
        <v>24934</v>
      </c>
      <c r="AF458" s="4">
        <v>13500</v>
      </c>
    </row>
    <row r="459" spans="1:32">
      <c r="A459" s="2" t="s">
        <v>1046</v>
      </c>
      <c r="B459" s="3">
        <v>46165</v>
      </c>
      <c r="C459" s="36" t="s">
        <v>790</v>
      </c>
      <c r="D459" s="2">
        <f>MONTH(ProductionData[[#This Row],[Month]])</f>
        <v>5</v>
      </c>
      <c r="E459" s="2" t="s">
        <v>65</v>
      </c>
      <c r="F459" s="2" t="s">
        <v>93</v>
      </c>
      <c r="G459" s="2" t="s">
        <v>174</v>
      </c>
      <c r="H459" s="2" t="s">
        <v>175</v>
      </c>
      <c r="I459" s="2" t="s">
        <v>176</v>
      </c>
      <c r="J459" s="2" t="s">
        <v>443</v>
      </c>
      <c r="K459" s="2" t="s">
        <v>444</v>
      </c>
      <c r="L459" s="2" t="s">
        <v>1047</v>
      </c>
      <c r="M459" s="2" t="s">
        <v>133</v>
      </c>
      <c r="N459" s="2" t="s">
        <v>88</v>
      </c>
      <c r="O459" s="2">
        <v>10</v>
      </c>
      <c r="P459" s="2">
        <v>10</v>
      </c>
      <c r="Q459" s="4">
        <v>6170</v>
      </c>
      <c r="R459" s="4">
        <v>6420</v>
      </c>
      <c r="S459" s="4">
        <v>189</v>
      </c>
      <c r="T459" s="19">
        <f>(ProductionData[[#This Row],[Rejected_Qty]])/ProductionData[[#This Row],[Produced_Qty]]</f>
        <v>2.9439252336448597E-2</v>
      </c>
      <c r="U459" s="19">
        <f>ProductionData[[#This Row],[Produced_Qty]]/ProductionData[[#This Row],[Planned_Qty]]</f>
        <v>1.0405186385737439</v>
      </c>
      <c r="V459" s="2" t="s">
        <v>103</v>
      </c>
      <c r="W459" s="11">
        <v>28</v>
      </c>
      <c r="X459" s="13">
        <f>W459/60</f>
        <v>0.46666666666666667</v>
      </c>
      <c r="Y459" s="2" t="s">
        <v>76</v>
      </c>
      <c r="Z459" s="2">
        <v>33</v>
      </c>
      <c r="AA459" s="2">
        <f>ProductionData[[#This Row],[Rejected_Qty]]*ProductionData[[#This Row],[Unit_Cost_INR]]</f>
        <v>6237</v>
      </c>
      <c r="AB459" s="4">
        <v>24042</v>
      </c>
      <c r="AC459" s="4">
        <v>5340</v>
      </c>
      <c r="AD459" s="4">
        <v>5340</v>
      </c>
      <c r="AE459" s="4">
        <v>24933</v>
      </c>
      <c r="AF459" s="4">
        <v>9750</v>
      </c>
    </row>
    <row r="460" spans="1:32">
      <c r="A460" s="2" t="s">
        <v>1048</v>
      </c>
      <c r="B460" s="3">
        <v>46169</v>
      </c>
      <c r="C460" s="36" t="s">
        <v>790</v>
      </c>
      <c r="D460" s="2">
        <f>MONTH(ProductionData[[#This Row],[Month]])</f>
        <v>5</v>
      </c>
      <c r="E460" s="2" t="s">
        <v>79</v>
      </c>
      <c r="F460" s="2" t="s">
        <v>93</v>
      </c>
      <c r="G460" s="2" t="s">
        <v>195</v>
      </c>
      <c r="H460" s="2" t="s">
        <v>196</v>
      </c>
      <c r="I460" s="2" t="s">
        <v>197</v>
      </c>
      <c r="J460" s="2" t="s">
        <v>198</v>
      </c>
      <c r="K460" s="2" t="s">
        <v>199</v>
      </c>
      <c r="L460" s="2" t="s">
        <v>1049</v>
      </c>
      <c r="M460" s="2" t="s">
        <v>95</v>
      </c>
      <c r="N460" s="2" t="s">
        <v>88</v>
      </c>
      <c r="O460" s="2">
        <v>14</v>
      </c>
      <c r="P460" s="2">
        <v>13</v>
      </c>
      <c r="Q460" s="4">
        <v>8250</v>
      </c>
      <c r="R460" s="4">
        <v>7570</v>
      </c>
      <c r="S460" s="4">
        <v>110</v>
      </c>
      <c r="T460" s="19">
        <f>(ProductionData[[#This Row],[Rejected_Qty]])/ProductionData[[#This Row],[Produced_Qty]]</f>
        <v>1.4531043593130779E-2</v>
      </c>
      <c r="U460" s="19">
        <f>ProductionData[[#This Row],[Produced_Qty]]/ProductionData[[#This Row],[Planned_Qty]]</f>
        <v>0.9175757575757576</v>
      </c>
      <c r="V460" s="2" t="s">
        <v>113</v>
      </c>
      <c r="W460" s="11">
        <v>0</v>
      </c>
      <c r="X460" s="13">
        <f>W460/60</f>
        <v>0</v>
      </c>
      <c r="Y460" s="2" t="s">
        <v>90</v>
      </c>
      <c r="Z460" s="2">
        <v>38</v>
      </c>
      <c r="AA460" s="2">
        <f>ProductionData[[#This Row],[Rejected_Qty]]*ProductionData[[#This Row],[Unit_Cost_INR]]</f>
        <v>4180</v>
      </c>
      <c r="AB460" s="4">
        <v>25215</v>
      </c>
      <c r="AC460" s="4">
        <v>7810</v>
      </c>
      <c r="AD460" s="4">
        <v>7810</v>
      </c>
      <c r="AE460" s="4">
        <v>24865</v>
      </c>
      <c r="AF460" s="4">
        <v>13500</v>
      </c>
    </row>
    <row r="461" spans="1:32">
      <c r="A461" s="2" t="s">
        <v>1050</v>
      </c>
      <c r="B461" s="3">
        <v>46156</v>
      </c>
      <c r="C461" s="36" t="s">
        <v>790</v>
      </c>
      <c r="D461" s="2">
        <f>MONTH(ProductionData[[#This Row],[Month]])</f>
        <v>5</v>
      </c>
      <c r="E461" s="2" t="s">
        <v>107</v>
      </c>
      <c r="F461" s="2" t="s">
        <v>93</v>
      </c>
      <c r="G461" s="2" t="s">
        <v>67</v>
      </c>
      <c r="H461" s="2" t="s">
        <v>68</v>
      </c>
      <c r="I461" s="2" t="s">
        <v>69</v>
      </c>
      <c r="J461" s="2" t="s">
        <v>70</v>
      </c>
      <c r="K461" s="2" t="s">
        <v>71</v>
      </c>
      <c r="L461" s="2" t="s">
        <v>1051</v>
      </c>
      <c r="M461" s="2" t="s">
        <v>133</v>
      </c>
      <c r="N461" s="2" t="s">
        <v>88</v>
      </c>
      <c r="O461" s="2">
        <v>16</v>
      </c>
      <c r="P461" s="2">
        <v>15</v>
      </c>
      <c r="Q461" s="4">
        <v>6680</v>
      </c>
      <c r="R461" s="4">
        <v>6390</v>
      </c>
      <c r="S461" s="4">
        <v>156</v>
      </c>
      <c r="T461" s="19">
        <f>(ProductionData[[#This Row],[Rejected_Qty]])/ProductionData[[#This Row],[Produced_Qty]]</f>
        <v>2.4413145539906103E-2</v>
      </c>
      <c r="U461" s="19">
        <f>ProductionData[[#This Row],[Produced_Qty]]/ProductionData[[#This Row],[Planned_Qty]]</f>
        <v>0.95658682634730541</v>
      </c>
      <c r="V461" s="2" t="s">
        <v>89</v>
      </c>
      <c r="W461" s="11">
        <v>52</v>
      </c>
      <c r="X461" s="13">
        <f>W461/60</f>
        <v>0.8666666666666667</v>
      </c>
      <c r="Y461" s="2" t="s">
        <v>114</v>
      </c>
      <c r="Z461" s="2">
        <v>46</v>
      </c>
      <c r="AA461" s="2">
        <f>ProductionData[[#This Row],[Rejected_Qty]]*ProductionData[[#This Row],[Unit_Cost_INR]]</f>
        <v>7176</v>
      </c>
      <c r="AB461" s="4">
        <v>24198</v>
      </c>
      <c r="AC461" s="4">
        <v>5630</v>
      </c>
      <c r="AD461" s="4">
        <v>5630</v>
      </c>
      <c r="AE461" s="4">
        <v>24802</v>
      </c>
      <c r="AF461" s="4">
        <v>10500</v>
      </c>
    </row>
    <row r="462" spans="1:32">
      <c r="A462" s="2" t="s">
        <v>1052</v>
      </c>
      <c r="B462" s="3">
        <v>46168</v>
      </c>
      <c r="C462" s="36" t="s">
        <v>790</v>
      </c>
      <c r="D462" s="2">
        <f>MONTH(ProductionData[[#This Row],[Month]])</f>
        <v>5</v>
      </c>
      <c r="E462" s="2" t="s">
        <v>92</v>
      </c>
      <c r="F462" s="2" t="s">
        <v>80</v>
      </c>
      <c r="G462" s="2" t="s">
        <v>67</v>
      </c>
      <c r="H462" s="2" t="s">
        <v>68</v>
      </c>
      <c r="I462" s="2" t="s">
        <v>69</v>
      </c>
      <c r="J462" s="2" t="s">
        <v>70</v>
      </c>
      <c r="K462" s="2" t="s">
        <v>71</v>
      </c>
      <c r="L462" s="2" t="s">
        <v>1053</v>
      </c>
      <c r="M462" s="2" t="s">
        <v>102</v>
      </c>
      <c r="N462" s="2" t="s">
        <v>96</v>
      </c>
      <c r="O462" s="2">
        <v>16</v>
      </c>
      <c r="P462" s="2">
        <v>16</v>
      </c>
      <c r="Q462" s="4">
        <v>7020</v>
      </c>
      <c r="R462" s="4">
        <v>6470</v>
      </c>
      <c r="S462" s="4">
        <v>71</v>
      </c>
      <c r="T462" s="19">
        <f>(ProductionData[[#This Row],[Rejected_Qty]])/ProductionData[[#This Row],[Produced_Qty]]</f>
        <v>1.097372488408037E-2</v>
      </c>
      <c r="U462" s="19">
        <f>ProductionData[[#This Row],[Produced_Qty]]/ProductionData[[#This Row],[Planned_Qty]]</f>
        <v>0.92165242165242167</v>
      </c>
      <c r="V462" s="2" t="s">
        <v>89</v>
      </c>
      <c r="W462" s="11">
        <v>0</v>
      </c>
      <c r="X462" s="13">
        <f>W462/60</f>
        <v>0</v>
      </c>
      <c r="Y462" s="2" t="s">
        <v>90</v>
      </c>
      <c r="Z462" s="2">
        <v>46</v>
      </c>
      <c r="AA462" s="2">
        <f>ProductionData[[#This Row],[Rejected_Qty]]*ProductionData[[#This Row],[Unit_Cost_INR]]</f>
        <v>3266</v>
      </c>
      <c r="AB462" s="4">
        <v>25321</v>
      </c>
      <c r="AC462" s="4">
        <v>6940</v>
      </c>
      <c r="AD462" s="4">
        <v>6940</v>
      </c>
      <c r="AE462" s="4">
        <v>24780</v>
      </c>
      <c r="AF462" s="4">
        <v>10500</v>
      </c>
    </row>
    <row r="463" spans="1:32">
      <c r="A463" s="2" t="s">
        <v>1054</v>
      </c>
      <c r="B463" s="3">
        <v>46163</v>
      </c>
      <c r="C463" s="36" t="s">
        <v>790</v>
      </c>
      <c r="D463" s="2">
        <f>MONTH(ProductionData[[#This Row],[Month]])</f>
        <v>5</v>
      </c>
      <c r="E463" s="2" t="s">
        <v>107</v>
      </c>
      <c r="F463" s="2" t="s">
        <v>93</v>
      </c>
      <c r="G463" s="2" t="s">
        <v>67</v>
      </c>
      <c r="H463" s="2" t="s">
        <v>68</v>
      </c>
      <c r="I463" s="2" t="s">
        <v>69</v>
      </c>
      <c r="J463" s="2" t="s">
        <v>70</v>
      </c>
      <c r="K463" s="2" t="s">
        <v>71</v>
      </c>
      <c r="L463" s="2" t="s">
        <v>1055</v>
      </c>
      <c r="M463" s="2" t="s">
        <v>133</v>
      </c>
      <c r="N463" s="2" t="s">
        <v>88</v>
      </c>
      <c r="O463" s="2">
        <v>16</v>
      </c>
      <c r="P463" s="2">
        <v>15</v>
      </c>
      <c r="Q463" s="4">
        <v>6670</v>
      </c>
      <c r="R463" s="4">
        <v>6060</v>
      </c>
      <c r="S463" s="4">
        <v>152</v>
      </c>
      <c r="T463" s="19">
        <f>(ProductionData[[#This Row],[Rejected_Qty]])/ProductionData[[#This Row],[Produced_Qty]]</f>
        <v>2.5082508250825083E-2</v>
      </c>
      <c r="U463" s="19">
        <f>ProductionData[[#This Row],[Produced_Qty]]/ProductionData[[#This Row],[Planned_Qty]]</f>
        <v>0.90854572713643178</v>
      </c>
      <c r="V463" s="2" t="s">
        <v>75</v>
      </c>
      <c r="W463" s="11">
        <v>0</v>
      </c>
      <c r="X463" s="13">
        <f>W463/60</f>
        <v>0</v>
      </c>
      <c r="Y463" s="2" t="s">
        <v>90</v>
      </c>
      <c r="Z463" s="2">
        <v>46</v>
      </c>
      <c r="AA463" s="2">
        <f>ProductionData[[#This Row],[Rejected_Qty]]*ProductionData[[#This Row],[Unit_Cost_INR]]</f>
        <v>6992</v>
      </c>
      <c r="AB463" s="4">
        <v>25292</v>
      </c>
      <c r="AC463" s="4">
        <v>6430</v>
      </c>
      <c r="AD463" s="4">
        <v>6430</v>
      </c>
      <c r="AE463" s="4">
        <v>24770</v>
      </c>
      <c r="AF463" s="4">
        <v>10500</v>
      </c>
    </row>
    <row r="464" spans="1:32">
      <c r="A464" s="2" t="s">
        <v>1056</v>
      </c>
      <c r="B464" s="3">
        <v>46168</v>
      </c>
      <c r="C464" s="36" t="s">
        <v>790</v>
      </c>
      <c r="D464" s="2">
        <f>MONTH(ProductionData[[#This Row],[Month]])</f>
        <v>5</v>
      </c>
      <c r="E464" s="2" t="s">
        <v>92</v>
      </c>
      <c r="F464" s="2" t="s">
        <v>93</v>
      </c>
      <c r="G464" s="2" t="s">
        <v>174</v>
      </c>
      <c r="H464" s="2" t="s">
        <v>175</v>
      </c>
      <c r="I464" s="2" t="s">
        <v>176</v>
      </c>
      <c r="J464" s="2" t="s">
        <v>443</v>
      </c>
      <c r="K464" s="2" t="s">
        <v>444</v>
      </c>
      <c r="L464" s="2" t="s">
        <v>1057</v>
      </c>
      <c r="M464" s="2" t="s">
        <v>95</v>
      </c>
      <c r="N464" s="2" t="s">
        <v>96</v>
      </c>
      <c r="O464" s="2">
        <v>10</v>
      </c>
      <c r="P464" s="2">
        <v>10</v>
      </c>
      <c r="Q464" s="4">
        <v>6370</v>
      </c>
      <c r="R464" s="4">
        <v>5710</v>
      </c>
      <c r="S464" s="4">
        <v>142</v>
      </c>
      <c r="T464" s="19">
        <f>(ProductionData[[#This Row],[Rejected_Qty]])/ProductionData[[#This Row],[Produced_Qty]]</f>
        <v>2.4868651488616462E-2</v>
      </c>
      <c r="U464" s="19">
        <f>ProductionData[[#This Row],[Produced_Qty]]/ProductionData[[#This Row],[Planned_Qty]]</f>
        <v>0.89638932496075352</v>
      </c>
      <c r="V464" s="2" t="s">
        <v>109</v>
      </c>
      <c r="W464" s="11">
        <v>72</v>
      </c>
      <c r="X464" s="13">
        <f>W464/60</f>
        <v>1.2</v>
      </c>
      <c r="Y464" s="2" t="s">
        <v>182</v>
      </c>
      <c r="Z464" s="2">
        <v>33</v>
      </c>
      <c r="AA464" s="2">
        <f>ProductionData[[#This Row],[Rejected_Qty]]*ProductionData[[#This Row],[Unit_Cost_INR]]</f>
        <v>4686</v>
      </c>
      <c r="AB464" s="4">
        <v>25029</v>
      </c>
      <c r="AC464" s="4">
        <v>5980</v>
      </c>
      <c r="AD464" s="4">
        <v>5980</v>
      </c>
      <c r="AE464" s="4">
        <v>24617</v>
      </c>
      <c r="AF464" s="4">
        <v>9750</v>
      </c>
    </row>
    <row r="465" spans="1:32">
      <c r="A465" s="2" t="s">
        <v>1058</v>
      </c>
      <c r="B465" s="3">
        <v>46173</v>
      </c>
      <c r="C465" s="36" t="s">
        <v>790</v>
      </c>
      <c r="D465" s="2">
        <f>MONTH(ProductionData[[#This Row],[Month]])</f>
        <v>5</v>
      </c>
      <c r="E465" s="2" t="s">
        <v>186</v>
      </c>
      <c r="F465" s="2" t="s">
        <v>66</v>
      </c>
      <c r="G465" s="2" t="s">
        <v>195</v>
      </c>
      <c r="H465" s="2" t="s">
        <v>196</v>
      </c>
      <c r="I465" s="2" t="s">
        <v>197</v>
      </c>
      <c r="J465" s="2" t="s">
        <v>198</v>
      </c>
      <c r="K465" s="2" t="s">
        <v>199</v>
      </c>
      <c r="L465" s="2" t="s">
        <v>1059</v>
      </c>
      <c r="M465" s="2" t="s">
        <v>99</v>
      </c>
      <c r="N465" s="2" t="s">
        <v>96</v>
      </c>
      <c r="O465" s="2">
        <v>14</v>
      </c>
      <c r="P465" s="2">
        <v>12</v>
      </c>
      <c r="Q465" s="4">
        <v>6710</v>
      </c>
      <c r="R465" s="4">
        <v>5850</v>
      </c>
      <c r="S465" s="4">
        <v>162</v>
      </c>
      <c r="T465" s="19">
        <f>(ProductionData[[#This Row],[Rejected_Qty]])/ProductionData[[#This Row],[Produced_Qty]]</f>
        <v>2.7692307692307693E-2</v>
      </c>
      <c r="U465" s="19">
        <f>ProductionData[[#This Row],[Produced_Qty]]/ProductionData[[#This Row],[Planned_Qty]]</f>
        <v>0.87183308494783907</v>
      </c>
      <c r="V465" s="2" t="s">
        <v>103</v>
      </c>
      <c r="W465" s="11">
        <v>0</v>
      </c>
      <c r="X465" s="13">
        <f>W465/60</f>
        <v>0</v>
      </c>
      <c r="Y465" s="2" t="s">
        <v>90</v>
      </c>
      <c r="Z465" s="2">
        <v>38</v>
      </c>
      <c r="AA465" s="2">
        <f>ProductionData[[#This Row],[Rejected_Qty]]*ProductionData[[#This Row],[Unit_Cost_INR]]</f>
        <v>6156</v>
      </c>
      <c r="AB465" s="4">
        <v>25511</v>
      </c>
      <c r="AC465" s="4">
        <v>6760</v>
      </c>
      <c r="AD465" s="4">
        <v>6760</v>
      </c>
      <c r="AE465" s="4">
        <v>24439</v>
      </c>
      <c r="AF465" s="4">
        <v>13500</v>
      </c>
    </row>
    <row r="466" spans="1:32">
      <c r="A466" s="2" t="s">
        <v>1060</v>
      </c>
      <c r="B466" s="3">
        <v>46167</v>
      </c>
      <c r="C466" s="36" t="s">
        <v>790</v>
      </c>
      <c r="D466" s="2">
        <f>MONTH(ProductionData[[#This Row],[Month]])</f>
        <v>5</v>
      </c>
      <c r="E466" s="2" t="s">
        <v>116</v>
      </c>
      <c r="F466" s="2" t="s">
        <v>93</v>
      </c>
      <c r="G466" s="2" t="s">
        <v>174</v>
      </c>
      <c r="H466" s="2" t="s">
        <v>175</v>
      </c>
      <c r="I466" s="2" t="s">
        <v>176</v>
      </c>
      <c r="J466" s="2" t="s">
        <v>443</v>
      </c>
      <c r="K466" s="2" t="s">
        <v>444</v>
      </c>
      <c r="L466" s="2" t="s">
        <v>1061</v>
      </c>
      <c r="M466" s="2" t="s">
        <v>95</v>
      </c>
      <c r="N466" s="2" t="s">
        <v>88</v>
      </c>
      <c r="O466" s="2">
        <v>10</v>
      </c>
      <c r="P466" s="2">
        <v>9</v>
      </c>
      <c r="Q466" s="4">
        <v>6020</v>
      </c>
      <c r="R466" s="4">
        <v>5730</v>
      </c>
      <c r="S466" s="4">
        <v>197</v>
      </c>
      <c r="T466" s="19">
        <f>(ProductionData[[#This Row],[Rejected_Qty]])/ProductionData[[#This Row],[Produced_Qty]]</f>
        <v>3.4380453752181503E-2</v>
      </c>
      <c r="U466" s="19">
        <f>ProductionData[[#This Row],[Produced_Qty]]/ProductionData[[#This Row],[Planned_Qty]]</f>
        <v>0.95182724252491691</v>
      </c>
      <c r="V466" s="2" t="s">
        <v>109</v>
      </c>
      <c r="W466" s="11">
        <v>0</v>
      </c>
      <c r="X466" s="13">
        <f>W466/60</f>
        <v>0</v>
      </c>
      <c r="Y466" s="2" t="s">
        <v>90</v>
      </c>
      <c r="Z466" s="2">
        <v>33</v>
      </c>
      <c r="AA466" s="2">
        <f>ProductionData[[#This Row],[Rejected_Qty]]*ProductionData[[#This Row],[Unit_Cost_INR]]</f>
        <v>6501</v>
      </c>
      <c r="AB466" s="4">
        <v>24332</v>
      </c>
      <c r="AC466" s="4">
        <v>5460</v>
      </c>
      <c r="AD466" s="4">
        <v>5460</v>
      </c>
      <c r="AE466" s="4">
        <v>24405</v>
      </c>
      <c r="AF466" s="4">
        <v>9750</v>
      </c>
    </row>
    <row r="467" spans="1:32">
      <c r="A467" s="2" t="s">
        <v>1062</v>
      </c>
      <c r="B467" s="3">
        <v>46156</v>
      </c>
      <c r="C467" s="36" t="s">
        <v>790</v>
      </c>
      <c r="D467" s="2">
        <f>MONTH(ProductionData[[#This Row],[Month]])</f>
        <v>5</v>
      </c>
      <c r="E467" s="2" t="s">
        <v>107</v>
      </c>
      <c r="F467" s="2" t="s">
        <v>66</v>
      </c>
      <c r="G467" s="2" t="s">
        <v>67</v>
      </c>
      <c r="H467" s="2" t="s">
        <v>68</v>
      </c>
      <c r="I467" s="2" t="s">
        <v>69</v>
      </c>
      <c r="J467" s="2" t="s">
        <v>70</v>
      </c>
      <c r="K467" s="2" t="s">
        <v>71</v>
      </c>
      <c r="L467" s="2" t="s">
        <v>1063</v>
      </c>
      <c r="M467" s="2" t="s">
        <v>73</v>
      </c>
      <c r="N467" s="2" t="s">
        <v>88</v>
      </c>
      <c r="O467" s="2">
        <v>16</v>
      </c>
      <c r="P467" s="2">
        <v>15</v>
      </c>
      <c r="Q467" s="4">
        <v>7320</v>
      </c>
      <c r="R467" s="4">
        <v>7240</v>
      </c>
      <c r="S467" s="4">
        <v>77</v>
      </c>
      <c r="T467" s="19">
        <f>(ProductionData[[#This Row],[Rejected_Qty]])/ProductionData[[#This Row],[Produced_Qty]]</f>
        <v>1.0635359116022099E-2</v>
      </c>
      <c r="U467" s="19">
        <f>ProductionData[[#This Row],[Produced_Qty]]/ProductionData[[#This Row],[Planned_Qty]]</f>
        <v>0.98907103825136611</v>
      </c>
      <c r="V467" s="2" t="s">
        <v>75</v>
      </c>
      <c r="W467" s="11">
        <v>0</v>
      </c>
      <c r="X467" s="13">
        <f>W467/60</f>
        <v>0</v>
      </c>
      <c r="Y467" s="2" t="s">
        <v>90</v>
      </c>
      <c r="Z467" s="2">
        <v>46</v>
      </c>
      <c r="AA467" s="2">
        <f>ProductionData[[#This Row],[Rejected_Qty]]*ProductionData[[#This Row],[Unit_Cost_INR]]</f>
        <v>3542</v>
      </c>
      <c r="AB467" s="4">
        <v>23981</v>
      </c>
      <c r="AC467" s="4">
        <v>6740</v>
      </c>
      <c r="AD467" s="4">
        <v>6740</v>
      </c>
      <c r="AE467" s="4">
        <v>24404</v>
      </c>
      <c r="AF467" s="4">
        <v>10500</v>
      </c>
    </row>
    <row r="468" spans="1:32">
      <c r="A468" s="2" t="s">
        <v>1064</v>
      </c>
      <c r="B468" s="3">
        <v>46167</v>
      </c>
      <c r="C468" s="36" t="s">
        <v>790</v>
      </c>
      <c r="D468" s="2">
        <f>MONTH(ProductionData[[#This Row],[Month]])</f>
        <v>5</v>
      </c>
      <c r="E468" s="2" t="s">
        <v>116</v>
      </c>
      <c r="F468" s="2" t="s">
        <v>66</v>
      </c>
      <c r="G468" s="2" t="s">
        <v>174</v>
      </c>
      <c r="H468" s="2" t="s">
        <v>175</v>
      </c>
      <c r="I468" s="2" t="s">
        <v>176</v>
      </c>
      <c r="J468" s="2" t="s">
        <v>443</v>
      </c>
      <c r="K468" s="2" t="s">
        <v>444</v>
      </c>
      <c r="L468" s="2" t="s">
        <v>1065</v>
      </c>
      <c r="M468" s="2" t="s">
        <v>73</v>
      </c>
      <c r="N468" s="2" t="s">
        <v>96</v>
      </c>
      <c r="O468" s="2">
        <v>10</v>
      </c>
      <c r="P468" s="2">
        <v>10</v>
      </c>
      <c r="Q468" s="4">
        <v>6560</v>
      </c>
      <c r="R468" s="4">
        <v>6060</v>
      </c>
      <c r="S468" s="4">
        <v>211</v>
      </c>
      <c r="T468" s="19">
        <f>(ProductionData[[#This Row],[Rejected_Qty]])/ProductionData[[#This Row],[Produced_Qty]]</f>
        <v>3.4818481848184819E-2</v>
      </c>
      <c r="U468" s="19">
        <f>ProductionData[[#This Row],[Produced_Qty]]/ProductionData[[#This Row],[Planned_Qty]]</f>
        <v>0.92378048780487809</v>
      </c>
      <c r="V468" s="2" t="s">
        <v>109</v>
      </c>
      <c r="W468" s="11">
        <v>36</v>
      </c>
      <c r="X468" s="13">
        <f>W468/60</f>
        <v>0.6</v>
      </c>
      <c r="Y468" s="2" t="s">
        <v>110</v>
      </c>
      <c r="Z468" s="2">
        <v>33</v>
      </c>
      <c r="AA468" s="2">
        <f>ProductionData[[#This Row],[Rejected_Qty]]*ProductionData[[#This Row],[Unit_Cost_INR]]</f>
        <v>6963</v>
      </c>
      <c r="AB468" s="4">
        <v>24933</v>
      </c>
      <c r="AC468" s="4">
        <v>6450</v>
      </c>
      <c r="AD468" s="4">
        <v>6450</v>
      </c>
      <c r="AE468" s="4">
        <v>24332</v>
      </c>
      <c r="AF468" s="4">
        <v>9750</v>
      </c>
    </row>
    <row r="469" spans="1:32">
      <c r="A469" s="2" t="s">
        <v>1066</v>
      </c>
      <c r="B469" s="3">
        <v>46154</v>
      </c>
      <c r="C469" s="36" t="s">
        <v>790</v>
      </c>
      <c r="D469" s="2">
        <f>MONTH(ProductionData[[#This Row],[Month]])</f>
        <v>5</v>
      </c>
      <c r="E469" s="2" t="s">
        <v>92</v>
      </c>
      <c r="F469" s="2" t="s">
        <v>66</v>
      </c>
      <c r="G469" s="2" t="s">
        <v>67</v>
      </c>
      <c r="H469" s="2" t="s">
        <v>68</v>
      </c>
      <c r="I469" s="2" t="s">
        <v>69</v>
      </c>
      <c r="J469" s="2" t="s">
        <v>70</v>
      </c>
      <c r="K469" s="2" t="s">
        <v>71</v>
      </c>
      <c r="L469" s="2" t="s">
        <v>1067</v>
      </c>
      <c r="M469" s="2" t="s">
        <v>73</v>
      </c>
      <c r="N469" s="2" t="s">
        <v>88</v>
      </c>
      <c r="O469" s="2">
        <v>16</v>
      </c>
      <c r="P469" s="2">
        <v>15</v>
      </c>
      <c r="Q469" s="4">
        <v>6730</v>
      </c>
      <c r="R469" s="4">
        <v>6830</v>
      </c>
      <c r="S469" s="4">
        <v>296</v>
      </c>
      <c r="T469" s="19">
        <f>(ProductionData[[#This Row],[Rejected_Qty]])/ProductionData[[#This Row],[Produced_Qty]]</f>
        <v>4.3338213762811127E-2</v>
      </c>
      <c r="U469" s="19">
        <f>ProductionData[[#This Row],[Produced_Qty]]/ProductionData[[#This Row],[Planned_Qty]]</f>
        <v>1.0148588410104011</v>
      </c>
      <c r="V469" s="2" t="s">
        <v>89</v>
      </c>
      <c r="W469" s="11">
        <v>0</v>
      </c>
      <c r="X469" s="13">
        <f>W469/60</f>
        <v>0</v>
      </c>
      <c r="Y469" s="2" t="s">
        <v>90</v>
      </c>
      <c r="Z469" s="2">
        <v>46</v>
      </c>
      <c r="AA469" s="2">
        <f>ProductionData[[#This Row],[Rejected_Qty]]*ProductionData[[#This Row],[Unit_Cost_INR]]</f>
        <v>13616</v>
      </c>
      <c r="AB469" s="4">
        <v>23918</v>
      </c>
      <c r="AC469" s="4">
        <v>6170</v>
      </c>
      <c r="AD469" s="4">
        <v>6170</v>
      </c>
      <c r="AE469" s="4">
        <v>24282</v>
      </c>
      <c r="AF469" s="4">
        <v>10500</v>
      </c>
    </row>
    <row r="470" spans="1:32">
      <c r="A470" s="2" t="s">
        <v>1068</v>
      </c>
      <c r="B470" s="3">
        <v>46157</v>
      </c>
      <c r="C470" s="36" t="s">
        <v>790</v>
      </c>
      <c r="D470" s="2">
        <f>MONTH(ProductionData[[#This Row],[Month]])</f>
        <v>5</v>
      </c>
      <c r="E470" s="2" t="s">
        <v>125</v>
      </c>
      <c r="F470" s="2" t="s">
        <v>93</v>
      </c>
      <c r="G470" s="2" t="s">
        <v>195</v>
      </c>
      <c r="H470" s="2" t="s">
        <v>196</v>
      </c>
      <c r="I470" s="2" t="s">
        <v>197</v>
      </c>
      <c r="J470" s="2" t="s">
        <v>269</v>
      </c>
      <c r="K470" s="2" t="s">
        <v>270</v>
      </c>
      <c r="L470" s="2" t="s">
        <v>1069</v>
      </c>
      <c r="M470" s="2" t="s">
        <v>133</v>
      </c>
      <c r="N470" s="2" t="s">
        <v>88</v>
      </c>
      <c r="O470" s="2">
        <v>14</v>
      </c>
      <c r="P470" s="2">
        <v>13</v>
      </c>
      <c r="Q470" s="4">
        <v>7860</v>
      </c>
      <c r="R470" s="4">
        <v>7360</v>
      </c>
      <c r="S470" s="4">
        <v>99</v>
      </c>
      <c r="T470" s="19">
        <f>(ProductionData[[#This Row],[Rejected_Qty]])/ProductionData[[#This Row],[Produced_Qty]]</f>
        <v>1.345108695652174E-2</v>
      </c>
      <c r="U470" s="19">
        <f>ProductionData[[#This Row],[Produced_Qty]]/ProductionData[[#This Row],[Planned_Qty]]</f>
        <v>0.93638676844783719</v>
      </c>
      <c r="V470" s="2" t="s">
        <v>89</v>
      </c>
      <c r="W470" s="11">
        <v>0</v>
      </c>
      <c r="X470" s="13">
        <f>W470/60</f>
        <v>0</v>
      </c>
      <c r="Y470" s="2" t="s">
        <v>90</v>
      </c>
      <c r="Z470" s="2">
        <v>42</v>
      </c>
      <c r="AA470" s="2">
        <f>ProductionData[[#This Row],[Rejected_Qty]]*ProductionData[[#This Row],[Unit_Cost_INR]]</f>
        <v>4158</v>
      </c>
      <c r="AB470" s="4">
        <v>23933</v>
      </c>
      <c r="AC470" s="4">
        <v>6980</v>
      </c>
      <c r="AD470" s="4">
        <v>6980</v>
      </c>
      <c r="AE470" s="4">
        <v>24214</v>
      </c>
      <c r="AF470" s="4">
        <v>12000</v>
      </c>
    </row>
    <row r="471" spans="1:32">
      <c r="A471" s="2" t="s">
        <v>1070</v>
      </c>
      <c r="B471" s="3">
        <v>46156</v>
      </c>
      <c r="C471" s="36" t="s">
        <v>790</v>
      </c>
      <c r="D471" s="2">
        <f>MONTH(ProductionData[[#This Row],[Month]])</f>
        <v>5</v>
      </c>
      <c r="E471" s="2" t="s">
        <v>107</v>
      </c>
      <c r="F471" s="2" t="s">
        <v>80</v>
      </c>
      <c r="G471" s="2" t="s">
        <v>67</v>
      </c>
      <c r="H471" s="2" t="s">
        <v>68</v>
      </c>
      <c r="I471" s="2" t="s">
        <v>69</v>
      </c>
      <c r="J471" s="2" t="s">
        <v>70</v>
      </c>
      <c r="K471" s="2" t="s">
        <v>71</v>
      </c>
      <c r="L471" s="2" t="s">
        <v>1071</v>
      </c>
      <c r="M471" s="2" t="s">
        <v>87</v>
      </c>
      <c r="N471" s="2" t="s">
        <v>88</v>
      </c>
      <c r="O471" s="2">
        <v>16</v>
      </c>
      <c r="P471" s="2">
        <v>16</v>
      </c>
      <c r="Q471" s="4">
        <v>7350</v>
      </c>
      <c r="R471" s="4">
        <v>6980</v>
      </c>
      <c r="S471" s="4">
        <v>176</v>
      </c>
      <c r="T471" s="19">
        <f>(ProductionData[[#This Row],[Rejected_Qty]])/ProductionData[[#This Row],[Produced_Qty]]</f>
        <v>2.5214899713467048E-2</v>
      </c>
      <c r="U471" s="19">
        <f>ProductionData[[#This Row],[Produced_Qty]]/ProductionData[[#This Row],[Planned_Qty]]</f>
        <v>0.94965986394557822</v>
      </c>
      <c r="V471" s="2" t="s">
        <v>103</v>
      </c>
      <c r="W471" s="11">
        <v>0</v>
      </c>
      <c r="X471" s="13">
        <f>W471/60</f>
        <v>0</v>
      </c>
      <c r="Y471" s="2" t="s">
        <v>90</v>
      </c>
      <c r="Z471" s="2">
        <v>46</v>
      </c>
      <c r="AA471" s="2">
        <f>ProductionData[[#This Row],[Rejected_Qty]]*ProductionData[[#This Row],[Unit_Cost_INR]]</f>
        <v>8096</v>
      </c>
      <c r="AB471" s="4">
        <v>24404</v>
      </c>
      <c r="AC471" s="4">
        <v>7010</v>
      </c>
      <c r="AD471" s="4">
        <v>7010</v>
      </c>
      <c r="AE471" s="4">
        <v>24198</v>
      </c>
      <c r="AF471" s="4">
        <v>10500</v>
      </c>
    </row>
    <row r="472" spans="1:32">
      <c r="A472" s="2" t="s">
        <v>1072</v>
      </c>
      <c r="B472" s="3">
        <v>46160</v>
      </c>
      <c r="C472" s="36" t="s">
        <v>790</v>
      </c>
      <c r="D472" s="2">
        <f>MONTH(ProductionData[[#This Row],[Month]])</f>
        <v>5</v>
      </c>
      <c r="E472" s="2" t="s">
        <v>116</v>
      </c>
      <c r="F472" s="2" t="s">
        <v>93</v>
      </c>
      <c r="G472" s="2" t="s">
        <v>195</v>
      </c>
      <c r="H472" s="2" t="s">
        <v>196</v>
      </c>
      <c r="I472" s="2" t="s">
        <v>197</v>
      </c>
      <c r="J472" s="2" t="s">
        <v>269</v>
      </c>
      <c r="K472" s="2" t="s">
        <v>270</v>
      </c>
      <c r="L472" s="2" t="s">
        <v>1073</v>
      </c>
      <c r="M472" s="2" t="s">
        <v>133</v>
      </c>
      <c r="N472" s="2" t="s">
        <v>88</v>
      </c>
      <c r="O472" s="2">
        <v>14</v>
      </c>
      <c r="P472" s="2">
        <v>11</v>
      </c>
      <c r="Q472" s="4">
        <v>7930</v>
      </c>
      <c r="R472" s="4">
        <v>6750</v>
      </c>
      <c r="S472" s="4">
        <v>248</v>
      </c>
      <c r="T472" s="19">
        <f>(ProductionData[[#This Row],[Rejected_Qty]])/ProductionData[[#This Row],[Produced_Qty]]</f>
        <v>3.674074074074074E-2</v>
      </c>
      <c r="U472" s="19">
        <f>ProductionData[[#This Row],[Produced_Qty]]/ProductionData[[#This Row],[Planned_Qty]]</f>
        <v>0.85119798234552335</v>
      </c>
      <c r="V472" s="2" t="s">
        <v>75</v>
      </c>
      <c r="W472" s="11">
        <v>11</v>
      </c>
      <c r="X472" s="13">
        <f>W472/60</f>
        <v>0.18333333333333332</v>
      </c>
      <c r="Y472" s="2" t="s">
        <v>110</v>
      </c>
      <c r="Z472" s="2">
        <v>42</v>
      </c>
      <c r="AA472" s="2">
        <f>ProductionData[[#This Row],[Rejected_Qty]]*ProductionData[[#This Row],[Unit_Cost_INR]]</f>
        <v>10416</v>
      </c>
      <c r="AB472" s="4">
        <v>24214</v>
      </c>
      <c r="AC472" s="4">
        <v>6610</v>
      </c>
      <c r="AD472" s="4">
        <v>6610</v>
      </c>
      <c r="AE472" s="4">
        <v>24106</v>
      </c>
      <c r="AF472" s="4">
        <v>12000</v>
      </c>
    </row>
    <row r="473" spans="1:32">
      <c r="A473" s="2" t="s">
        <v>1074</v>
      </c>
      <c r="B473" s="3">
        <v>46165</v>
      </c>
      <c r="C473" s="36" t="s">
        <v>790</v>
      </c>
      <c r="D473" s="2">
        <f>MONTH(ProductionData[[#This Row],[Month]])</f>
        <v>5</v>
      </c>
      <c r="E473" s="2" t="s">
        <v>65</v>
      </c>
      <c r="F473" s="2" t="s">
        <v>66</v>
      </c>
      <c r="G473" s="2" t="s">
        <v>174</v>
      </c>
      <c r="H473" s="2" t="s">
        <v>175</v>
      </c>
      <c r="I473" s="2" t="s">
        <v>176</v>
      </c>
      <c r="J473" s="2" t="s">
        <v>443</v>
      </c>
      <c r="K473" s="2" t="s">
        <v>444</v>
      </c>
      <c r="L473" s="2" t="s">
        <v>1075</v>
      </c>
      <c r="M473" s="2" t="s">
        <v>99</v>
      </c>
      <c r="N473" s="2" t="s">
        <v>96</v>
      </c>
      <c r="O473" s="2">
        <v>10</v>
      </c>
      <c r="P473" s="2">
        <v>10</v>
      </c>
      <c r="Q473" s="4">
        <v>6990</v>
      </c>
      <c r="R473" s="4">
        <v>6790</v>
      </c>
      <c r="S473" s="4">
        <v>129</v>
      </c>
      <c r="T473" s="19">
        <f>(ProductionData[[#This Row],[Rejected_Qty]])/ProductionData[[#This Row],[Produced_Qty]]</f>
        <v>1.8998527245949925E-2</v>
      </c>
      <c r="U473" s="19">
        <f>ProductionData[[#This Row],[Produced_Qty]]/ProductionData[[#This Row],[Planned_Qty]]</f>
        <v>0.97138769670958514</v>
      </c>
      <c r="V473" s="2" t="s">
        <v>109</v>
      </c>
      <c r="W473" s="11">
        <v>0</v>
      </c>
      <c r="X473" s="13">
        <f>W473/60</f>
        <v>0</v>
      </c>
      <c r="Y473" s="2" t="s">
        <v>90</v>
      </c>
      <c r="Z473" s="2">
        <v>33</v>
      </c>
      <c r="AA473" s="2">
        <f>ProductionData[[#This Row],[Rejected_Qty]]*ProductionData[[#This Row],[Unit_Cost_INR]]</f>
        <v>4257</v>
      </c>
      <c r="AB473" s="4">
        <v>23731</v>
      </c>
      <c r="AC473" s="4">
        <v>6350</v>
      </c>
      <c r="AD473" s="4">
        <v>6350</v>
      </c>
      <c r="AE473" s="4">
        <v>24042</v>
      </c>
      <c r="AF473" s="4">
        <v>9750</v>
      </c>
    </row>
    <row r="474" spans="1:32">
      <c r="A474" s="2" t="s">
        <v>1076</v>
      </c>
      <c r="B474" s="3">
        <v>46155</v>
      </c>
      <c r="C474" s="36" t="s">
        <v>790</v>
      </c>
      <c r="D474" s="2">
        <f>MONTH(ProductionData[[#This Row],[Month]])</f>
        <v>5</v>
      </c>
      <c r="E474" s="2" t="s">
        <v>79</v>
      </c>
      <c r="F474" s="2" t="s">
        <v>66</v>
      </c>
      <c r="G474" s="2" t="s">
        <v>67</v>
      </c>
      <c r="H474" s="2" t="s">
        <v>68</v>
      </c>
      <c r="I474" s="2" t="s">
        <v>69</v>
      </c>
      <c r="J474" s="2" t="s">
        <v>70</v>
      </c>
      <c r="K474" s="2" t="s">
        <v>71</v>
      </c>
      <c r="L474" s="2" t="s">
        <v>1077</v>
      </c>
      <c r="M474" s="2" t="s">
        <v>73</v>
      </c>
      <c r="N474" s="2" t="s">
        <v>96</v>
      </c>
      <c r="O474" s="2">
        <v>16</v>
      </c>
      <c r="P474" s="2">
        <v>15</v>
      </c>
      <c r="Q474" s="4">
        <v>7080</v>
      </c>
      <c r="R474" s="4">
        <v>6430</v>
      </c>
      <c r="S474" s="4">
        <v>191</v>
      </c>
      <c r="T474" s="19">
        <f>(ProductionData[[#This Row],[Rejected_Qty]])/ProductionData[[#This Row],[Produced_Qty]]</f>
        <v>2.9704510108864698E-2</v>
      </c>
      <c r="U474" s="19">
        <f>ProductionData[[#This Row],[Produced_Qty]]/ProductionData[[#This Row],[Planned_Qty]]</f>
        <v>0.90819209039548021</v>
      </c>
      <c r="V474" s="2" t="s">
        <v>89</v>
      </c>
      <c r="W474" s="11">
        <v>0</v>
      </c>
      <c r="X474" s="13">
        <f>W474/60</f>
        <v>0</v>
      </c>
      <c r="Y474" s="2" t="s">
        <v>90</v>
      </c>
      <c r="Z474" s="2">
        <v>46</v>
      </c>
      <c r="AA474" s="2">
        <f>ProductionData[[#This Row],[Rejected_Qty]]*ProductionData[[#This Row],[Unit_Cost_INR]]</f>
        <v>8786</v>
      </c>
      <c r="AB474" s="4">
        <v>24282</v>
      </c>
      <c r="AC474" s="4">
        <v>6540</v>
      </c>
      <c r="AD474" s="4">
        <v>6540</v>
      </c>
      <c r="AE474" s="4">
        <v>23981</v>
      </c>
      <c r="AF474" s="4">
        <v>10500</v>
      </c>
    </row>
    <row r="475" spans="1:32">
      <c r="A475" s="2" t="s">
        <v>1078</v>
      </c>
      <c r="B475" s="3">
        <v>46164</v>
      </c>
      <c r="C475" s="36" t="s">
        <v>790</v>
      </c>
      <c r="D475" s="2">
        <f>MONTH(ProductionData[[#This Row],[Month]])</f>
        <v>5</v>
      </c>
      <c r="E475" s="2" t="s">
        <v>125</v>
      </c>
      <c r="F475" s="2" t="s">
        <v>80</v>
      </c>
      <c r="G475" s="2" t="s">
        <v>174</v>
      </c>
      <c r="H475" s="2" t="s">
        <v>175</v>
      </c>
      <c r="I475" s="2" t="s">
        <v>176</v>
      </c>
      <c r="J475" s="2" t="s">
        <v>443</v>
      </c>
      <c r="K475" s="2" t="s">
        <v>444</v>
      </c>
      <c r="L475" s="2" t="s">
        <v>1079</v>
      </c>
      <c r="M475" s="2" t="s">
        <v>102</v>
      </c>
      <c r="N475" s="2" t="s">
        <v>96</v>
      </c>
      <c r="O475" s="2">
        <v>10</v>
      </c>
      <c r="P475" s="2">
        <v>9</v>
      </c>
      <c r="Q475" s="4">
        <v>6410</v>
      </c>
      <c r="R475" s="4">
        <v>5870</v>
      </c>
      <c r="S475" s="4">
        <v>96</v>
      </c>
      <c r="T475" s="19">
        <f>(ProductionData[[#This Row],[Rejected_Qty]])/ProductionData[[#This Row],[Produced_Qty]]</f>
        <v>1.6354344122657582E-2</v>
      </c>
      <c r="U475" s="19">
        <f>ProductionData[[#This Row],[Produced_Qty]]/ProductionData[[#This Row],[Planned_Qty]]</f>
        <v>0.91575663026521059</v>
      </c>
      <c r="V475" s="2" t="s">
        <v>113</v>
      </c>
      <c r="W475" s="11">
        <v>0</v>
      </c>
      <c r="X475" s="13">
        <f>W475/60</f>
        <v>0</v>
      </c>
      <c r="Y475" s="2" t="s">
        <v>90</v>
      </c>
      <c r="Z475" s="2">
        <v>33</v>
      </c>
      <c r="AA475" s="2">
        <f>ProductionData[[#This Row],[Rejected_Qty]]*ProductionData[[#This Row],[Unit_Cost_INR]]</f>
        <v>3168</v>
      </c>
      <c r="AB475" s="4">
        <v>23346</v>
      </c>
      <c r="AC475" s="4">
        <v>5160</v>
      </c>
      <c r="AD475" s="4">
        <v>5160</v>
      </c>
      <c r="AE475" s="4">
        <v>23960</v>
      </c>
      <c r="AF475" s="4">
        <v>9750</v>
      </c>
    </row>
    <row r="476" spans="1:32">
      <c r="A476" s="2" t="s">
        <v>1080</v>
      </c>
      <c r="B476" s="3">
        <v>46156</v>
      </c>
      <c r="C476" s="36" t="s">
        <v>790</v>
      </c>
      <c r="D476" s="2">
        <f>MONTH(ProductionData[[#This Row],[Month]])</f>
        <v>5</v>
      </c>
      <c r="E476" s="2" t="s">
        <v>107</v>
      </c>
      <c r="F476" s="2" t="s">
        <v>93</v>
      </c>
      <c r="G476" s="2" t="s">
        <v>195</v>
      </c>
      <c r="H476" s="2" t="s">
        <v>196</v>
      </c>
      <c r="I476" s="2" t="s">
        <v>197</v>
      </c>
      <c r="J476" s="2" t="s">
        <v>269</v>
      </c>
      <c r="K476" s="2" t="s">
        <v>270</v>
      </c>
      <c r="L476" s="2" t="s">
        <v>1081</v>
      </c>
      <c r="M476" s="2" t="s">
        <v>133</v>
      </c>
      <c r="N476" s="2" t="s">
        <v>96</v>
      </c>
      <c r="O476" s="2">
        <v>14</v>
      </c>
      <c r="P476" s="2">
        <v>13</v>
      </c>
      <c r="Q476" s="4">
        <v>7470</v>
      </c>
      <c r="R476" s="4">
        <v>7270</v>
      </c>
      <c r="S476" s="4">
        <v>140</v>
      </c>
      <c r="T476" s="19">
        <f>(ProductionData[[#This Row],[Rejected_Qty]])/ProductionData[[#This Row],[Produced_Qty]]</f>
        <v>1.9257221458046769E-2</v>
      </c>
      <c r="U476" s="19">
        <f>ProductionData[[#This Row],[Produced_Qty]]/ProductionData[[#This Row],[Planned_Qty]]</f>
        <v>0.97322623828647925</v>
      </c>
      <c r="V476" s="2" t="s">
        <v>113</v>
      </c>
      <c r="W476" s="11">
        <v>23</v>
      </c>
      <c r="X476" s="13">
        <f>W476/60</f>
        <v>0.38333333333333336</v>
      </c>
      <c r="Y476" s="2" t="s">
        <v>76</v>
      </c>
      <c r="Z476" s="2">
        <v>42</v>
      </c>
      <c r="AA476" s="2">
        <f>ProductionData[[#This Row],[Rejected_Qty]]*ProductionData[[#This Row],[Unit_Cost_INR]]</f>
        <v>5880</v>
      </c>
      <c r="AB476" s="4">
        <v>23673</v>
      </c>
      <c r="AC476" s="4">
        <v>6870</v>
      </c>
      <c r="AD476" s="4">
        <v>6870</v>
      </c>
      <c r="AE476" s="4">
        <v>23933</v>
      </c>
      <c r="AF476" s="4">
        <v>12000</v>
      </c>
    </row>
    <row r="477" spans="1:32">
      <c r="A477" s="2" t="s">
        <v>1082</v>
      </c>
      <c r="B477" s="3">
        <v>46149</v>
      </c>
      <c r="C477" s="36" t="s">
        <v>790</v>
      </c>
      <c r="D477" s="2">
        <f>MONTH(ProductionData[[#This Row],[Month]])</f>
        <v>5</v>
      </c>
      <c r="E477" s="2" t="s">
        <v>107</v>
      </c>
      <c r="F477" s="2" t="s">
        <v>93</v>
      </c>
      <c r="G477" s="2" t="s">
        <v>67</v>
      </c>
      <c r="H477" s="2" t="s">
        <v>68</v>
      </c>
      <c r="I477" s="2" t="s">
        <v>69</v>
      </c>
      <c r="J477" s="2" t="s">
        <v>70</v>
      </c>
      <c r="K477" s="2" t="s">
        <v>71</v>
      </c>
      <c r="L477" s="2" t="s">
        <v>1083</v>
      </c>
      <c r="M477" s="2" t="s">
        <v>95</v>
      </c>
      <c r="N477" s="2" t="s">
        <v>96</v>
      </c>
      <c r="O477" s="2">
        <v>16</v>
      </c>
      <c r="P477" s="2">
        <v>14</v>
      </c>
      <c r="Q477" s="4">
        <v>6660</v>
      </c>
      <c r="R477" s="4">
        <v>5880</v>
      </c>
      <c r="S477" s="4">
        <v>151</v>
      </c>
      <c r="T477" s="19">
        <f>(ProductionData[[#This Row],[Rejected_Qty]])/ProductionData[[#This Row],[Produced_Qty]]</f>
        <v>2.5680272108843539E-2</v>
      </c>
      <c r="U477" s="19">
        <f>ProductionData[[#This Row],[Produced_Qty]]/ProductionData[[#This Row],[Planned_Qty]]</f>
        <v>0.88288288288288286</v>
      </c>
      <c r="V477" s="2" t="s">
        <v>103</v>
      </c>
      <c r="W477" s="11">
        <v>54</v>
      </c>
      <c r="X477" s="13">
        <f>W477/60</f>
        <v>0.9</v>
      </c>
      <c r="Y477" s="2" t="s">
        <v>110</v>
      </c>
      <c r="Z477" s="2">
        <v>46</v>
      </c>
      <c r="AA477" s="2">
        <f>ProductionData[[#This Row],[Rejected_Qty]]*ProductionData[[#This Row],[Unit_Cost_INR]]</f>
        <v>6946</v>
      </c>
      <c r="AB477" s="4">
        <v>23819</v>
      </c>
      <c r="AC477" s="4">
        <v>5630</v>
      </c>
      <c r="AD477" s="4">
        <v>5630</v>
      </c>
      <c r="AE477" s="4">
        <v>23918</v>
      </c>
      <c r="AF477" s="4">
        <v>10500</v>
      </c>
    </row>
    <row r="478" spans="1:32">
      <c r="A478" s="2" t="s">
        <v>1084</v>
      </c>
      <c r="B478" s="3">
        <v>46148</v>
      </c>
      <c r="C478" s="36" t="s">
        <v>790</v>
      </c>
      <c r="D478" s="2">
        <f>MONTH(ProductionData[[#This Row],[Month]])</f>
        <v>5</v>
      </c>
      <c r="E478" s="2" t="s">
        <v>79</v>
      </c>
      <c r="F478" s="2" t="s">
        <v>66</v>
      </c>
      <c r="G478" s="2" t="s">
        <v>195</v>
      </c>
      <c r="H478" s="2" t="s">
        <v>196</v>
      </c>
      <c r="I478" s="2" t="s">
        <v>197</v>
      </c>
      <c r="J478" s="2" t="s">
        <v>269</v>
      </c>
      <c r="K478" s="2" t="s">
        <v>270</v>
      </c>
      <c r="L478" s="2" t="s">
        <v>1085</v>
      </c>
      <c r="M478" s="2" t="s">
        <v>99</v>
      </c>
      <c r="N478" s="2" t="s">
        <v>96</v>
      </c>
      <c r="O478" s="2">
        <v>14</v>
      </c>
      <c r="P478" s="2">
        <v>13</v>
      </c>
      <c r="Q478" s="4">
        <v>7800</v>
      </c>
      <c r="R478" s="4">
        <v>7700</v>
      </c>
      <c r="S478" s="4">
        <v>210</v>
      </c>
      <c r="T478" s="19">
        <f>(ProductionData[[#This Row],[Rejected_Qty]])/ProductionData[[#This Row],[Produced_Qty]]</f>
        <v>2.7272727272727271E-2</v>
      </c>
      <c r="U478" s="19">
        <f>ProductionData[[#This Row],[Produced_Qty]]/ProductionData[[#This Row],[Planned_Qty]]</f>
        <v>0.98717948717948723</v>
      </c>
      <c r="V478" s="2" t="s">
        <v>113</v>
      </c>
      <c r="W478" s="11">
        <v>0</v>
      </c>
      <c r="X478" s="13">
        <f>W478/60</f>
        <v>0</v>
      </c>
      <c r="Y478" s="2" t="s">
        <v>90</v>
      </c>
      <c r="Z478" s="2">
        <v>42</v>
      </c>
      <c r="AA478" s="2">
        <f>ProductionData[[#This Row],[Rejected_Qty]]*ProductionData[[#This Row],[Unit_Cost_INR]]</f>
        <v>8820</v>
      </c>
      <c r="AB478" s="4">
        <v>22845</v>
      </c>
      <c r="AC478" s="4">
        <v>6460</v>
      </c>
      <c r="AD478" s="4">
        <v>6460</v>
      </c>
      <c r="AE478" s="4">
        <v>23875</v>
      </c>
      <c r="AF478" s="4">
        <v>12000</v>
      </c>
    </row>
    <row r="479" spans="1:32">
      <c r="A479" s="2" t="s">
        <v>1086</v>
      </c>
      <c r="B479" s="3">
        <v>46147</v>
      </c>
      <c r="C479" s="36" t="s">
        <v>790</v>
      </c>
      <c r="D479" s="2">
        <f>MONTH(ProductionData[[#This Row],[Month]])</f>
        <v>5</v>
      </c>
      <c r="E479" s="2" t="s">
        <v>92</v>
      </c>
      <c r="F479" s="2" t="s">
        <v>80</v>
      </c>
      <c r="G479" s="2" t="s">
        <v>67</v>
      </c>
      <c r="H479" s="2" t="s">
        <v>68</v>
      </c>
      <c r="I479" s="2" t="s">
        <v>69</v>
      </c>
      <c r="J479" s="2" t="s">
        <v>70</v>
      </c>
      <c r="K479" s="2" t="s">
        <v>71</v>
      </c>
      <c r="L479" s="2" t="s">
        <v>1087</v>
      </c>
      <c r="M479" s="2" t="s">
        <v>102</v>
      </c>
      <c r="N479" s="2" t="s">
        <v>96</v>
      </c>
      <c r="O479" s="2">
        <v>16</v>
      </c>
      <c r="P479" s="2">
        <v>16</v>
      </c>
      <c r="Q479" s="4">
        <v>6950</v>
      </c>
      <c r="R479" s="4">
        <v>6930</v>
      </c>
      <c r="S479" s="4">
        <v>109</v>
      </c>
      <c r="T479" s="19">
        <f>(ProductionData[[#This Row],[Rejected_Qty]])/ProductionData[[#This Row],[Produced_Qty]]</f>
        <v>1.5728715728715727E-2</v>
      </c>
      <c r="U479" s="19">
        <f>ProductionData[[#This Row],[Produced_Qty]]/ProductionData[[#This Row],[Planned_Qty]]</f>
        <v>0.99712230215827335</v>
      </c>
      <c r="V479" s="2" t="s">
        <v>75</v>
      </c>
      <c r="W479" s="11">
        <v>0</v>
      </c>
      <c r="X479" s="13">
        <f>W479/60</f>
        <v>0</v>
      </c>
      <c r="Y479" s="2" t="s">
        <v>90</v>
      </c>
      <c r="Z479" s="2">
        <v>46</v>
      </c>
      <c r="AA479" s="2">
        <f>ProductionData[[#This Row],[Rejected_Qty]]*ProductionData[[#This Row],[Unit_Cost_INR]]</f>
        <v>5014</v>
      </c>
      <c r="AB479" s="4">
        <v>22373</v>
      </c>
      <c r="AC479" s="4">
        <v>5370</v>
      </c>
      <c r="AD479" s="4">
        <v>5370</v>
      </c>
      <c r="AE479" s="4">
        <v>23824</v>
      </c>
      <c r="AF479" s="4">
        <v>10500</v>
      </c>
    </row>
    <row r="480" spans="1:32">
      <c r="A480" s="2" t="s">
        <v>1088</v>
      </c>
      <c r="B480" s="3">
        <v>46147</v>
      </c>
      <c r="C480" s="36" t="s">
        <v>790</v>
      </c>
      <c r="D480" s="2">
        <f>MONTH(ProductionData[[#This Row],[Month]])</f>
        <v>5</v>
      </c>
      <c r="E480" s="2" t="s">
        <v>92</v>
      </c>
      <c r="F480" s="2" t="s">
        <v>93</v>
      </c>
      <c r="G480" s="2" t="s">
        <v>67</v>
      </c>
      <c r="H480" s="2" t="s">
        <v>68</v>
      </c>
      <c r="I480" s="2" t="s">
        <v>69</v>
      </c>
      <c r="J480" s="2" t="s">
        <v>70</v>
      </c>
      <c r="K480" s="2" t="s">
        <v>71</v>
      </c>
      <c r="L480" s="2" t="s">
        <v>1089</v>
      </c>
      <c r="M480" s="2" t="s">
        <v>95</v>
      </c>
      <c r="N480" s="2" t="s">
        <v>96</v>
      </c>
      <c r="O480" s="2">
        <v>16</v>
      </c>
      <c r="P480" s="2">
        <v>15</v>
      </c>
      <c r="Q480" s="4">
        <v>7070</v>
      </c>
      <c r="R480" s="4">
        <v>6490</v>
      </c>
      <c r="S480" s="4">
        <v>175</v>
      </c>
      <c r="T480" s="19">
        <f>(ProductionData[[#This Row],[Rejected_Qty]])/ProductionData[[#This Row],[Produced_Qty]]</f>
        <v>2.6964560862865947E-2</v>
      </c>
      <c r="U480" s="19">
        <f>ProductionData[[#This Row],[Produced_Qty]]/ProductionData[[#This Row],[Planned_Qty]]</f>
        <v>0.91796322489391802</v>
      </c>
      <c r="V480" s="2" t="s">
        <v>89</v>
      </c>
      <c r="W480" s="11">
        <v>0</v>
      </c>
      <c r="X480" s="13">
        <f>W480/60</f>
        <v>0</v>
      </c>
      <c r="Y480" s="2" t="s">
        <v>90</v>
      </c>
      <c r="Z480" s="2">
        <v>46</v>
      </c>
      <c r="AA480" s="2">
        <f>ProductionData[[#This Row],[Rejected_Qty]]*ProductionData[[#This Row],[Unit_Cost_INR]]</f>
        <v>8050</v>
      </c>
      <c r="AB480" s="4">
        <v>23824</v>
      </c>
      <c r="AC480" s="4">
        <v>6320</v>
      </c>
      <c r="AD480" s="4">
        <v>6320</v>
      </c>
      <c r="AE480" s="4">
        <v>23819</v>
      </c>
      <c r="AF480" s="4">
        <v>10500</v>
      </c>
    </row>
    <row r="481" spans="1:32">
      <c r="A481" s="2" t="s">
        <v>1090</v>
      </c>
      <c r="B481" s="3">
        <v>46164</v>
      </c>
      <c r="C481" s="36" t="s">
        <v>790</v>
      </c>
      <c r="D481" s="2">
        <f>MONTH(ProductionData[[#This Row],[Month]])</f>
        <v>5</v>
      </c>
      <c r="E481" s="2" t="s">
        <v>125</v>
      </c>
      <c r="F481" s="2" t="s">
        <v>93</v>
      </c>
      <c r="G481" s="2" t="s">
        <v>174</v>
      </c>
      <c r="H481" s="2" t="s">
        <v>175</v>
      </c>
      <c r="I481" s="2" t="s">
        <v>176</v>
      </c>
      <c r="J481" s="2" t="s">
        <v>443</v>
      </c>
      <c r="K481" s="2" t="s">
        <v>444</v>
      </c>
      <c r="L481" s="2" t="s">
        <v>1091</v>
      </c>
      <c r="M481" s="2" t="s">
        <v>95</v>
      </c>
      <c r="N481" s="2" t="s">
        <v>88</v>
      </c>
      <c r="O481" s="2">
        <v>10</v>
      </c>
      <c r="P481" s="2">
        <v>9</v>
      </c>
      <c r="Q481" s="4">
        <v>5810</v>
      </c>
      <c r="R481" s="4">
        <v>5350</v>
      </c>
      <c r="S481" s="4">
        <v>129</v>
      </c>
      <c r="T481" s="19">
        <f>(ProductionData[[#This Row],[Rejected_Qty]])/ProductionData[[#This Row],[Produced_Qty]]</f>
        <v>2.4112149532710282E-2</v>
      </c>
      <c r="U481" s="19">
        <f>ProductionData[[#This Row],[Produced_Qty]]/ProductionData[[#This Row],[Planned_Qty]]</f>
        <v>0.92082616179001719</v>
      </c>
      <c r="V481" s="2" t="s">
        <v>103</v>
      </c>
      <c r="W481" s="11">
        <v>0</v>
      </c>
      <c r="X481" s="13">
        <f>W481/60</f>
        <v>0</v>
      </c>
      <c r="Y481" s="2" t="s">
        <v>90</v>
      </c>
      <c r="Z481" s="2">
        <v>33</v>
      </c>
      <c r="AA481" s="2">
        <f>ProductionData[[#This Row],[Rejected_Qty]]*ProductionData[[#This Row],[Unit_Cost_INR]]</f>
        <v>4257</v>
      </c>
      <c r="AB481" s="4">
        <v>23960</v>
      </c>
      <c r="AC481" s="4">
        <v>5450</v>
      </c>
      <c r="AD481" s="4">
        <v>5450</v>
      </c>
      <c r="AE481" s="4">
        <v>23731</v>
      </c>
      <c r="AF481" s="4">
        <v>9750</v>
      </c>
    </row>
    <row r="482" spans="1:32">
      <c r="A482" s="2" t="s">
        <v>1092</v>
      </c>
      <c r="B482" s="3">
        <v>46161</v>
      </c>
      <c r="C482" s="36" t="s">
        <v>790</v>
      </c>
      <c r="D482" s="2">
        <f>MONTH(ProductionData[[#This Row],[Month]])</f>
        <v>5</v>
      </c>
      <c r="E482" s="2" t="s">
        <v>92</v>
      </c>
      <c r="F482" s="2" t="s">
        <v>93</v>
      </c>
      <c r="G482" s="2" t="s">
        <v>195</v>
      </c>
      <c r="H482" s="2" t="s">
        <v>196</v>
      </c>
      <c r="I482" s="2" t="s">
        <v>197</v>
      </c>
      <c r="J482" s="2" t="s">
        <v>269</v>
      </c>
      <c r="K482" s="2" t="s">
        <v>270</v>
      </c>
      <c r="L482" s="2" t="s">
        <v>1093</v>
      </c>
      <c r="M482" s="2" t="s">
        <v>95</v>
      </c>
      <c r="N482" s="2" t="s">
        <v>88</v>
      </c>
      <c r="O482" s="2">
        <v>14</v>
      </c>
      <c r="P482" s="2">
        <v>12</v>
      </c>
      <c r="Q482" s="4">
        <v>7490</v>
      </c>
      <c r="R482" s="4">
        <v>6690</v>
      </c>
      <c r="S482" s="4">
        <v>185</v>
      </c>
      <c r="T482" s="19">
        <f>(ProductionData[[#This Row],[Rejected_Qty]])/ProductionData[[#This Row],[Produced_Qty]]</f>
        <v>2.7653213751868459E-2</v>
      </c>
      <c r="U482" s="19">
        <f>ProductionData[[#This Row],[Produced_Qty]]/ProductionData[[#This Row],[Planned_Qty]]</f>
        <v>0.89319092122830446</v>
      </c>
      <c r="V482" s="2" t="s">
        <v>89</v>
      </c>
      <c r="W482" s="11">
        <v>43</v>
      </c>
      <c r="X482" s="13">
        <f>W482/60</f>
        <v>0.71666666666666667</v>
      </c>
      <c r="Y482" s="2" t="s">
        <v>110</v>
      </c>
      <c r="Z482" s="2">
        <v>42</v>
      </c>
      <c r="AA482" s="2">
        <f>ProductionData[[#This Row],[Rejected_Qty]]*ProductionData[[#This Row],[Unit_Cost_INR]]</f>
        <v>7770</v>
      </c>
      <c r="AB482" s="4">
        <v>24106</v>
      </c>
      <c r="AC482" s="4">
        <v>6910</v>
      </c>
      <c r="AD482" s="4">
        <v>6910</v>
      </c>
      <c r="AE482" s="4">
        <v>23701</v>
      </c>
      <c r="AF482" s="4">
        <v>12000</v>
      </c>
    </row>
    <row r="483" spans="1:32">
      <c r="A483" s="2" t="s">
        <v>1094</v>
      </c>
      <c r="B483" s="3">
        <v>46156</v>
      </c>
      <c r="C483" s="36" t="s">
        <v>790</v>
      </c>
      <c r="D483" s="2">
        <f>MONTH(ProductionData[[#This Row],[Month]])</f>
        <v>5</v>
      </c>
      <c r="E483" s="2" t="s">
        <v>107</v>
      </c>
      <c r="F483" s="2" t="s">
        <v>66</v>
      </c>
      <c r="G483" s="2" t="s">
        <v>195</v>
      </c>
      <c r="H483" s="2" t="s">
        <v>196</v>
      </c>
      <c r="I483" s="2" t="s">
        <v>197</v>
      </c>
      <c r="J483" s="2" t="s">
        <v>269</v>
      </c>
      <c r="K483" s="2" t="s">
        <v>270</v>
      </c>
      <c r="L483" s="2" t="s">
        <v>1095</v>
      </c>
      <c r="M483" s="2" t="s">
        <v>73</v>
      </c>
      <c r="N483" s="2" t="s">
        <v>88</v>
      </c>
      <c r="O483" s="2">
        <v>14</v>
      </c>
      <c r="P483" s="2">
        <v>13</v>
      </c>
      <c r="Q483" s="4">
        <v>8160</v>
      </c>
      <c r="R483" s="4">
        <v>7840</v>
      </c>
      <c r="S483" s="4">
        <v>183</v>
      </c>
      <c r="T483" s="19">
        <f>(ProductionData[[#This Row],[Rejected_Qty]])/ProductionData[[#This Row],[Produced_Qty]]</f>
        <v>2.3341836734693876E-2</v>
      </c>
      <c r="U483" s="19">
        <f>ProductionData[[#This Row],[Produced_Qty]]/ProductionData[[#This Row],[Planned_Qty]]</f>
        <v>0.96078431372549022</v>
      </c>
      <c r="V483" s="2" t="s">
        <v>75</v>
      </c>
      <c r="W483" s="11">
        <v>0</v>
      </c>
      <c r="X483" s="13">
        <f>W483/60</f>
        <v>0</v>
      </c>
      <c r="Y483" s="2" t="s">
        <v>90</v>
      </c>
      <c r="Z483" s="2">
        <v>42</v>
      </c>
      <c r="AA483" s="2">
        <f>ProductionData[[#This Row],[Rejected_Qty]]*ProductionData[[#This Row],[Unit_Cost_INR]]</f>
        <v>7686</v>
      </c>
      <c r="AB483" s="4">
        <v>23246</v>
      </c>
      <c r="AC483" s="4">
        <v>7230</v>
      </c>
      <c r="AD483" s="4">
        <v>7230</v>
      </c>
      <c r="AE483" s="4">
        <v>23673</v>
      </c>
      <c r="AF483" s="4">
        <v>12000</v>
      </c>
    </row>
    <row r="484" spans="1:32">
      <c r="A484" s="2" t="s">
        <v>1096</v>
      </c>
      <c r="B484" s="3">
        <v>46145</v>
      </c>
      <c r="C484" s="36" t="s">
        <v>790</v>
      </c>
      <c r="D484" s="2">
        <f>MONTH(ProductionData[[#This Row],[Month]])</f>
        <v>5</v>
      </c>
      <c r="E484" s="2" t="s">
        <v>186</v>
      </c>
      <c r="F484" s="2" t="s">
        <v>66</v>
      </c>
      <c r="G484" s="2" t="s">
        <v>195</v>
      </c>
      <c r="H484" s="2" t="s">
        <v>196</v>
      </c>
      <c r="I484" s="2" t="s">
        <v>197</v>
      </c>
      <c r="J484" s="2" t="s">
        <v>269</v>
      </c>
      <c r="K484" s="2" t="s">
        <v>270</v>
      </c>
      <c r="L484" s="2" t="s">
        <v>1097</v>
      </c>
      <c r="M484" s="2" t="s">
        <v>73</v>
      </c>
      <c r="N484" s="2" t="s">
        <v>96</v>
      </c>
      <c r="O484" s="2">
        <v>14</v>
      </c>
      <c r="P484" s="2">
        <v>13</v>
      </c>
      <c r="Q484" s="4">
        <v>6040</v>
      </c>
      <c r="R484" s="4">
        <v>5310</v>
      </c>
      <c r="S484" s="4">
        <v>118</v>
      </c>
      <c r="T484" s="19">
        <f>(ProductionData[[#This Row],[Rejected_Qty]])/ProductionData[[#This Row],[Produced_Qty]]</f>
        <v>2.2222222222222223E-2</v>
      </c>
      <c r="U484" s="19">
        <f>ProductionData[[#This Row],[Produced_Qty]]/ProductionData[[#This Row],[Planned_Qty]]</f>
        <v>0.87913907284768211</v>
      </c>
      <c r="V484" s="2" t="s">
        <v>89</v>
      </c>
      <c r="W484" s="11">
        <v>34</v>
      </c>
      <c r="X484" s="13">
        <f>W484/60</f>
        <v>0.56666666666666665</v>
      </c>
      <c r="Y484" s="2" t="s">
        <v>182</v>
      </c>
      <c r="Z484" s="2">
        <v>42</v>
      </c>
      <c r="AA484" s="2">
        <f>ProductionData[[#This Row],[Rejected_Qty]]*ProductionData[[#This Row],[Unit_Cost_INR]]</f>
        <v>4956</v>
      </c>
      <c r="AB484" s="4">
        <v>23634</v>
      </c>
      <c r="AC484" s="4">
        <v>5190</v>
      </c>
      <c r="AD484" s="4">
        <v>5190</v>
      </c>
      <c r="AE484" s="4">
        <v>23636</v>
      </c>
      <c r="AF484" s="4">
        <v>12000</v>
      </c>
    </row>
    <row r="485" spans="1:32">
      <c r="A485" s="2" t="s">
        <v>1098</v>
      </c>
      <c r="B485" s="3">
        <v>46144</v>
      </c>
      <c r="C485" s="36" t="s">
        <v>790</v>
      </c>
      <c r="D485" s="2">
        <f>MONTH(ProductionData[[#This Row],[Month]])</f>
        <v>5</v>
      </c>
      <c r="E485" s="2" t="s">
        <v>65</v>
      </c>
      <c r="F485" s="2" t="s">
        <v>93</v>
      </c>
      <c r="G485" s="2" t="s">
        <v>195</v>
      </c>
      <c r="H485" s="2" t="s">
        <v>196</v>
      </c>
      <c r="I485" s="2" t="s">
        <v>197</v>
      </c>
      <c r="J485" s="2" t="s">
        <v>269</v>
      </c>
      <c r="K485" s="2" t="s">
        <v>270</v>
      </c>
      <c r="L485" s="2" t="s">
        <v>1099</v>
      </c>
      <c r="M485" s="2" t="s">
        <v>95</v>
      </c>
      <c r="N485" s="2" t="s">
        <v>96</v>
      </c>
      <c r="O485" s="2">
        <v>14</v>
      </c>
      <c r="P485" s="2">
        <v>12</v>
      </c>
      <c r="Q485" s="4">
        <v>7260</v>
      </c>
      <c r="R485" s="4">
        <v>6810</v>
      </c>
      <c r="S485" s="4">
        <v>112</v>
      </c>
      <c r="T485" s="19">
        <f>(ProductionData[[#This Row],[Rejected_Qty]])/ProductionData[[#This Row],[Produced_Qty]]</f>
        <v>1.644640234948605E-2</v>
      </c>
      <c r="U485" s="19">
        <f>ProductionData[[#This Row],[Produced_Qty]]/ProductionData[[#This Row],[Planned_Qty]]</f>
        <v>0.93801652892561982</v>
      </c>
      <c r="V485" s="2" t="s">
        <v>109</v>
      </c>
      <c r="W485" s="11">
        <v>0</v>
      </c>
      <c r="X485" s="13">
        <f>W485/60</f>
        <v>0</v>
      </c>
      <c r="Y485" s="2" t="s">
        <v>90</v>
      </c>
      <c r="Z485" s="2">
        <v>42</v>
      </c>
      <c r="AA485" s="2">
        <f>ProductionData[[#This Row],[Rejected_Qty]]*ProductionData[[#This Row],[Unit_Cost_INR]]</f>
        <v>4704</v>
      </c>
      <c r="AB485" s="4">
        <v>23136</v>
      </c>
      <c r="AC485" s="4">
        <v>6200</v>
      </c>
      <c r="AD485" s="4">
        <v>6200</v>
      </c>
      <c r="AE485" s="4">
        <v>23634</v>
      </c>
      <c r="AF485" s="4">
        <v>12000</v>
      </c>
    </row>
    <row r="486" spans="1:32">
      <c r="A486" s="2" t="s">
        <v>1100</v>
      </c>
      <c r="B486" s="3">
        <v>46158</v>
      </c>
      <c r="C486" s="36" t="s">
        <v>790</v>
      </c>
      <c r="D486" s="2">
        <f>MONTH(ProductionData[[#This Row],[Month]])</f>
        <v>5</v>
      </c>
      <c r="E486" s="2" t="s">
        <v>65</v>
      </c>
      <c r="F486" s="2" t="s">
        <v>66</v>
      </c>
      <c r="G486" s="2" t="s">
        <v>174</v>
      </c>
      <c r="H486" s="2" t="s">
        <v>175</v>
      </c>
      <c r="I486" s="2" t="s">
        <v>176</v>
      </c>
      <c r="J486" s="2" t="s">
        <v>443</v>
      </c>
      <c r="K486" s="2" t="s">
        <v>444</v>
      </c>
      <c r="L486" s="2" t="s">
        <v>1101</v>
      </c>
      <c r="M486" s="2" t="s">
        <v>99</v>
      </c>
      <c r="N486" s="2" t="s">
        <v>88</v>
      </c>
      <c r="O486" s="2">
        <v>10</v>
      </c>
      <c r="P486" s="2">
        <v>9</v>
      </c>
      <c r="Q486" s="4">
        <v>6100</v>
      </c>
      <c r="R486" s="4">
        <v>5640</v>
      </c>
      <c r="S486" s="4">
        <v>161</v>
      </c>
      <c r="T486" s="19">
        <f>(ProductionData[[#This Row],[Rejected_Qty]])/ProductionData[[#This Row],[Produced_Qty]]</f>
        <v>2.8546099290780141E-2</v>
      </c>
      <c r="U486" s="19">
        <f>ProductionData[[#This Row],[Produced_Qty]]/ProductionData[[#This Row],[Planned_Qty]]</f>
        <v>0.92459016393442628</v>
      </c>
      <c r="V486" s="2" t="s">
        <v>113</v>
      </c>
      <c r="W486" s="11">
        <v>0</v>
      </c>
      <c r="X486" s="13">
        <f>W486/60</f>
        <v>0</v>
      </c>
      <c r="Y486" s="2" t="s">
        <v>90</v>
      </c>
      <c r="Z486" s="2">
        <v>33</v>
      </c>
      <c r="AA486" s="2">
        <f>ProductionData[[#This Row],[Rejected_Qty]]*ProductionData[[#This Row],[Unit_Cost_INR]]</f>
        <v>5313</v>
      </c>
      <c r="AB486" s="4">
        <v>22816</v>
      </c>
      <c r="AC486" s="4">
        <v>4680</v>
      </c>
      <c r="AD486" s="4">
        <v>4680</v>
      </c>
      <c r="AE486" s="4">
        <v>23615</v>
      </c>
      <c r="AF486" s="4">
        <v>9750</v>
      </c>
    </row>
    <row r="487" spans="1:32">
      <c r="A487" s="2" t="s">
        <v>1102</v>
      </c>
      <c r="B487" s="3">
        <v>46158</v>
      </c>
      <c r="C487" s="36" t="s">
        <v>790</v>
      </c>
      <c r="D487" s="2">
        <f>MONTH(ProductionData[[#This Row],[Month]])</f>
        <v>5</v>
      </c>
      <c r="E487" s="2" t="s">
        <v>65</v>
      </c>
      <c r="F487" s="2" t="s">
        <v>93</v>
      </c>
      <c r="G487" s="2" t="s">
        <v>174</v>
      </c>
      <c r="H487" s="2" t="s">
        <v>175</v>
      </c>
      <c r="I487" s="2" t="s">
        <v>176</v>
      </c>
      <c r="J487" s="2" t="s">
        <v>443</v>
      </c>
      <c r="K487" s="2" t="s">
        <v>444</v>
      </c>
      <c r="L487" s="2" t="s">
        <v>1103</v>
      </c>
      <c r="M487" s="2" t="s">
        <v>133</v>
      </c>
      <c r="N487" s="2" t="s">
        <v>96</v>
      </c>
      <c r="O487" s="2">
        <v>10</v>
      </c>
      <c r="P487" s="2">
        <v>9</v>
      </c>
      <c r="Q487" s="4">
        <v>6460</v>
      </c>
      <c r="R487" s="4">
        <v>6080</v>
      </c>
      <c r="S487" s="4">
        <v>153</v>
      </c>
      <c r="T487" s="19">
        <f>(ProductionData[[#This Row],[Rejected_Qty]])/ProductionData[[#This Row],[Produced_Qty]]</f>
        <v>2.5164473684210525E-2</v>
      </c>
      <c r="U487" s="19">
        <f>ProductionData[[#This Row],[Produced_Qty]]/ProductionData[[#This Row],[Planned_Qty]]</f>
        <v>0.94117647058823528</v>
      </c>
      <c r="V487" s="2" t="s">
        <v>75</v>
      </c>
      <c r="W487" s="11">
        <v>48</v>
      </c>
      <c r="X487" s="13">
        <f>W487/60</f>
        <v>0.8</v>
      </c>
      <c r="Y487" s="2" t="s">
        <v>110</v>
      </c>
      <c r="Z487" s="2">
        <v>33</v>
      </c>
      <c r="AA487" s="2">
        <f>ProductionData[[#This Row],[Rejected_Qty]]*ProductionData[[#This Row],[Unit_Cost_INR]]</f>
        <v>5049</v>
      </c>
      <c r="AB487" s="4">
        <v>23615</v>
      </c>
      <c r="AC487" s="4">
        <v>5960</v>
      </c>
      <c r="AD487" s="4">
        <v>5960</v>
      </c>
      <c r="AE487" s="4">
        <v>23582</v>
      </c>
      <c r="AF487" s="4">
        <v>9750</v>
      </c>
    </row>
    <row r="488" spans="1:32">
      <c r="A488" s="2" t="s">
        <v>1104</v>
      </c>
      <c r="B488" s="3">
        <v>46160</v>
      </c>
      <c r="C488" s="36" t="s">
        <v>790</v>
      </c>
      <c r="D488" s="2">
        <f>MONTH(ProductionData[[#This Row],[Month]])</f>
        <v>5</v>
      </c>
      <c r="E488" s="2" t="s">
        <v>116</v>
      </c>
      <c r="F488" s="2" t="s">
        <v>80</v>
      </c>
      <c r="G488" s="2" t="s">
        <v>174</v>
      </c>
      <c r="H488" s="2" t="s">
        <v>175</v>
      </c>
      <c r="I488" s="2" t="s">
        <v>176</v>
      </c>
      <c r="J488" s="2" t="s">
        <v>443</v>
      </c>
      <c r="K488" s="2" t="s">
        <v>444</v>
      </c>
      <c r="L488" s="2" t="s">
        <v>1105</v>
      </c>
      <c r="M488" s="2" t="s">
        <v>87</v>
      </c>
      <c r="N488" s="2" t="s">
        <v>96</v>
      </c>
      <c r="O488" s="2">
        <v>10</v>
      </c>
      <c r="P488" s="2">
        <v>10</v>
      </c>
      <c r="Q488" s="4">
        <v>6830</v>
      </c>
      <c r="R488" s="4">
        <v>6540</v>
      </c>
      <c r="S488" s="4">
        <v>214</v>
      </c>
      <c r="T488" s="19">
        <f>(ProductionData[[#This Row],[Rejected_Qty]])/ProductionData[[#This Row],[Produced_Qty]]</f>
        <v>3.2721712538226297E-2</v>
      </c>
      <c r="U488" s="19">
        <f>ProductionData[[#This Row],[Produced_Qty]]/ProductionData[[#This Row],[Planned_Qty]]</f>
        <v>0.95754026354319177</v>
      </c>
      <c r="V488" s="2" t="s">
        <v>109</v>
      </c>
      <c r="W488" s="11">
        <v>0</v>
      </c>
      <c r="X488" s="13">
        <f>W488/60</f>
        <v>0</v>
      </c>
      <c r="Y488" s="2" t="s">
        <v>90</v>
      </c>
      <c r="Z488" s="2">
        <v>33</v>
      </c>
      <c r="AA488" s="2">
        <f>ProductionData[[#This Row],[Rejected_Qty]]*ProductionData[[#This Row],[Unit_Cost_INR]]</f>
        <v>7062</v>
      </c>
      <c r="AB488" s="4">
        <v>23341</v>
      </c>
      <c r="AC488" s="4">
        <v>6100</v>
      </c>
      <c r="AD488" s="4">
        <v>6100</v>
      </c>
      <c r="AE488" s="4">
        <v>23567</v>
      </c>
      <c r="AF488" s="4">
        <v>9750</v>
      </c>
    </row>
    <row r="489" spans="1:32">
      <c r="A489" s="2" t="s">
        <v>1106</v>
      </c>
      <c r="B489" s="3">
        <v>46153</v>
      </c>
      <c r="C489" s="36" t="s">
        <v>790</v>
      </c>
      <c r="D489" s="2">
        <f>MONTH(ProductionData[[#This Row],[Month]])</f>
        <v>5</v>
      </c>
      <c r="E489" s="2" t="s">
        <v>116</v>
      </c>
      <c r="F489" s="2" t="s">
        <v>66</v>
      </c>
      <c r="G489" s="2" t="s">
        <v>195</v>
      </c>
      <c r="H489" s="2" t="s">
        <v>196</v>
      </c>
      <c r="I489" s="2" t="s">
        <v>197</v>
      </c>
      <c r="J489" s="2" t="s">
        <v>269</v>
      </c>
      <c r="K489" s="2" t="s">
        <v>270</v>
      </c>
      <c r="L489" s="2" t="s">
        <v>1107</v>
      </c>
      <c r="M489" s="2" t="s">
        <v>99</v>
      </c>
      <c r="N489" s="2" t="s">
        <v>88</v>
      </c>
      <c r="O489" s="2">
        <v>14</v>
      </c>
      <c r="P489" s="2">
        <v>14</v>
      </c>
      <c r="Q489" s="4">
        <v>8210</v>
      </c>
      <c r="R489" s="4">
        <v>7900</v>
      </c>
      <c r="S489" s="4">
        <v>92</v>
      </c>
      <c r="T489" s="19">
        <f>(ProductionData[[#This Row],[Rejected_Qty]])/ProductionData[[#This Row],[Produced_Qty]]</f>
        <v>1.1645569620253165E-2</v>
      </c>
      <c r="U489" s="19">
        <f>ProductionData[[#This Row],[Produced_Qty]]/ProductionData[[#This Row],[Planned_Qty]]</f>
        <v>0.96224116930572468</v>
      </c>
      <c r="V489" s="2" t="s">
        <v>109</v>
      </c>
      <c r="W489" s="11">
        <v>0</v>
      </c>
      <c r="X489" s="13">
        <f>W489/60</f>
        <v>0</v>
      </c>
      <c r="Y489" s="2" t="s">
        <v>90</v>
      </c>
      <c r="Z489" s="2">
        <v>42</v>
      </c>
      <c r="AA489" s="2">
        <f>ProductionData[[#This Row],[Rejected_Qty]]*ProductionData[[#This Row],[Unit_Cost_INR]]</f>
        <v>3864</v>
      </c>
      <c r="AB489" s="4">
        <v>23308</v>
      </c>
      <c r="AC489" s="4">
        <v>7550</v>
      </c>
      <c r="AD489" s="4">
        <v>7550</v>
      </c>
      <c r="AE489" s="4">
        <v>23566</v>
      </c>
      <c r="AF489" s="4">
        <v>12000</v>
      </c>
    </row>
    <row r="490" spans="1:32">
      <c r="A490" s="2" t="s">
        <v>1108</v>
      </c>
      <c r="B490" s="3">
        <v>46153</v>
      </c>
      <c r="C490" s="36" t="s">
        <v>790</v>
      </c>
      <c r="D490" s="2">
        <f>MONTH(ProductionData[[#This Row],[Month]])</f>
        <v>5</v>
      </c>
      <c r="E490" s="2" t="s">
        <v>116</v>
      </c>
      <c r="F490" s="2" t="s">
        <v>80</v>
      </c>
      <c r="G490" s="2" t="s">
        <v>195</v>
      </c>
      <c r="H490" s="2" t="s">
        <v>196</v>
      </c>
      <c r="I490" s="2" t="s">
        <v>197</v>
      </c>
      <c r="J490" s="2" t="s">
        <v>269</v>
      </c>
      <c r="K490" s="2" t="s">
        <v>270</v>
      </c>
      <c r="L490" s="2" t="s">
        <v>1109</v>
      </c>
      <c r="M490" s="2" t="s">
        <v>102</v>
      </c>
      <c r="N490" s="2" t="s">
        <v>96</v>
      </c>
      <c r="O490" s="2">
        <v>14</v>
      </c>
      <c r="P490" s="2">
        <v>13</v>
      </c>
      <c r="Q490" s="4">
        <v>8580</v>
      </c>
      <c r="R490" s="4">
        <v>8020</v>
      </c>
      <c r="S490" s="4">
        <v>190</v>
      </c>
      <c r="T490" s="19">
        <f>(ProductionData[[#This Row],[Rejected_Qty]])/ProductionData[[#This Row],[Produced_Qty]]</f>
        <v>2.369077306733167E-2</v>
      </c>
      <c r="U490" s="19">
        <f>ProductionData[[#This Row],[Produced_Qty]]/ProductionData[[#This Row],[Planned_Qty]]</f>
        <v>0.93473193473193472</v>
      </c>
      <c r="V490" s="2" t="s">
        <v>75</v>
      </c>
      <c r="W490" s="11">
        <v>0</v>
      </c>
      <c r="X490" s="13">
        <f>W490/60</f>
        <v>0</v>
      </c>
      <c r="Y490" s="2" t="s">
        <v>90</v>
      </c>
      <c r="Z490" s="2">
        <v>42</v>
      </c>
      <c r="AA490" s="2">
        <f>ProductionData[[#This Row],[Rejected_Qty]]*ProductionData[[#This Row],[Unit_Cost_INR]]</f>
        <v>7980</v>
      </c>
      <c r="AB490" s="4">
        <v>23566</v>
      </c>
      <c r="AC490" s="4">
        <v>7890</v>
      </c>
      <c r="AD490" s="4">
        <v>7890</v>
      </c>
      <c r="AE490" s="4">
        <v>23506</v>
      </c>
      <c r="AF490" s="4">
        <v>12000</v>
      </c>
    </row>
    <row r="491" spans="1:32">
      <c r="A491" s="2" t="s">
        <v>1110</v>
      </c>
      <c r="B491" s="3">
        <v>46148</v>
      </c>
      <c r="C491" s="36" t="s">
        <v>790</v>
      </c>
      <c r="D491" s="2">
        <f>MONTH(ProductionData[[#This Row],[Month]])</f>
        <v>5</v>
      </c>
      <c r="E491" s="2" t="s">
        <v>79</v>
      </c>
      <c r="F491" s="2" t="s">
        <v>80</v>
      </c>
      <c r="G491" s="2" t="s">
        <v>67</v>
      </c>
      <c r="H491" s="2" t="s">
        <v>68</v>
      </c>
      <c r="I491" s="2" t="s">
        <v>69</v>
      </c>
      <c r="J491" s="2" t="s">
        <v>403</v>
      </c>
      <c r="K491" s="2" t="s">
        <v>404</v>
      </c>
      <c r="L491" s="2" t="s">
        <v>1111</v>
      </c>
      <c r="M491" s="2" t="s">
        <v>102</v>
      </c>
      <c r="N491" s="2" t="s">
        <v>88</v>
      </c>
      <c r="O491" s="2">
        <v>16</v>
      </c>
      <c r="P491" s="2">
        <v>13</v>
      </c>
      <c r="Q491" s="4">
        <v>6180</v>
      </c>
      <c r="R491" s="4">
        <v>5790</v>
      </c>
      <c r="S491" s="4">
        <v>175</v>
      </c>
      <c r="T491" s="19">
        <f>(ProductionData[[#This Row],[Rejected_Qty]])/ProductionData[[#This Row],[Produced_Qty]]</f>
        <v>3.0224525043177894E-2</v>
      </c>
      <c r="U491" s="19">
        <f>ProductionData[[#This Row],[Produced_Qty]]/ProductionData[[#This Row],[Planned_Qty]]</f>
        <v>0.93689320388349517</v>
      </c>
      <c r="V491" s="2" t="s">
        <v>109</v>
      </c>
      <c r="W491" s="11">
        <v>0</v>
      </c>
      <c r="X491" s="13">
        <f>W491/60</f>
        <v>0</v>
      </c>
      <c r="Y491" s="2" t="s">
        <v>90</v>
      </c>
      <c r="Z491" s="2">
        <v>58</v>
      </c>
      <c r="AA491" s="2">
        <f>ProductionData[[#This Row],[Rejected_Qty]]*ProductionData[[#This Row],[Unit_Cost_INR]]</f>
        <v>10150</v>
      </c>
      <c r="AB491" s="4">
        <v>22987</v>
      </c>
      <c r="AC491" s="4">
        <v>5100</v>
      </c>
      <c r="AD491" s="4">
        <v>5100</v>
      </c>
      <c r="AE491" s="4">
        <v>23502</v>
      </c>
      <c r="AF491" s="4">
        <v>9000</v>
      </c>
    </row>
    <row r="492" spans="1:32">
      <c r="A492" s="2" t="s">
        <v>1112</v>
      </c>
      <c r="B492" s="3">
        <v>46151</v>
      </c>
      <c r="C492" s="36" t="s">
        <v>790</v>
      </c>
      <c r="D492" s="2">
        <f>MONTH(ProductionData[[#This Row],[Month]])</f>
        <v>5</v>
      </c>
      <c r="E492" s="2" t="s">
        <v>65</v>
      </c>
      <c r="F492" s="2" t="s">
        <v>66</v>
      </c>
      <c r="G492" s="2" t="s">
        <v>195</v>
      </c>
      <c r="H492" s="2" t="s">
        <v>196</v>
      </c>
      <c r="I492" s="2" t="s">
        <v>197</v>
      </c>
      <c r="J492" s="2" t="s">
        <v>269</v>
      </c>
      <c r="K492" s="2" t="s">
        <v>270</v>
      </c>
      <c r="L492" s="2" t="s">
        <v>1113</v>
      </c>
      <c r="M492" s="2" t="s">
        <v>73</v>
      </c>
      <c r="N492" s="2" t="s">
        <v>88</v>
      </c>
      <c r="O492" s="2">
        <v>14</v>
      </c>
      <c r="P492" s="2">
        <v>14</v>
      </c>
      <c r="Q492" s="4">
        <v>7770</v>
      </c>
      <c r="R492" s="4">
        <v>7460</v>
      </c>
      <c r="S492" s="4">
        <v>196</v>
      </c>
      <c r="T492" s="19">
        <f>(ProductionData[[#This Row],[Rejected_Qty]])/ProductionData[[#This Row],[Produced_Qty]]</f>
        <v>2.6273458445040216E-2</v>
      </c>
      <c r="U492" s="19">
        <f>ProductionData[[#This Row],[Produced_Qty]]/ProductionData[[#This Row],[Planned_Qty]]</f>
        <v>0.96010296010296015</v>
      </c>
      <c r="V492" s="2" t="s">
        <v>109</v>
      </c>
      <c r="W492" s="11">
        <v>0</v>
      </c>
      <c r="X492" s="13">
        <f>W492/60</f>
        <v>0</v>
      </c>
      <c r="Y492" s="2" t="s">
        <v>90</v>
      </c>
      <c r="Z492" s="2">
        <v>42</v>
      </c>
      <c r="AA492" s="2">
        <f>ProductionData[[#This Row],[Rejected_Qty]]*ProductionData[[#This Row],[Unit_Cost_INR]]</f>
        <v>8232</v>
      </c>
      <c r="AB492" s="4">
        <v>22947</v>
      </c>
      <c r="AC492" s="4">
        <v>6800</v>
      </c>
      <c r="AD492" s="4">
        <v>6800</v>
      </c>
      <c r="AE492" s="4">
        <v>23411</v>
      </c>
      <c r="AF492" s="4">
        <v>12000</v>
      </c>
    </row>
    <row r="493" spans="1:32">
      <c r="A493" s="2" t="s">
        <v>1114</v>
      </c>
      <c r="B493" s="3">
        <v>46147</v>
      </c>
      <c r="C493" s="36" t="s">
        <v>790</v>
      </c>
      <c r="D493" s="2">
        <f>MONTH(ProductionData[[#This Row],[Month]])</f>
        <v>5</v>
      </c>
      <c r="E493" s="2" t="s">
        <v>92</v>
      </c>
      <c r="F493" s="2" t="s">
        <v>66</v>
      </c>
      <c r="G493" s="2" t="s">
        <v>174</v>
      </c>
      <c r="H493" s="2" t="s">
        <v>175</v>
      </c>
      <c r="I493" s="2" t="s">
        <v>176</v>
      </c>
      <c r="J493" s="2" t="s">
        <v>443</v>
      </c>
      <c r="K493" s="2" t="s">
        <v>444</v>
      </c>
      <c r="L493" s="2" t="s">
        <v>1115</v>
      </c>
      <c r="M493" s="2" t="s">
        <v>99</v>
      </c>
      <c r="N493" s="2" t="s">
        <v>96</v>
      </c>
      <c r="O493" s="2">
        <v>10</v>
      </c>
      <c r="P493" s="2">
        <v>10</v>
      </c>
      <c r="Q493" s="4">
        <v>6490</v>
      </c>
      <c r="R493" s="4">
        <v>6300</v>
      </c>
      <c r="S493" s="4">
        <v>204</v>
      </c>
      <c r="T493" s="19">
        <f>(ProductionData[[#This Row],[Rejected_Qty]])/ProductionData[[#This Row],[Produced_Qty]]</f>
        <v>3.2380952380952378E-2</v>
      </c>
      <c r="U493" s="19">
        <f>ProductionData[[#This Row],[Produced_Qty]]/ProductionData[[#This Row],[Planned_Qty]]</f>
        <v>0.97072419106317409</v>
      </c>
      <c r="V493" s="2" t="s">
        <v>89</v>
      </c>
      <c r="W493" s="11">
        <v>26</v>
      </c>
      <c r="X493" s="13">
        <f>W493/60</f>
        <v>0.43333333333333335</v>
      </c>
      <c r="Y493" s="2" t="s">
        <v>76</v>
      </c>
      <c r="Z493" s="2">
        <v>33</v>
      </c>
      <c r="AA493" s="2">
        <f>ProductionData[[#This Row],[Rejected_Qty]]*ProductionData[[#This Row],[Unit_Cost_INR]]</f>
        <v>6732</v>
      </c>
      <c r="AB493" s="4">
        <v>22537</v>
      </c>
      <c r="AC493" s="4">
        <v>5280</v>
      </c>
      <c r="AD493" s="4">
        <v>5280</v>
      </c>
      <c r="AE493" s="4">
        <v>23353</v>
      </c>
      <c r="AF493" s="4">
        <v>9750</v>
      </c>
    </row>
    <row r="494" spans="1:32">
      <c r="A494" s="2" t="s">
        <v>1116</v>
      </c>
      <c r="B494" s="3">
        <v>46162</v>
      </c>
      <c r="C494" s="36" t="s">
        <v>790</v>
      </c>
      <c r="D494" s="2">
        <f>MONTH(ProductionData[[#This Row],[Month]])</f>
        <v>5</v>
      </c>
      <c r="E494" s="2" t="s">
        <v>79</v>
      </c>
      <c r="F494" s="2" t="s">
        <v>80</v>
      </c>
      <c r="G494" s="2" t="s">
        <v>174</v>
      </c>
      <c r="H494" s="2" t="s">
        <v>175</v>
      </c>
      <c r="I494" s="2" t="s">
        <v>176</v>
      </c>
      <c r="J494" s="2" t="s">
        <v>443</v>
      </c>
      <c r="K494" s="2" t="s">
        <v>444</v>
      </c>
      <c r="L494" s="2" t="s">
        <v>1117</v>
      </c>
      <c r="M494" s="2" t="s">
        <v>102</v>
      </c>
      <c r="N494" s="2" t="s">
        <v>96</v>
      </c>
      <c r="O494" s="2">
        <v>10</v>
      </c>
      <c r="P494" s="2">
        <v>8</v>
      </c>
      <c r="Q494" s="4">
        <v>6970</v>
      </c>
      <c r="R494" s="4">
        <v>6330</v>
      </c>
      <c r="S494" s="4">
        <v>25</v>
      </c>
      <c r="T494" s="19">
        <f>(ProductionData[[#This Row],[Rejected_Qty]])/ProductionData[[#This Row],[Produced_Qty]]</f>
        <v>3.9494470774091624E-3</v>
      </c>
      <c r="U494" s="19">
        <f>ProductionData[[#This Row],[Produced_Qty]]/ProductionData[[#This Row],[Planned_Qty]]</f>
        <v>0.90817790530846487</v>
      </c>
      <c r="V494" s="2" t="s">
        <v>103</v>
      </c>
      <c r="W494" s="11">
        <v>0</v>
      </c>
      <c r="X494" s="13">
        <f>W494/60</f>
        <v>0</v>
      </c>
      <c r="Y494" s="2" t="s">
        <v>90</v>
      </c>
      <c r="Z494" s="2">
        <v>33</v>
      </c>
      <c r="AA494" s="2">
        <f>ProductionData[[#This Row],[Rejected_Qty]]*ProductionData[[#This Row],[Unit_Cost_INR]]</f>
        <v>825</v>
      </c>
      <c r="AB494" s="4">
        <v>23567</v>
      </c>
      <c r="AC494" s="4">
        <v>6520</v>
      </c>
      <c r="AD494" s="4">
        <v>6520</v>
      </c>
      <c r="AE494" s="4">
        <v>23352</v>
      </c>
      <c r="AF494" s="4">
        <v>9750</v>
      </c>
    </row>
    <row r="495" spans="1:32">
      <c r="A495" s="2" t="s">
        <v>1118</v>
      </c>
      <c r="B495" s="3">
        <v>46163</v>
      </c>
      <c r="C495" s="36" t="s">
        <v>790</v>
      </c>
      <c r="D495" s="2">
        <f>MONTH(ProductionData[[#This Row],[Month]])</f>
        <v>5</v>
      </c>
      <c r="E495" s="2" t="s">
        <v>107</v>
      </c>
      <c r="F495" s="2" t="s">
        <v>66</v>
      </c>
      <c r="G495" s="2" t="s">
        <v>174</v>
      </c>
      <c r="H495" s="2" t="s">
        <v>175</v>
      </c>
      <c r="I495" s="2" t="s">
        <v>176</v>
      </c>
      <c r="J495" s="2" t="s">
        <v>443</v>
      </c>
      <c r="K495" s="2" t="s">
        <v>444</v>
      </c>
      <c r="L495" s="2" t="s">
        <v>1119</v>
      </c>
      <c r="M495" s="2" t="s">
        <v>73</v>
      </c>
      <c r="N495" s="2" t="s">
        <v>96</v>
      </c>
      <c r="O495" s="2">
        <v>10</v>
      </c>
      <c r="P495" s="2">
        <v>10</v>
      </c>
      <c r="Q495" s="4">
        <v>6760</v>
      </c>
      <c r="R495" s="4">
        <v>6760</v>
      </c>
      <c r="S495" s="4">
        <v>156</v>
      </c>
      <c r="T495" s="19">
        <f>(ProductionData[[#This Row],[Rejected_Qty]])/ProductionData[[#This Row],[Produced_Qty]]</f>
        <v>2.3076923076923078E-2</v>
      </c>
      <c r="U495" s="19">
        <f>ProductionData[[#This Row],[Produced_Qty]]/ProductionData[[#This Row],[Planned_Qty]]</f>
        <v>1</v>
      </c>
      <c r="V495" s="2" t="s">
        <v>89</v>
      </c>
      <c r="W495" s="11">
        <v>20</v>
      </c>
      <c r="X495" s="13">
        <f>W495/60</f>
        <v>0.33333333333333331</v>
      </c>
      <c r="Y495" s="2" t="s">
        <v>182</v>
      </c>
      <c r="Z495" s="2">
        <v>33</v>
      </c>
      <c r="AA495" s="2">
        <f>ProductionData[[#This Row],[Rejected_Qty]]*ProductionData[[#This Row],[Unit_Cost_INR]]</f>
        <v>5148</v>
      </c>
      <c r="AB495" s="4">
        <v>23352</v>
      </c>
      <c r="AC495" s="4">
        <v>6610</v>
      </c>
      <c r="AD495" s="4">
        <v>6610</v>
      </c>
      <c r="AE495" s="4">
        <v>23346</v>
      </c>
      <c r="AF495" s="4">
        <v>9750</v>
      </c>
    </row>
    <row r="496" spans="1:32">
      <c r="A496" s="2" t="s">
        <v>1120</v>
      </c>
      <c r="B496" s="3">
        <v>46159</v>
      </c>
      <c r="C496" s="36" t="s">
        <v>790</v>
      </c>
      <c r="D496" s="2">
        <f>MONTH(ProductionData[[#This Row],[Month]])</f>
        <v>5</v>
      </c>
      <c r="E496" s="2" t="s">
        <v>186</v>
      </c>
      <c r="F496" s="2" t="s">
        <v>66</v>
      </c>
      <c r="G496" s="2" t="s">
        <v>174</v>
      </c>
      <c r="H496" s="2" t="s">
        <v>175</v>
      </c>
      <c r="I496" s="2" t="s">
        <v>176</v>
      </c>
      <c r="J496" s="2" t="s">
        <v>443</v>
      </c>
      <c r="K496" s="2" t="s">
        <v>444</v>
      </c>
      <c r="L496" s="2" t="s">
        <v>1121</v>
      </c>
      <c r="M496" s="2" t="s">
        <v>73</v>
      </c>
      <c r="N496" s="2" t="s">
        <v>88</v>
      </c>
      <c r="O496" s="2">
        <v>10</v>
      </c>
      <c r="P496" s="2">
        <v>9</v>
      </c>
      <c r="Q496" s="4">
        <v>4860</v>
      </c>
      <c r="R496" s="4">
        <v>4240</v>
      </c>
      <c r="S496" s="4">
        <v>91</v>
      </c>
      <c r="T496" s="19">
        <f>(ProductionData[[#This Row],[Rejected_Qty]])/ProductionData[[#This Row],[Produced_Qty]]</f>
        <v>2.1462264150943395E-2</v>
      </c>
      <c r="U496" s="19">
        <f>ProductionData[[#This Row],[Produced_Qty]]/ProductionData[[#This Row],[Planned_Qty]]</f>
        <v>0.87242798353909468</v>
      </c>
      <c r="V496" s="2" t="s">
        <v>109</v>
      </c>
      <c r="W496" s="11">
        <v>0</v>
      </c>
      <c r="X496" s="13">
        <f>W496/60</f>
        <v>0</v>
      </c>
      <c r="Y496" s="2" t="s">
        <v>90</v>
      </c>
      <c r="Z496" s="2">
        <v>33</v>
      </c>
      <c r="AA496" s="2">
        <f>ProductionData[[#This Row],[Rejected_Qty]]*ProductionData[[#This Row],[Unit_Cost_INR]]</f>
        <v>3003</v>
      </c>
      <c r="AB496" s="4">
        <v>23582</v>
      </c>
      <c r="AC496" s="4">
        <v>4390</v>
      </c>
      <c r="AD496" s="4">
        <v>4390</v>
      </c>
      <c r="AE496" s="4">
        <v>23341</v>
      </c>
      <c r="AF496" s="4">
        <v>9750</v>
      </c>
    </row>
    <row r="497" spans="1:32">
      <c r="A497" s="2" t="s">
        <v>1122</v>
      </c>
      <c r="B497" s="3">
        <v>46153</v>
      </c>
      <c r="C497" s="36" t="s">
        <v>790</v>
      </c>
      <c r="D497" s="2">
        <f>MONTH(ProductionData[[#This Row],[Month]])</f>
        <v>5</v>
      </c>
      <c r="E497" s="2" t="s">
        <v>116</v>
      </c>
      <c r="F497" s="2" t="s">
        <v>93</v>
      </c>
      <c r="G497" s="2" t="s">
        <v>174</v>
      </c>
      <c r="H497" s="2" t="s">
        <v>175</v>
      </c>
      <c r="I497" s="2" t="s">
        <v>176</v>
      </c>
      <c r="J497" s="2" t="s">
        <v>443</v>
      </c>
      <c r="K497" s="2" t="s">
        <v>444</v>
      </c>
      <c r="L497" s="2" t="s">
        <v>1123</v>
      </c>
      <c r="M497" s="2" t="s">
        <v>133</v>
      </c>
      <c r="N497" s="2" t="s">
        <v>96</v>
      </c>
      <c r="O497" s="2">
        <v>10</v>
      </c>
      <c r="P497" s="2">
        <v>10</v>
      </c>
      <c r="Q497" s="4">
        <v>5710</v>
      </c>
      <c r="R497" s="4">
        <v>5510</v>
      </c>
      <c r="S497" s="4">
        <v>142</v>
      </c>
      <c r="T497" s="19">
        <f>(ProductionData[[#This Row],[Rejected_Qty]])/ProductionData[[#This Row],[Produced_Qty]]</f>
        <v>2.5771324863883848E-2</v>
      </c>
      <c r="U497" s="19">
        <f>ProductionData[[#This Row],[Produced_Qty]]/ProductionData[[#This Row],[Planned_Qty]]</f>
        <v>0.96497373029772326</v>
      </c>
      <c r="V497" s="2" t="s">
        <v>113</v>
      </c>
      <c r="W497" s="11">
        <v>28</v>
      </c>
      <c r="X497" s="13">
        <f>W497/60</f>
        <v>0.46666666666666667</v>
      </c>
      <c r="Y497" s="2" t="s">
        <v>110</v>
      </c>
      <c r="Z497" s="2">
        <v>33</v>
      </c>
      <c r="AA497" s="2">
        <f>ProductionData[[#This Row],[Rejected_Qty]]*ProductionData[[#This Row],[Unit_Cost_INR]]</f>
        <v>4686</v>
      </c>
      <c r="AB497" s="4">
        <v>22962</v>
      </c>
      <c r="AC497" s="4">
        <v>5000</v>
      </c>
      <c r="AD497" s="4">
        <v>5000</v>
      </c>
      <c r="AE497" s="4">
        <v>23330</v>
      </c>
      <c r="AF497" s="4">
        <v>9750</v>
      </c>
    </row>
    <row r="498" spans="1:32">
      <c r="A498" s="2" t="s">
        <v>1124</v>
      </c>
      <c r="B498" s="3">
        <v>46152</v>
      </c>
      <c r="C498" s="36" t="s">
        <v>790</v>
      </c>
      <c r="D498" s="2">
        <f>MONTH(ProductionData[[#This Row],[Month]])</f>
        <v>5</v>
      </c>
      <c r="E498" s="2" t="s">
        <v>186</v>
      </c>
      <c r="F498" s="2" t="s">
        <v>80</v>
      </c>
      <c r="G498" s="2" t="s">
        <v>195</v>
      </c>
      <c r="H498" s="2" t="s">
        <v>196</v>
      </c>
      <c r="I498" s="2" t="s">
        <v>197</v>
      </c>
      <c r="J498" s="2" t="s">
        <v>269</v>
      </c>
      <c r="K498" s="2" t="s">
        <v>270</v>
      </c>
      <c r="L498" s="2" t="s">
        <v>1125</v>
      </c>
      <c r="M498" s="2" t="s">
        <v>87</v>
      </c>
      <c r="N498" s="2" t="s">
        <v>88</v>
      </c>
      <c r="O498" s="2">
        <v>14</v>
      </c>
      <c r="P498" s="2">
        <v>12</v>
      </c>
      <c r="Q498" s="4">
        <v>5790</v>
      </c>
      <c r="R498" s="4">
        <v>5280</v>
      </c>
      <c r="S498" s="4">
        <v>143</v>
      </c>
      <c r="T498" s="19">
        <f>(ProductionData[[#This Row],[Rejected_Qty]])/ProductionData[[#This Row],[Produced_Qty]]</f>
        <v>2.7083333333333334E-2</v>
      </c>
      <c r="U498" s="19">
        <f>ProductionData[[#This Row],[Produced_Qty]]/ProductionData[[#This Row],[Planned_Qty]]</f>
        <v>0.91191709844559588</v>
      </c>
      <c r="V498" s="2" t="s">
        <v>113</v>
      </c>
      <c r="W498" s="11">
        <v>51</v>
      </c>
      <c r="X498" s="13">
        <f>W498/60</f>
        <v>0.85</v>
      </c>
      <c r="Y498" s="2" t="s">
        <v>136</v>
      </c>
      <c r="Z498" s="2">
        <v>42</v>
      </c>
      <c r="AA498" s="2">
        <f>ProductionData[[#This Row],[Rejected_Qty]]*ProductionData[[#This Row],[Unit_Cost_INR]]</f>
        <v>6006</v>
      </c>
      <c r="AB498" s="4">
        <v>23411</v>
      </c>
      <c r="AC498" s="4">
        <v>5240</v>
      </c>
      <c r="AD498" s="4">
        <v>5240</v>
      </c>
      <c r="AE498" s="4">
        <v>23308</v>
      </c>
      <c r="AF498" s="4">
        <v>12000</v>
      </c>
    </row>
    <row r="499" spans="1:32">
      <c r="A499" s="2" t="s">
        <v>1126</v>
      </c>
      <c r="B499" s="3">
        <v>46156</v>
      </c>
      <c r="C499" s="36" t="s">
        <v>790</v>
      </c>
      <c r="D499" s="2">
        <f>MONTH(ProductionData[[#This Row],[Month]])</f>
        <v>5</v>
      </c>
      <c r="E499" s="2" t="s">
        <v>107</v>
      </c>
      <c r="F499" s="2" t="s">
        <v>80</v>
      </c>
      <c r="G499" s="2" t="s">
        <v>174</v>
      </c>
      <c r="H499" s="2" t="s">
        <v>175</v>
      </c>
      <c r="I499" s="2" t="s">
        <v>176</v>
      </c>
      <c r="J499" s="2" t="s">
        <v>443</v>
      </c>
      <c r="K499" s="2" t="s">
        <v>444</v>
      </c>
      <c r="L499" s="2" t="s">
        <v>1127</v>
      </c>
      <c r="M499" s="2" t="s">
        <v>87</v>
      </c>
      <c r="N499" s="2" t="s">
        <v>96</v>
      </c>
      <c r="O499" s="2">
        <v>10</v>
      </c>
      <c r="P499" s="2">
        <v>9</v>
      </c>
      <c r="Q499" s="4">
        <v>6400</v>
      </c>
      <c r="R499" s="4">
        <v>5890</v>
      </c>
      <c r="S499" s="4">
        <v>108</v>
      </c>
      <c r="T499" s="19">
        <f>(ProductionData[[#This Row],[Rejected_Qty]])/ProductionData[[#This Row],[Produced_Qty]]</f>
        <v>1.833616298811545E-2</v>
      </c>
      <c r="U499" s="19">
        <f>ProductionData[[#This Row],[Produced_Qty]]/ProductionData[[#This Row],[Planned_Qty]]</f>
        <v>0.92031249999999998</v>
      </c>
      <c r="V499" s="2" t="s">
        <v>103</v>
      </c>
      <c r="W499" s="11">
        <v>0</v>
      </c>
      <c r="X499" s="13">
        <f>W499/60</f>
        <v>0</v>
      </c>
      <c r="Y499" s="2" t="s">
        <v>90</v>
      </c>
      <c r="Z499" s="2">
        <v>33</v>
      </c>
      <c r="AA499" s="2">
        <f>ProductionData[[#This Row],[Rejected_Qty]]*ProductionData[[#This Row],[Unit_Cost_INR]]</f>
        <v>3564</v>
      </c>
      <c r="AB499" s="4">
        <v>23330</v>
      </c>
      <c r="AC499" s="4">
        <v>5850</v>
      </c>
      <c r="AD499" s="4">
        <v>5850</v>
      </c>
      <c r="AE499" s="4">
        <v>23262</v>
      </c>
      <c r="AF499" s="4">
        <v>9750</v>
      </c>
    </row>
    <row r="500" spans="1:32">
      <c r="A500" s="2" t="s">
        <v>1128</v>
      </c>
      <c r="B500" s="3">
        <v>46153</v>
      </c>
      <c r="C500" s="36" t="s">
        <v>790</v>
      </c>
      <c r="D500" s="2">
        <f>MONTH(ProductionData[[#This Row],[Month]])</f>
        <v>5</v>
      </c>
      <c r="E500" s="2" t="s">
        <v>116</v>
      </c>
      <c r="F500" s="2" t="s">
        <v>93</v>
      </c>
      <c r="G500" s="2" t="s">
        <v>195</v>
      </c>
      <c r="H500" s="2" t="s">
        <v>196</v>
      </c>
      <c r="I500" s="2" t="s">
        <v>197</v>
      </c>
      <c r="J500" s="2" t="s">
        <v>269</v>
      </c>
      <c r="K500" s="2" t="s">
        <v>270</v>
      </c>
      <c r="L500" s="2" t="s">
        <v>1129</v>
      </c>
      <c r="M500" s="2" t="s">
        <v>95</v>
      </c>
      <c r="N500" s="2" t="s">
        <v>96</v>
      </c>
      <c r="O500" s="2">
        <v>14</v>
      </c>
      <c r="P500" s="2">
        <v>12</v>
      </c>
      <c r="Q500" s="4">
        <v>7690</v>
      </c>
      <c r="R500" s="4">
        <v>6680</v>
      </c>
      <c r="S500" s="4">
        <v>180</v>
      </c>
      <c r="T500" s="19">
        <f>(ProductionData[[#This Row],[Rejected_Qty]])/ProductionData[[#This Row],[Produced_Qty]]</f>
        <v>2.6946107784431138E-2</v>
      </c>
      <c r="U500" s="19">
        <f>ProductionData[[#This Row],[Produced_Qty]]/ProductionData[[#This Row],[Planned_Qty]]</f>
        <v>0.86866059817945385</v>
      </c>
      <c r="V500" s="2" t="s">
        <v>113</v>
      </c>
      <c r="W500" s="11">
        <v>21</v>
      </c>
      <c r="X500" s="13">
        <f>W500/60</f>
        <v>0.35</v>
      </c>
      <c r="Y500" s="2" t="s">
        <v>136</v>
      </c>
      <c r="Z500" s="2">
        <v>42</v>
      </c>
      <c r="AA500" s="2">
        <f>ProductionData[[#This Row],[Rejected_Qty]]*ProductionData[[#This Row],[Unit_Cost_INR]]</f>
        <v>7560</v>
      </c>
      <c r="AB500" s="4">
        <v>23506</v>
      </c>
      <c r="AC500" s="4">
        <v>6760</v>
      </c>
      <c r="AD500" s="4">
        <v>6760</v>
      </c>
      <c r="AE500" s="4">
        <v>23246</v>
      </c>
      <c r="AF500" s="4">
        <v>12000</v>
      </c>
    </row>
    <row r="501" spans="1:32">
      <c r="A501" s="2" t="s">
        <v>1130</v>
      </c>
      <c r="B501" s="3">
        <v>46144</v>
      </c>
      <c r="C501" s="36" t="s">
        <v>790</v>
      </c>
      <c r="D501" s="2">
        <f>MONTH(ProductionData[[#This Row],[Month]])</f>
        <v>5</v>
      </c>
      <c r="E501" s="2" t="s">
        <v>65</v>
      </c>
      <c r="F501" s="2" t="s">
        <v>80</v>
      </c>
      <c r="G501" s="2" t="s">
        <v>67</v>
      </c>
      <c r="H501" s="2" t="s">
        <v>68</v>
      </c>
      <c r="I501" s="2" t="s">
        <v>69</v>
      </c>
      <c r="J501" s="2" t="s">
        <v>403</v>
      </c>
      <c r="K501" s="2" t="s">
        <v>404</v>
      </c>
      <c r="L501" s="2" t="s">
        <v>1131</v>
      </c>
      <c r="M501" s="2" t="s">
        <v>87</v>
      </c>
      <c r="N501" s="2" t="s">
        <v>88</v>
      </c>
      <c r="O501" s="2">
        <v>16</v>
      </c>
      <c r="P501" s="2">
        <v>14</v>
      </c>
      <c r="Q501" s="4">
        <v>6060</v>
      </c>
      <c r="R501" s="4">
        <v>5340</v>
      </c>
      <c r="S501" s="4">
        <v>159</v>
      </c>
      <c r="T501" s="19">
        <f>(ProductionData[[#This Row],[Rejected_Qty]])/ProductionData[[#This Row],[Produced_Qty]]</f>
        <v>2.9775280898876405E-2</v>
      </c>
      <c r="U501" s="19">
        <f>ProductionData[[#This Row],[Produced_Qty]]/ProductionData[[#This Row],[Planned_Qty]]</f>
        <v>0.88118811881188119</v>
      </c>
      <c r="V501" s="2" t="s">
        <v>89</v>
      </c>
      <c r="W501" s="11">
        <v>72</v>
      </c>
      <c r="X501" s="13">
        <f>W501/60</f>
        <v>1.2</v>
      </c>
      <c r="Y501" s="2" t="s">
        <v>182</v>
      </c>
      <c r="Z501" s="2">
        <v>58</v>
      </c>
      <c r="AA501" s="2">
        <f>ProductionData[[#This Row],[Rejected_Qty]]*ProductionData[[#This Row],[Unit_Cost_INR]]</f>
        <v>9222</v>
      </c>
      <c r="AB501" s="4">
        <v>22989</v>
      </c>
      <c r="AC501" s="4">
        <v>5020</v>
      </c>
      <c r="AD501" s="4">
        <v>5020</v>
      </c>
      <c r="AE501" s="4">
        <v>23150</v>
      </c>
      <c r="AF501" s="4">
        <v>9000</v>
      </c>
    </row>
    <row r="502" spans="1:32">
      <c r="A502" s="2" t="s">
        <v>1132</v>
      </c>
      <c r="B502" s="3">
        <v>46147</v>
      </c>
      <c r="C502" s="36" t="s">
        <v>790</v>
      </c>
      <c r="D502" s="2">
        <f>MONTH(ProductionData[[#This Row],[Month]])</f>
        <v>5</v>
      </c>
      <c r="E502" s="2" t="s">
        <v>92</v>
      </c>
      <c r="F502" s="2" t="s">
        <v>93</v>
      </c>
      <c r="G502" s="2" t="s">
        <v>174</v>
      </c>
      <c r="H502" s="2" t="s">
        <v>175</v>
      </c>
      <c r="I502" s="2" t="s">
        <v>176</v>
      </c>
      <c r="J502" s="2" t="s">
        <v>443</v>
      </c>
      <c r="K502" s="2" t="s">
        <v>444</v>
      </c>
      <c r="L502" s="2" t="s">
        <v>1133</v>
      </c>
      <c r="M502" s="2" t="s">
        <v>133</v>
      </c>
      <c r="N502" s="2" t="s">
        <v>88</v>
      </c>
      <c r="O502" s="2">
        <v>10</v>
      </c>
      <c r="P502" s="2">
        <v>8</v>
      </c>
      <c r="Q502" s="4">
        <v>6500</v>
      </c>
      <c r="R502" s="4">
        <v>5800</v>
      </c>
      <c r="S502" s="4">
        <v>129</v>
      </c>
      <c r="T502" s="19">
        <f>(ProductionData[[#This Row],[Rejected_Qty]])/ProductionData[[#This Row],[Produced_Qty]]</f>
        <v>2.2241379310344828E-2</v>
      </c>
      <c r="U502" s="19">
        <f>ProductionData[[#This Row],[Produced_Qty]]/ProductionData[[#This Row],[Planned_Qty]]</f>
        <v>0.89230769230769236</v>
      </c>
      <c r="V502" s="2" t="s">
        <v>109</v>
      </c>
      <c r="W502" s="11">
        <v>0</v>
      </c>
      <c r="X502" s="13">
        <f>W502/60</f>
        <v>0</v>
      </c>
      <c r="Y502" s="2" t="s">
        <v>90</v>
      </c>
      <c r="Z502" s="2">
        <v>33</v>
      </c>
      <c r="AA502" s="2">
        <f>ProductionData[[#This Row],[Rejected_Qty]]*ProductionData[[#This Row],[Unit_Cost_INR]]</f>
        <v>4257</v>
      </c>
      <c r="AB502" s="4">
        <v>23353</v>
      </c>
      <c r="AC502" s="4">
        <v>5950</v>
      </c>
      <c r="AD502" s="4">
        <v>5950</v>
      </c>
      <c r="AE502" s="4">
        <v>23074</v>
      </c>
      <c r="AF502" s="4">
        <v>9750</v>
      </c>
    </row>
    <row r="503" spans="1:32">
      <c r="A503" s="2" t="s">
        <v>1134</v>
      </c>
      <c r="B503" s="3">
        <v>46150</v>
      </c>
      <c r="C503" s="36" t="s">
        <v>790</v>
      </c>
      <c r="D503" s="2">
        <f>MONTH(ProductionData[[#This Row],[Month]])</f>
        <v>5</v>
      </c>
      <c r="E503" s="2" t="s">
        <v>125</v>
      </c>
      <c r="F503" s="2" t="s">
        <v>66</v>
      </c>
      <c r="G503" s="2" t="s">
        <v>67</v>
      </c>
      <c r="H503" s="2" t="s">
        <v>68</v>
      </c>
      <c r="I503" s="2" t="s">
        <v>69</v>
      </c>
      <c r="J503" s="2" t="s">
        <v>403</v>
      </c>
      <c r="K503" s="2" t="s">
        <v>404</v>
      </c>
      <c r="L503" s="2" t="s">
        <v>1135</v>
      </c>
      <c r="M503" s="2" t="s">
        <v>99</v>
      </c>
      <c r="N503" s="2" t="s">
        <v>96</v>
      </c>
      <c r="O503" s="2">
        <v>16</v>
      </c>
      <c r="P503" s="2">
        <v>16</v>
      </c>
      <c r="Q503" s="4">
        <v>6470</v>
      </c>
      <c r="R503" s="4">
        <v>5920</v>
      </c>
      <c r="S503" s="4">
        <v>202</v>
      </c>
      <c r="T503" s="19">
        <f>(ProductionData[[#This Row],[Rejected_Qty]])/ProductionData[[#This Row],[Produced_Qty]]</f>
        <v>3.412162162162162E-2</v>
      </c>
      <c r="U503" s="19">
        <f>ProductionData[[#This Row],[Produced_Qty]]/ProductionData[[#This Row],[Planned_Qty]]</f>
        <v>0.91499227202472955</v>
      </c>
      <c r="V503" s="2" t="s">
        <v>109</v>
      </c>
      <c r="W503" s="11">
        <v>0</v>
      </c>
      <c r="X503" s="13">
        <f>W503/60</f>
        <v>0</v>
      </c>
      <c r="Y503" s="2" t="s">
        <v>90</v>
      </c>
      <c r="Z503" s="2">
        <v>58</v>
      </c>
      <c r="AA503" s="2">
        <f>ProductionData[[#This Row],[Rejected_Qty]]*ProductionData[[#This Row],[Unit_Cost_INR]]</f>
        <v>11716</v>
      </c>
      <c r="AB503" s="4">
        <v>23006</v>
      </c>
      <c r="AC503" s="4">
        <v>5650</v>
      </c>
      <c r="AD503" s="4">
        <v>5650</v>
      </c>
      <c r="AE503" s="4">
        <v>23074</v>
      </c>
      <c r="AF503" s="4">
        <v>9000</v>
      </c>
    </row>
    <row r="504" spans="1:32">
      <c r="A504" s="2" t="s">
        <v>1136</v>
      </c>
      <c r="B504" s="3">
        <v>46150</v>
      </c>
      <c r="C504" s="36" t="s">
        <v>790</v>
      </c>
      <c r="D504" s="2">
        <f>MONTH(ProductionData[[#This Row],[Month]])</f>
        <v>5</v>
      </c>
      <c r="E504" s="2" t="s">
        <v>125</v>
      </c>
      <c r="F504" s="2" t="s">
        <v>80</v>
      </c>
      <c r="G504" s="2" t="s">
        <v>174</v>
      </c>
      <c r="H504" s="2" t="s">
        <v>175</v>
      </c>
      <c r="I504" s="2" t="s">
        <v>176</v>
      </c>
      <c r="J504" s="2" t="s">
        <v>443</v>
      </c>
      <c r="K504" s="2" t="s">
        <v>444</v>
      </c>
      <c r="L504" s="2" t="s">
        <v>1137</v>
      </c>
      <c r="M504" s="2" t="s">
        <v>87</v>
      </c>
      <c r="N504" s="2" t="s">
        <v>96</v>
      </c>
      <c r="O504" s="2">
        <v>10</v>
      </c>
      <c r="P504" s="2">
        <v>10</v>
      </c>
      <c r="Q504" s="4">
        <v>6560</v>
      </c>
      <c r="R504" s="4">
        <v>6350</v>
      </c>
      <c r="S504" s="4">
        <v>90</v>
      </c>
      <c r="T504" s="19">
        <f>(ProductionData[[#This Row],[Rejected_Qty]])/ProductionData[[#This Row],[Produced_Qty]]</f>
        <v>1.4173228346456693E-2</v>
      </c>
      <c r="U504" s="19">
        <f>ProductionData[[#This Row],[Produced_Qty]]/ProductionData[[#This Row],[Planned_Qty]]</f>
        <v>0.96798780487804881</v>
      </c>
      <c r="V504" s="2" t="s">
        <v>109</v>
      </c>
      <c r="W504" s="11">
        <v>0</v>
      </c>
      <c r="X504" s="13">
        <f>W504/60</f>
        <v>0</v>
      </c>
      <c r="Y504" s="2" t="s">
        <v>90</v>
      </c>
      <c r="Z504" s="2">
        <v>33</v>
      </c>
      <c r="AA504" s="2">
        <f>ProductionData[[#This Row],[Rejected_Qty]]*ProductionData[[#This Row],[Unit_Cost_INR]]</f>
        <v>2970</v>
      </c>
      <c r="AB504" s="4">
        <v>22751</v>
      </c>
      <c r="AC504" s="4">
        <v>5990</v>
      </c>
      <c r="AD504" s="4">
        <v>5990</v>
      </c>
      <c r="AE504" s="4">
        <v>23021</v>
      </c>
      <c r="AF504" s="4">
        <v>9750</v>
      </c>
    </row>
    <row r="505" spans="1:32">
      <c r="A505" s="2" t="s">
        <v>1138</v>
      </c>
      <c r="B505" s="3">
        <v>46148</v>
      </c>
      <c r="C505" s="36" t="s">
        <v>790</v>
      </c>
      <c r="D505" s="2">
        <f>MONTH(ProductionData[[#This Row],[Month]])</f>
        <v>5</v>
      </c>
      <c r="E505" s="2" t="s">
        <v>79</v>
      </c>
      <c r="F505" s="2" t="s">
        <v>93</v>
      </c>
      <c r="G505" s="2" t="s">
        <v>67</v>
      </c>
      <c r="H505" s="2" t="s">
        <v>68</v>
      </c>
      <c r="I505" s="2" t="s">
        <v>69</v>
      </c>
      <c r="J505" s="2" t="s">
        <v>403</v>
      </c>
      <c r="K505" s="2" t="s">
        <v>404</v>
      </c>
      <c r="L505" s="2" t="s">
        <v>1139</v>
      </c>
      <c r="M505" s="2" t="s">
        <v>95</v>
      </c>
      <c r="N505" s="2" t="s">
        <v>88</v>
      </c>
      <c r="O505" s="2">
        <v>16</v>
      </c>
      <c r="P505" s="2">
        <v>13</v>
      </c>
      <c r="Q505" s="4">
        <v>5920</v>
      </c>
      <c r="R505" s="4">
        <v>5180</v>
      </c>
      <c r="S505" s="4">
        <v>116</v>
      </c>
      <c r="T505" s="19">
        <f>(ProductionData[[#This Row],[Rejected_Qty]])/ProductionData[[#This Row],[Produced_Qty]]</f>
        <v>2.2393822393822392E-2</v>
      </c>
      <c r="U505" s="19">
        <f>ProductionData[[#This Row],[Produced_Qty]]/ProductionData[[#This Row],[Planned_Qty]]</f>
        <v>0.875</v>
      </c>
      <c r="V505" s="2" t="s">
        <v>109</v>
      </c>
      <c r="W505" s="11">
        <v>53</v>
      </c>
      <c r="X505" s="13">
        <f>W505/60</f>
        <v>0.8833333333333333</v>
      </c>
      <c r="Y505" s="2" t="s">
        <v>182</v>
      </c>
      <c r="Z505" s="2">
        <v>58</v>
      </c>
      <c r="AA505" s="2">
        <f>ProductionData[[#This Row],[Rejected_Qty]]*ProductionData[[#This Row],[Unit_Cost_INR]]</f>
        <v>6728</v>
      </c>
      <c r="AB505" s="4">
        <v>23502</v>
      </c>
      <c r="AC505" s="4">
        <v>5560</v>
      </c>
      <c r="AD505" s="4">
        <v>5560</v>
      </c>
      <c r="AE505" s="4">
        <v>23006</v>
      </c>
      <c r="AF505" s="4">
        <v>9000</v>
      </c>
    </row>
    <row r="506" spans="1:32">
      <c r="A506" s="2" t="s">
        <v>1140</v>
      </c>
      <c r="B506" s="3">
        <v>46164</v>
      </c>
      <c r="C506" s="36" t="s">
        <v>790</v>
      </c>
      <c r="D506" s="2">
        <f>MONTH(ProductionData[[#This Row],[Month]])</f>
        <v>5</v>
      </c>
      <c r="E506" s="2" t="s">
        <v>125</v>
      </c>
      <c r="F506" s="2" t="s">
        <v>66</v>
      </c>
      <c r="G506" s="2" t="s">
        <v>195</v>
      </c>
      <c r="H506" s="2" t="s">
        <v>196</v>
      </c>
      <c r="I506" s="2" t="s">
        <v>197</v>
      </c>
      <c r="J506" s="2" t="s">
        <v>269</v>
      </c>
      <c r="K506" s="2" t="s">
        <v>270</v>
      </c>
      <c r="L506" s="2" t="s">
        <v>1141</v>
      </c>
      <c r="M506" s="2" t="s">
        <v>73</v>
      </c>
      <c r="N506" s="2" t="s">
        <v>88</v>
      </c>
      <c r="O506" s="2">
        <v>14</v>
      </c>
      <c r="P506" s="2">
        <v>14</v>
      </c>
      <c r="Q506" s="4">
        <v>7790</v>
      </c>
      <c r="R506" s="4">
        <v>7410</v>
      </c>
      <c r="S506" s="4">
        <v>207</v>
      </c>
      <c r="T506" s="19">
        <f>(ProductionData[[#This Row],[Rejected_Qty]])/ProductionData[[#This Row],[Produced_Qty]]</f>
        <v>2.7935222672064778E-2</v>
      </c>
      <c r="U506" s="19">
        <f>ProductionData[[#This Row],[Produced_Qty]]/ProductionData[[#This Row],[Planned_Qty]]</f>
        <v>0.95121951219512191</v>
      </c>
      <c r="V506" s="2" t="s">
        <v>75</v>
      </c>
      <c r="W506" s="11">
        <v>71</v>
      </c>
      <c r="X506" s="13">
        <f>W506/60</f>
        <v>1.1833333333333333</v>
      </c>
      <c r="Y506" s="2" t="s">
        <v>110</v>
      </c>
      <c r="Z506" s="2">
        <v>42</v>
      </c>
      <c r="AA506" s="2">
        <f>ProductionData[[#This Row],[Rejected_Qty]]*ProductionData[[#This Row],[Unit_Cost_INR]]</f>
        <v>8694</v>
      </c>
      <c r="AB506" s="4">
        <v>22857</v>
      </c>
      <c r="AC506" s="4">
        <v>7070</v>
      </c>
      <c r="AD506" s="4">
        <v>7070</v>
      </c>
      <c r="AE506" s="4">
        <v>22990</v>
      </c>
      <c r="AF506" s="4">
        <v>12000</v>
      </c>
    </row>
    <row r="507" spans="1:32">
      <c r="A507" s="2" t="s">
        <v>1142</v>
      </c>
      <c r="B507" s="3">
        <v>46143</v>
      </c>
      <c r="C507" s="36" t="s">
        <v>790</v>
      </c>
      <c r="D507" s="2">
        <f>MONTH(ProductionData[[#This Row],[Month]])</f>
        <v>5</v>
      </c>
      <c r="E507" s="2" t="s">
        <v>125</v>
      </c>
      <c r="F507" s="2" t="s">
        <v>80</v>
      </c>
      <c r="G507" s="2" t="s">
        <v>67</v>
      </c>
      <c r="H507" s="2" t="s">
        <v>68</v>
      </c>
      <c r="I507" s="2" t="s">
        <v>69</v>
      </c>
      <c r="J507" s="2" t="s">
        <v>403</v>
      </c>
      <c r="K507" s="2" t="s">
        <v>404</v>
      </c>
      <c r="L507" s="2" t="s">
        <v>1143</v>
      </c>
      <c r="M507" s="2" t="s">
        <v>102</v>
      </c>
      <c r="N507" s="2" t="s">
        <v>88</v>
      </c>
      <c r="O507" s="2">
        <v>16</v>
      </c>
      <c r="P507" s="2">
        <v>14</v>
      </c>
      <c r="Q507" s="4">
        <v>6130</v>
      </c>
      <c r="R507" s="4">
        <v>5700</v>
      </c>
      <c r="S507" s="4">
        <v>213</v>
      </c>
      <c r="T507" s="19">
        <f>(ProductionData[[#This Row],[Rejected_Qty]])/ProductionData[[#This Row],[Produced_Qty]]</f>
        <v>3.7368421052631579E-2</v>
      </c>
      <c r="U507" s="19">
        <f>ProductionData[[#This Row],[Produced_Qty]]/ProductionData[[#This Row],[Planned_Qty]]</f>
        <v>0.92985318107667214</v>
      </c>
      <c r="V507" s="2" t="s">
        <v>75</v>
      </c>
      <c r="W507" s="11">
        <v>0</v>
      </c>
      <c r="X507" s="13">
        <f>W507/60</f>
        <v>0</v>
      </c>
      <c r="Y507" s="2" t="s">
        <v>90</v>
      </c>
      <c r="Z507" s="2">
        <v>58</v>
      </c>
      <c r="AA507" s="2">
        <f>ProductionData[[#This Row],[Rejected_Qty]]*ProductionData[[#This Row],[Unit_Cost_INR]]</f>
        <v>12354</v>
      </c>
      <c r="AB507" s="4">
        <v>23062</v>
      </c>
      <c r="AC507" s="4">
        <v>5560</v>
      </c>
      <c r="AD507" s="4">
        <v>5560</v>
      </c>
      <c r="AE507" s="4">
        <v>22989</v>
      </c>
      <c r="AF507" s="4">
        <v>9000</v>
      </c>
    </row>
    <row r="508" spans="1:32">
      <c r="A508" s="2" t="s">
        <v>1144</v>
      </c>
      <c r="B508" s="3">
        <v>46148</v>
      </c>
      <c r="C508" s="36" t="s">
        <v>790</v>
      </c>
      <c r="D508" s="2">
        <f>MONTH(ProductionData[[#This Row],[Month]])</f>
        <v>5</v>
      </c>
      <c r="E508" s="2" t="s">
        <v>79</v>
      </c>
      <c r="F508" s="2" t="s">
        <v>66</v>
      </c>
      <c r="G508" s="2" t="s">
        <v>67</v>
      </c>
      <c r="H508" s="2" t="s">
        <v>68</v>
      </c>
      <c r="I508" s="2" t="s">
        <v>69</v>
      </c>
      <c r="J508" s="2" t="s">
        <v>403</v>
      </c>
      <c r="K508" s="2" t="s">
        <v>404</v>
      </c>
      <c r="L508" s="2" t="s">
        <v>1145</v>
      </c>
      <c r="M508" s="2" t="s">
        <v>99</v>
      </c>
      <c r="N508" s="2" t="s">
        <v>88</v>
      </c>
      <c r="O508" s="2">
        <v>16</v>
      </c>
      <c r="P508" s="2">
        <v>14</v>
      </c>
      <c r="Q508" s="4">
        <v>6240</v>
      </c>
      <c r="R508" s="4">
        <v>5800</v>
      </c>
      <c r="S508" s="4">
        <v>113</v>
      </c>
      <c r="T508" s="19">
        <f>(ProductionData[[#This Row],[Rejected_Qty]])/ProductionData[[#This Row],[Produced_Qty]]</f>
        <v>1.9482758620689655E-2</v>
      </c>
      <c r="U508" s="19">
        <f>ProductionData[[#This Row],[Produced_Qty]]/ProductionData[[#This Row],[Planned_Qty]]</f>
        <v>0.92948717948717952</v>
      </c>
      <c r="V508" s="2" t="s">
        <v>75</v>
      </c>
      <c r="W508" s="11">
        <v>0</v>
      </c>
      <c r="X508" s="13">
        <f>W508/60</f>
        <v>0</v>
      </c>
      <c r="Y508" s="2" t="s">
        <v>90</v>
      </c>
      <c r="Z508" s="2">
        <v>58</v>
      </c>
      <c r="AA508" s="2">
        <f>ProductionData[[#This Row],[Rejected_Qty]]*ProductionData[[#This Row],[Unit_Cost_INR]]</f>
        <v>6554</v>
      </c>
      <c r="AB508" s="4">
        <v>23150</v>
      </c>
      <c r="AC508" s="4">
        <v>5850</v>
      </c>
      <c r="AD508" s="4">
        <v>5850</v>
      </c>
      <c r="AE508" s="4">
        <v>22987</v>
      </c>
      <c r="AF508" s="4">
        <v>9000</v>
      </c>
    </row>
    <row r="509" spans="1:32">
      <c r="A509" s="2" t="s">
        <v>1146</v>
      </c>
      <c r="B509" s="3">
        <v>46153</v>
      </c>
      <c r="C509" s="36" t="s">
        <v>790</v>
      </c>
      <c r="D509" s="2">
        <f>MONTH(ProductionData[[#This Row],[Month]])</f>
        <v>5</v>
      </c>
      <c r="E509" s="2" t="s">
        <v>116</v>
      </c>
      <c r="F509" s="2" t="s">
        <v>80</v>
      </c>
      <c r="G509" s="2" t="s">
        <v>174</v>
      </c>
      <c r="H509" s="2" t="s">
        <v>175</v>
      </c>
      <c r="I509" s="2" t="s">
        <v>176</v>
      </c>
      <c r="J509" s="2" t="s">
        <v>443</v>
      </c>
      <c r="K509" s="2" t="s">
        <v>444</v>
      </c>
      <c r="L509" s="2" t="s">
        <v>1147</v>
      </c>
      <c r="M509" s="2" t="s">
        <v>102</v>
      </c>
      <c r="N509" s="2" t="s">
        <v>88</v>
      </c>
      <c r="O509" s="2">
        <v>10</v>
      </c>
      <c r="P509" s="2">
        <v>8</v>
      </c>
      <c r="Q509" s="4">
        <v>6150</v>
      </c>
      <c r="R509" s="4">
        <v>5610</v>
      </c>
      <c r="S509" s="4">
        <v>181</v>
      </c>
      <c r="T509" s="19">
        <f>(ProductionData[[#This Row],[Rejected_Qty]])/ProductionData[[#This Row],[Produced_Qty]]</f>
        <v>3.2263814616755794E-2</v>
      </c>
      <c r="U509" s="19">
        <f>ProductionData[[#This Row],[Produced_Qty]]/ProductionData[[#This Row],[Planned_Qty]]</f>
        <v>0.91219512195121955</v>
      </c>
      <c r="V509" s="2" t="s">
        <v>113</v>
      </c>
      <c r="W509" s="11">
        <v>0</v>
      </c>
      <c r="X509" s="13">
        <f>W509/60</f>
        <v>0</v>
      </c>
      <c r="Y509" s="2" t="s">
        <v>90</v>
      </c>
      <c r="Z509" s="2">
        <v>33</v>
      </c>
      <c r="AA509" s="2">
        <f>ProductionData[[#This Row],[Rejected_Qty]]*ProductionData[[#This Row],[Unit_Cost_INR]]</f>
        <v>5973</v>
      </c>
      <c r="AB509" s="4">
        <v>22883</v>
      </c>
      <c r="AC509" s="4">
        <v>5350</v>
      </c>
      <c r="AD509" s="4">
        <v>5350</v>
      </c>
      <c r="AE509" s="4">
        <v>22962</v>
      </c>
      <c r="AF509" s="4">
        <v>9750</v>
      </c>
    </row>
    <row r="510" spans="1:32">
      <c r="A510" s="2" t="s">
        <v>1148</v>
      </c>
      <c r="B510" s="3">
        <v>46151</v>
      </c>
      <c r="C510" s="36" t="s">
        <v>790</v>
      </c>
      <c r="D510" s="2">
        <f>MONTH(ProductionData[[#This Row],[Month]])</f>
        <v>5</v>
      </c>
      <c r="E510" s="2" t="s">
        <v>65</v>
      </c>
      <c r="F510" s="2" t="s">
        <v>66</v>
      </c>
      <c r="G510" s="2" t="s">
        <v>174</v>
      </c>
      <c r="H510" s="2" t="s">
        <v>175</v>
      </c>
      <c r="I510" s="2" t="s">
        <v>176</v>
      </c>
      <c r="J510" s="2" t="s">
        <v>443</v>
      </c>
      <c r="K510" s="2" t="s">
        <v>444</v>
      </c>
      <c r="L510" s="2" t="s">
        <v>1149</v>
      </c>
      <c r="M510" s="2" t="s">
        <v>99</v>
      </c>
      <c r="N510" s="2" t="s">
        <v>96</v>
      </c>
      <c r="O510" s="2">
        <v>10</v>
      </c>
      <c r="P510" s="2">
        <v>10</v>
      </c>
      <c r="Q510" s="4">
        <v>6760</v>
      </c>
      <c r="R510" s="4">
        <v>6010</v>
      </c>
      <c r="S510" s="4">
        <v>126</v>
      </c>
      <c r="T510" s="19">
        <f>(ProductionData[[#This Row],[Rejected_Qty]])/ProductionData[[#This Row],[Produced_Qty]]</f>
        <v>2.0965058236272878E-2</v>
      </c>
      <c r="U510" s="19">
        <f>ProductionData[[#This Row],[Produced_Qty]]/ProductionData[[#This Row],[Planned_Qty]]</f>
        <v>0.88905325443786987</v>
      </c>
      <c r="V510" s="2" t="s">
        <v>89</v>
      </c>
      <c r="W510" s="11">
        <v>33</v>
      </c>
      <c r="X510" s="13">
        <f>W510/60</f>
        <v>0.55000000000000004</v>
      </c>
      <c r="Y510" s="2" t="s">
        <v>110</v>
      </c>
      <c r="Z510" s="2">
        <v>33</v>
      </c>
      <c r="AA510" s="2">
        <f>ProductionData[[#This Row],[Rejected_Qty]]*ProductionData[[#This Row],[Unit_Cost_INR]]</f>
        <v>4158</v>
      </c>
      <c r="AB510" s="4">
        <v>23021</v>
      </c>
      <c r="AC510" s="4">
        <v>5950</v>
      </c>
      <c r="AD510" s="4">
        <v>5950</v>
      </c>
      <c r="AE510" s="4">
        <v>22955</v>
      </c>
      <c r="AF510" s="4">
        <v>9750</v>
      </c>
    </row>
    <row r="511" spans="1:32">
      <c r="A511" s="2" t="s">
        <v>1150</v>
      </c>
      <c r="B511" s="3">
        <v>46150</v>
      </c>
      <c r="C511" s="36" t="s">
        <v>790</v>
      </c>
      <c r="D511" s="2">
        <f>MONTH(ProductionData[[#This Row],[Month]])</f>
        <v>5</v>
      </c>
      <c r="E511" s="2" t="s">
        <v>125</v>
      </c>
      <c r="F511" s="2" t="s">
        <v>93</v>
      </c>
      <c r="G511" s="2" t="s">
        <v>195</v>
      </c>
      <c r="H511" s="2" t="s">
        <v>196</v>
      </c>
      <c r="I511" s="2" t="s">
        <v>197</v>
      </c>
      <c r="J511" s="2" t="s">
        <v>269</v>
      </c>
      <c r="K511" s="2" t="s">
        <v>270</v>
      </c>
      <c r="L511" s="2" t="s">
        <v>1151</v>
      </c>
      <c r="M511" s="2" t="s">
        <v>95</v>
      </c>
      <c r="N511" s="2" t="s">
        <v>96</v>
      </c>
      <c r="O511" s="2">
        <v>14</v>
      </c>
      <c r="P511" s="2">
        <v>12</v>
      </c>
      <c r="Q511" s="4">
        <v>8090</v>
      </c>
      <c r="R511" s="4">
        <v>6880</v>
      </c>
      <c r="S511" s="4">
        <v>188</v>
      </c>
      <c r="T511" s="19">
        <f>(ProductionData[[#This Row],[Rejected_Qty]])/ProductionData[[#This Row],[Produced_Qty]]</f>
        <v>2.7325581395348839E-2</v>
      </c>
      <c r="U511" s="19">
        <f>ProductionData[[#This Row],[Produced_Qty]]/ProductionData[[#This Row],[Planned_Qty]]</f>
        <v>0.85043263288009885</v>
      </c>
      <c r="V511" s="2" t="s">
        <v>113</v>
      </c>
      <c r="W511" s="11">
        <v>0</v>
      </c>
      <c r="X511" s="13">
        <f>W511/60</f>
        <v>0</v>
      </c>
      <c r="Y511" s="2" t="s">
        <v>90</v>
      </c>
      <c r="Z511" s="2">
        <v>42</v>
      </c>
      <c r="AA511" s="2">
        <f>ProductionData[[#This Row],[Rejected_Qty]]*ProductionData[[#This Row],[Unit_Cost_INR]]</f>
        <v>7896</v>
      </c>
      <c r="AB511" s="4">
        <v>23875</v>
      </c>
      <c r="AC511" s="4">
        <v>7620</v>
      </c>
      <c r="AD511" s="4">
        <v>7620</v>
      </c>
      <c r="AE511" s="4">
        <v>22947</v>
      </c>
      <c r="AF511" s="4">
        <v>12000</v>
      </c>
    </row>
    <row r="512" spans="1:32">
      <c r="A512" s="2" t="s">
        <v>1152</v>
      </c>
      <c r="B512" s="3">
        <v>46153</v>
      </c>
      <c r="C512" s="36" t="s">
        <v>790</v>
      </c>
      <c r="D512" s="2">
        <f>MONTH(ProductionData[[#This Row],[Month]])</f>
        <v>5</v>
      </c>
      <c r="E512" s="2" t="s">
        <v>116</v>
      </c>
      <c r="F512" s="2" t="s">
        <v>66</v>
      </c>
      <c r="G512" s="2" t="s">
        <v>174</v>
      </c>
      <c r="H512" s="2" t="s">
        <v>175</v>
      </c>
      <c r="I512" s="2" t="s">
        <v>176</v>
      </c>
      <c r="J512" s="2" t="s">
        <v>443</v>
      </c>
      <c r="K512" s="2" t="s">
        <v>444</v>
      </c>
      <c r="L512" s="2" t="s">
        <v>1153</v>
      </c>
      <c r="M512" s="2" t="s">
        <v>99</v>
      </c>
      <c r="N512" s="2" t="s">
        <v>88</v>
      </c>
      <c r="O512" s="2">
        <v>10</v>
      </c>
      <c r="P512" s="2">
        <v>10</v>
      </c>
      <c r="Q512" s="4">
        <v>6000</v>
      </c>
      <c r="R512" s="4">
        <v>6120</v>
      </c>
      <c r="S512" s="4">
        <v>146</v>
      </c>
      <c r="T512" s="19">
        <f>(ProductionData[[#This Row],[Rejected_Qty]])/ProductionData[[#This Row],[Produced_Qty]]</f>
        <v>2.3856209150326796E-2</v>
      </c>
      <c r="U512" s="19">
        <f>ProductionData[[#This Row],[Produced_Qty]]/ProductionData[[#This Row],[Planned_Qty]]</f>
        <v>1.02</v>
      </c>
      <c r="V512" s="2" t="s">
        <v>89</v>
      </c>
      <c r="W512" s="11">
        <v>0</v>
      </c>
      <c r="X512" s="13">
        <f>W512/60</f>
        <v>0</v>
      </c>
      <c r="Y512" s="2" t="s">
        <v>90</v>
      </c>
      <c r="Z512" s="2">
        <v>33</v>
      </c>
      <c r="AA512" s="2">
        <f>ProductionData[[#This Row],[Rejected_Qty]]*ProductionData[[#This Row],[Unit_Cost_INR]]</f>
        <v>4818</v>
      </c>
      <c r="AB512" s="4">
        <v>22679</v>
      </c>
      <c r="AC512" s="4">
        <v>5770</v>
      </c>
      <c r="AD512" s="4">
        <v>5770</v>
      </c>
      <c r="AE512" s="4">
        <v>22883</v>
      </c>
      <c r="AF512" s="4">
        <v>9750</v>
      </c>
    </row>
    <row r="513" spans="1:32">
      <c r="A513" s="2" t="s">
        <v>1154</v>
      </c>
      <c r="B513" s="3">
        <v>46163</v>
      </c>
      <c r="C513" s="36" t="s">
        <v>790</v>
      </c>
      <c r="D513" s="2">
        <f>MONTH(ProductionData[[#This Row],[Month]])</f>
        <v>5</v>
      </c>
      <c r="E513" s="2" t="s">
        <v>107</v>
      </c>
      <c r="F513" s="2" t="s">
        <v>80</v>
      </c>
      <c r="G513" s="2" t="s">
        <v>195</v>
      </c>
      <c r="H513" s="2" t="s">
        <v>196</v>
      </c>
      <c r="I513" s="2" t="s">
        <v>197</v>
      </c>
      <c r="J513" s="2" t="s">
        <v>269</v>
      </c>
      <c r="K513" s="2" t="s">
        <v>270</v>
      </c>
      <c r="L513" s="2" t="s">
        <v>1155</v>
      </c>
      <c r="M513" s="2" t="s">
        <v>87</v>
      </c>
      <c r="N513" s="2" t="s">
        <v>88</v>
      </c>
      <c r="O513" s="2">
        <v>14</v>
      </c>
      <c r="P513" s="2">
        <v>12</v>
      </c>
      <c r="Q513" s="4">
        <v>8010</v>
      </c>
      <c r="R513" s="4">
        <v>7170</v>
      </c>
      <c r="S513" s="4">
        <v>154</v>
      </c>
      <c r="T513" s="19">
        <f>(ProductionData[[#This Row],[Rejected_Qty]])/ProductionData[[#This Row],[Produced_Qty]]</f>
        <v>2.1478382147838215E-2</v>
      </c>
      <c r="U513" s="19">
        <f>ProductionData[[#This Row],[Produced_Qty]]/ProductionData[[#This Row],[Planned_Qty]]</f>
        <v>0.89513108614232206</v>
      </c>
      <c r="V513" s="2" t="s">
        <v>103</v>
      </c>
      <c r="W513" s="11">
        <v>0</v>
      </c>
      <c r="X513" s="13">
        <f>W513/60</f>
        <v>0</v>
      </c>
      <c r="Y513" s="2" t="s">
        <v>90</v>
      </c>
      <c r="Z513" s="2">
        <v>42</v>
      </c>
      <c r="AA513" s="2">
        <f>ProductionData[[#This Row],[Rejected_Qty]]*ProductionData[[#This Row],[Unit_Cost_INR]]</f>
        <v>6468</v>
      </c>
      <c r="AB513" s="4">
        <v>23701</v>
      </c>
      <c r="AC513" s="4">
        <v>7860</v>
      </c>
      <c r="AD513" s="4">
        <v>7860</v>
      </c>
      <c r="AE513" s="4">
        <v>22857</v>
      </c>
      <c r="AF513" s="4">
        <v>12000</v>
      </c>
    </row>
    <row r="514" spans="1:32">
      <c r="A514" s="2" t="s">
        <v>1156</v>
      </c>
      <c r="B514" s="3">
        <v>46146</v>
      </c>
      <c r="C514" s="36" t="s">
        <v>790</v>
      </c>
      <c r="D514" s="2">
        <f>MONTH(ProductionData[[#This Row],[Month]])</f>
        <v>5</v>
      </c>
      <c r="E514" s="2" t="s">
        <v>116</v>
      </c>
      <c r="F514" s="2" t="s">
        <v>93</v>
      </c>
      <c r="G514" s="2" t="s">
        <v>195</v>
      </c>
      <c r="H514" s="2" t="s">
        <v>196</v>
      </c>
      <c r="I514" s="2" t="s">
        <v>197</v>
      </c>
      <c r="J514" s="2" t="s">
        <v>269</v>
      </c>
      <c r="K514" s="2" t="s">
        <v>270</v>
      </c>
      <c r="L514" s="2" t="s">
        <v>1157</v>
      </c>
      <c r="M514" s="2" t="s">
        <v>133</v>
      </c>
      <c r="N514" s="2" t="s">
        <v>96</v>
      </c>
      <c r="O514" s="2">
        <v>14</v>
      </c>
      <c r="P514" s="2">
        <v>12</v>
      </c>
      <c r="Q514" s="4">
        <v>7210</v>
      </c>
      <c r="R514" s="4">
        <v>6470</v>
      </c>
      <c r="S514" s="4">
        <v>121</v>
      </c>
      <c r="T514" s="19">
        <f>(ProductionData[[#This Row],[Rejected_Qty]])/ProductionData[[#This Row],[Produced_Qty]]</f>
        <v>1.8701700154559506E-2</v>
      </c>
      <c r="U514" s="19">
        <f>ProductionData[[#This Row],[Produced_Qty]]/ProductionData[[#This Row],[Planned_Qty]]</f>
        <v>0.89736477115117896</v>
      </c>
      <c r="V514" s="2" t="s">
        <v>113</v>
      </c>
      <c r="W514" s="11">
        <v>0</v>
      </c>
      <c r="X514" s="13">
        <f>W514/60</f>
        <v>0</v>
      </c>
      <c r="Y514" s="2" t="s">
        <v>90</v>
      </c>
      <c r="Z514" s="2">
        <v>42</v>
      </c>
      <c r="AA514" s="2">
        <f>ProductionData[[#This Row],[Rejected_Qty]]*ProductionData[[#This Row],[Unit_Cost_INR]]</f>
        <v>5082</v>
      </c>
      <c r="AB514" s="4">
        <v>23636</v>
      </c>
      <c r="AC514" s="4">
        <v>7140</v>
      </c>
      <c r="AD514" s="4">
        <v>7140</v>
      </c>
      <c r="AE514" s="4">
        <v>22845</v>
      </c>
      <c r="AF514" s="4">
        <v>12000</v>
      </c>
    </row>
    <row r="515" spans="1:32">
      <c r="A515" s="2" t="s">
        <v>1158</v>
      </c>
      <c r="B515" s="3">
        <v>46157</v>
      </c>
      <c r="C515" s="36" t="s">
        <v>790</v>
      </c>
      <c r="D515" s="2">
        <f>MONTH(ProductionData[[#This Row],[Month]])</f>
        <v>5</v>
      </c>
      <c r="E515" s="2" t="s">
        <v>125</v>
      </c>
      <c r="F515" s="2" t="s">
        <v>80</v>
      </c>
      <c r="G515" s="2" t="s">
        <v>174</v>
      </c>
      <c r="H515" s="2" t="s">
        <v>175</v>
      </c>
      <c r="I515" s="2" t="s">
        <v>176</v>
      </c>
      <c r="J515" s="2" t="s">
        <v>443</v>
      </c>
      <c r="K515" s="2" t="s">
        <v>444</v>
      </c>
      <c r="L515" s="2" t="s">
        <v>1159</v>
      </c>
      <c r="M515" s="2" t="s">
        <v>102</v>
      </c>
      <c r="N515" s="2" t="s">
        <v>88</v>
      </c>
      <c r="O515" s="2">
        <v>10</v>
      </c>
      <c r="P515" s="2">
        <v>10</v>
      </c>
      <c r="Q515" s="4">
        <v>6530</v>
      </c>
      <c r="R515" s="4">
        <v>5980</v>
      </c>
      <c r="S515" s="4">
        <v>106</v>
      </c>
      <c r="T515" s="19">
        <f>(ProductionData[[#This Row],[Rejected_Qty]])/ProductionData[[#This Row],[Produced_Qty]]</f>
        <v>1.7725752508361205E-2</v>
      </c>
      <c r="U515" s="19">
        <f>ProductionData[[#This Row],[Produced_Qty]]/ProductionData[[#This Row],[Planned_Qty]]</f>
        <v>0.91577335375191427</v>
      </c>
      <c r="V515" s="2" t="s">
        <v>103</v>
      </c>
      <c r="W515" s="11">
        <v>0</v>
      </c>
      <c r="X515" s="13">
        <f>W515/60</f>
        <v>0</v>
      </c>
      <c r="Y515" s="2" t="s">
        <v>90</v>
      </c>
      <c r="Z515" s="2">
        <v>33</v>
      </c>
      <c r="AA515" s="2">
        <f>ProductionData[[#This Row],[Rejected_Qty]]*ProductionData[[#This Row],[Unit_Cost_INR]]</f>
        <v>3498</v>
      </c>
      <c r="AB515" s="4">
        <v>23262</v>
      </c>
      <c r="AC515" s="4">
        <v>6320</v>
      </c>
      <c r="AD515" s="4">
        <v>6320</v>
      </c>
      <c r="AE515" s="4">
        <v>22816</v>
      </c>
      <c r="AF515" s="4">
        <v>9750</v>
      </c>
    </row>
    <row r="516" spans="1:32">
      <c r="A516" s="2" t="s">
        <v>1160</v>
      </c>
      <c r="B516" s="3">
        <v>46150</v>
      </c>
      <c r="C516" s="36" t="s">
        <v>790</v>
      </c>
      <c r="D516" s="2">
        <f>MONTH(ProductionData[[#This Row],[Month]])</f>
        <v>5</v>
      </c>
      <c r="E516" s="2" t="s">
        <v>125</v>
      </c>
      <c r="F516" s="2" t="s">
        <v>80</v>
      </c>
      <c r="G516" s="2" t="s">
        <v>67</v>
      </c>
      <c r="H516" s="2" t="s">
        <v>68</v>
      </c>
      <c r="I516" s="2" t="s">
        <v>69</v>
      </c>
      <c r="J516" s="2" t="s">
        <v>403</v>
      </c>
      <c r="K516" s="2" t="s">
        <v>404</v>
      </c>
      <c r="L516" s="2" t="s">
        <v>1161</v>
      </c>
      <c r="M516" s="2" t="s">
        <v>102</v>
      </c>
      <c r="N516" s="2" t="s">
        <v>96</v>
      </c>
      <c r="O516" s="2">
        <v>16</v>
      </c>
      <c r="P516" s="2">
        <v>15</v>
      </c>
      <c r="Q516" s="4">
        <v>6130</v>
      </c>
      <c r="R516" s="4">
        <v>5880</v>
      </c>
      <c r="S516" s="4">
        <v>195</v>
      </c>
      <c r="T516" s="19">
        <f>(ProductionData[[#This Row],[Rejected_Qty]])/ProductionData[[#This Row],[Produced_Qty]]</f>
        <v>3.3163265306122451E-2</v>
      </c>
      <c r="U516" s="19">
        <f>ProductionData[[#This Row],[Produced_Qty]]/ProductionData[[#This Row],[Planned_Qty]]</f>
        <v>0.95921696574225124</v>
      </c>
      <c r="V516" s="2" t="s">
        <v>109</v>
      </c>
      <c r="W516" s="11">
        <v>0</v>
      </c>
      <c r="X516" s="13">
        <f>W516/60</f>
        <v>0</v>
      </c>
      <c r="Y516" s="2" t="s">
        <v>90</v>
      </c>
      <c r="Z516" s="2">
        <v>58</v>
      </c>
      <c r="AA516" s="2">
        <f>ProductionData[[#This Row],[Rejected_Qty]]*ProductionData[[#This Row],[Unit_Cost_INR]]</f>
        <v>11310</v>
      </c>
      <c r="AB516" s="4">
        <v>23074</v>
      </c>
      <c r="AC516" s="4">
        <v>5990</v>
      </c>
      <c r="AD516" s="4">
        <v>5990</v>
      </c>
      <c r="AE516" s="4">
        <v>22769</v>
      </c>
      <c r="AF516" s="4">
        <v>9000</v>
      </c>
    </row>
    <row r="517" spans="1:32">
      <c r="A517" s="2" t="s">
        <v>1162</v>
      </c>
      <c r="B517" s="3">
        <v>46149</v>
      </c>
      <c r="C517" s="36" t="s">
        <v>790</v>
      </c>
      <c r="D517" s="2">
        <f>MONTH(ProductionData[[#This Row],[Month]])</f>
        <v>5</v>
      </c>
      <c r="E517" s="2" t="s">
        <v>107</v>
      </c>
      <c r="F517" s="2" t="s">
        <v>93</v>
      </c>
      <c r="G517" s="2" t="s">
        <v>174</v>
      </c>
      <c r="H517" s="2" t="s">
        <v>175</v>
      </c>
      <c r="I517" s="2" t="s">
        <v>176</v>
      </c>
      <c r="J517" s="2" t="s">
        <v>443</v>
      </c>
      <c r="K517" s="2" t="s">
        <v>444</v>
      </c>
      <c r="L517" s="2" t="s">
        <v>1163</v>
      </c>
      <c r="M517" s="2" t="s">
        <v>133</v>
      </c>
      <c r="N517" s="2" t="s">
        <v>96</v>
      </c>
      <c r="O517" s="2">
        <v>10</v>
      </c>
      <c r="P517" s="2">
        <v>8</v>
      </c>
      <c r="Q517" s="4">
        <v>6080</v>
      </c>
      <c r="R517" s="4">
        <v>5530</v>
      </c>
      <c r="S517" s="4">
        <v>113</v>
      </c>
      <c r="T517" s="19">
        <f>(ProductionData[[#This Row],[Rejected_Qty]])/ProductionData[[#This Row],[Produced_Qty]]</f>
        <v>2.0433996383363472E-2</v>
      </c>
      <c r="U517" s="19">
        <f>ProductionData[[#This Row],[Produced_Qty]]/ProductionData[[#This Row],[Planned_Qty]]</f>
        <v>0.90953947368421051</v>
      </c>
      <c r="V517" s="2" t="s">
        <v>103</v>
      </c>
      <c r="W517" s="11">
        <v>72</v>
      </c>
      <c r="X517" s="13">
        <f>W517/60</f>
        <v>1.2</v>
      </c>
      <c r="Y517" s="2" t="s">
        <v>136</v>
      </c>
      <c r="Z517" s="2">
        <v>33</v>
      </c>
      <c r="AA517" s="2">
        <f>ProductionData[[#This Row],[Rejected_Qty]]*ProductionData[[#This Row],[Unit_Cost_INR]]</f>
        <v>3729</v>
      </c>
      <c r="AB517" s="4">
        <v>23074</v>
      </c>
      <c r="AC517" s="4">
        <v>5740</v>
      </c>
      <c r="AD517" s="4">
        <v>5740</v>
      </c>
      <c r="AE517" s="4">
        <v>22751</v>
      </c>
      <c r="AF517" s="4">
        <v>9750</v>
      </c>
    </row>
    <row r="518" spans="1:32">
      <c r="A518" s="2" t="s">
        <v>1164</v>
      </c>
      <c r="B518" s="3">
        <v>46154</v>
      </c>
      <c r="C518" s="36" t="s">
        <v>790</v>
      </c>
      <c r="D518" s="2">
        <f>MONTH(ProductionData[[#This Row],[Month]])</f>
        <v>5</v>
      </c>
      <c r="E518" s="2" t="s">
        <v>92</v>
      </c>
      <c r="F518" s="2" t="s">
        <v>80</v>
      </c>
      <c r="G518" s="2" t="s">
        <v>67</v>
      </c>
      <c r="H518" s="2" t="s">
        <v>68</v>
      </c>
      <c r="I518" s="2" t="s">
        <v>69</v>
      </c>
      <c r="J518" s="2" t="s">
        <v>403</v>
      </c>
      <c r="K518" s="2" t="s">
        <v>404</v>
      </c>
      <c r="L518" s="2" t="s">
        <v>1165</v>
      </c>
      <c r="M518" s="2" t="s">
        <v>102</v>
      </c>
      <c r="N518" s="2" t="s">
        <v>88</v>
      </c>
      <c r="O518" s="2">
        <v>16</v>
      </c>
      <c r="P518" s="2">
        <v>16</v>
      </c>
      <c r="Q518" s="4">
        <v>6170</v>
      </c>
      <c r="R518" s="4">
        <v>6380</v>
      </c>
      <c r="S518" s="4">
        <v>173</v>
      </c>
      <c r="T518" s="19">
        <f>(ProductionData[[#This Row],[Rejected_Qty]])/ProductionData[[#This Row],[Produced_Qty]]</f>
        <v>2.7115987460815047E-2</v>
      </c>
      <c r="U518" s="19">
        <f>ProductionData[[#This Row],[Produced_Qty]]/ProductionData[[#This Row],[Planned_Qty]]</f>
        <v>1.0340356564019448</v>
      </c>
      <c r="V518" s="2" t="s">
        <v>75</v>
      </c>
      <c r="W518" s="11">
        <v>0</v>
      </c>
      <c r="X518" s="13">
        <f>W518/60</f>
        <v>0</v>
      </c>
      <c r="Y518" s="2" t="s">
        <v>90</v>
      </c>
      <c r="Z518" s="2">
        <v>58</v>
      </c>
      <c r="AA518" s="2">
        <f>ProductionData[[#This Row],[Rejected_Qty]]*ProductionData[[#This Row],[Unit_Cost_INR]]</f>
        <v>10034</v>
      </c>
      <c r="AB518" s="4">
        <v>22565</v>
      </c>
      <c r="AC518" s="4">
        <v>6030</v>
      </c>
      <c r="AD518" s="4">
        <v>6030</v>
      </c>
      <c r="AE518" s="4">
        <v>22742</v>
      </c>
      <c r="AF518" s="4">
        <v>9000</v>
      </c>
    </row>
    <row r="519" spans="1:32">
      <c r="A519" s="2" t="s">
        <v>1166</v>
      </c>
      <c r="B519" s="3">
        <v>46152</v>
      </c>
      <c r="C519" s="36" t="s">
        <v>790</v>
      </c>
      <c r="D519" s="2">
        <f>MONTH(ProductionData[[#This Row],[Month]])</f>
        <v>5</v>
      </c>
      <c r="E519" s="2" t="s">
        <v>186</v>
      </c>
      <c r="F519" s="2" t="s">
        <v>80</v>
      </c>
      <c r="G519" s="2" t="s">
        <v>174</v>
      </c>
      <c r="H519" s="2" t="s">
        <v>175</v>
      </c>
      <c r="I519" s="2" t="s">
        <v>176</v>
      </c>
      <c r="J519" s="2" t="s">
        <v>443</v>
      </c>
      <c r="K519" s="2" t="s">
        <v>444</v>
      </c>
      <c r="L519" s="2" t="s">
        <v>1167</v>
      </c>
      <c r="M519" s="2" t="s">
        <v>102</v>
      </c>
      <c r="N519" s="2" t="s">
        <v>88</v>
      </c>
      <c r="O519" s="2">
        <v>10</v>
      </c>
      <c r="P519" s="2">
        <v>10</v>
      </c>
      <c r="Q519" s="4">
        <v>4610</v>
      </c>
      <c r="R519" s="4">
        <v>4410</v>
      </c>
      <c r="S519" s="4">
        <v>176</v>
      </c>
      <c r="T519" s="19">
        <f>(ProductionData[[#This Row],[Rejected_Qty]])/ProductionData[[#This Row],[Produced_Qty]]</f>
        <v>3.9909297052154194E-2</v>
      </c>
      <c r="U519" s="19">
        <f>ProductionData[[#This Row],[Produced_Qty]]/ProductionData[[#This Row],[Planned_Qty]]</f>
        <v>0.95661605206073752</v>
      </c>
      <c r="V519" s="2" t="s">
        <v>75</v>
      </c>
      <c r="W519" s="11">
        <v>0</v>
      </c>
      <c r="X519" s="13">
        <f>W519/60</f>
        <v>0</v>
      </c>
      <c r="Y519" s="2" t="s">
        <v>90</v>
      </c>
      <c r="Z519" s="2">
        <v>33</v>
      </c>
      <c r="AA519" s="2">
        <f>ProductionData[[#This Row],[Rejected_Qty]]*ProductionData[[#This Row],[Unit_Cost_INR]]</f>
        <v>5808</v>
      </c>
      <c r="AB519" s="4">
        <v>22955</v>
      </c>
      <c r="AC519" s="4">
        <v>4510</v>
      </c>
      <c r="AD519" s="4">
        <v>4510</v>
      </c>
      <c r="AE519" s="4">
        <v>22679</v>
      </c>
      <c r="AF519" s="4">
        <v>9750</v>
      </c>
    </row>
    <row r="520" spans="1:32">
      <c r="A520" s="2" t="s">
        <v>1168</v>
      </c>
      <c r="B520" s="3">
        <v>46153</v>
      </c>
      <c r="C520" s="36" t="s">
        <v>790</v>
      </c>
      <c r="D520" s="2">
        <f>MONTH(ProductionData[[#This Row],[Month]])</f>
        <v>5</v>
      </c>
      <c r="E520" s="2" t="s">
        <v>116</v>
      </c>
      <c r="F520" s="2" t="s">
        <v>93</v>
      </c>
      <c r="G520" s="2" t="s">
        <v>67</v>
      </c>
      <c r="H520" s="2" t="s">
        <v>68</v>
      </c>
      <c r="I520" s="2" t="s">
        <v>69</v>
      </c>
      <c r="J520" s="2" t="s">
        <v>403</v>
      </c>
      <c r="K520" s="2" t="s">
        <v>404</v>
      </c>
      <c r="L520" s="2" t="s">
        <v>1169</v>
      </c>
      <c r="M520" s="2" t="s">
        <v>95</v>
      </c>
      <c r="N520" s="2" t="s">
        <v>88</v>
      </c>
      <c r="O520" s="2">
        <v>16</v>
      </c>
      <c r="P520" s="2">
        <v>11</v>
      </c>
      <c r="Q520" s="4">
        <v>5610</v>
      </c>
      <c r="R520" s="4">
        <v>4710</v>
      </c>
      <c r="S520" s="4">
        <v>141</v>
      </c>
      <c r="T520" s="19">
        <f>(ProductionData[[#This Row],[Rejected_Qty]])/ProductionData[[#This Row],[Produced_Qty]]</f>
        <v>2.9936305732484077E-2</v>
      </c>
      <c r="U520" s="19">
        <f>ProductionData[[#This Row],[Produced_Qty]]/ProductionData[[#This Row],[Planned_Qty]]</f>
        <v>0.83957219251336901</v>
      </c>
      <c r="V520" s="2" t="s">
        <v>75</v>
      </c>
      <c r="W520" s="11">
        <v>0</v>
      </c>
      <c r="X520" s="13">
        <f>W520/60</f>
        <v>0</v>
      </c>
      <c r="Y520" s="2" t="s">
        <v>90</v>
      </c>
      <c r="Z520" s="2">
        <v>58</v>
      </c>
      <c r="AA520" s="2">
        <f>ProductionData[[#This Row],[Rejected_Qty]]*ProductionData[[#This Row],[Unit_Cost_INR]]</f>
        <v>8178</v>
      </c>
      <c r="AB520" s="4">
        <v>22436</v>
      </c>
      <c r="AC520" s="4">
        <v>4440</v>
      </c>
      <c r="AD520" s="4">
        <v>4440</v>
      </c>
      <c r="AE520" s="4">
        <v>22565</v>
      </c>
      <c r="AF520" s="4">
        <v>9000</v>
      </c>
    </row>
    <row r="521" spans="1:32">
      <c r="A521" s="2" t="s">
        <v>1170</v>
      </c>
      <c r="B521" s="3">
        <v>46144</v>
      </c>
      <c r="C521" s="36" t="s">
        <v>790</v>
      </c>
      <c r="D521" s="2">
        <f>MONTH(ProductionData[[#This Row],[Month]])</f>
        <v>5</v>
      </c>
      <c r="E521" s="2" t="s">
        <v>65</v>
      </c>
      <c r="F521" s="2" t="s">
        <v>93</v>
      </c>
      <c r="G521" s="2" t="s">
        <v>174</v>
      </c>
      <c r="H521" s="2" t="s">
        <v>175</v>
      </c>
      <c r="I521" s="2" t="s">
        <v>176</v>
      </c>
      <c r="J521" s="2" t="s">
        <v>443</v>
      </c>
      <c r="K521" s="2" t="s">
        <v>444</v>
      </c>
      <c r="L521" s="2" t="s">
        <v>1171</v>
      </c>
      <c r="M521" s="2" t="s">
        <v>133</v>
      </c>
      <c r="N521" s="2" t="s">
        <v>88</v>
      </c>
      <c r="O521" s="2">
        <v>10</v>
      </c>
      <c r="P521" s="2">
        <v>9</v>
      </c>
      <c r="Q521" s="4">
        <v>6170</v>
      </c>
      <c r="R521" s="4">
        <v>5690</v>
      </c>
      <c r="S521" s="4">
        <v>128</v>
      </c>
      <c r="T521" s="19">
        <f>(ProductionData[[#This Row],[Rejected_Qty]])/ProductionData[[#This Row],[Produced_Qty]]</f>
        <v>2.2495606326889281E-2</v>
      </c>
      <c r="U521" s="19">
        <f>ProductionData[[#This Row],[Produced_Qty]]/ProductionData[[#This Row],[Planned_Qty]]</f>
        <v>0.92220421393841168</v>
      </c>
      <c r="V521" s="2" t="s">
        <v>103</v>
      </c>
      <c r="W521" s="11">
        <v>0</v>
      </c>
      <c r="X521" s="13">
        <f>W521/60</f>
        <v>0</v>
      </c>
      <c r="Y521" s="2" t="s">
        <v>90</v>
      </c>
      <c r="Z521" s="2">
        <v>33</v>
      </c>
      <c r="AA521" s="2">
        <f>ProductionData[[#This Row],[Rejected_Qty]]*ProductionData[[#This Row],[Unit_Cost_INR]]</f>
        <v>4224</v>
      </c>
      <c r="AB521" s="4">
        <v>22325</v>
      </c>
      <c r="AC521" s="4">
        <v>5350</v>
      </c>
      <c r="AD521" s="4">
        <v>5350</v>
      </c>
      <c r="AE521" s="4">
        <v>22537</v>
      </c>
      <c r="AF521" s="4">
        <v>9750</v>
      </c>
    </row>
    <row r="522" spans="1:32">
      <c r="A522" s="2" t="s">
        <v>1172</v>
      </c>
      <c r="B522" s="3">
        <v>46165</v>
      </c>
      <c r="C522" s="36" t="s">
        <v>790</v>
      </c>
      <c r="D522" s="2">
        <f>MONTH(ProductionData[[#This Row],[Month]])</f>
        <v>5</v>
      </c>
      <c r="E522" s="2" t="s">
        <v>65</v>
      </c>
      <c r="F522" s="2" t="s">
        <v>80</v>
      </c>
      <c r="G522" s="2" t="s">
        <v>67</v>
      </c>
      <c r="H522" s="2" t="s">
        <v>68</v>
      </c>
      <c r="I522" s="2" t="s">
        <v>69</v>
      </c>
      <c r="J522" s="2" t="s">
        <v>403</v>
      </c>
      <c r="K522" s="2" t="s">
        <v>404</v>
      </c>
      <c r="L522" s="2" t="s">
        <v>1173</v>
      </c>
      <c r="M522" s="2" t="s">
        <v>87</v>
      </c>
      <c r="N522" s="2" t="s">
        <v>96</v>
      </c>
      <c r="O522" s="2">
        <v>16</v>
      </c>
      <c r="P522" s="2">
        <v>15</v>
      </c>
      <c r="Q522" s="4">
        <v>6370</v>
      </c>
      <c r="R522" s="4">
        <v>6050</v>
      </c>
      <c r="S522" s="4">
        <v>219</v>
      </c>
      <c r="T522" s="19">
        <f>(ProductionData[[#This Row],[Rejected_Qty]])/ProductionData[[#This Row],[Produced_Qty]]</f>
        <v>3.6198347107438016E-2</v>
      </c>
      <c r="U522" s="19">
        <f>ProductionData[[#This Row],[Produced_Qty]]/ProductionData[[#This Row],[Planned_Qty]]</f>
        <v>0.94976452119309263</v>
      </c>
      <c r="V522" s="2" t="s">
        <v>109</v>
      </c>
      <c r="W522" s="11">
        <v>0</v>
      </c>
      <c r="X522" s="13">
        <f>W522/60</f>
        <v>0</v>
      </c>
      <c r="Y522" s="2" t="s">
        <v>90</v>
      </c>
      <c r="Z522" s="2">
        <v>58</v>
      </c>
      <c r="AA522" s="2">
        <f>ProductionData[[#This Row],[Rejected_Qty]]*ProductionData[[#This Row],[Unit_Cost_INR]]</f>
        <v>12702</v>
      </c>
      <c r="AB522" s="4">
        <v>21999</v>
      </c>
      <c r="AC522" s="4">
        <v>5350</v>
      </c>
      <c r="AD522" s="4">
        <v>5350</v>
      </c>
      <c r="AE522" s="4">
        <v>22480</v>
      </c>
      <c r="AF522" s="4">
        <v>9000</v>
      </c>
    </row>
    <row r="523" spans="1:32">
      <c r="A523" s="2" t="s">
        <v>1174</v>
      </c>
      <c r="B523" s="3">
        <v>46151</v>
      </c>
      <c r="C523" s="36" t="s">
        <v>790</v>
      </c>
      <c r="D523" s="2">
        <f>MONTH(ProductionData[[#This Row],[Month]])</f>
        <v>5</v>
      </c>
      <c r="E523" s="2" t="s">
        <v>65</v>
      </c>
      <c r="F523" s="2" t="s">
        <v>93</v>
      </c>
      <c r="G523" s="2" t="s">
        <v>67</v>
      </c>
      <c r="H523" s="2" t="s">
        <v>68</v>
      </c>
      <c r="I523" s="2" t="s">
        <v>69</v>
      </c>
      <c r="J523" s="2" t="s">
        <v>403</v>
      </c>
      <c r="K523" s="2" t="s">
        <v>404</v>
      </c>
      <c r="L523" s="2" t="s">
        <v>1175</v>
      </c>
      <c r="M523" s="2" t="s">
        <v>95</v>
      </c>
      <c r="N523" s="2" t="s">
        <v>96</v>
      </c>
      <c r="O523" s="2">
        <v>16</v>
      </c>
      <c r="P523" s="2">
        <v>14</v>
      </c>
      <c r="Q523" s="4">
        <v>5910</v>
      </c>
      <c r="R523" s="4">
        <v>5310</v>
      </c>
      <c r="S523" s="4">
        <v>153</v>
      </c>
      <c r="T523" s="19">
        <f>(ProductionData[[#This Row],[Rejected_Qty]])/ProductionData[[#This Row],[Produced_Qty]]</f>
        <v>2.8813559322033899E-2</v>
      </c>
      <c r="U523" s="19">
        <f>ProductionData[[#This Row],[Produced_Qty]]/ProductionData[[#This Row],[Planned_Qty]]</f>
        <v>0.89847715736040612</v>
      </c>
      <c r="V523" s="2" t="s">
        <v>113</v>
      </c>
      <c r="W523" s="11">
        <v>0</v>
      </c>
      <c r="X523" s="13">
        <f>W523/60</f>
        <v>0</v>
      </c>
      <c r="Y523" s="2" t="s">
        <v>90</v>
      </c>
      <c r="Z523" s="2">
        <v>58</v>
      </c>
      <c r="AA523" s="2">
        <f>ProductionData[[#This Row],[Rejected_Qty]]*ProductionData[[#This Row],[Unit_Cost_INR]]</f>
        <v>8874</v>
      </c>
      <c r="AB523" s="4">
        <v>22769</v>
      </c>
      <c r="AC523" s="4">
        <v>5490</v>
      </c>
      <c r="AD523" s="4">
        <v>5490</v>
      </c>
      <c r="AE523" s="4">
        <v>22436</v>
      </c>
      <c r="AF523" s="4">
        <v>9000</v>
      </c>
    </row>
    <row r="524" spans="1:32">
      <c r="A524" s="2" t="s">
        <v>1176</v>
      </c>
      <c r="B524" s="3">
        <v>46146</v>
      </c>
      <c r="C524" s="36" t="s">
        <v>790</v>
      </c>
      <c r="D524" s="2">
        <f>MONTH(ProductionData[[#This Row],[Month]])</f>
        <v>5</v>
      </c>
      <c r="E524" s="2" t="s">
        <v>116</v>
      </c>
      <c r="F524" s="2" t="s">
        <v>80</v>
      </c>
      <c r="G524" s="2" t="s">
        <v>67</v>
      </c>
      <c r="H524" s="2" t="s">
        <v>68</v>
      </c>
      <c r="I524" s="2" t="s">
        <v>69</v>
      </c>
      <c r="J524" s="2" t="s">
        <v>70</v>
      </c>
      <c r="K524" s="2" t="s">
        <v>71</v>
      </c>
      <c r="L524" s="2" t="s">
        <v>1177</v>
      </c>
      <c r="M524" s="2" t="s">
        <v>102</v>
      </c>
      <c r="N524" s="2" t="s">
        <v>96</v>
      </c>
      <c r="O524" s="2">
        <v>16</v>
      </c>
      <c r="P524" s="2">
        <v>15</v>
      </c>
      <c r="Q524" s="4">
        <v>6840</v>
      </c>
      <c r="R524" s="4">
        <v>6600</v>
      </c>
      <c r="S524" s="4">
        <v>193</v>
      </c>
      <c r="T524" s="19">
        <f>(ProductionData[[#This Row],[Rejected_Qty]])/ProductionData[[#This Row],[Produced_Qty]]</f>
        <v>2.9242424242424243E-2</v>
      </c>
      <c r="U524" s="19">
        <f>ProductionData[[#This Row],[Produced_Qty]]/ProductionData[[#This Row],[Planned_Qty]]</f>
        <v>0.96491228070175439</v>
      </c>
      <c r="V524" s="2" t="s">
        <v>113</v>
      </c>
      <c r="W524" s="11">
        <v>0</v>
      </c>
      <c r="X524" s="13">
        <f>W524/60</f>
        <v>0</v>
      </c>
      <c r="Y524" s="2" t="s">
        <v>90</v>
      </c>
      <c r="Z524" s="2">
        <v>46</v>
      </c>
      <c r="AA524" s="2">
        <f>ProductionData[[#This Row],[Rejected_Qty]]*ProductionData[[#This Row],[Unit_Cost_INR]]</f>
        <v>8878</v>
      </c>
      <c r="AB524" s="4">
        <v>21316</v>
      </c>
      <c r="AC524" s="4">
        <v>5350</v>
      </c>
      <c r="AD524" s="4">
        <v>5350</v>
      </c>
      <c r="AE524" s="4">
        <v>22373</v>
      </c>
      <c r="AF524" s="4">
        <v>10500</v>
      </c>
    </row>
    <row r="525" spans="1:32">
      <c r="A525" s="2" t="s">
        <v>1178</v>
      </c>
      <c r="B525" s="3">
        <v>46154</v>
      </c>
      <c r="C525" s="36" t="s">
        <v>790</v>
      </c>
      <c r="D525" s="2">
        <f>MONTH(ProductionData[[#This Row],[Month]])</f>
        <v>5</v>
      </c>
      <c r="E525" s="2" t="s">
        <v>92</v>
      </c>
      <c r="F525" s="2" t="s">
        <v>93</v>
      </c>
      <c r="G525" s="2" t="s">
        <v>67</v>
      </c>
      <c r="H525" s="2" t="s">
        <v>68</v>
      </c>
      <c r="I525" s="2" t="s">
        <v>69</v>
      </c>
      <c r="J525" s="2" t="s">
        <v>403</v>
      </c>
      <c r="K525" s="2" t="s">
        <v>404</v>
      </c>
      <c r="L525" s="2" t="s">
        <v>1179</v>
      </c>
      <c r="M525" s="2" t="s">
        <v>133</v>
      </c>
      <c r="N525" s="2" t="s">
        <v>96</v>
      </c>
      <c r="O525" s="2">
        <v>16</v>
      </c>
      <c r="P525" s="2">
        <v>15</v>
      </c>
      <c r="Q525" s="4">
        <v>6140</v>
      </c>
      <c r="R525" s="4">
        <v>5760</v>
      </c>
      <c r="S525" s="4">
        <v>150</v>
      </c>
      <c r="T525" s="19">
        <f>(ProductionData[[#This Row],[Rejected_Qty]])/ProductionData[[#This Row],[Produced_Qty]]</f>
        <v>2.6041666666666668E-2</v>
      </c>
      <c r="U525" s="19">
        <f>ProductionData[[#This Row],[Produced_Qty]]/ProductionData[[#This Row],[Planned_Qty]]</f>
        <v>0.93811074918566772</v>
      </c>
      <c r="V525" s="2" t="s">
        <v>75</v>
      </c>
      <c r="W525" s="11">
        <v>57</v>
      </c>
      <c r="X525" s="13">
        <f>W525/60</f>
        <v>0.95</v>
      </c>
      <c r="Y525" s="2" t="s">
        <v>76</v>
      </c>
      <c r="Z525" s="2">
        <v>58</v>
      </c>
      <c r="AA525" s="2">
        <f>ProductionData[[#This Row],[Rejected_Qty]]*ProductionData[[#This Row],[Unit_Cost_INR]]</f>
        <v>8700</v>
      </c>
      <c r="AB525" s="4">
        <v>22742</v>
      </c>
      <c r="AC525" s="4">
        <v>5980</v>
      </c>
      <c r="AD525" s="4">
        <v>5980</v>
      </c>
      <c r="AE525" s="4">
        <v>22372</v>
      </c>
      <c r="AF525" s="4">
        <v>9000</v>
      </c>
    </row>
    <row r="526" spans="1:32">
      <c r="A526" s="2" t="s">
        <v>1180</v>
      </c>
      <c r="B526" s="3">
        <v>46143</v>
      </c>
      <c r="C526" s="36" t="s">
        <v>790</v>
      </c>
      <c r="D526" s="2">
        <f>MONTH(ProductionData[[#This Row],[Month]])</f>
        <v>5</v>
      </c>
      <c r="E526" s="2" t="s">
        <v>125</v>
      </c>
      <c r="F526" s="2" t="s">
        <v>80</v>
      </c>
      <c r="G526" s="2" t="s">
        <v>174</v>
      </c>
      <c r="H526" s="2" t="s">
        <v>175</v>
      </c>
      <c r="I526" s="2" t="s">
        <v>176</v>
      </c>
      <c r="J526" s="2" t="s">
        <v>443</v>
      </c>
      <c r="K526" s="2" t="s">
        <v>444</v>
      </c>
      <c r="L526" s="2" t="s">
        <v>1181</v>
      </c>
      <c r="M526" s="2" t="s">
        <v>102</v>
      </c>
      <c r="N526" s="2" t="s">
        <v>96</v>
      </c>
      <c r="O526" s="2">
        <v>10</v>
      </c>
      <c r="P526" s="2">
        <v>10</v>
      </c>
      <c r="Q526" s="4">
        <v>6080</v>
      </c>
      <c r="R526" s="4">
        <v>5540</v>
      </c>
      <c r="S526" s="4">
        <v>111</v>
      </c>
      <c r="T526" s="19">
        <f>(ProductionData[[#This Row],[Rejected_Qty]])/ProductionData[[#This Row],[Produced_Qty]]</f>
        <v>2.0036101083032491E-2</v>
      </c>
      <c r="U526" s="19">
        <f>ProductionData[[#This Row],[Produced_Qty]]/ProductionData[[#This Row],[Planned_Qty]]</f>
        <v>0.91118421052631582</v>
      </c>
      <c r="V526" s="2" t="s">
        <v>89</v>
      </c>
      <c r="W526" s="11">
        <v>55</v>
      </c>
      <c r="X526" s="13">
        <f>W526/60</f>
        <v>0.91666666666666663</v>
      </c>
      <c r="Y526" s="2" t="s">
        <v>110</v>
      </c>
      <c r="Z526" s="2">
        <v>33</v>
      </c>
      <c r="AA526" s="2">
        <f>ProductionData[[#This Row],[Rejected_Qty]]*ProductionData[[#This Row],[Unit_Cost_INR]]</f>
        <v>3663</v>
      </c>
      <c r="AB526" s="4">
        <v>21976</v>
      </c>
      <c r="AC526" s="4">
        <v>5080</v>
      </c>
      <c r="AD526" s="4">
        <v>5080</v>
      </c>
      <c r="AE526" s="4">
        <v>22325</v>
      </c>
      <c r="AF526" s="4">
        <v>9750</v>
      </c>
    </row>
    <row r="527" spans="1:32">
      <c r="A527" s="2" t="s">
        <v>1182</v>
      </c>
      <c r="B527" s="3">
        <v>46161</v>
      </c>
      <c r="C527" s="36" t="s">
        <v>790</v>
      </c>
      <c r="D527" s="2">
        <f>MONTH(ProductionData[[#This Row],[Month]])</f>
        <v>5</v>
      </c>
      <c r="E527" s="2" t="s">
        <v>92</v>
      </c>
      <c r="F527" s="2" t="s">
        <v>66</v>
      </c>
      <c r="G527" s="2" t="s">
        <v>67</v>
      </c>
      <c r="H527" s="2" t="s">
        <v>68</v>
      </c>
      <c r="I527" s="2" t="s">
        <v>69</v>
      </c>
      <c r="J527" s="2" t="s">
        <v>403</v>
      </c>
      <c r="K527" s="2" t="s">
        <v>404</v>
      </c>
      <c r="L527" s="2" t="s">
        <v>1183</v>
      </c>
      <c r="M527" s="2" t="s">
        <v>99</v>
      </c>
      <c r="N527" s="2" t="s">
        <v>88</v>
      </c>
      <c r="O527" s="2">
        <v>16</v>
      </c>
      <c r="P527" s="2">
        <v>16</v>
      </c>
      <c r="Q527" s="4">
        <v>6330</v>
      </c>
      <c r="R527" s="4">
        <v>6280</v>
      </c>
      <c r="S527" s="4">
        <v>162</v>
      </c>
      <c r="T527" s="19">
        <f>(ProductionData[[#This Row],[Rejected_Qty]])/ProductionData[[#This Row],[Produced_Qty]]</f>
        <v>2.5796178343949046E-2</v>
      </c>
      <c r="U527" s="19">
        <f>ProductionData[[#This Row],[Produced_Qty]]/ProductionData[[#This Row],[Planned_Qty]]</f>
        <v>0.99210110584518163</v>
      </c>
      <c r="V527" s="2" t="s">
        <v>109</v>
      </c>
      <c r="W527" s="11">
        <v>0</v>
      </c>
      <c r="X527" s="13">
        <f>W527/60</f>
        <v>0</v>
      </c>
      <c r="Y527" s="2" t="s">
        <v>90</v>
      </c>
      <c r="Z527" s="2">
        <v>58</v>
      </c>
      <c r="AA527" s="2">
        <f>ProductionData[[#This Row],[Rejected_Qty]]*ProductionData[[#This Row],[Unit_Cost_INR]]</f>
        <v>9396</v>
      </c>
      <c r="AB527" s="4">
        <v>21811</v>
      </c>
      <c r="AC527" s="4">
        <v>5650</v>
      </c>
      <c r="AD527" s="4">
        <v>5650</v>
      </c>
      <c r="AE527" s="4">
        <v>22279</v>
      </c>
      <c r="AF527" s="4">
        <v>9000</v>
      </c>
    </row>
    <row r="528" spans="1:32">
      <c r="A528" s="2" t="s">
        <v>1184</v>
      </c>
      <c r="B528" s="3">
        <v>46165</v>
      </c>
      <c r="C528" s="36" t="s">
        <v>790</v>
      </c>
      <c r="D528" s="2">
        <f>MONTH(ProductionData[[#This Row],[Month]])</f>
        <v>5</v>
      </c>
      <c r="E528" s="2" t="s">
        <v>65</v>
      </c>
      <c r="F528" s="2" t="s">
        <v>93</v>
      </c>
      <c r="G528" s="2" t="s">
        <v>67</v>
      </c>
      <c r="H528" s="2" t="s">
        <v>68</v>
      </c>
      <c r="I528" s="2" t="s">
        <v>69</v>
      </c>
      <c r="J528" s="2" t="s">
        <v>403</v>
      </c>
      <c r="K528" s="2" t="s">
        <v>404</v>
      </c>
      <c r="L528" s="2" t="s">
        <v>1185</v>
      </c>
      <c r="M528" s="2" t="s">
        <v>133</v>
      </c>
      <c r="N528" s="2" t="s">
        <v>88</v>
      </c>
      <c r="O528" s="2">
        <v>16</v>
      </c>
      <c r="P528" s="2">
        <v>13</v>
      </c>
      <c r="Q528" s="4">
        <v>5240</v>
      </c>
      <c r="R528" s="4">
        <v>4500</v>
      </c>
      <c r="S528" s="4">
        <v>144</v>
      </c>
      <c r="T528" s="19">
        <f>(ProductionData[[#This Row],[Rejected_Qty]])/ProductionData[[#This Row],[Produced_Qty]]</f>
        <v>3.2000000000000001E-2</v>
      </c>
      <c r="U528" s="19">
        <f>ProductionData[[#This Row],[Produced_Qty]]/ProductionData[[#This Row],[Planned_Qty]]</f>
        <v>0.85877862595419852</v>
      </c>
      <c r="V528" s="2" t="s">
        <v>103</v>
      </c>
      <c r="W528" s="11">
        <v>50</v>
      </c>
      <c r="X528" s="13">
        <f>W528/60</f>
        <v>0.83333333333333337</v>
      </c>
      <c r="Y528" s="2" t="s">
        <v>76</v>
      </c>
      <c r="Z528" s="2">
        <v>58</v>
      </c>
      <c r="AA528" s="2">
        <f>ProductionData[[#This Row],[Rejected_Qty]]*ProductionData[[#This Row],[Unit_Cost_INR]]</f>
        <v>8352</v>
      </c>
      <c r="AB528" s="4">
        <v>22480</v>
      </c>
      <c r="AC528" s="4">
        <v>4710</v>
      </c>
      <c r="AD528" s="4">
        <v>4710</v>
      </c>
      <c r="AE528" s="4">
        <v>22126</v>
      </c>
      <c r="AF528" s="4">
        <v>9000</v>
      </c>
    </row>
    <row r="529" spans="1:32">
      <c r="A529" s="2" t="s">
        <v>1186</v>
      </c>
      <c r="B529" s="3">
        <v>46162</v>
      </c>
      <c r="C529" s="36" t="s">
        <v>790</v>
      </c>
      <c r="D529" s="2">
        <f>MONTH(ProductionData[[#This Row],[Month]])</f>
        <v>5</v>
      </c>
      <c r="E529" s="2" t="s">
        <v>79</v>
      </c>
      <c r="F529" s="2" t="s">
        <v>80</v>
      </c>
      <c r="G529" s="2" t="s">
        <v>67</v>
      </c>
      <c r="H529" s="2" t="s">
        <v>68</v>
      </c>
      <c r="I529" s="2" t="s">
        <v>69</v>
      </c>
      <c r="J529" s="2" t="s">
        <v>403</v>
      </c>
      <c r="K529" s="2" t="s">
        <v>404</v>
      </c>
      <c r="L529" s="2" t="s">
        <v>1187</v>
      </c>
      <c r="M529" s="2" t="s">
        <v>87</v>
      </c>
      <c r="N529" s="2" t="s">
        <v>96</v>
      </c>
      <c r="O529" s="2">
        <v>16</v>
      </c>
      <c r="P529" s="2">
        <v>15</v>
      </c>
      <c r="Q529" s="4">
        <v>6260</v>
      </c>
      <c r="R529" s="4">
        <v>5690</v>
      </c>
      <c r="S529" s="4">
        <v>127</v>
      </c>
      <c r="T529" s="19">
        <f>(ProductionData[[#This Row],[Rejected_Qty]])/ProductionData[[#This Row],[Produced_Qty]]</f>
        <v>2.2319859402460458E-2</v>
      </c>
      <c r="U529" s="19">
        <f>ProductionData[[#This Row],[Produced_Qty]]/ProductionData[[#This Row],[Planned_Qty]]</f>
        <v>0.90894568690095845</v>
      </c>
      <c r="V529" s="2" t="s">
        <v>75</v>
      </c>
      <c r="W529" s="11">
        <v>44</v>
      </c>
      <c r="X529" s="13">
        <f>W529/60</f>
        <v>0.73333333333333328</v>
      </c>
      <c r="Y529" s="2" t="s">
        <v>136</v>
      </c>
      <c r="Z529" s="2">
        <v>58</v>
      </c>
      <c r="AA529" s="2">
        <f>ProductionData[[#This Row],[Rejected_Qty]]*ProductionData[[#This Row],[Unit_Cost_INR]]</f>
        <v>7366</v>
      </c>
      <c r="AB529" s="4">
        <v>21771</v>
      </c>
      <c r="AC529" s="4">
        <v>5330</v>
      </c>
      <c r="AD529" s="4">
        <v>5330</v>
      </c>
      <c r="AE529" s="4">
        <v>22004</v>
      </c>
      <c r="AF529" s="4">
        <v>9000</v>
      </c>
    </row>
    <row r="530" spans="1:32">
      <c r="A530" s="2" t="s">
        <v>1188</v>
      </c>
      <c r="B530" s="3">
        <v>46165</v>
      </c>
      <c r="C530" s="36" t="s">
        <v>790</v>
      </c>
      <c r="D530" s="2">
        <f>MONTH(ProductionData[[#This Row],[Month]])</f>
        <v>5</v>
      </c>
      <c r="E530" s="2" t="s">
        <v>65</v>
      </c>
      <c r="F530" s="2" t="s">
        <v>66</v>
      </c>
      <c r="G530" s="2" t="s">
        <v>67</v>
      </c>
      <c r="H530" s="2" t="s">
        <v>68</v>
      </c>
      <c r="I530" s="2" t="s">
        <v>69</v>
      </c>
      <c r="J530" s="2" t="s">
        <v>403</v>
      </c>
      <c r="K530" s="2" t="s">
        <v>404</v>
      </c>
      <c r="L530" s="2" t="s">
        <v>1189</v>
      </c>
      <c r="M530" s="2" t="s">
        <v>73</v>
      </c>
      <c r="N530" s="2" t="s">
        <v>88</v>
      </c>
      <c r="O530" s="2">
        <v>16</v>
      </c>
      <c r="P530" s="2">
        <v>16</v>
      </c>
      <c r="Q530" s="4">
        <v>5860</v>
      </c>
      <c r="R530" s="4">
        <v>5920</v>
      </c>
      <c r="S530" s="4">
        <v>220</v>
      </c>
      <c r="T530" s="19">
        <f>(ProductionData[[#This Row],[Rejected_Qty]])/ProductionData[[#This Row],[Produced_Qty]]</f>
        <v>3.7162162162162164E-2</v>
      </c>
      <c r="U530" s="19">
        <f>ProductionData[[#This Row],[Produced_Qty]]/ProductionData[[#This Row],[Planned_Qty]]</f>
        <v>1.0102389078498293</v>
      </c>
      <c r="V530" s="2" t="s">
        <v>113</v>
      </c>
      <c r="W530" s="11">
        <v>0</v>
      </c>
      <c r="X530" s="13">
        <f>W530/60</f>
        <v>0</v>
      </c>
      <c r="Y530" s="2" t="s">
        <v>90</v>
      </c>
      <c r="Z530" s="2">
        <v>58</v>
      </c>
      <c r="AA530" s="2">
        <f>ProductionData[[#This Row],[Rejected_Qty]]*ProductionData[[#This Row],[Unit_Cost_INR]]</f>
        <v>12760</v>
      </c>
      <c r="AB530" s="4">
        <v>21249</v>
      </c>
      <c r="AC530" s="4">
        <v>4950</v>
      </c>
      <c r="AD530" s="4">
        <v>4950</v>
      </c>
      <c r="AE530" s="4">
        <v>21999</v>
      </c>
      <c r="AF530" s="4">
        <v>9000</v>
      </c>
    </row>
    <row r="531" spans="1:32">
      <c r="A531" s="2" t="s">
        <v>1190</v>
      </c>
      <c r="B531" s="3">
        <v>46158</v>
      </c>
      <c r="C531" s="36" t="s">
        <v>790</v>
      </c>
      <c r="D531" s="2">
        <f>MONTH(ProductionData[[#This Row],[Month]])</f>
        <v>5</v>
      </c>
      <c r="E531" s="2" t="s">
        <v>65</v>
      </c>
      <c r="F531" s="2" t="s">
        <v>80</v>
      </c>
      <c r="G531" s="2" t="s">
        <v>67</v>
      </c>
      <c r="H531" s="2" t="s">
        <v>68</v>
      </c>
      <c r="I531" s="2" t="s">
        <v>69</v>
      </c>
      <c r="J531" s="2" t="s">
        <v>403</v>
      </c>
      <c r="K531" s="2" t="s">
        <v>404</v>
      </c>
      <c r="L531" s="2" t="s">
        <v>1191</v>
      </c>
      <c r="M531" s="2" t="s">
        <v>102</v>
      </c>
      <c r="N531" s="2" t="s">
        <v>88</v>
      </c>
      <c r="O531" s="2">
        <v>16</v>
      </c>
      <c r="P531" s="2">
        <v>16</v>
      </c>
      <c r="Q531" s="4">
        <v>5580</v>
      </c>
      <c r="R531" s="4">
        <v>5180</v>
      </c>
      <c r="S531" s="4">
        <v>76</v>
      </c>
      <c r="T531" s="19">
        <f>(ProductionData[[#This Row],[Rejected_Qty]])/ProductionData[[#This Row],[Produced_Qty]]</f>
        <v>1.4671814671814672E-2</v>
      </c>
      <c r="U531" s="19">
        <f>ProductionData[[#This Row],[Produced_Qty]]/ProductionData[[#This Row],[Planned_Qty]]</f>
        <v>0.92831541218637992</v>
      </c>
      <c r="V531" s="2" t="s">
        <v>103</v>
      </c>
      <c r="W531" s="11">
        <v>29</v>
      </c>
      <c r="X531" s="13">
        <f>W531/60</f>
        <v>0.48333333333333334</v>
      </c>
      <c r="Y531" s="2" t="s">
        <v>110</v>
      </c>
      <c r="Z531" s="2">
        <v>58</v>
      </c>
      <c r="AA531" s="2">
        <f>ProductionData[[#This Row],[Rejected_Qty]]*ProductionData[[#This Row],[Unit_Cost_INR]]</f>
        <v>4408</v>
      </c>
      <c r="AB531" s="4">
        <v>21721</v>
      </c>
      <c r="AC531" s="4">
        <v>4840</v>
      </c>
      <c r="AD531" s="4">
        <v>4840</v>
      </c>
      <c r="AE531" s="4">
        <v>21985</v>
      </c>
      <c r="AF531" s="4">
        <v>9000</v>
      </c>
    </row>
    <row r="532" spans="1:32">
      <c r="A532" s="2" t="s">
        <v>1192</v>
      </c>
      <c r="B532" s="3">
        <v>46143</v>
      </c>
      <c r="C532" s="36" t="s">
        <v>790</v>
      </c>
      <c r="D532" s="2">
        <f>MONTH(ProductionData[[#This Row],[Month]])</f>
        <v>5</v>
      </c>
      <c r="E532" s="2" t="s">
        <v>125</v>
      </c>
      <c r="F532" s="2" t="s">
        <v>93</v>
      </c>
      <c r="G532" s="2" t="s">
        <v>67</v>
      </c>
      <c r="H532" s="2" t="s">
        <v>68</v>
      </c>
      <c r="I532" s="2" t="s">
        <v>69</v>
      </c>
      <c r="J532" s="2" t="s">
        <v>70</v>
      </c>
      <c r="K532" s="2" t="s">
        <v>71</v>
      </c>
      <c r="L532" s="2" t="s">
        <v>1193</v>
      </c>
      <c r="M532" s="2" t="s">
        <v>95</v>
      </c>
      <c r="N532" s="2" t="s">
        <v>88</v>
      </c>
      <c r="O532" s="2">
        <v>16</v>
      </c>
      <c r="P532" s="2">
        <v>12</v>
      </c>
      <c r="Q532" s="4">
        <v>7040</v>
      </c>
      <c r="R532" s="4">
        <v>6210</v>
      </c>
      <c r="S532" s="4">
        <v>271</v>
      </c>
      <c r="T532" s="19">
        <f>(ProductionData[[#This Row],[Rejected_Qty]])/ProductionData[[#This Row],[Produced_Qty]]</f>
        <v>4.363929146537842E-2</v>
      </c>
      <c r="U532" s="19">
        <f>ProductionData[[#This Row],[Produced_Qty]]/ProductionData[[#This Row],[Planned_Qty]]</f>
        <v>0.88210227272727271</v>
      </c>
      <c r="V532" s="2" t="s">
        <v>109</v>
      </c>
      <c r="W532" s="11">
        <v>0</v>
      </c>
      <c r="X532" s="13">
        <f>W532/60</f>
        <v>0</v>
      </c>
      <c r="Y532" s="2" t="s">
        <v>90</v>
      </c>
      <c r="Z532" s="2">
        <v>46</v>
      </c>
      <c r="AA532" s="2">
        <f>ProductionData[[#This Row],[Rejected_Qty]]*ProductionData[[#This Row],[Unit_Cost_INR]]</f>
        <v>12466</v>
      </c>
      <c r="AB532" s="4">
        <v>21826</v>
      </c>
      <c r="AC532" s="4">
        <v>5840</v>
      </c>
      <c r="AD532" s="4">
        <v>5840</v>
      </c>
      <c r="AE532" s="4">
        <v>21925</v>
      </c>
      <c r="AF532" s="4">
        <v>10500</v>
      </c>
    </row>
    <row r="533" spans="1:32">
      <c r="A533" s="2" t="s">
        <v>1194</v>
      </c>
      <c r="B533" s="3">
        <v>46143</v>
      </c>
      <c r="C533" s="36" t="s">
        <v>790</v>
      </c>
      <c r="D533" s="2">
        <f>MONTH(ProductionData[[#This Row],[Month]])</f>
        <v>5</v>
      </c>
      <c r="E533" s="2" t="s">
        <v>125</v>
      </c>
      <c r="F533" s="2" t="s">
        <v>66</v>
      </c>
      <c r="G533" s="2" t="s">
        <v>67</v>
      </c>
      <c r="H533" s="2" t="s">
        <v>68</v>
      </c>
      <c r="I533" s="2" t="s">
        <v>69</v>
      </c>
      <c r="J533" s="2" t="s">
        <v>70</v>
      </c>
      <c r="K533" s="2" t="s">
        <v>71</v>
      </c>
      <c r="L533" s="2" t="s">
        <v>1195</v>
      </c>
      <c r="M533" s="2" t="s">
        <v>99</v>
      </c>
      <c r="N533" s="2" t="s">
        <v>88</v>
      </c>
      <c r="O533" s="2">
        <v>16</v>
      </c>
      <c r="P533" s="2">
        <v>15</v>
      </c>
      <c r="Q533" s="4">
        <v>7000</v>
      </c>
      <c r="R533" s="4">
        <v>6150</v>
      </c>
      <c r="S533" s="4">
        <v>50</v>
      </c>
      <c r="T533" s="19">
        <f>(ProductionData[[#This Row],[Rejected_Qty]])/ProductionData[[#This Row],[Produced_Qty]]</f>
        <v>8.130081300813009E-3</v>
      </c>
      <c r="U533" s="19">
        <f>ProductionData[[#This Row],[Produced_Qty]]/ProductionData[[#This Row],[Planned_Qty]]</f>
        <v>0.87857142857142856</v>
      </c>
      <c r="V533" s="2" t="s">
        <v>109</v>
      </c>
      <c r="W533" s="11">
        <v>0</v>
      </c>
      <c r="X533" s="13">
        <f>W533/60</f>
        <v>0</v>
      </c>
      <c r="Y533" s="2" t="s">
        <v>90</v>
      </c>
      <c r="Z533" s="2">
        <v>46</v>
      </c>
      <c r="AA533" s="2">
        <f>ProductionData[[#This Row],[Rejected_Qty]]*ProductionData[[#This Row],[Unit_Cost_INR]]</f>
        <v>2300</v>
      </c>
      <c r="AB533" s="4">
        <v>21316</v>
      </c>
      <c r="AC533" s="4">
        <v>5590</v>
      </c>
      <c r="AD533" s="4">
        <v>5590</v>
      </c>
      <c r="AE533" s="4">
        <v>21826</v>
      </c>
      <c r="AF533" s="4">
        <v>10500</v>
      </c>
    </row>
    <row r="534" spans="1:32">
      <c r="A534" s="2" t="s">
        <v>1196</v>
      </c>
      <c r="B534" s="3">
        <v>46158</v>
      </c>
      <c r="C534" s="36" t="s">
        <v>790</v>
      </c>
      <c r="D534" s="2">
        <f>MONTH(ProductionData[[#This Row],[Month]])</f>
        <v>5</v>
      </c>
      <c r="E534" s="2" t="s">
        <v>65</v>
      </c>
      <c r="F534" s="2" t="s">
        <v>93</v>
      </c>
      <c r="G534" s="2" t="s">
        <v>67</v>
      </c>
      <c r="H534" s="2" t="s">
        <v>68</v>
      </c>
      <c r="I534" s="2" t="s">
        <v>69</v>
      </c>
      <c r="J534" s="2" t="s">
        <v>403</v>
      </c>
      <c r="K534" s="2" t="s">
        <v>404</v>
      </c>
      <c r="L534" s="2" t="s">
        <v>1197</v>
      </c>
      <c r="M534" s="2" t="s">
        <v>133</v>
      </c>
      <c r="N534" s="2" t="s">
        <v>88</v>
      </c>
      <c r="O534" s="2">
        <v>16</v>
      </c>
      <c r="P534" s="2">
        <v>14</v>
      </c>
      <c r="Q534" s="4">
        <v>5420</v>
      </c>
      <c r="R534" s="4">
        <v>4930</v>
      </c>
      <c r="S534" s="4">
        <v>94</v>
      </c>
      <c r="T534" s="19">
        <f>(ProductionData[[#This Row],[Rejected_Qty]])/ProductionData[[#This Row],[Produced_Qty]]</f>
        <v>1.9066937119675456E-2</v>
      </c>
      <c r="U534" s="19">
        <f>ProductionData[[#This Row],[Produced_Qty]]/ProductionData[[#This Row],[Planned_Qty]]</f>
        <v>0.90959409594095941</v>
      </c>
      <c r="V534" s="2" t="s">
        <v>89</v>
      </c>
      <c r="W534" s="11">
        <v>0</v>
      </c>
      <c r="X534" s="13">
        <f>W534/60</f>
        <v>0</v>
      </c>
      <c r="Y534" s="2" t="s">
        <v>90</v>
      </c>
      <c r="Z534" s="2">
        <v>58</v>
      </c>
      <c r="AA534" s="2">
        <f>ProductionData[[#This Row],[Rejected_Qty]]*ProductionData[[#This Row],[Unit_Cost_INR]]</f>
        <v>5452</v>
      </c>
      <c r="AB534" s="4">
        <v>21985</v>
      </c>
      <c r="AC534" s="4">
        <v>5010</v>
      </c>
      <c r="AD534" s="4">
        <v>5010</v>
      </c>
      <c r="AE534" s="4">
        <v>21811</v>
      </c>
      <c r="AF534" s="4">
        <v>9000</v>
      </c>
    </row>
    <row r="535" spans="1:32">
      <c r="A535" s="2" t="s">
        <v>1198</v>
      </c>
      <c r="B535" s="3">
        <v>46161</v>
      </c>
      <c r="C535" s="36" t="s">
        <v>790</v>
      </c>
      <c r="D535" s="2">
        <f>MONTH(ProductionData[[#This Row],[Month]])</f>
        <v>5</v>
      </c>
      <c r="E535" s="2" t="s">
        <v>92</v>
      </c>
      <c r="F535" s="2" t="s">
        <v>80</v>
      </c>
      <c r="G535" s="2" t="s">
        <v>67</v>
      </c>
      <c r="H535" s="2" t="s">
        <v>68</v>
      </c>
      <c r="I535" s="2" t="s">
        <v>69</v>
      </c>
      <c r="J535" s="2" t="s">
        <v>403</v>
      </c>
      <c r="K535" s="2" t="s">
        <v>404</v>
      </c>
      <c r="L535" s="2" t="s">
        <v>1199</v>
      </c>
      <c r="M535" s="2" t="s">
        <v>87</v>
      </c>
      <c r="N535" s="2" t="s">
        <v>88</v>
      </c>
      <c r="O535" s="2">
        <v>16</v>
      </c>
      <c r="P535" s="2">
        <v>14</v>
      </c>
      <c r="Q535" s="4">
        <v>6200</v>
      </c>
      <c r="R535" s="4">
        <v>5670</v>
      </c>
      <c r="S535" s="4">
        <v>198</v>
      </c>
      <c r="T535" s="19">
        <f>(ProductionData[[#This Row],[Rejected_Qty]])/ProductionData[[#This Row],[Produced_Qty]]</f>
        <v>3.4920634920634921E-2</v>
      </c>
      <c r="U535" s="19">
        <f>ProductionData[[#This Row],[Produced_Qty]]/ProductionData[[#This Row],[Planned_Qty]]</f>
        <v>0.9145161290322581</v>
      </c>
      <c r="V535" s="2" t="s">
        <v>109</v>
      </c>
      <c r="W535" s="11">
        <v>0</v>
      </c>
      <c r="X535" s="13">
        <f>W535/60</f>
        <v>0</v>
      </c>
      <c r="Y535" s="2" t="s">
        <v>90</v>
      </c>
      <c r="Z535" s="2">
        <v>58</v>
      </c>
      <c r="AA535" s="2">
        <f>ProductionData[[#This Row],[Rejected_Qty]]*ProductionData[[#This Row],[Unit_Cost_INR]]</f>
        <v>11484</v>
      </c>
      <c r="AB535" s="4">
        <v>22279</v>
      </c>
      <c r="AC535" s="4">
        <v>5980</v>
      </c>
      <c r="AD535" s="4">
        <v>5980</v>
      </c>
      <c r="AE535" s="4">
        <v>21771</v>
      </c>
      <c r="AF535" s="4">
        <v>9000</v>
      </c>
    </row>
    <row r="536" spans="1:32">
      <c r="A536" s="2" t="s">
        <v>1200</v>
      </c>
      <c r="B536" s="3">
        <v>46167</v>
      </c>
      <c r="C536" s="36" t="s">
        <v>790</v>
      </c>
      <c r="D536" s="2">
        <f>MONTH(ProductionData[[#This Row],[Month]])</f>
        <v>5</v>
      </c>
      <c r="E536" s="2" t="s">
        <v>116</v>
      </c>
      <c r="F536" s="2" t="s">
        <v>66</v>
      </c>
      <c r="G536" s="2" t="s">
        <v>67</v>
      </c>
      <c r="H536" s="2" t="s">
        <v>68</v>
      </c>
      <c r="I536" s="2" t="s">
        <v>69</v>
      </c>
      <c r="J536" s="2" t="s">
        <v>403</v>
      </c>
      <c r="K536" s="2" t="s">
        <v>404</v>
      </c>
      <c r="L536" s="2" t="s">
        <v>1201</v>
      </c>
      <c r="M536" s="2" t="s">
        <v>99</v>
      </c>
      <c r="N536" s="2" t="s">
        <v>96</v>
      </c>
      <c r="O536" s="2">
        <v>16</v>
      </c>
      <c r="P536" s="2">
        <v>14</v>
      </c>
      <c r="Q536" s="4">
        <v>6310</v>
      </c>
      <c r="R536" s="4">
        <v>5740</v>
      </c>
      <c r="S536" s="4">
        <v>120</v>
      </c>
      <c r="T536" s="19">
        <f>(ProductionData[[#This Row],[Rejected_Qty]])/ProductionData[[#This Row],[Produced_Qty]]</f>
        <v>2.0905923344947737E-2</v>
      </c>
      <c r="U536" s="19">
        <f>ProductionData[[#This Row],[Produced_Qty]]/ProductionData[[#This Row],[Planned_Qty]]</f>
        <v>0.90966719492868464</v>
      </c>
      <c r="V536" s="2" t="s">
        <v>103</v>
      </c>
      <c r="W536" s="11">
        <v>0</v>
      </c>
      <c r="X536" s="13">
        <f>W536/60</f>
        <v>0</v>
      </c>
      <c r="Y536" s="2" t="s">
        <v>90</v>
      </c>
      <c r="Z536" s="2">
        <v>58</v>
      </c>
      <c r="AA536" s="2">
        <f>ProductionData[[#This Row],[Rejected_Qty]]*ProductionData[[#This Row],[Unit_Cost_INR]]</f>
        <v>6960</v>
      </c>
      <c r="AB536" s="4">
        <v>22126</v>
      </c>
      <c r="AC536" s="4">
        <v>6000</v>
      </c>
      <c r="AD536" s="4">
        <v>6000</v>
      </c>
      <c r="AE536" s="4">
        <v>21746</v>
      </c>
      <c r="AF536" s="4">
        <v>9000</v>
      </c>
    </row>
    <row r="537" spans="1:32">
      <c r="A537" s="2" t="s">
        <v>1202</v>
      </c>
      <c r="B537" s="3">
        <v>46155</v>
      </c>
      <c r="C537" s="36" t="s">
        <v>790</v>
      </c>
      <c r="D537" s="2">
        <f>MONTH(ProductionData[[#This Row],[Month]])</f>
        <v>5</v>
      </c>
      <c r="E537" s="2" t="s">
        <v>79</v>
      </c>
      <c r="F537" s="2" t="s">
        <v>80</v>
      </c>
      <c r="G537" s="2" t="s">
        <v>67</v>
      </c>
      <c r="H537" s="2" t="s">
        <v>68</v>
      </c>
      <c r="I537" s="2" t="s">
        <v>69</v>
      </c>
      <c r="J537" s="2" t="s">
        <v>403</v>
      </c>
      <c r="K537" s="2" t="s">
        <v>404</v>
      </c>
      <c r="L537" s="2" t="s">
        <v>1203</v>
      </c>
      <c r="M537" s="2" t="s">
        <v>102</v>
      </c>
      <c r="N537" s="2" t="s">
        <v>96</v>
      </c>
      <c r="O537" s="2">
        <v>16</v>
      </c>
      <c r="P537" s="2">
        <v>14</v>
      </c>
      <c r="Q537" s="4">
        <v>6170</v>
      </c>
      <c r="R537" s="4">
        <v>5610</v>
      </c>
      <c r="S537" s="4">
        <v>171</v>
      </c>
      <c r="T537" s="19">
        <f>(ProductionData[[#This Row],[Rejected_Qty]])/ProductionData[[#This Row],[Produced_Qty]]</f>
        <v>3.0481283422459891E-2</v>
      </c>
      <c r="U537" s="19">
        <f>ProductionData[[#This Row],[Produced_Qty]]/ProductionData[[#This Row],[Planned_Qty]]</f>
        <v>0.90923824959481359</v>
      </c>
      <c r="V537" s="2" t="s">
        <v>75</v>
      </c>
      <c r="W537" s="11">
        <v>0</v>
      </c>
      <c r="X537" s="13">
        <f>W537/60</f>
        <v>0</v>
      </c>
      <c r="Y537" s="2" t="s">
        <v>90</v>
      </c>
      <c r="Z537" s="2">
        <v>58</v>
      </c>
      <c r="AA537" s="2">
        <f>ProductionData[[#This Row],[Rejected_Qty]]*ProductionData[[#This Row],[Unit_Cost_INR]]</f>
        <v>9918</v>
      </c>
      <c r="AB537" s="4">
        <v>22372</v>
      </c>
      <c r="AC537" s="4">
        <v>6090</v>
      </c>
      <c r="AD537" s="4">
        <v>6090</v>
      </c>
      <c r="AE537" s="4">
        <v>21721</v>
      </c>
      <c r="AF537" s="4">
        <v>9000</v>
      </c>
    </row>
    <row r="538" spans="1:32">
      <c r="A538" s="2" t="s">
        <v>1204</v>
      </c>
      <c r="B538" s="3">
        <v>46171</v>
      </c>
      <c r="C538" s="36" t="s">
        <v>790</v>
      </c>
      <c r="D538" s="2">
        <f>MONTH(ProductionData[[#This Row],[Month]])</f>
        <v>5</v>
      </c>
      <c r="E538" s="2" t="s">
        <v>125</v>
      </c>
      <c r="F538" s="2" t="s">
        <v>80</v>
      </c>
      <c r="G538" s="2" t="s">
        <v>67</v>
      </c>
      <c r="H538" s="2" t="s">
        <v>68</v>
      </c>
      <c r="I538" s="2" t="s">
        <v>69</v>
      </c>
      <c r="J538" s="2" t="s">
        <v>403</v>
      </c>
      <c r="K538" s="2" t="s">
        <v>404</v>
      </c>
      <c r="L538" s="2" t="s">
        <v>1205</v>
      </c>
      <c r="M538" s="2" t="s">
        <v>87</v>
      </c>
      <c r="N538" s="2" t="s">
        <v>96</v>
      </c>
      <c r="O538" s="2">
        <v>16</v>
      </c>
      <c r="P538" s="2">
        <v>15</v>
      </c>
      <c r="Q538" s="4">
        <v>6410</v>
      </c>
      <c r="R538" s="4">
        <v>6280</v>
      </c>
      <c r="S538" s="4">
        <v>192</v>
      </c>
      <c r="T538" s="19">
        <f>(ProductionData[[#This Row],[Rejected_Qty]])/ProductionData[[#This Row],[Produced_Qty]]</f>
        <v>3.0573248407643312E-2</v>
      </c>
      <c r="U538" s="19">
        <f>ProductionData[[#This Row],[Produced_Qty]]/ProductionData[[#This Row],[Planned_Qty]]</f>
        <v>0.97971918876755071</v>
      </c>
      <c r="V538" s="2" t="s">
        <v>103</v>
      </c>
      <c r="W538" s="11">
        <v>0</v>
      </c>
      <c r="X538" s="13">
        <f>W538/60</f>
        <v>0</v>
      </c>
      <c r="Y538" s="2" t="s">
        <v>90</v>
      </c>
      <c r="Z538" s="2">
        <v>58</v>
      </c>
      <c r="AA538" s="2">
        <f>ProductionData[[#This Row],[Rejected_Qty]]*ProductionData[[#This Row],[Unit_Cost_INR]]</f>
        <v>11136</v>
      </c>
      <c r="AB538" s="4">
        <v>21263</v>
      </c>
      <c r="AC538" s="4">
        <v>5670</v>
      </c>
      <c r="AD538" s="4">
        <v>5670</v>
      </c>
      <c r="AE538" s="4">
        <v>21681</v>
      </c>
      <c r="AF538" s="4">
        <v>9000</v>
      </c>
    </row>
    <row r="539" spans="1:32">
      <c r="A539" s="2" t="s">
        <v>1206</v>
      </c>
      <c r="B539" s="3">
        <v>46162</v>
      </c>
      <c r="C539" s="36" t="s">
        <v>790</v>
      </c>
      <c r="D539" s="2">
        <f>MONTH(ProductionData[[#This Row],[Month]])</f>
        <v>5</v>
      </c>
      <c r="E539" s="2" t="s">
        <v>79</v>
      </c>
      <c r="F539" s="2" t="s">
        <v>93</v>
      </c>
      <c r="G539" s="2" t="s">
        <v>67</v>
      </c>
      <c r="H539" s="2" t="s">
        <v>68</v>
      </c>
      <c r="I539" s="2" t="s">
        <v>69</v>
      </c>
      <c r="J539" s="2" t="s">
        <v>403</v>
      </c>
      <c r="K539" s="2" t="s">
        <v>404</v>
      </c>
      <c r="L539" s="2" t="s">
        <v>1207</v>
      </c>
      <c r="M539" s="2" t="s">
        <v>133</v>
      </c>
      <c r="N539" s="2" t="s">
        <v>96</v>
      </c>
      <c r="O539" s="2">
        <v>16</v>
      </c>
      <c r="P539" s="2">
        <v>15</v>
      </c>
      <c r="Q539" s="4">
        <v>5720</v>
      </c>
      <c r="R539" s="4">
        <v>5200</v>
      </c>
      <c r="S539" s="4">
        <v>175</v>
      </c>
      <c r="T539" s="19">
        <f>(ProductionData[[#This Row],[Rejected_Qty]])/ProductionData[[#This Row],[Produced_Qty]]</f>
        <v>3.3653846153846152E-2</v>
      </c>
      <c r="U539" s="19">
        <f>ProductionData[[#This Row],[Produced_Qty]]/ProductionData[[#This Row],[Planned_Qty]]</f>
        <v>0.90909090909090906</v>
      </c>
      <c r="V539" s="2" t="s">
        <v>75</v>
      </c>
      <c r="W539" s="11">
        <v>0</v>
      </c>
      <c r="X539" s="13">
        <f>W539/60</f>
        <v>0</v>
      </c>
      <c r="Y539" s="2" t="s">
        <v>90</v>
      </c>
      <c r="Z539" s="2">
        <v>58</v>
      </c>
      <c r="AA539" s="2">
        <f>ProductionData[[#This Row],[Rejected_Qty]]*ProductionData[[#This Row],[Unit_Cost_INR]]</f>
        <v>10150</v>
      </c>
      <c r="AB539" s="4">
        <v>22004</v>
      </c>
      <c r="AC539" s="4">
        <v>5410</v>
      </c>
      <c r="AD539" s="4">
        <v>5410</v>
      </c>
      <c r="AE539" s="4">
        <v>21619</v>
      </c>
      <c r="AF539" s="4">
        <v>9000</v>
      </c>
    </row>
    <row r="540" spans="1:32">
      <c r="A540" s="2" t="s">
        <v>1208</v>
      </c>
      <c r="B540" s="3">
        <v>46145</v>
      </c>
      <c r="C540" s="36" t="s">
        <v>790</v>
      </c>
      <c r="D540" s="2">
        <f>MONTH(ProductionData[[#This Row],[Month]])</f>
        <v>5</v>
      </c>
      <c r="E540" s="2" t="s">
        <v>186</v>
      </c>
      <c r="F540" s="2" t="s">
        <v>80</v>
      </c>
      <c r="G540" s="2" t="s">
        <v>67</v>
      </c>
      <c r="H540" s="2" t="s">
        <v>68</v>
      </c>
      <c r="I540" s="2" t="s">
        <v>69</v>
      </c>
      <c r="J540" s="2" t="s">
        <v>70</v>
      </c>
      <c r="K540" s="2" t="s">
        <v>71</v>
      </c>
      <c r="L540" s="2" t="s">
        <v>1209</v>
      </c>
      <c r="M540" s="2" t="s">
        <v>87</v>
      </c>
      <c r="N540" s="2" t="s">
        <v>96</v>
      </c>
      <c r="O540" s="2">
        <v>16</v>
      </c>
      <c r="P540" s="2">
        <v>13</v>
      </c>
      <c r="Q540" s="4">
        <v>5270</v>
      </c>
      <c r="R540" s="4">
        <v>4570</v>
      </c>
      <c r="S540" s="4">
        <v>93</v>
      </c>
      <c r="T540" s="19">
        <f>(ProductionData[[#This Row],[Rejected_Qty]])/ProductionData[[#This Row],[Produced_Qty]]</f>
        <v>2.0350109409190371E-2</v>
      </c>
      <c r="U540" s="19">
        <f>ProductionData[[#This Row],[Produced_Qty]]/ProductionData[[#This Row],[Planned_Qty]]</f>
        <v>0.86717267552182165</v>
      </c>
      <c r="V540" s="2" t="s">
        <v>103</v>
      </c>
      <c r="W540" s="11">
        <v>12</v>
      </c>
      <c r="X540" s="13">
        <f>W540/60</f>
        <v>0.2</v>
      </c>
      <c r="Y540" s="2" t="s">
        <v>76</v>
      </c>
      <c r="Z540" s="2">
        <v>46</v>
      </c>
      <c r="AA540" s="2">
        <f>ProductionData[[#This Row],[Rejected_Qty]]*ProductionData[[#This Row],[Unit_Cost_INR]]</f>
        <v>4278</v>
      </c>
      <c r="AB540" s="4">
        <v>21925</v>
      </c>
      <c r="AC540" s="4">
        <v>4840</v>
      </c>
      <c r="AD540" s="4">
        <v>4840</v>
      </c>
      <c r="AE540" s="4">
        <v>21562</v>
      </c>
      <c r="AF540" s="4">
        <v>10500</v>
      </c>
    </row>
    <row r="541" spans="1:32">
      <c r="A541" s="2" t="s">
        <v>1210</v>
      </c>
      <c r="B541" s="3">
        <v>46171</v>
      </c>
      <c r="C541" s="36" t="s">
        <v>790</v>
      </c>
      <c r="D541" s="2">
        <f>MONTH(ProductionData[[#This Row],[Month]])</f>
        <v>5</v>
      </c>
      <c r="E541" s="2" t="s">
        <v>125</v>
      </c>
      <c r="F541" s="2" t="s">
        <v>80</v>
      </c>
      <c r="G541" s="2" t="s">
        <v>195</v>
      </c>
      <c r="H541" s="2" t="s">
        <v>196</v>
      </c>
      <c r="I541" s="2" t="s">
        <v>197</v>
      </c>
      <c r="J541" s="2" t="s">
        <v>269</v>
      </c>
      <c r="K541" s="2" t="s">
        <v>270</v>
      </c>
      <c r="L541" s="2" t="s">
        <v>1211</v>
      </c>
      <c r="M541" s="2" t="s">
        <v>102</v>
      </c>
      <c r="N541" s="2" t="s">
        <v>96</v>
      </c>
      <c r="O541" s="2">
        <v>14</v>
      </c>
      <c r="P541" s="2">
        <v>13</v>
      </c>
      <c r="Q541" s="4">
        <v>7670</v>
      </c>
      <c r="R541" s="4">
        <v>7290</v>
      </c>
      <c r="S541" s="4">
        <v>134</v>
      </c>
      <c r="T541" s="19">
        <f>(ProductionData[[#This Row],[Rejected_Qty]])/ProductionData[[#This Row],[Produced_Qty]]</f>
        <v>1.8381344307270234E-2</v>
      </c>
      <c r="U541" s="19">
        <f>ProductionData[[#This Row],[Produced_Qty]]/ProductionData[[#This Row],[Planned_Qty]]</f>
        <v>0.95045632333767927</v>
      </c>
      <c r="V541" s="2" t="s">
        <v>89</v>
      </c>
      <c r="W541" s="11">
        <v>15</v>
      </c>
      <c r="X541" s="13">
        <f>W541/60</f>
        <v>0.25</v>
      </c>
      <c r="Y541" s="2" t="s">
        <v>110</v>
      </c>
      <c r="Z541" s="2">
        <v>42</v>
      </c>
      <c r="AA541" s="2">
        <f>ProductionData[[#This Row],[Rejected_Qty]]*ProductionData[[#This Row],[Unit_Cost_INR]]</f>
        <v>5628</v>
      </c>
      <c r="AB541" s="4">
        <v>21254</v>
      </c>
      <c r="AC541" s="4">
        <v>6910</v>
      </c>
      <c r="AD541" s="4">
        <v>6910</v>
      </c>
      <c r="AE541" s="4">
        <v>21500</v>
      </c>
      <c r="AF541" s="4">
        <v>12000</v>
      </c>
    </row>
    <row r="542" spans="1:32">
      <c r="A542" s="2" t="s">
        <v>1212</v>
      </c>
      <c r="B542" s="3">
        <v>46173</v>
      </c>
      <c r="C542" s="36" t="s">
        <v>790</v>
      </c>
      <c r="D542" s="2">
        <f>MONTH(ProductionData[[#This Row],[Month]])</f>
        <v>5</v>
      </c>
      <c r="E542" s="2" t="s">
        <v>186</v>
      </c>
      <c r="F542" s="2" t="s">
        <v>80</v>
      </c>
      <c r="G542" s="2" t="s">
        <v>195</v>
      </c>
      <c r="H542" s="2" t="s">
        <v>196</v>
      </c>
      <c r="I542" s="2" t="s">
        <v>197</v>
      </c>
      <c r="J542" s="2" t="s">
        <v>269</v>
      </c>
      <c r="K542" s="2" t="s">
        <v>270</v>
      </c>
      <c r="L542" s="2" t="s">
        <v>1213</v>
      </c>
      <c r="M542" s="2" t="s">
        <v>87</v>
      </c>
      <c r="N542" s="2" t="s">
        <v>96</v>
      </c>
      <c r="O542" s="2">
        <v>14</v>
      </c>
      <c r="P542" s="2">
        <v>14</v>
      </c>
      <c r="Q542" s="4">
        <v>5300</v>
      </c>
      <c r="R542" s="4">
        <v>5240</v>
      </c>
      <c r="S542" s="4">
        <v>135</v>
      </c>
      <c r="T542" s="19">
        <f>(ProductionData[[#This Row],[Rejected_Qty]])/ProductionData[[#This Row],[Produced_Qty]]</f>
        <v>2.5763358778625955E-2</v>
      </c>
      <c r="U542" s="19">
        <f>ProductionData[[#This Row],[Produced_Qty]]/ProductionData[[#This Row],[Planned_Qty]]</f>
        <v>0.98867924528301887</v>
      </c>
      <c r="V542" s="2" t="s">
        <v>75</v>
      </c>
      <c r="W542" s="11">
        <v>49</v>
      </c>
      <c r="X542" s="13">
        <f>W542/60</f>
        <v>0.81666666666666665</v>
      </c>
      <c r="Y542" s="2" t="s">
        <v>76</v>
      </c>
      <c r="Z542" s="2">
        <v>42</v>
      </c>
      <c r="AA542" s="2">
        <f>ProductionData[[#This Row],[Rejected_Qty]]*ProductionData[[#This Row],[Unit_Cost_INR]]</f>
        <v>5670</v>
      </c>
      <c r="AB542" s="4">
        <v>21253</v>
      </c>
      <c r="AC542" s="4">
        <v>4900</v>
      </c>
      <c r="AD542" s="4">
        <v>4900</v>
      </c>
      <c r="AE542" s="4">
        <v>21458</v>
      </c>
      <c r="AF542" s="4">
        <v>12000</v>
      </c>
    </row>
    <row r="543" spans="1:32">
      <c r="A543" s="2" t="s">
        <v>1214</v>
      </c>
      <c r="B543" s="3">
        <v>46146</v>
      </c>
      <c r="C543" s="36" t="s">
        <v>790</v>
      </c>
      <c r="D543" s="2">
        <f>MONTH(ProductionData[[#This Row],[Month]])</f>
        <v>5</v>
      </c>
      <c r="E543" s="2" t="s">
        <v>116</v>
      </c>
      <c r="F543" s="2" t="s">
        <v>66</v>
      </c>
      <c r="G543" s="2" t="s">
        <v>67</v>
      </c>
      <c r="H543" s="2" t="s">
        <v>68</v>
      </c>
      <c r="I543" s="2" t="s">
        <v>69</v>
      </c>
      <c r="J543" s="2" t="s">
        <v>70</v>
      </c>
      <c r="K543" s="2" t="s">
        <v>71</v>
      </c>
      <c r="L543" s="2" t="s">
        <v>1215</v>
      </c>
      <c r="M543" s="2" t="s">
        <v>73</v>
      </c>
      <c r="N543" s="2" t="s">
        <v>96</v>
      </c>
      <c r="O543" s="2">
        <v>16</v>
      </c>
      <c r="P543" s="2">
        <v>15</v>
      </c>
      <c r="Q543" s="4">
        <v>6640</v>
      </c>
      <c r="R543" s="4">
        <v>6140</v>
      </c>
      <c r="S543" s="4">
        <v>156</v>
      </c>
      <c r="T543" s="19">
        <f>(ProductionData[[#This Row],[Rejected_Qty]])/ProductionData[[#This Row],[Produced_Qty]]</f>
        <v>2.5407166123778503E-2</v>
      </c>
      <c r="U543" s="19">
        <f>ProductionData[[#This Row],[Produced_Qty]]/ProductionData[[#This Row],[Planned_Qty]]</f>
        <v>0.92469879518072284</v>
      </c>
      <c r="V543" s="2" t="s">
        <v>103</v>
      </c>
      <c r="W543" s="11">
        <v>40</v>
      </c>
      <c r="X543" s="13">
        <f>W543/60</f>
        <v>0.66666666666666663</v>
      </c>
      <c r="Y543" s="2" t="s">
        <v>182</v>
      </c>
      <c r="Z543" s="2">
        <v>46</v>
      </c>
      <c r="AA543" s="2">
        <f>ProductionData[[#This Row],[Rejected_Qty]]*ProductionData[[#This Row],[Unit_Cost_INR]]</f>
        <v>7176</v>
      </c>
      <c r="AB543" s="4">
        <v>21562</v>
      </c>
      <c r="AC543" s="4">
        <v>6230</v>
      </c>
      <c r="AD543" s="4">
        <v>6230</v>
      </c>
      <c r="AE543" s="4">
        <v>21316</v>
      </c>
      <c r="AF543" s="4">
        <v>10500</v>
      </c>
    </row>
    <row r="544" spans="1:32">
      <c r="A544" s="2" t="s">
        <v>1216</v>
      </c>
      <c r="B544" s="3">
        <v>46167</v>
      </c>
      <c r="C544" s="36" t="s">
        <v>790</v>
      </c>
      <c r="D544" s="2">
        <f>MONTH(ProductionData[[#This Row],[Month]])</f>
        <v>5</v>
      </c>
      <c r="E544" s="2" t="s">
        <v>116</v>
      </c>
      <c r="F544" s="2" t="s">
        <v>93</v>
      </c>
      <c r="G544" s="2" t="s">
        <v>67</v>
      </c>
      <c r="H544" s="2" t="s">
        <v>68</v>
      </c>
      <c r="I544" s="2" t="s">
        <v>69</v>
      </c>
      <c r="J544" s="2" t="s">
        <v>403</v>
      </c>
      <c r="K544" s="2" t="s">
        <v>404</v>
      </c>
      <c r="L544" s="2" t="s">
        <v>1217</v>
      </c>
      <c r="M544" s="2" t="s">
        <v>95</v>
      </c>
      <c r="N544" s="2" t="s">
        <v>96</v>
      </c>
      <c r="O544" s="2">
        <v>16</v>
      </c>
      <c r="P544" s="2">
        <v>13</v>
      </c>
      <c r="Q544" s="4">
        <v>5630</v>
      </c>
      <c r="R544" s="4">
        <v>4870</v>
      </c>
      <c r="S544" s="4">
        <v>43</v>
      </c>
      <c r="T544" s="19">
        <f>(ProductionData[[#This Row],[Rejected_Qty]])/ProductionData[[#This Row],[Produced_Qty]]</f>
        <v>8.8295687885010261E-3</v>
      </c>
      <c r="U544" s="19">
        <f>ProductionData[[#This Row],[Produced_Qty]]/ProductionData[[#This Row],[Planned_Qty]]</f>
        <v>0.86500888099467144</v>
      </c>
      <c r="V544" s="2" t="s">
        <v>89</v>
      </c>
      <c r="W544" s="11">
        <v>0</v>
      </c>
      <c r="X544" s="13">
        <f>W544/60</f>
        <v>0</v>
      </c>
      <c r="Y544" s="2" t="s">
        <v>90</v>
      </c>
      <c r="Z544" s="2">
        <v>58</v>
      </c>
      <c r="AA544" s="2">
        <f>ProductionData[[#This Row],[Rejected_Qty]]*ProductionData[[#This Row],[Unit_Cost_INR]]</f>
        <v>2494</v>
      </c>
      <c r="AB544" s="4">
        <v>21746</v>
      </c>
      <c r="AC544" s="4">
        <v>5310</v>
      </c>
      <c r="AD544" s="4">
        <v>5310</v>
      </c>
      <c r="AE544" s="4">
        <v>21263</v>
      </c>
      <c r="AF544" s="4">
        <v>9000</v>
      </c>
    </row>
    <row r="545" spans="1:32">
      <c r="A545" s="2" t="s">
        <v>1218</v>
      </c>
      <c r="B545" s="3">
        <v>46170</v>
      </c>
      <c r="C545" s="36" t="s">
        <v>790</v>
      </c>
      <c r="D545" s="2">
        <f>MONTH(ProductionData[[#This Row],[Month]])</f>
        <v>5</v>
      </c>
      <c r="E545" s="2" t="s">
        <v>107</v>
      </c>
      <c r="F545" s="2" t="s">
        <v>80</v>
      </c>
      <c r="G545" s="2" t="s">
        <v>195</v>
      </c>
      <c r="H545" s="2" t="s">
        <v>196</v>
      </c>
      <c r="I545" s="2" t="s">
        <v>197</v>
      </c>
      <c r="J545" s="2" t="s">
        <v>269</v>
      </c>
      <c r="K545" s="2" t="s">
        <v>270</v>
      </c>
      <c r="L545" s="2" t="s">
        <v>1219</v>
      </c>
      <c r="M545" s="2" t="s">
        <v>102</v>
      </c>
      <c r="N545" s="2" t="s">
        <v>96</v>
      </c>
      <c r="O545" s="2">
        <v>14</v>
      </c>
      <c r="P545" s="2">
        <v>13</v>
      </c>
      <c r="Q545" s="4">
        <v>8310</v>
      </c>
      <c r="R545" s="4">
        <v>7960</v>
      </c>
      <c r="S545" s="4">
        <v>127</v>
      </c>
      <c r="T545" s="19">
        <f>(ProductionData[[#This Row],[Rejected_Qty]])/ProductionData[[#This Row],[Produced_Qty]]</f>
        <v>1.5954773869346732E-2</v>
      </c>
      <c r="U545" s="19">
        <f>ProductionData[[#This Row],[Produced_Qty]]/ProductionData[[#This Row],[Planned_Qty]]</f>
        <v>0.95788206979542723</v>
      </c>
      <c r="V545" s="2" t="s">
        <v>113</v>
      </c>
      <c r="W545" s="11">
        <v>32</v>
      </c>
      <c r="X545" s="13">
        <f>W545/60</f>
        <v>0.53333333333333333</v>
      </c>
      <c r="Y545" s="2" t="s">
        <v>110</v>
      </c>
      <c r="Z545" s="2">
        <v>42</v>
      </c>
      <c r="AA545" s="2">
        <f>ProductionData[[#This Row],[Rejected_Qty]]*ProductionData[[#This Row],[Unit_Cost_INR]]</f>
        <v>5334</v>
      </c>
      <c r="AB545" s="4">
        <v>20411</v>
      </c>
      <c r="AC545" s="4">
        <v>6990</v>
      </c>
      <c r="AD545" s="4">
        <v>6990</v>
      </c>
      <c r="AE545" s="4">
        <v>21254</v>
      </c>
      <c r="AF545" s="4">
        <v>12000</v>
      </c>
    </row>
    <row r="546" spans="1:32">
      <c r="A546" s="2" t="s">
        <v>1220</v>
      </c>
      <c r="B546" s="3">
        <v>46172</v>
      </c>
      <c r="C546" s="36" t="s">
        <v>790</v>
      </c>
      <c r="D546" s="2">
        <f>MONTH(ProductionData[[#This Row],[Month]])</f>
        <v>5</v>
      </c>
      <c r="E546" s="2" t="s">
        <v>65</v>
      </c>
      <c r="F546" s="2" t="s">
        <v>93</v>
      </c>
      <c r="G546" s="2" t="s">
        <v>195</v>
      </c>
      <c r="H546" s="2" t="s">
        <v>196</v>
      </c>
      <c r="I546" s="2" t="s">
        <v>197</v>
      </c>
      <c r="J546" s="2" t="s">
        <v>269</v>
      </c>
      <c r="K546" s="2" t="s">
        <v>270</v>
      </c>
      <c r="L546" s="2" t="s">
        <v>1221</v>
      </c>
      <c r="M546" s="2" t="s">
        <v>133</v>
      </c>
      <c r="N546" s="2" t="s">
        <v>88</v>
      </c>
      <c r="O546" s="2">
        <v>14</v>
      </c>
      <c r="P546" s="2">
        <v>11</v>
      </c>
      <c r="Q546" s="4">
        <v>8180</v>
      </c>
      <c r="R546" s="4">
        <v>7110</v>
      </c>
      <c r="S546" s="4">
        <v>197</v>
      </c>
      <c r="T546" s="19">
        <f>(ProductionData[[#This Row],[Rejected_Qty]])/ProductionData[[#This Row],[Produced_Qty]]</f>
        <v>2.7707454289732772E-2</v>
      </c>
      <c r="U546" s="19">
        <f>ProductionData[[#This Row],[Produced_Qty]]/ProductionData[[#This Row],[Planned_Qty]]</f>
        <v>0.86919315403422981</v>
      </c>
      <c r="V546" s="2" t="s">
        <v>113</v>
      </c>
      <c r="W546" s="11">
        <v>0</v>
      </c>
      <c r="X546" s="13">
        <f>W546/60</f>
        <v>0</v>
      </c>
      <c r="Y546" s="2" t="s">
        <v>90</v>
      </c>
      <c r="Z546" s="2">
        <v>42</v>
      </c>
      <c r="AA546" s="2">
        <f>ProductionData[[#This Row],[Rejected_Qty]]*ProductionData[[#This Row],[Unit_Cost_INR]]</f>
        <v>8274</v>
      </c>
      <c r="AB546" s="4">
        <v>21500</v>
      </c>
      <c r="AC546" s="4">
        <v>7160</v>
      </c>
      <c r="AD546" s="4">
        <v>7160</v>
      </c>
      <c r="AE546" s="4">
        <v>21253</v>
      </c>
      <c r="AF546" s="4">
        <v>12000</v>
      </c>
    </row>
    <row r="547" spans="1:32">
      <c r="A547" s="2" t="s">
        <v>1222</v>
      </c>
      <c r="B547" s="3">
        <v>46164</v>
      </c>
      <c r="C547" s="36" t="s">
        <v>790</v>
      </c>
      <c r="D547" s="2">
        <f>MONTH(ProductionData[[#This Row],[Month]])</f>
        <v>5</v>
      </c>
      <c r="E547" s="2" t="s">
        <v>125</v>
      </c>
      <c r="F547" s="2" t="s">
        <v>80</v>
      </c>
      <c r="G547" s="2" t="s">
        <v>67</v>
      </c>
      <c r="H547" s="2" t="s">
        <v>68</v>
      </c>
      <c r="I547" s="2" t="s">
        <v>69</v>
      </c>
      <c r="J547" s="2" t="s">
        <v>403</v>
      </c>
      <c r="K547" s="2" t="s">
        <v>404</v>
      </c>
      <c r="L547" s="2" t="s">
        <v>1223</v>
      </c>
      <c r="M547" s="2" t="s">
        <v>87</v>
      </c>
      <c r="N547" s="2" t="s">
        <v>96</v>
      </c>
      <c r="O547" s="2">
        <v>16</v>
      </c>
      <c r="P547" s="2">
        <v>15</v>
      </c>
      <c r="Q547" s="4">
        <v>6170</v>
      </c>
      <c r="R547" s="4">
        <v>5630</v>
      </c>
      <c r="S547" s="4">
        <v>145</v>
      </c>
      <c r="T547" s="19">
        <f>(ProductionData[[#This Row],[Rejected_Qty]])/ProductionData[[#This Row],[Produced_Qty]]</f>
        <v>2.5754884547069271E-2</v>
      </c>
      <c r="U547" s="19">
        <f>ProductionData[[#This Row],[Produced_Qty]]/ProductionData[[#This Row],[Planned_Qty]]</f>
        <v>0.91247974068071314</v>
      </c>
      <c r="V547" s="2" t="s">
        <v>75</v>
      </c>
      <c r="W547" s="11">
        <v>46</v>
      </c>
      <c r="X547" s="13">
        <f>W547/60</f>
        <v>0.76666666666666672</v>
      </c>
      <c r="Y547" s="2" t="s">
        <v>76</v>
      </c>
      <c r="Z547" s="2">
        <v>58</v>
      </c>
      <c r="AA547" s="2">
        <f>ProductionData[[#This Row],[Rejected_Qty]]*ProductionData[[#This Row],[Unit_Cost_INR]]</f>
        <v>8410</v>
      </c>
      <c r="AB547" s="4">
        <v>21214</v>
      </c>
      <c r="AC547" s="4">
        <v>5450</v>
      </c>
      <c r="AD547" s="4">
        <v>5450</v>
      </c>
      <c r="AE547" s="4">
        <v>21249</v>
      </c>
      <c r="AF547" s="4">
        <v>9000</v>
      </c>
    </row>
    <row r="548" spans="1:32">
      <c r="A548" s="2" t="s">
        <v>1224</v>
      </c>
      <c r="B548" s="3">
        <v>46168</v>
      </c>
      <c r="C548" s="36" t="s">
        <v>790</v>
      </c>
      <c r="D548" s="2">
        <f>MONTH(ProductionData[[#This Row],[Month]])</f>
        <v>5</v>
      </c>
      <c r="E548" s="2" t="s">
        <v>92</v>
      </c>
      <c r="F548" s="2" t="s">
        <v>66</v>
      </c>
      <c r="G548" s="2" t="s">
        <v>195</v>
      </c>
      <c r="H548" s="2" t="s">
        <v>196</v>
      </c>
      <c r="I548" s="2" t="s">
        <v>197</v>
      </c>
      <c r="J548" s="2" t="s">
        <v>269</v>
      </c>
      <c r="K548" s="2" t="s">
        <v>270</v>
      </c>
      <c r="L548" s="2" t="s">
        <v>1225</v>
      </c>
      <c r="M548" s="2" t="s">
        <v>99</v>
      </c>
      <c r="N548" s="2" t="s">
        <v>96</v>
      </c>
      <c r="O548" s="2">
        <v>14</v>
      </c>
      <c r="P548" s="2">
        <v>11</v>
      </c>
      <c r="Q548" s="4">
        <v>8510</v>
      </c>
      <c r="R548" s="4">
        <v>7300</v>
      </c>
      <c r="S548" s="4">
        <v>172</v>
      </c>
      <c r="T548" s="19">
        <f>(ProductionData[[#This Row],[Rejected_Qty]])/ProductionData[[#This Row],[Produced_Qty]]</f>
        <v>2.3561643835616437E-2</v>
      </c>
      <c r="U548" s="19">
        <f>ProductionData[[#This Row],[Produced_Qty]]/ProductionData[[#This Row],[Planned_Qty]]</f>
        <v>0.85781433607520563</v>
      </c>
      <c r="V548" s="2" t="s">
        <v>89</v>
      </c>
      <c r="W548" s="11">
        <v>0</v>
      </c>
      <c r="X548" s="13">
        <f>W548/60</f>
        <v>0</v>
      </c>
      <c r="Y548" s="2" t="s">
        <v>90</v>
      </c>
      <c r="Z548" s="2">
        <v>42</v>
      </c>
      <c r="AA548" s="2">
        <f>ProductionData[[#This Row],[Rejected_Qty]]*ProductionData[[#This Row],[Unit_Cost_INR]]</f>
        <v>7224</v>
      </c>
      <c r="AB548" s="4">
        <v>22990</v>
      </c>
      <c r="AC548" s="4">
        <v>8900</v>
      </c>
      <c r="AD548" s="4">
        <v>8900</v>
      </c>
      <c r="AE548" s="4">
        <v>21218</v>
      </c>
      <c r="AF548" s="4">
        <v>12000</v>
      </c>
    </row>
    <row r="549" spans="1:32">
      <c r="A549" s="2" t="s">
        <v>1226</v>
      </c>
      <c r="B549" s="3">
        <v>46164</v>
      </c>
      <c r="C549" s="36" t="s">
        <v>790</v>
      </c>
      <c r="D549" s="2">
        <f>MONTH(ProductionData[[#This Row],[Month]])</f>
        <v>5</v>
      </c>
      <c r="E549" s="2" t="s">
        <v>125</v>
      </c>
      <c r="F549" s="2" t="s">
        <v>66</v>
      </c>
      <c r="G549" s="2" t="s">
        <v>67</v>
      </c>
      <c r="H549" s="2" t="s">
        <v>68</v>
      </c>
      <c r="I549" s="2" t="s">
        <v>69</v>
      </c>
      <c r="J549" s="2" t="s">
        <v>403</v>
      </c>
      <c r="K549" s="2" t="s">
        <v>404</v>
      </c>
      <c r="L549" s="2" t="s">
        <v>1227</v>
      </c>
      <c r="M549" s="2" t="s">
        <v>73</v>
      </c>
      <c r="N549" s="2" t="s">
        <v>96</v>
      </c>
      <c r="O549" s="2">
        <v>16</v>
      </c>
      <c r="P549" s="2">
        <v>16</v>
      </c>
      <c r="Q549" s="4">
        <v>5660</v>
      </c>
      <c r="R549" s="4">
        <v>5050</v>
      </c>
      <c r="S549" s="4">
        <v>85</v>
      </c>
      <c r="T549" s="19">
        <f>(ProductionData[[#This Row],[Rejected_Qty]])/ProductionData[[#This Row],[Produced_Qty]]</f>
        <v>1.6831683168316833E-2</v>
      </c>
      <c r="U549" s="19">
        <f>ProductionData[[#This Row],[Produced_Qty]]/ProductionData[[#This Row],[Planned_Qty]]</f>
        <v>0.892226148409894</v>
      </c>
      <c r="V549" s="2" t="s">
        <v>75</v>
      </c>
      <c r="W549" s="11">
        <v>51</v>
      </c>
      <c r="X549" s="13">
        <f>W549/60</f>
        <v>0.85</v>
      </c>
      <c r="Y549" s="2" t="s">
        <v>182</v>
      </c>
      <c r="Z549" s="2">
        <v>58</v>
      </c>
      <c r="AA549" s="2">
        <f>ProductionData[[#This Row],[Rejected_Qty]]*ProductionData[[#This Row],[Unit_Cost_INR]]</f>
        <v>4930</v>
      </c>
      <c r="AB549" s="4">
        <v>21619</v>
      </c>
      <c r="AC549" s="4">
        <v>5370</v>
      </c>
      <c r="AD549" s="4">
        <v>5370</v>
      </c>
      <c r="AE549" s="4">
        <v>21214</v>
      </c>
      <c r="AF549" s="4">
        <v>9000</v>
      </c>
    </row>
    <row r="550" spans="1:32">
      <c r="A550" s="2" t="s">
        <v>1228</v>
      </c>
      <c r="B550" s="3">
        <v>46171</v>
      </c>
      <c r="C550" s="36" t="s">
        <v>790</v>
      </c>
      <c r="D550" s="2">
        <f>MONTH(ProductionData[[#This Row],[Month]])</f>
        <v>5</v>
      </c>
      <c r="E550" s="2" t="s">
        <v>125</v>
      </c>
      <c r="F550" s="2" t="s">
        <v>93</v>
      </c>
      <c r="G550" s="2" t="s">
        <v>67</v>
      </c>
      <c r="H550" s="2" t="s">
        <v>68</v>
      </c>
      <c r="I550" s="2" t="s">
        <v>69</v>
      </c>
      <c r="J550" s="2" t="s">
        <v>403</v>
      </c>
      <c r="K550" s="2" t="s">
        <v>404</v>
      </c>
      <c r="L550" s="2" t="s">
        <v>1229</v>
      </c>
      <c r="M550" s="2" t="s">
        <v>133</v>
      </c>
      <c r="N550" s="2" t="s">
        <v>96</v>
      </c>
      <c r="O550" s="2">
        <v>16</v>
      </c>
      <c r="P550" s="2">
        <v>16</v>
      </c>
      <c r="Q550" s="4">
        <v>6080</v>
      </c>
      <c r="R550" s="4">
        <v>5580</v>
      </c>
      <c r="S550" s="4">
        <v>106</v>
      </c>
      <c r="T550" s="19">
        <f>(ProductionData[[#This Row],[Rejected_Qty]])/ProductionData[[#This Row],[Produced_Qty]]</f>
        <v>1.8996415770609319E-2</v>
      </c>
      <c r="U550" s="19">
        <f>ProductionData[[#This Row],[Produced_Qty]]/ProductionData[[#This Row],[Planned_Qty]]</f>
        <v>0.91776315789473684</v>
      </c>
      <c r="V550" s="2" t="s">
        <v>89</v>
      </c>
      <c r="W550" s="11">
        <v>0</v>
      </c>
      <c r="X550" s="13">
        <f>W550/60</f>
        <v>0</v>
      </c>
      <c r="Y550" s="2" t="s">
        <v>90</v>
      </c>
      <c r="Z550" s="2">
        <v>58</v>
      </c>
      <c r="AA550" s="2">
        <f>ProductionData[[#This Row],[Rejected_Qty]]*ProductionData[[#This Row],[Unit_Cost_INR]]</f>
        <v>6148</v>
      </c>
      <c r="AB550" s="4">
        <v>21681</v>
      </c>
      <c r="AC550" s="4">
        <v>6060</v>
      </c>
      <c r="AD550" s="4">
        <v>6060</v>
      </c>
      <c r="AE550" s="4">
        <v>21095</v>
      </c>
      <c r="AF550" s="4">
        <v>9000</v>
      </c>
    </row>
    <row r="551" spans="1:32">
      <c r="A551" s="2" t="s">
        <v>1230</v>
      </c>
      <c r="B551" s="3">
        <v>46172</v>
      </c>
      <c r="C551" s="36" t="s">
        <v>790</v>
      </c>
      <c r="D551" s="2">
        <f>MONTH(ProductionData[[#This Row],[Month]])</f>
        <v>5</v>
      </c>
      <c r="E551" s="2" t="s">
        <v>65</v>
      </c>
      <c r="F551" s="2" t="s">
        <v>66</v>
      </c>
      <c r="G551" s="2" t="s">
        <v>67</v>
      </c>
      <c r="H551" s="2" t="s">
        <v>68</v>
      </c>
      <c r="I551" s="2" t="s">
        <v>69</v>
      </c>
      <c r="J551" s="2" t="s">
        <v>403</v>
      </c>
      <c r="K551" s="2" t="s">
        <v>404</v>
      </c>
      <c r="L551" s="2" t="s">
        <v>1231</v>
      </c>
      <c r="M551" s="2" t="s">
        <v>99</v>
      </c>
      <c r="N551" s="2" t="s">
        <v>88</v>
      </c>
      <c r="O551" s="2">
        <v>16</v>
      </c>
      <c r="P551" s="2">
        <v>15</v>
      </c>
      <c r="Q551" s="4">
        <v>5930</v>
      </c>
      <c r="R551" s="4">
        <v>5300</v>
      </c>
      <c r="S551" s="4">
        <v>199</v>
      </c>
      <c r="T551" s="19">
        <f>(ProductionData[[#This Row],[Rejected_Qty]])/ProductionData[[#This Row],[Produced_Qty]]</f>
        <v>3.7547169811320752E-2</v>
      </c>
      <c r="U551" s="19">
        <f>ProductionData[[#This Row],[Produced_Qty]]/ProductionData[[#This Row],[Planned_Qty]]</f>
        <v>0.89376053962900504</v>
      </c>
      <c r="V551" s="2" t="s">
        <v>103</v>
      </c>
      <c r="W551" s="11">
        <v>0</v>
      </c>
      <c r="X551" s="13">
        <f>W551/60</f>
        <v>0</v>
      </c>
      <c r="Y551" s="2" t="s">
        <v>90</v>
      </c>
      <c r="Z551" s="2">
        <v>58</v>
      </c>
      <c r="AA551" s="2">
        <f>ProductionData[[#This Row],[Rejected_Qty]]*ProductionData[[#This Row],[Unit_Cost_INR]]</f>
        <v>11542</v>
      </c>
      <c r="AB551" s="4">
        <v>21095</v>
      </c>
      <c r="AC551" s="4">
        <v>5520</v>
      </c>
      <c r="AD551" s="4">
        <v>5520</v>
      </c>
      <c r="AE551" s="4">
        <v>20676</v>
      </c>
      <c r="AF551" s="4">
        <v>9000</v>
      </c>
    </row>
    <row r="552" spans="1:32">
      <c r="A552" s="2" t="s">
        <v>1232</v>
      </c>
      <c r="B552" s="3">
        <v>46168</v>
      </c>
      <c r="C552" s="36" t="s">
        <v>790</v>
      </c>
      <c r="D552" s="2">
        <f>MONTH(ProductionData[[#This Row],[Month]])</f>
        <v>5</v>
      </c>
      <c r="E552" s="2" t="s">
        <v>92</v>
      </c>
      <c r="F552" s="2" t="s">
        <v>80</v>
      </c>
      <c r="G552" s="2" t="s">
        <v>195</v>
      </c>
      <c r="H552" s="2" t="s">
        <v>196</v>
      </c>
      <c r="I552" s="2" t="s">
        <v>197</v>
      </c>
      <c r="J552" s="2" t="s">
        <v>269</v>
      </c>
      <c r="K552" s="2" t="s">
        <v>270</v>
      </c>
      <c r="L552" s="2" t="s">
        <v>1233</v>
      </c>
      <c r="M552" s="2" t="s">
        <v>87</v>
      </c>
      <c r="N552" s="2" t="s">
        <v>96</v>
      </c>
      <c r="O552" s="2">
        <v>14</v>
      </c>
      <c r="P552" s="2">
        <v>12</v>
      </c>
      <c r="Q552" s="4">
        <v>7710</v>
      </c>
      <c r="R552" s="4">
        <v>6630</v>
      </c>
      <c r="S552" s="4">
        <v>277</v>
      </c>
      <c r="T552" s="19">
        <f>(ProductionData[[#This Row],[Rejected_Qty]])/ProductionData[[#This Row],[Produced_Qty]]</f>
        <v>4.1779788838612365E-2</v>
      </c>
      <c r="U552" s="19">
        <f>ProductionData[[#This Row],[Produced_Qty]]/ProductionData[[#This Row],[Planned_Qty]]</f>
        <v>0.8599221789883269</v>
      </c>
      <c r="V552" s="2" t="s">
        <v>103</v>
      </c>
      <c r="W552" s="11">
        <v>0</v>
      </c>
      <c r="X552" s="13">
        <f>W552/60</f>
        <v>0</v>
      </c>
      <c r="Y552" s="2" t="s">
        <v>90</v>
      </c>
      <c r="Z552" s="2">
        <v>42</v>
      </c>
      <c r="AA552" s="2">
        <f>ProductionData[[#This Row],[Rejected_Qty]]*ProductionData[[#This Row],[Unit_Cost_INR]]</f>
        <v>11634</v>
      </c>
      <c r="AB552" s="4">
        <v>21218</v>
      </c>
      <c r="AC552" s="4">
        <v>7160</v>
      </c>
      <c r="AD552" s="4">
        <v>7160</v>
      </c>
      <c r="AE552" s="4">
        <v>20411</v>
      </c>
      <c r="AF552" s="4">
        <v>12000</v>
      </c>
    </row>
    <row r="553" spans="1:32">
      <c r="A553" s="2" t="s">
        <v>1234</v>
      </c>
      <c r="B553" s="3">
        <v>46172</v>
      </c>
      <c r="C553" s="36" t="s">
        <v>790</v>
      </c>
      <c r="D553" s="2">
        <f>MONTH(ProductionData[[#This Row],[Month]])</f>
        <v>5</v>
      </c>
      <c r="E553" s="2" t="s">
        <v>65</v>
      </c>
      <c r="F553" s="2" t="s">
        <v>66</v>
      </c>
      <c r="G553" s="2" t="s">
        <v>195</v>
      </c>
      <c r="H553" s="2" t="s">
        <v>196</v>
      </c>
      <c r="I553" s="2" t="s">
        <v>197</v>
      </c>
      <c r="J553" s="2" t="s">
        <v>586</v>
      </c>
      <c r="K553" s="2" t="s">
        <v>587</v>
      </c>
      <c r="L553" s="2" t="s">
        <v>1235</v>
      </c>
      <c r="M553" s="2" t="s">
        <v>73</v>
      </c>
      <c r="N553" s="2" t="s">
        <v>88</v>
      </c>
      <c r="O553" s="2">
        <v>14</v>
      </c>
      <c r="P553" s="2">
        <v>14</v>
      </c>
      <c r="Q553" s="4">
        <v>6450</v>
      </c>
      <c r="R553" s="4">
        <v>6180</v>
      </c>
      <c r="S553" s="4">
        <v>151</v>
      </c>
      <c r="T553" s="19">
        <f>(ProductionData[[#This Row],[Rejected_Qty]])/ProductionData[[#This Row],[Produced_Qty]]</f>
        <v>2.4433656957928804E-2</v>
      </c>
      <c r="U553" s="19">
        <f>ProductionData[[#This Row],[Produced_Qty]]/ProductionData[[#This Row],[Planned_Qty]]</f>
        <v>0.95813953488372094</v>
      </c>
      <c r="V553" s="2" t="s">
        <v>113</v>
      </c>
      <c r="W553" s="11">
        <v>55</v>
      </c>
      <c r="X553" s="13">
        <f>W553/60</f>
        <v>0.91666666666666663</v>
      </c>
      <c r="Y553" s="2" t="s">
        <v>110</v>
      </c>
      <c r="Z553" s="2">
        <v>51</v>
      </c>
      <c r="AA553" s="2">
        <f>ProductionData[[#This Row],[Rejected_Qty]]*ProductionData[[#This Row],[Unit_Cost_INR]]</f>
        <v>7701</v>
      </c>
      <c r="AB553" s="4">
        <v>19415</v>
      </c>
      <c r="AC553" s="4">
        <v>5670</v>
      </c>
      <c r="AD553" s="4">
        <v>5670</v>
      </c>
      <c r="AE553" s="4">
        <v>19774</v>
      </c>
      <c r="AF553" s="4">
        <v>9000</v>
      </c>
    </row>
    <row r="554" spans="1:32">
      <c r="A554" s="2" t="s">
        <v>1236</v>
      </c>
      <c r="B554" s="3">
        <v>46169</v>
      </c>
      <c r="C554" s="36" t="s">
        <v>790</v>
      </c>
      <c r="D554" s="2">
        <f>MONTH(ProductionData[[#This Row],[Month]])</f>
        <v>5</v>
      </c>
      <c r="E554" s="2" t="s">
        <v>79</v>
      </c>
      <c r="F554" s="2" t="s">
        <v>80</v>
      </c>
      <c r="G554" s="2" t="s">
        <v>195</v>
      </c>
      <c r="H554" s="2" t="s">
        <v>196</v>
      </c>
      <c r="I554" s="2" t="s">
        <v>197</v>
      </c>
      <c r="J554" s="2" t="s">
        <v>586</v>
      </c>
      <c r="K554" s="2" t="s">
        <v>587</v>
      </c>
      <c r="L554" s="2" t="s">
        <v>1237</v>
      </c>
      <c r="M554" s="2" t="s">
        <v>87</v>
      </c>
      <c r="N554" s="2" t="s">
        <v>88</v>
      </c>
      <c r="O554" s="2">
        <v>14</v>
      </c>
      <c r="P554" s="2">
        <v>14</v>
      </c>
      <c r="Q554" s="4">
        <v>6140</v>
      </c>
      <c r="R554" s="4">
        <v>5860</v>
      </c>
      <c r="S554" s="4">
        <v>203</v>
      </c>
      <c r="T554" s="19">
        <f>(ProductionData[[#This Row],[Rejected_Qty]])/ProductionData[[#This Row],[Produced_Qty]]</f>
        <v>3.4641638225255976E-2</v>
      </c>
      <c r="U554" s="19">
        <f>ProductionData[[#This Row],[Produced_Qty]]/ProductionData[[#This Row],[Planned_Qty]]</f>
        <v>0.9543973941368078</v>
      </c>
      <c r="V554" s="2" t="s">
        <v>113</v>
      </c>
      <c r="W554" s="11">
        <v>0</v>
      </c>
      <c r="X554" s="13">
        <f>W554/60</f>
        <v>0</v>
      </c>
      <c r="Y554" s="2" t="s">
        <v>90</v>
      </c>
      <c r="Z554" s="2">
        <v>51</v>
      </c>
      <c r="AA554" s="2">
        <f>ProductionData[[#This Row],[Rejected_Qty]]*ProductionData[[#This Row],[Unit_Cost_INR]]</f>
        <v>10353</v>
      </c>
      <c r="AB554" s="4">
        <v>19219</v>
      </c>
      <c r="AC554" s="4">
        <v>5130</v>
      </c>
      <c r="AD554" s="4">
        <v>5130</v>
      </c>
      <c r="AE554" s="4">
        <v>19746</v>
      </c>
      <c r="AF554" s="4">
        <v>9000</v>
      </c>
    </row>
    <row r="555" spans="1:32">
      <c r="A555" s="2" t="s">
        <v>1238</v>
      </c>
      <c r="B555" s="3">
        <v>46165</v>
      </c>
      <c r="C555" s="36" t="s">
        <v>790</v>
      </c>
      <c r="D555" s="2">
        <f>MONTH(ProductionData[[#This Row],[Month]])</f>
        <v>5</v>
      </c>
      <c r="E555" s="2" t="s">
        <v>65</v>
      </c>
      <c r="F555" s="2" t="s">
        <v>80</v>
      </c>
      <c r="G555" s="2" t="s">
        <v>195</v>
      </c>
      <c r="H555" s="2" t="s">
        <v>196</v>
      </c>
      <c r="I555" s="2" t="s">
        <v>197</v>
      </c>
      <c r="J555" s="2" t="s">
        <v>586</v>
      </c>
      <c r="K555" s="2" t="s">
        <v>587</v>
      </c>
      <c r="L555" s="2" t="s">
        <v>1239</v>
      </c>
      <c r="M555" s="2" t="s">
        <v>87</v>
      </c>
      <c r="N555" s="2" t="s">
        <v>96</v>
      </c>
      <c r="O555" s="2">
        <v>14</v>
      </c>
      <c r="P555" s="2">
        <v>12</v>
      </c>
      <c r="Q555" s="4">
        <v>5830</v>
      </c>
      <c r="R555" s="4">
        <v>5320</v>
      </c>
      <c r="S555" s="4">
        <v>159</v>
      </c>
      <c r="T555" s="19">
        <f>(ProductionData[[#This Row],[Rejected_Qty]])/ProductionData[[#This Row],[Produced_Qty]]</f>
        <v>2.9887218045112782E-2</v>
      </c>
      <c r="U555" s="19">
        <f>ProductionData[[#This Row],[Produced_Qty]]/ProductionData[[#This Row],[Planned_Qty]]</f>
        <v>0.91252144082332765</v>
      </c>
      <c r="V555" s="2" t="s">
        <v>75</v>
      </c>
      <c r="W555" s="11">
        <v>0</v>
      </c>
      <c r="X555" s="13">
        <f>W555/60</f>
        <v>0</v>
      </c>
      <c r="Y555" s="2" t="s">
        <v>90</v>
      </c>
      <c r="Z555" s="2">
        <v>51</v>
      </c>
      <c r="AA555" s="2">
        <f>ProductionData[[#This Row],[Rejected_Qty]]*ProductionData[[#This Row],[Unit_Cost_INR]]</f>
        <v>8109</v>
      </c>
      <c r="AB555" s="4">
        <v>19366</v>
      </c>
      <c r="AC555" s="4">
        <v>5070</v>
      </c>
      <c r="AD555" s="4">
        <v>5070</v>
      </c>
      <c r="AE555" s="4">
        <v>19457</v>
      </c>
      <c r="AF555" s="4">
        <v>9000</v>
      </c>
    </row>
    <row r="556" spans="1:32">
      <c r="A556" s="2" t="s">
        <v>1240</v>
      </c>
      <c r="B556" s="3">
        <v>46170</v>
      </c>
      <c r="C556" s="36" t="s">
        <v>790</v>
      </c>
      <c r="D556" s="2">
        <f>MONTH(ProductionData[[#This Row],[Month]])</f>
        <v>5</v>
      </c>
      <c r="E556" s="2" t="s">
        <v>107</v>
      </c>
      <c r="F556" s="2" t="s">
        <v>93</v>
      </c>
      <c r="G556" s="2" t="s">
        <v>195</v>
      </c>
      <c r="H556" s="2" t="s">
        <v>196</v>
      </c>
      <c r="I556" s="2" t="s">
        <v>197</v>
      </c>
      <c r="J556" s="2" t="s">
        <v>586</v>
      </c>
      <c r="K556" s="2" t="s">
        <v>587</v>
      </c>
      <c r="L556" s="2" t="s">
        <v>1241</v>
      </c>
      <c r="M556" s="2" t="s">
        <v>133</v>
      </c>
      <c r="N556" s="2" t="s">
        <v>88</v>
      </c>
      <c r="O556" s="2">
        <v>14</v>
      </c>
      <c r="P556" s="2">
        <v>14</v>
      </c>
      <c r="Q556" s="4">
        <v>5790</v>
      </c>
      <c r="R556" s="4">
        <v>5280</v>
      </c>
      <c r="S556" s="4">
        <v>111</v>
      </c>
      <c r="T556" s="19">
        <f>(ProductionData[[#This Row],[Rejected_Qty]])/ProductionData[[#This Row],[Produced_Qty]]</f>
        <v>2.1022727272727273E-2</v>
      </c>
      <c r="U556" s="19">
        <f>ProductionData[[#This Row],[Produced_Qty]]/ProductionData[[#This Row],[Planned_Qty]]</f>
        <v>0.91191709844559588</v>
      </c>
      <c r="V556" s="2" t="s">
        <v>75</v>
      </c>
      <c r="W556" s="11">
        <v>0</v>
      </c>
      <c r="X556" s="13">
        <f>W556/60</f>
        <v>0</v>
      </c>
      <c r="Y556" s="2" t="s">
        <v>90</v>
      </c>
      <c r="Z556" s="2">
        <v>51</v>
      </c>
      <c r="AA556" s="2">
        <f>ProductionData[[#This Row],[Rejected_Qty]]*ProductionData[[#This Row],[Unit_Cost_INR]]</f>
        <v>5661</v>
      </c>
      <c r="AB556" s="4">
        <v>19746</v>
      </c>
      <c r="AC556" s="4">
        <v>5500</v>
      </c>
      <c r="AD556" s="4">
        <v>5500</v>
      </c>
      <c r="AE556" s="4">
        <v>19415</v>
      </c>
      <c r="AF556" s="4">
        <v>9000</v>
      </c>
    </row>
    <row r="557" spans="1:32">
      <c r="A557" s="2" t="s">
        <v>1242</v>
      </c>
      <c r="B557" s="3">
        <v>46167</v>
      </c>
      <c r="C557" s="36" t="s">
        <v>790</v>
      </c>
      <c r="D557" s="2">
        <f>MONTH(ProductionData[[#This Row],[Month]])</f>
        <v>5</v>
      </c>
      <c r="E557" s="2" t="s">
        <v>116</v>
      </c>
      <c r="F557" s="2" t="s">
        <v>93</v>
      </c>
      <c r="G557" s="2" t="s">
        <v>195</v>
      </c>
      <c r="H557" s="2" t="s">
        <v>196</v>
      </c>
      <c r="I557" s="2" t="s">
        <v>197</v>
      </c>
      <c r="J557" s="2" t="s">
        <v>586</v>
      </c>
      <c r="K557" s="2" t="s">
        <v>587</v>
      </c>
      <c r="L557" s="2" t="s">
        <v>1243</v>
      </c>
      <c r="M557" s="2" t="s">
        <v>133</v>
      </c>
      <c r="N557" s="2" t="s">
        <v>96</v>
      </c>
      <c r="O557" s="2">
        <v>14</v>
      </c>
      <c r="P557" s="2">
        <v>12</v>
      </c>
      <c r="Q557" s="4">
        <v>5600</v>
      </c>
      <c r="R557" s="4">
        <v>5360</v>
      </c>
      <c r="S557" s="4">
        <v>94</v>
      </c>
      <c r="T557" s="19">
        <f>(ProductionData[[#This Row],[Rejected_Qty]])/ProductionData[[#This Row],[Produced_Qty]]</f>
        <v>1.7537313432835822E-2</v>
      </c>
      <c r="U557" s="19">
        <f>ProductionData[[#This Row],[Produced_Qty]]/ProductionData[[#This Row],[Planned_Qty]]</f>
        <v>0.95714285714285718</v>
      </c>
      <c r="V557" s="2" t="s">
        <v>89</v>
      </c>
      <c r="W557" s="11">
        <v>0</v>
      </c>
      <c r="X557" s="13">
        <f>W557/60</f>
        <v>0</v>
      </c>
      <c r="Y557" s="2" t="s">
        <v>90</v>
      </c>
      <c r="Z557" s="2">
        <v>51</v>
      </c>
      <c r="AA557" s="2">
        <f>ProductionData[[#This Row],[Rejected_Qty]]*ProductionData[[#This Row],[Unit_Cost_INR]]</f>
        <v>4794</v>
      </c>
      <c r="AB557" s="4">
        <v>19058</v>
      </c>
      <c r="AC557" s="4">
        <v>4910</v>
      </c>
      <c r="AD557" s="4">
        <v>4910</v>
      </c>
      <c r="AE557" s="4">
        <v>19414</v>
      </c>
      <c r="AF557" s="4">
        <v>9000</v>
      </c>
    </row>
    <row r="558" spans="1:32">
      <c r="A558" s="2" t="s">
        <v>1244</v>
      </c>
      <c r="B558" s="3">
        <v>46164</v>
      </c>
      <c r="C558" s="36" t="s">
        <v>790</v>
      </c>
      <c r="D558" s="2">
        <f>MONTH(ProductionData[[#This Row],[Month]])</f>
        <v>5</v>
      </c>
      <c r="E558" s="2" t="s">
        <v>125</v>
      </c>
      <c r="F558" s="2" t="s">
        <v>93</v>
      </c>
      <c r="G558" s="2" t="s">
        <v>195</v>
      </c>
      <c r="H558" s="2" t="s">
        <v>196</v>
      </c>
      <c r="I558" s="2" t="s">
        <v>197</v>
      </c>
      <c r="J558" s="2" t="s">
        <v>586</v>
      </c>
      <c r="K558" s="2" t="s">
        <v>587</v>
      </c>
      <c r="L558" s="2" t="s">
        <v>1245</v>
      </c>
      <c r="M558" s="2" t="s">
        <v>133</v>
      </c>
      <c r="N558" s="2" t="s">
        <v>96</v>
      </c>
      <c r="O558" s="2">
        <v>14</v>
      </c>
      <c r="P558" s="2">
        <v>13</v>
      </c>
      <c r="Q558" s="4">
        <v>5630</v>
      </c>
      <c r="R558" s="4">
        <v>5760</v>
      </c>
      <c r="S558" s="4">
        <v>151</v>
      </c>
      <c r="T558" s="19">
        <f>(ProductionData[[#This Row],[Rejected_Qty]])/ProductionData[[#This Row],[Produced_Qty]]</f>
        <v>2.6215277777777778E-2</v>
      </c>
      <c r="U558" s="19">
        <f>ProductionData[[#This Row],[Produced_Qty]]/ProductionData[[#This Row],[Planned_Qty]]</f>
        <v>1.0230905861456483</v>
      </c>
      <c r="V558" s="2" t="s">
        <v>89</v>
      </c>
      <c r="W558" s="11">
        <v>0</v>
      </c>
      <c r="X558" s="13">
        <f>W558/60</f>
        <v>0</v>
      </c>
      <c r="Y558" s="2" t="s">
        <v>90</v>
      </c>
      <c r="Z558" s="2">
        <v>51</v>
      </c>
      <c r="AA558" s="2">
        <f>ProductionData[[#This Row],[Rejected_Qty]]*ProductionData[[#This Row],[Unit_Cost_INR]]</f>
        <v>7701</v>
      </c>
      <c r="AB558" s="4">
        <v>18867</v>
      </c>
      <c r="AC558" s="4">
        <v>5110</v>
      </c>
      <c r="AD558" s="4">
        <v>5110</v>
      </c>
      <c r="AE558" s="4">
        <v>19366</v>
      </c>
      <c r="AF558" s="4">
        <v>9000</v>
      </c>
    </row>
    <row r="559" spans="1:32">
      <c r="A559" s="2" t="s">
        <v>1246</v>
      </c>
      <c r="B559" s="3">
        <v>46169</v>
      </c>
      <c r="C559" s="36" t="s">
        <v>790</v>
      </c>
      <c r="D559" s="2">
        <f>MONTH(ProductionData[[#This Row],[Month]])</f>
        <v>5</v>
      </c>
      <c r="E559" s="2" t="s">
        <v>79</v>
      </c>
      <c r="F559" s="2" t="s">
        <v>66</v>
      </c>
      <c r="G559" s="2" t="s">
        <v>195</v>
      </c>
      <c r="H559" s="2" t="s">
        <v>196</v>
      </c>
      <c r="I559" s="2" t="s">
        <v>197</v>
      </c>
      <c r="J559" s="2" t="s">
        <v>586</v>
      </c>
      <c r="K559" s="2" t="s">
        <v>587</v>
      </c>
      <c r="L559" s="2" t="s">
        <v>1247</v>
      </c>
      <c r="M559" s="2" t="s">
        <v>73</v>
      </c>
      <c r="N559" s="2" t="s">
        <v>88</v>
      </c>
      <c r="O559" s="2">
        <v>14</v>
      </c>
      <c r="P559" s="2">
        <v>14</v>
      </c>
      <c r="Q559" s="4">
        <v>5950</v>
      </c>
      <c r="R559" s="4">
        <v>5920</v>
      </c>
      <c r="S559" s="4">
        <v>145</v>
      </c>
      <c r="T559" s="19">
        <f>(ProductionData[[#This Row],[Rejected_Qty]])/ProductionData[[#This Row],[Produced_Qty]]</f>
        <v>2.4493243243243243E-2</v>
      </c>
      <c r="U559" s="19">
        <f>ProductionData[[#This Row],[Produced_Qty]]/ProductionData[[#This Row],[Planned_Qty]]</f>
        <v>0.99495798319327733</v>
      </c>
      <c r="V559" s="2" t="s">
        <v>109</v>
      </c>
      <c r="W559" s="11">
        <v>52</v>
      </c>
      <c r="X559" s="13">
        <f>W559/60</f>
        <v>0.8666666666666667</v>
      </c>
      <c r="Y559" s="2" t="s">
        <v>136</v>
      </c>
      <c r="Z559" s="2">
        <v>51</v>
      </c>
      <c r="AA559" s="2">
        <f>ProductionData[[#This Row],[Rejected_Qty]]*ProductionData[[#This Row],[Unit_Cost_INR]]</f>
        <v>7395</v>
      </c>
      <c r="AB559" s="4">
        <v>19414</v>
      </c>
      <c r="AC559" s="4">
        <v>5970</v>
      </c>
      <c r="AD559" s="4">
        <v>5970</v>
      </c>
      <c r="AE559" s="4">
        <v>19219</v>
      </c>
      <c r="AF559" s="4">
        <v>9000</v>
      </c>
    </row>
    <row r="560" spans="1:32">
      <c r="A560" s="2" t="s">
        <v>1248</v>
      </c>
      <c r="B560" s="3">
        <v>46172</v>
      </c>
      <c r="C560" s="36" t="s">
        <v>790</v>
      </c>
      <c r="D560" s="2">
        <f>MONTH(ProductionData[[#This Row],[Month]])</f>
        <v>5</v>
      </c>
      <c r="E560" s="2" t="s">
        <v>65</v>
      </c>
      <c r="F560" s="2" t="s">
        <v>80</v>
      </c>
      <c r="G560" s="2" t="s">
        <v>195</v>
      </c>
      <c r="H560" s="2" t="s">
        <v>196</v>
      </c>
      <c r="I560" s="2" t="s">
        <v>197</v>
      </c>
      <c r="J560" s="2" t="s">
        <v>586</v>
      </c>
      <c r="K560" s="2" t="s">
        <v>587</v>
      </c>
      <c r="L560" s="2" t="s">
        <v>1249</v>
      </c>
      <c r="M560" s="2" t="s">
        <v>87</v>
      </c>
      <c r="N560" s="2" t="s">
        <v>88</v>
      </c>
      <c r="O560" s="2">
        <v>14</v>
      </c>
      <c r="P560" s="2">
        <v>13</v>
      </c>
      <c r="Q560" s="4">
        <v>6320</v>
      </c>
      <c r="R560" s="4">
        <v>5990</v>
      </c>
      <c r="S560" s="4">
        <v>222</v>
      </c>
      <c r="T560" s="19">
        <f>(ProductionData[[#This Row],[Rejected_Qty]])/ProductionData[[#This Row],[Produced_Qty]]</f>
        <v>3.706176961602671E-2</v>
      </c>
      <c r="U560" s="19">
        <f>ProductionData[[#This Row],[Produced_Qty]]/ProductionData[[#This Row],[Planned_Qty]]</f>
        <v>0.94778481012658233</v>
      </c>
      <c r="V560" s="2" t="s">
        <v>75</v>
      </c>
      <c r="W560" s="11">
        <v>46</v>
      </c>
      <c r="X560" s="13">
        <f>W560/60</f>
        <v>0.76666666666666672</v>
      </c>
      <c r="Y560" s="2" t="s">
        <v>110</v>
      </c>
      <c r="Z560" s="2">
        <v>51</v>
      </c>
      <c r="AA560" s="2">
        <f>ProductionData[[#This Row],[Rejected_Qty]]*ProductionData[[#This Row],[Unit_Cost_INR]]</f>
        <v>11322</v>
      </c>
      <c r="AB560" s="4">
        <v>19774</v>
      </c>
      <c r="AC560" s="4">
        <v>6450</v>
      </c>
      <c r="AD560" s="4">
        <v>6450</v>
      </c>
      <c r="AE560" s="4">
        <v>19092</v>
      </c>
      <c r="AF560" s="4">
        <v>9000</v>
      </c>
    </row>
    <row r="561" spans="1:32">
      <c r="A561" s="2" t="s">
        <v>1250</v>
      </c>
      <c r="B561" s="3">
        <v>46167</v>
      </c>
      <c r="C561" s="36" t="s">
        <v>790</v>
      </c>
      <c r="D561" s="2">
        <f>MONTH(ProductionData[[#This Row],[Month]])</f>
        <v>5</v>
      </c>
      <c r="E561" s="2" t="s">
        <v>116</v>
      </c>
      <c r="F561" s="2" t="s">
        <v>66</v>
      </c>
      <c r="G561" s="2" t="s">
        <v>195</v>
      </c>
      <c r="H561" s="2" t="s">
        <v>196</v>
      </c>
      <c r="I561" s="2" t="s">
        <v>197</v>
      </c>
      <c r="J561" s="2" t="s">
        <v>586</v>
      </c>
      <c r="K561" s="2" t="s">
        <v>587</v>
      </c>
      <c r="L561" s="2" t="s">
        <v>1251</v>
      </c>
      <c r="M561" s="2" t="s">
        <v>73</v>
      </c>
      <c r="N561" s="2" t="s">
        <v>96</v>
      </c>
      <c r="O561" s="2">
        <v>14</v>
      </c>
      <c r="P561" s="2">
        <v>14</v>
      </c>
      <c r="Q561" s="4">
        <v>6010</v>
      </c>
      <c r="R561" s="4">
        <v>5830</v>
      </c>
      <c r="S561" s="4">
        <v>179</v>
      </c>
      <c r="T561" s="19">
        <f>(ProductionData[[#This Row],[Rejected_Qty]])/ProductionData[[#This Row],[Produced_Qty]]</f>
        <v>3.0703259005145797E-2</v>
      </c>
      <c r="U561" s="19">
        <f>ProductionData[[#This Row],[Produced_Qty]]/ProductionData[[#This Row],[Planned_Qty]]</f>
        <v>0.97004991680532449</v>
      </c>
      <c r="V561" s="2" t="s">
        <v>89</v>
      </c>
      <c r="W561" s="11">
        <v>0</v>
      </c>
      <c r="X561" s="13">
        <f>W561/60</f>
        <v>0</v>
      </c>
      <c r="Y561" s="2" t="s">
        <v>90</v>
      </c>
      <c r="Z561" s="2">
        <v>51</v>
      </c>
      <c r="AA561" s="2">
        <f>ProductionData[[#This Row],[Rejected_Qty]]*ProductionData[[#This Row],[Unit_Cost_INR]]</f>
        <v>9129</v>
      </c>
      <c r="AB561" s="4">
        <v>19457</v>
      </c>
      <c r="AC561" s="4">
        <v>6050</v>
      </c>
      <c r="AD561" s="4">
        <v>6050</v>
      </c>
      <c r="AE561" s="4">
        <v>19058</v>
      </c>
      <c r="AF561" s="4">
        <v>9000</v>
      </c>
    </row>
    <row r="562" spans="1:32">
      <c r="A562" s="2" t="s">
        <v>1252</v>
      </c>
      <c r="B562" s="3">
        <v>46163</v>
      </c>
      <c r="C562" s="36" t="s">
        <v>790</v>
      </c>
      <c r="D562" s="2">
        <f>MONTH(ProductionData[[#This Row],[Month]])</f>
        <v>5</v>
      </c>
      <c r="E562" s="2" t="s">
        <v>107</v>
      </c>
      <c r="F562" s="2" t="s">
        <v>93</v>
      </c>
      <c r="G562" s="2" t="s">
        <v>195</v>
      </c>
      <c r="H562" s="2" t="s">
        <v>196</v>
      </c>
      <c r="I562" s="2" t="s">
        <v>197</v>
      </c>
      <c r="J562" s="2" t="s">
        <v>586</v>
      </c>
      <c r="K562" s="2" t="s">
        <v>587</v>
      </c>
      <c r="L562" s="2" t="s">
        <v>1253</v>
      </c>
      <c r="M562" s="2" t="s">
        <v>95</v>
      </c>
      <c r="N562" s="2" t="s">
        <v>96</v>
      </c>
      <c r="O562" s="2">
        <v>14</v>
      </c>
      <c r="P562" s="2">
        <v>11</v>
      </c>
      <c r="Q562" s="4">
        <v>5530</v>
      </c>
      <c r="R562" s="4">
        <v>4690</v>
      </c>
      <c r="S562" s="4">
        <v>127</v>
      </c>
      <c r="T562" s="19">
        <f>(ProductionData[[#This Row],[Rejected_Qty]])/ProductionData[[#This Row],[Produced_Qty]]</f>
        <v>2.7078891257995737E-2</v>
      </c>
      <c r="U562" s="19">
        <f>ProductionData[[#This Row],[Produced_Qty]]/ProductionData[[#This Row],[Planned_Qty]]</f>
        <v>0.84810126582278478</v>
      </c>
      <c r="V562" s="2" t="s">
        <v>103</v>
      </c>
      <c r="W562" s="11">
        <v>0</v>
      </c>
      <c r="X562" s="13">
        <f>W562/60</f>
        <v>0</v>
      </c>
      <c r="Y562" s="2" t="s">
        <v>90</v>
      </c>
      <c r="Z562" s="2">
        <v>51</v>
      </c>
      <c r="AA562" s="2">
        <f>ProductionData[[#This Row],[Rejected_Qty]]*ProductionData[[#This Row],[Unit_Cost_INR]]</f>
        <v>6477</v>
      </c>
      <c r="AB562" s="4">
        <v>18834</v>
      </c>
      <c r="AC562" s="4">
        <v>4530</v>
      </c>
      <c r="AD562" s="4">
        <v>4530</v>
      </c>
      <c r="AE562" s="4">
        <v>18867</v>
      </c>
      <c r="AF562" s="4">
        <v>9000</v>
      </c>
    </row>
    <row r="563" spans="1:32">
      <c r="A563" s="2" t="s">
        <v>1254</v>
      </c>
      <c r="B563" s="3">
        <v>46163</v>
      </c>
      <c r="C563" s="36" t="s">
        <v>790</v>
      </c>
      <c r="D563" s="2">
        <f>MONTH(ProductionData[[#This Row],[Month]])</f>
        <v>5</v>
      </c>
      <c r="E563" s="2" t="s">
        <v>107</v>
      </c>
      <c r="F563" s="2" t="s">
        <v>66</v>
      </c>
      <c r="G563" s="2" t="s">
        <v>195</v>
      </c>
      <c r="H563" s="2" t="s">
        <v>196</v>
      </c>
      <c r="I563" s="2" t="s">
        <v>197</v>
      </c>
      <c r="J563" s="2" t="s">
        <v>586</v>
      </c>
      <c r="K563" s="2" t="s">
        <v>587</v>
      </c>
      <c r="L563" s="2" t="s">
        <v>1255</v>
      </c>
      <c r="M563" s="2" t="s">
        <v>73</v>
      </c>
      <c r="N563" s="2" t="s">
        <v>88</v>
      </c>
      <c r="O563" s="2">
        <v>14</v>
      </c>
      <c r="P563" s="2">
        <v>14</v>
      </c>
      <c r="Q563" s="4">
        <v>6080</v>
      </c>
      <c r="R563" s="4">
        <v>5610</v>
      </c>
      <c r="S563" s="4">
        <v>150</v>
      </c>
      <c r="T563" s="19">
        <f>(ProductionData[[#This Row],[Rejected_Qty]])/ProductionData[[#This Row],[Produced_Qty]]</f>
        <v>2.6737967914438502E-2</v>
      </c>
      <c r="U563" s="19">
        <f>ProductionData[[#This Row],[Produced_Qty]]/ProductionData[[#This Row],[Planned_Qty]]</f>
        <v>0.92269736842105265</v>
      </c>
      <c r="V563" s="2" t="s">
        <v>103</v>
      </c>
      <c r="W563" s="11">
        <v>45</v>
      </c>
      <c r="X563" s="13">
        <f>W563/60</f>
        <v>0.75</v>
      </c>
      <c r="Y563" s="2" t="s">
        <v>110</v>
      </c>
      <c r="Z563" s="2">
        <v>51</v>
      </c>
      <c r="AA563" s="2">
        <f>ProductionData[[#This Row],[Rejected_Qty]]*ProductionData[[#This Row],[Unit_Cost_INR]]</f>
        <v>7650</v>
      </c>
      <c r="AB563" s="4">
        <v>18804</v>
      </c>
      <c r="AC563" s="4">
        <v>5430</v>
      </c>
      <c r="AD563" s="4">
        <v>5430</v>
      </c>
      <c r="AE563" s="4">
        <v>18834</v>
      </c>
      <c r="AF563" s="4">
        <v>9000</v>
      </c>
    </row>
    <row r="564" spans="1:32">
      <c r="A564" s="2" t="s">
        <v>1256</v>
      </c>
      <c r="B564" s="3">
        <v>46162</v>
      </c>
      <c r="C564" s="36" t="s">
        <v>790</v>
      </c>
      <c r="D564" s="2">
        <f>MONTH(ProductionData[[#This Row],[Month]])</f>
        <v>5</v>
      </c>
      <c r="E564" s="2" t="s">
        <v>79</v>
      </c>
      <c r="F564" s="2" t="s">
        <v>80</v>
      </c>
      <c r="G564" s="2" t="s">
        <v>195</v>
      </c>
      <c r="H564" s="2" t="s">
        <v>196</v>
      </c>
      <c r="I564" s="2" t="s">
        <v>197</v>
      </c>
      <c r="J564" s="2" t="s">
        <v>586</v>
      </c>
      <c r="K564" s="2" t="s">
        <v>587</v>
      </c>
      <c r="L564" s="2" t="s">
        <v>1257</v>
      </c>
      <c r="M564" s="2" t="s">
        <v>102</v>
      </c>
      <c r="N564" s="2" t="s">
        <v>88</v>
      </c>
      <c r="O564" s="2">
        <v>14</v>
      </c>
      <c r="P564" s="2">
        <v>14</v>
      </c>
      <c r="Q564" s="4">
        <v>5590</v>
      </c>
      <c r="R564" s="4">
        <v>5530</v>
      </c>
      <c r="S564" s="4">
        <v>165</v>
      </c>
      <c r="T564" s="19">
        <f>(ProductionData[[#This Row],[Rejected_Qty]])/ProductionData[[#This Row],[Produced_Qty]]</f>
        <v>2.9837251356238697E-2</v>
      </c>
      <c r="U564" s="19">
        <f>ProductionData[[#This Row],[Produced_Qty]]/ProductionData[[#This Row],[Planned_Qty]]</f>
        <v>0.98926654740608233</v>
      </c>
      <c r="V564" s="2" t="s">
        <v>75</v>
      </c>
      <c r="W564" s="11">
        <v>0</v>
      </c>
      <c r="X564" s="13">
        <f>W564/60</f>
        <v>0</v>
      </c>
      <c r="Y564" s="2" t="s">
        <v>90</v>
      </c>
      <c r="Z564" s="2">
        <v>51</v>
      </c>
      <c r="AA564" s="2">
        <f>ProductionData[[#This Row],[Rejected_Qty]]*ProductionData[[#This Row],[Unit_Cost_INR]]</f>
        <v>8415</v>
      </c>
      <c r="AB564" s="4">
        <v>17939</v>
      </c>
      <c r="AC564" s="4">
        <v>4500</v>
      </c>
      <c r="AD564" s="4">
        <v>4500</v>
      </c>
      <c r="AE564" s="4">
        <v>18804</v>
      </c>
      <c r="AF564" s="4">
        <v>9000</v>
      </c>
    </row>
    <row r="565" spans="1:32">
      <c r="A565" s="2" t="s">
        <v>1258</v>
      </c>
      <c r="B565" s="3">
        <v>46157</v>
      </c>
      <c r="C565" s="36" t="s">
        <v>790</v>
      </c>
      <c r="D565" s="2">
        <f>MONTH(ProductionData[[#This Row],[Month]])</f>
        <v>5</v>
      </c>
      <c r="E565" s="2" t="s">
        <v>125</v>
      </c>
      <c r="F565" s="2" t="s">
        <v>80</v>
      </c>
      <c r="G565" s="2" t="s">
        <v>195</v>
      </c>
      <c r="H565" s="2" t="s">
        <v>196</v>
      </c>
      <c r="I565" s="2" t="s">
        <v>197</v>
      </c>
      <c r="J565" s="2" t="s">
        <v>586</v>
      </c>
      <c r="K565" s="2" t="s">
        <v>587</v>
      </c>
      <c r="L565" s="2" t="s">
        <v>1259</v>
      </c>
      <c r="M565" s="2" t="s">
        <v>87</v>
      </c>
      <c r="N565" s="2" t="s">
        <v>96</v>
      </c>
      <c r="O565" s="2">
        <v>14</v>
      </c>
      <c r="P565" s="2">
        <v>13</v>
      </c>
      <c r="Q565" s="4">
        <v>6210</v>
      </c>
      <c r="R565" s="4">
        <v>5830</v>
      </c>
      <c r="S565" s="4">
        <v>172</v>
      </c>
      <c r="T565" s="19">
        <f>(ProductionData[[#This Row],[Rejected_Qty]])/ProductionData[[#This Row],[Produced_Qty]]</f>
        <v>2.9502572898799314E-2</v>
      </c>
      <c r="U565" s="19">
        <f>ProductionData[[#This Row],[Produced_Qty]]/ProductionData[[#This Row],[Planned_Qty]]</f>
        <v>0.93880837359098224</v>
      </c>
      <c r="V565" s="2" t="s">
        <v>75</v>
      </c>
      <c r="W565" s="11">
        <v>65</v>
      </c>
      <c r="X565" s="13">
        <f>W565/60</f>
        <v>1.0833333333333333</v>
      </c>
      <c r="Y565" s="2" t="s">
        <v>136</v>
      </c>
      <c r="Z565" s="2">
        <v>51</v>
      </c>
      <c r="AA565" s="2">
        <f>ProductionData[[#This Row],[Rejected_Qty]]*ProductionData[[#This Row],[Unit_Cost_INR]]</f>
        <v>8772</v>
      </c>
      <c r="AB565" s="4">
        <v>17878</v>
      </c>
      <c r="AC565" s="4">
        <v>5390</v>
      </c>
      <c r="AD565" s="4">
        <v>5390</v>
      </c>
      <c r="AE565" s="4">
        <v>18146</v>
      </c>
      <c r="AF565" s="4">
        <v>9000</v>
      </c>
    </row>
    <row r="566" spans="1:32">
      <c r="A566" s="2" t="s">
        <v>1260</v>
      </c>
      <c r="B566" s="3">
        <v>46158</v>
      </c>
      <c r="C566" s="36" t="s">
        <v>790</v>
      </c>
      <c r="D566" s="2">
        <f>MONTH(ProductionData[[#This Row],[Month]])</f>
        <v>5</v>
      </c>
      <c r="E566" s="2" t="s">
        <v>65</v>
      </c>
      <c r="F566" s="2" t="s">
        <v>66</v>
      </c>
      <c r="G566" s="2" t="s">
        <v>195</v>
      </c>
      <c r="H566" s="2" t="s">
        <v>196</v>
      </c>
      <c r="I566" s="2" t="s">
        <v>197</v>
      </c>
      <c r="J566" s="2" t="s">
        <v>586</v>
      </c>
      <c r="K566" s="2" t="s">
        <v>587</v>
      </c>
      <c r="L566" s="2" t="s">
        <v>1261</v>
      </c>
      <c r="M566" s="2" t="s">
        <v>73</v>
      </c>
      <c r="N566" s="2" t="s">
        <v>96</v>
      </c>
      <c r="O566" s="2">
        <v>14</v>
      </c>
      <c r="P566" s="2">
        <v>13</v>
      </c>
      <c r="Q566" s="4">
        <v>6100</v>
      </c>
      <c r="R566" s="4">
        <v>5870</v>
      </c>
      <c r="S566" s="4">
        <v>150</v>
      </c>
      <c r="T566" s="19">
        <f>(ProductionData[[#This Row],[Rejected_Qty]])/ProductionData[[#This Row],[Produced_Qty]]</f>
        <v>2.5553662691652469E-2</v>
      </c>
      <c r="U566" s="19">
        <f>ProductionData[[#This Row],[Produced_Qty]]/ProductionData[[#This Row],[Planned_Qty]]</f>
        <v>0.96229508196721314</v>
      </c>
      <c r="V566" s="2" t="s">
        <v>109</v>
      </c>
      <c r="W566" s="11">
        <v>11</v>
      </c>
      <c r="X566" s="13">
        <f>W566/60</f>
        <v>0.18333333333333332</v>
      </c>
      <c r="Y566" s="2" t="s">
        <v>110</v>
      </c>
      <c r="Z566" s="2">
        <v>51</v>
      </c>
      <c r="AA566" s="2">
        <f>ProductionData[[#This Row],[Rejected_Qty]]*ProductionData[[#This Row],[Unit_Cost_INR]]</f>
        <v>7650</v>
      </c>
      <c r="AB566" s="4">
        <v>18146</v>
      </c>
      <c r="AC566" s="4">
        <v>5740</v>
      </c>
      <c r="AD566" s="4">
        <v>5740</v>
      </c>
      <c r="AE566" s="4">
        <v>18126</v>
      </c>
      <c r="AF566" s="4">
        <v>9000</v>
      </c>
    </row>
    <row r="567" spans="1:32">
      <c r="A567" s="2" t="s">
        <v>1262</v>
      </c>
      <c r="B567" s="3">
        <v>46151</v>
      </c>
      <c r="C567" s="36" t="s">
        <v>790</v>
      </c>
      <c r="D567" s="2">
        <f>MONTH(ProductionData[[#This Row],[Month]])</f>
        <v>5</v>
      </c>
      <c r="E567" s="2" t="s">
        <v>65</v>
      </c>
      <c r="F567" s="2" t="s">
        <v>80</v>
      </c>
      <c r="G567" s="2" t="s">
        <v>195</v>
      </c>
      <c r="H567" s="2" t="s">
        <v>196</v>
      </c>
      <c r="I567" s="2" t="s">
        <v>197</v>
      </c>
      <c r="J567" s="2" t="s">
        <v>586</v>
      </c>
      <c r="K567" s="2" t="s">
        <v>587</v>
      </c>
      <c r="L567" s="2" t="s">
        <v>1263</v>
      </c>
      <c r="M567" s="2" t="s">
        <v>87</v>
      </c>
      <c r="N567" s="2" t="s">
        <v>88</v>
      </c>
      <c r="O567" s="2">
        <v>14</v>
      </c>
      <c r="P567" s="2">
        <v>12</v>
      </c>
      <c r="Q567" s="4">
        <v>6140</v>
      </c>
      <c r="R567" s="4">
        <v>5820</v>
      </c>
      <c r="S567" s="4">
        <v>117</v>
      </c>
      <c r="T567" s="19">
        <f>(ProductionData[[#This Row],[Rejected_Qty]])/ProductionData[[#This Row],[Produced_Qty]]</f>
        <v>2.0103092783505156E-2</v>
      </c>
      <c r="U567" s="19">
        <f>ProductionData[[#This Row],[Produced_Qty]]/ProductionData[[#This Row],[Planned_Qty]]</f>
        <v>0.94788273615635177</v>
      </c>
      <c r="V567" s="2" t="s">
        <v>89</v>
      </c>
      <c r="W567" s="11">
        <v>64</v>
      </c>
      <c r="X567" s="13">
        <f>W567/60</f>
        <v>1.0666666666666667</v>
      </c>
      <c r="Y567" s="2" t="s">
        <v>110</v>
      </c>
      <c r="Z567" s="2">
        <v>51</v>
      </c>
      <c r="AA567" s="2">
        <f>ProductionData[[#This Row],[Rejected_Qty]]*ProductionData[[#This Row],[Unit_Cost_INR]]</f>
        <v>5967</v>
      </c>
      <c r="AB567" s="4">
        <v>17514</v>
      </c>
      <c r="AC567" s="4">
        <v>5140</v>
      </c>
      <c r="AD567" s="4">
        <v>5140</v>
      </c>
      <c r="AE567" s="4">
        <v>18077</v>
      </c>
      <c r="AF567" s="4">
        <v>9000</v>
      </c>
    </row>
    <row r="568" spans="1:32">
      <c r="A568" s="2" t="s">
        <v>1264</v>
      </c>
      <c r="B568" s="3">
        <v>46160</v>
      </c>
      <c r="C568" s="36" t="s">
        <v>790</v>
      </c>
      <c r="D568" s="2">
        <f>MONTH(ProductionData[[#This Row],[Month]])</f>
        <v>5</v>
      </c>
      <c r="E568" s="2" t="s">
        <v>116</v>
      </c>
      <c r="F568" s="2" t="s">
        <v>66</v>
      </c>
      <c r="G568" s="2" t="s">
        <v>195</v>
      </c>
      <c r="H568" s="2" t="s">
        <v>196</v>
      </c>
      <c r="I568" s="2" t="s">
        <v>197</v>
      </c>
      <c r="J568" s="2" t="s">
        <v>586</v>
      </c>
      <c r="K568" s="2" t="s">
        <v>587</v>
      </c>
      <c r="L568" s="2" t="s">
        <v>1265</v>
      </c>
      <c r="M568" s="2" t="s">
        <v>99</v>
      </c>
      <c r="N568" s="2" t="s">
        <v>88</v>
      </c>
      <c r="O568" s="2">
        <v>14</v>
      </c>
      <c r="P568" s="2">
        <v>13</v>
      </c>
      <c r="Q568" s="4">
        <v>5860</v>
      </c>
      <c r="R568" s="4">
        <v>5780</v>
      </c>
      <c r="S568" s="4">
        <v>212</v>
      </c>
      <c r="T568" s="19">
        <f>(ProductionData[[#This Row],[Rejected_Qty]])/ProductionData[[#This Row],[Produced_Qty]]</f>
        <v>3.6678200692041522E-2</v>
      </c>
      <c r="U568" s="19">
        <f>ProductionData[[#This Row],[Produced_Qty]]/ProductionData[[#This Row],[Planned_Qty]]</f>
        <v>0.98634812286689422</v>
      </c>
      <c r="V568" s="2" t="s">
        <v>75</v>
      </c>
      <c r="W568" s="11">
        <v>0</v>
      </c>
      <c r="X568" s="13">
        <f>W568/60</f>
        <v>0</v>
      </c>
      <c r="Y568" s="2" t="s">
        <v>90</v>
      </c>
      <c r="Z568" s="2">
        <v>51</v>
      </c>
      <c r="AA568" s="2">
        <f>ProductionData[[#This Row],[Rejected_Qty]]*ProductionData[[#This Row],[Unit_Cost_INR]]</f>
        <v>10812</v>
      </c>
      <c r="AB568" s="4">
        <v>17439</v>
      </c>
      <c r="AC568" s="4">
        <v>5010</v>
      </c>
      <c r="AD568" s="4">
        <v>5010</v>
      </c>
      <c r="AE568" s="4">
        <v>17997</v>
      </c>
      <c r="AF568" s="4">
        <v>9000</v>
      </c>
    </row>
    <row r="569" spans="1:32">
      <c r="A569" s="2" t="s">
        <v>1266</v>
      </c>
      <c r="B569" s="3">
        <v>46161</v>
      </c>
      <c r="C569" s="36" t="s">
        <v>790</v>
      </c>
      <c r="D569" s="2">
        <f>MONTH(ProductionData[[#This Row],[Month]])</f>
        <v>5</v>
      </c>
      <c r="E569" s="2" t="s">
        <v>92</v>
      </c>
      <c r="F569" s="2" t="s">
        <v>66</v>
      </c>
      <c r="G569" s="2" t="s">
        <v>195</v>
      </c>
      <c r="H569" s="2" t="s">
        <v>196</v>
      </c>
      <c r="I569" s="2" t="s">
        <v>197</v>
      </c>
      <c r="J569" s="2" t="s">
        <v>586</v>
      </c>
      <c r="K569" s="2" t="s">
        <v>587</v>
      </c>
      <c r="L569" s="2" t="s">
        <v>1267</v>
      </c>
      <c r="M569" s="2" t="s">
        <v>73</v>
      </c>
      <c r="N569" s="2" t="s">
        <v>96</v>
      </c>
      <c r="O569" s="2">
        <v>14</v>
      </c>
      <c r="P569" s="2">
        <v>13</v>
      </c>
      <c r="Q569" s="4">
        <v>6110</v>
      </c>
      <c r="R569" s="4">
        <v>5680</v>
      </c>
      <c r="S569" s="4">
        <v>188</v>
      </c>
      <c r="T569" s="19">
        <f>(ProductionData[[#This Row],[Rejected_Qty]])/ProductionData[[#This Row],[Produced_Qty]]</f>
        <v>3.3098591549295772E-2</v>
      </c>
      <c r="U569" s="19">
        <f>ProductionData[[#This Row],[Produced_Qty]]/ProductionData[[#This Row],[Planned_Qty]]</f>
        <v>0.9296235679214403</v>
      </c>
      <c r="V569" s="2" t="s">
        <v>103</v>
      </c>
      <c r="W569" s="11">
        <v>0</v>
      </c>
      <c r="X569" s="13">
        <f>W569/60</f>
        <v>0</v>
      </c>
      <c r="Y569" s="2" t="s">
        <v>90</v>
      </c>
      <c r="Z569" s="2">
        <v>51</v>
      </c>
      <c r="AA569" s="2">
        <f>ProductionData[[#This Row],[Rejected_Qty]]*ProductionData[[#This Row],[Unit_Cost_INR]]</f>
        <v>9588</v>
      </c>
      <c r="AB569" s="4">
        <v>17857</v>
      </c>
      <c r="AC569" s="4">
        <v>5410</v>
      </c>
      <c r="AD569" s="4">
        <v>5410</v>
      </c>
      <c r="AE569" s="4">
        <v>17939</v>
      </c>
      <c r="AF569" s="4">
        <v>9000</v>
      </c>
    </row>
    <row r="570" spans="1:32">
      <c r="A570" s="2" t="s">
        <v>1268</v>
      </c>
      <c r="B570" s="3">
        <v>46157</v>
      </c>
      <c r="C570" s="36" t="s">
        <v>790</v>
      </c>
      <c r="D570" s="2">
        <f>MONTH(ProductionData[[#This Row],[Month]])</f>
        <v>5</v>
      </c>
      <c r="E570" s="2" t="s">
        <v>125</v>
      </c>
      <c r="F570" s="2" t="s">
        <v>66</v>
      </c>
      <c r="G570" s="2" t="s">
        <v>195</v>
      </c>
      <c r="H570" s="2" t="s">
        <v>196</v>
      </c>
      <c r="I570" s="2" t="s">
        <v>197</v>
      </c>
      <c r="J570" s="2" t="s">
        <v>586</v>
      </c>
      <c r="K570" s="2" t="s">
        <v>587</v>
      </c>
      <c r="L570" s="2" t="s">
        <v>1269</v>
      </c>
      <c r="M570" s="2" t="s">
        <v>73</v>
      </c>
      <c r="N570" s="2" t="s">
        <v>88</v>
      </c>
      <c r="O570" s="2">
        <v>14</v>
      </c>
      <c r="P570" s="2">
        <v>13</v>
      </c>
      <c r="Q570" s="4">
        <v>6410</v>
      </c>
      <c r="R570" s="4">
        <v>6040</v>
      </c>
      <c r="S570" s="4">
        <v>160</v>
      </c>
      <c r="T570" s="19">
        <f>(ProductionData[[#This Row],[Rejected_Qty]])/ProductionData[[#This Row],[Produced_Qty]]</f>
        <v>2.6490066225165563E-2</v>
      </c>
      <c r="U570" s="19">
        <f>ProductionData[[#This Row],[Produced_Qty]]/ProductionData[[#This Row],[Planned_Qty]]</f>
        <v>0.94227769110764426</v>
      </c>
      <c r="V570" s="2" t="s">
        <v>113</v>
      </c>
      <c r="W570" s="11">
        <v>0</v>
      </c>
      <c r="X570" s="13">
        <f>W570/60</f>
        <v>0</v>
      </c>
      <c r="Y570" s="2" t="s">
        <v>90</v>
      </c>
      <c r="Z570" s="2">
        <v>51</v>
      </c>
      <c r="AA570" s="2">
        <f>ProductionData[[#This Row],[Rejected_Qty]]*ProductionData[[#This Row],[Unit_Cost_INR]]</f>
        <v>8160</v>
      </c>
      <c r="AB570" s="4">
        <v>17218</v>
      </c>
      <c r="AC570" s="4">
        <v>5220</v>
      </c>
      <c r="AD570" s="4">
        <v>5220</v>
      </c>
      <c r="AE570" s="4">
        <v>17878</v>
      </c>
      <c r="AF570" s="4">
        <v>9000</v>
      </c>
    </row>
    <row r="571" spans="1:32">
      <c r="A571" s="2" t="s">
        <v>1270</v>
      </c>
      <c r="B571" s="3">
        <v>46160</v>
      </c>
      <c r="C571" s="36" t="s">
        <v>790</v>
      </c>
      <c r="D571" s="2">
        <f>MONTH(ProductionData[[#This Row],[Month]])</f>
        <v>5</v>
      </c>
      <c r="E571" s="2" t="s">
        <v>116</v>
      </c>
      <c r="F571" s="2" t="s">
        <v>80</v>
      </c>
      <c r="G571" s="2" t="s">
        <v>195</v>
      </c>
      <c r="H571" s="2" t="s">
        <v>196</v>
      </c>
      <c r="I571" s="2" t="s">
        <v>197</v>
      </c>
      <c r="J571" s="2" t="s">
        <v>586</v>
      </c>
      <c r="K571" s="2" t="s">
        <v>587</v>
      </c>
      <c r="L571" s="2" t="s">
        <v>1271</v>
      </c>
      <c r="M571" s="2" t="s">
        <v>87</v>
      </c>
      <c r="N571" s="2" t="s">
        <v>96</v>
      </c>
      <c r="O571" s="2">
        <v>14</v>
      </c>
      <c r="P571" s="2">
        <v>12</v>
      </c>
      <c r="Q571" s="4">
        <v>5630</v>
      </c>
      <c r="R571" s="4">
        <v>5200</v>
      </c>
      <c r="S571" s="4">
        <v>180</v>
      </c>
      <c r="T571" s="19">
        <f>(ProductionData[[#This Row],[Rejected_Qty]])/ProductionData[[#This Row],[Produced_Qty]]</f>
        <v>3.4615384615384617E-2</v>
      </c>
      <c r="U571" s="19">
        <f>ProductionData[[#This Row],[Produced_Qty]]/ProductionData[[#This Row],[Planned_Qty]]</f>
        <v>0.92362344582593248</v>
      </c>
      <c r="V571" s="2" t="s">
        <v>89</v>
      </c>
      <c r="W571" s="11">
        <v>0</v>
      </c>
      <c r="X571" s="13">
        <f>W571/60</f>
        <v>0</v>
      </c>
      <c r="Y571" s="2" t="s">
        <v>90</v>
      </c>
      <c r="Z571" s="2">
        <v>51</v>
      </c>
      <c r="AA571" s="2">
        <f>ProductionData[[#This Row],[Rejected_Qty]]*ProductionData[[#This Row],[Unit_Cost_INR]]</f>
        <v>9180</v>
      </c>
      <c r="AB571" s="4">
        <v>17997</v>
      </c>
      <c r="AC571" s="4">
        <v>5160</v>
      </c>
      <c r="AD571" s="4">
        <v>5160</v>
      </c>
      <c r="AE571" s="4">
        <v>17857</v>
      </c>
      <c r="AF571" s="4">
        <v>9000</v>
      </c>
    </row>
    <row r="572" spans="1:32">
      <c r="A572" s="2" t="s">
        <v>1272</v>
      </c>
      <c r="B572" s="3">
        <v>46154</v>
      </c>
      <c r="C572" s="36" t="s">
        <v>790</v>
      </c>
      <c r="D572" s="2">
        <f>MONTH(ProductionData[[#This Row],[Month]])</f>
        <v>5</v>
      </c>
      <c r="E572" s="2" t="s">
        <v>92</v>
      </c>
      <c r="F572" s="2" t="s">
        <v>93</v>
      </c>
      <c r="G572" s="2" t="s">
        <v>195</v>
      </c>
      <c r="H572" s="2" t="s">
        <v>196</v>
      </c>
      <c r="I572" s="2" t="s">
        <v>197</v>
      </c>
      <c r="J572" s="2" t="s">
        <v>586</v>
      </c>
      <c r="K572" s="2" t="s">
        <v>587</v>
      </c>
      <c r="L572" s="2" t="s">
        <v>1273</v>
      </c>
      <c r="M572" s="2" t="s">
        <v>133</v>
      </c>
      <c r="N572" s="2" t="s">
        <v>88</v>
      </c>
      <c r="O572" s="2">
        <v>14</v>
      </c>
      <c r="P572" s="2">
        <v>12</v>
      </c>
      <c r="Q572" s="4">
        <v>5860</v>
      </c>
      <c r="R572" s="4">
        <v>5240</v>
      </c>
      <c r="S572" s="4">
        <v>103</v>
      </c>
      <c r="T572" s="19">
        <f>(ProductionData[[#This Row],[Rejected_Qty]])/ProductionData[[#This Row],[Produced_Qty]]</f>
        <v>1.9656488549618319E-2</v>
      </c>
      <c r="U572" s="19">
        <f>ProductionData[[#This Row],[Produced_Qty]]/ProductionData[[#This Row],[Planned_Qty]]</f>
        <v>0.89419795221843001</v>
      </c>
      <c r="V572" s="2" t="s">
        <v>89</v>
      </c>
      <c r="W572" s="11">
        <v>0</v>
      </c>
      <c r="X572" s="13">
        <f>W572/60</f>
        <v>0</v>
      </c>
      <c r="Y572" s="2" t="s">
        <v>90</v>
      </c>
      <c r="Z572" s="2">
        <v>51</v>
      </c>
      <c r="AA572" s="2">
        <f>ProductionData[[#This Row],[Rejected_Qty]]*ProductionData[[#This Row],[Unit_Cost_INR]]</f>
        <v>5253</v>
      </c>
      <c r="AB572" s="4">
        <v>17687</v>
      </c>
      <c r="AC572" s="4">
        <v>4980</v>
      </c>
      <c r="AD572" s="4">
        <v>4980</v>
      </c>
      <c r="AE572" s="4">
        <v>17844</v>
      </c>
      <c r="AF572" s="4">
        <v>9000</v>
      </c>
    </row>
    <row r="573" spans="1:32">
      <c r="A573" s="2" t="s">
        <v>1274</v>
      </c>
      <c r="B573" s="3">
        <v>46154</v>
      </c>
      <c r="C573" s="36" t="s">
        <v>790</v>
      </c>
      <c r="D573" s="2">
        <f>MONTH(ProductionData[[#This Row],[Month]])</f>
        <v>5</v>
      </c>
      <c r="E573" s="2" t="s">
        <v>92</v>
      </c>
      <c r="F573" s="2" t="s">
        <v>80</v>
      </c>
      <c r="G573" s="2" t="s">
        <v>195</v>
      </c>
      <c r="H573" s="2" t="s">
        <v>196</v>
      </c>
      <c r="I573" s="2" t="s">
        <v>197</v>
      </c>
      <c r="J573" s="2" t="s">
        <v>586</v>
      </c>
      <c r="K573" s="2" t="s">
        <v>587</v>
      </c>
      <c r="L573" s="2" t="s">
        <v>1275</v>
      </c>
      <c r="M573" s="2" t="s">
        <v>87</v>
      </c>
      <c r="N573" s="2" t="s">
        <v>88</v>
      </c>
      <c r="O573" s="2">
        <v>14</v>
      </c>
      <c r="P573" s="2">
        <v>13</v>
      </c>
      <c r="Q573" s="4">
        <v>6320</v>
      </c>
      <c r="R573" s="4">
        <v>5560</v>
      </c>
      <c r="S573" s="4">
        <v>200</v>
      </c>
      <c r="T573" s="19">
        <f>(ProductionData[[#This Row],[Rejected_Qty]])/ProductionData[[#This Row],[Produced_Qty]]</f>
        <v>3.5971223021582732E-2</v>
      </c>
      <c r="U573" s="19">
        <f>ProductionData[[#This Row],[Produced_Qty]]/ProductionData[[#This Row],[Planned_Qty]]</f>
        <v>0.879746835443038</v>
      </c>
      <c r="V573" s="2" t="s">
        <v>109</v>
      </c>
      <c r="W573" s="11">
        <v>0</v>
      </c>
      <c r="X573" s="13">
        <f>W573/60</f>
        <v>0</v>
      </c>
      <c r="Y573" s="2" t="s">
        <v>90</v>
      </c>
      <c r="Z573" s="2">
        <v>51</v>
      </c>
      <c r="AA573" s="2">
        <f>ProductionData[[#This Row],[Rejected_Qty]]*ProductionData[[#This Row],[Unit_Cost_INR]]</f>
        <v>10200</v>
      </c>
      <c r="AB573" s="4">
        <v>18077</v>
      </c>
      <c r="AC573" s="4">
        <v>5750</v>
      </c>
      <c r="AD573" s="4">
        <v>5750</v>
      </c>
      <c r="AE573" s="4">
        <v>17687</v>
      </c>
      <c r="AF573" s="4">
        <v>9000</v>
      </c>
    </row>
    <row r="574" spans="1:32">
      <c r="A574" s="2" t="s">
        <v>1276</v>
      </c>
      <c r="B574" s="3">
        <v>46148</v>
      </c>
      <c r="C574" s="36" t="s">
        <v>790</v>
      </c>
      <c r="D574" s="2">
        <f>MONTH(ProductionData[[#This Row],[Month]])</f>
        <v>5</v>
      </c>
      <c r="E574" s="2" t="s">
        <v>79</v>
      </c>
      <c r="F574" s="2" t="s">
        <v>93</v>
      </c>
      <c r="G574" s="2" t="s">
        <v>195</v>
      </c>
      <c r="H574" s="2" t="s">
        <v>196</v>
      </c>
      <c r="I574" s="2" t="s">
        <v>197</v>
      </c>
      <c r="J574" s="2" t="s">
        <v>586</v>
      </c>
      <c r="K574" s="2" t="s">
        <v>587</v>
      </c>
      <c r="L574" s="2" t="s">
        <v>1277</v>
      </c>
      <c r="M574" s="2" t="s">
        <v>95</v>
      </c>
      <c r="N574" s="2" t="s">
        <v>96</v>
      </c>
      <c r="O574" s="2">
        <v>14</v>
      </c>
      <c r="P574" s="2">
        <v>11</v>
      </c>
      <c r="Q574" s="4">
        <v>5690</v>
      </c>
      <c r="R574" s="4">
        <v>5120</v>
      </c>
      <c r="S574" s="4">
        <v>98</v>
      </c>
      <c r="T574" s="19">
        <f>(ProductionData[[#This Row],[Rejected_Qty]])/ProductionData[[#This Row],[Produced_Qty]]</f>
        <v>1.9140625000000001E-2</v>
      </c>
      <c r="U574" s="19">
        <f>ProductionData[[#This Row],[Produced_Qty]]/ProductionData[[#This Row],[Planned_Qty]]</f>
        <v>0.89982425307557112</v>
      </c>
      <c r="V574" s="2" t="s">
        <v>113</v>
      </c>
      <c r="W574" s="11">
        <v>17</v>
      </c>
      <c r="X574" s="13">
        <f>W574/60</f>
        <v>0.28333333333333333</v>
      </c>
      <c r="Y574" s="2" t="s">
        <v>110</v>
      </c>
      <c r="Z574" s="2">
        <v>51</v>
      </c>
      <c r="AA574" s="2">
        <f>ProductionData[[#This Row],[Rejected_Qty]]*ProductionData[[#This Row],[Unit_Cost_INR]]</f>
        <v>4998</v>
      </c>
      <c r="AB574" s="4">
        <v>16771</v>
      </c>
      <c r="AC574" s="4">
        <v>4120</v>
      </c>
      <c r="AD574" s="4">
        <v>4120</v>
      </c>
      <c r="AE574" s="4">
        <v>17673</v>
      </c>
      <c r="AF574" s="4">
        <v>9000</v>
      </c>
    </row>
    <row r="575" spans="1:32">
      <c r="A575" s="2" t="s">
        <v>1278</v>
      </c>
      <c r="B575" s="3">
        <v>46150</v>
      </c>
      <c r="C575" s="36" t="s">
        <v>790</v>
      </c>
      <c r="D575" s="2">
        <f>MONTH(ProductionData[[#This Row],[Month]])</f>
        <v>5</v>
      </c>
      <c r="E575" s="2" t="s">
        <v>125</v>
      </c>
      <c r="F575" s="2" t="s">
        <v>80</v>
      </c>
      <c r="G575" s="2" t="s">
        <v>195</v>
      </c>
      <c r="H575" s="2" t="s">
        <v>196</v>
      </c>
      <c r="I575" s="2" t="s">
        <v>197</v>
      </c>
      <c r="J575" s="2" t="s">
        <v>586</v>
      </c>
      <c r="K575" s="2" t="s">
        <v>587</v>
      </c>
      <c r="L575" s="2" t="s">
        <v>1279</v>
      </c>
      <c r="M575" s="2" t="s">
        <v>102</v>
      </c>
      <c r="N575" s="2" t="s">
        <v>88</v>
      </c>
      <c r="O575" s="2">
        <v>14</v>
      </c>
      <c r="P575" s="2">
        <v>14</v>
      </c>
      <c r="Q575" s="4">
        <v>5850</v>
      </c>
      <c r="R575" s="4">
        <v>5820</v>
      </c>
      <c r="S575" s="4">
        <v>196</v>
      </c>
      <c r="T575" s="19">
        <f>(ProductionData[[#This Row],[Rejected_Qty]])/ProductionData[[#This Row],[Produced_Qty]]</f>
        <v>3.367697594501718E-2</v>
      </c>
      <c r="U575" s="19">
        <f>ProductionData[[#This Row],[Produced_Qty]]/ProductionData[[#This Row],[Planned_Qty]]</f>
        <v>0.99487179487179489</v>
      </c>
      <c r="V575" s="2" t="s">
        <v>103</v>
      </c>
      <c r="W575" s="11">
        <v>0</v>
      </c>
      <c r="X575" s="13">
        <f>W575/60</f>
        <v>0</v>
      </c>
      <c r="Y575" s="2" t="s">
        <v>90</v>
      </c>
      <c r="Z575" s="2">
        <v>51</v>
      </c>
      <c r="AA575" s="2">
        <f>ProductionData[[#This Row],[Rejected_Qty]]*ProductionData[[#This Row],[Unit_Cost_INR]]</f>
        <v>9996</v>
      </c>
      <c r="AB575" s="4">
        <v>17330</v>
      </c>
      <c r="AC575" s="4">
        <v>5440</v>
      </c>
      <c r="AD575" s="4">
        <v>5440</v>
      </c>
      <c r="AE575" s="4">
        <v>17514</v>
      </c>
      <c r="AF575" s="4">
        <v>9000</v>
      </c>
    </row>
    <row r="576" spans="1:32">
      <c r="A576" s="2" t="s">
        <v>1280</v>
      </c>
      <c r="B576" s="3">
        <v>46149</v>
      </c>
      <c r="C576" s="36" t="s">
        <v>790</v>
      </c>
      <c r="D576" s="2">
        <f>MONTH(ProductionData[[#This Row],[Month]])</f>
        <v>5</v>
      </c>
      <c r="E576" s="2" t="s">
        <v>107</v>
      </c>
      <c r="F576" s="2" t="s">
        <v>80</v>
      </c>
      <c r="G576" s="2" t="s">
        <v>195</v>
      </c>
      <c r="H576" s="2" t="s">
        <v>196</v>
      </c>
      <c r="I576" s="2" t="s">
        <v>197</v>
      </c>
      <c r="J576" s="2" t="s">
        <v>586</v>
      </c>
      <c r="K576" s="2" t="s">
        <v>587</v>
      </c>
      <c r="L576" s="2" t="s">
        <v>1281</v>
      </c>
      <c r="M576" s="2" t="s">
        <v>102</v>
      </c>
      <c r="N576" s="2" t="s">
        <v>88</v>
      </c>
      <c r="O576" s="2">
        <v>14</v>
      </c>
      <c r="P576" s="2">
        <v>14</v>
      </c>
      <c r="Q576" s="4">
        <v>6110</v>
      </c>
      <c r="R576" s="4">
        <v>5810</v>
      </c>
      <c r="S576" s="4">
        <v>116</v>
      </c>
      <c r="T576" s="19">
        <f>(ProductionData[[#This Row],[Rejected_Qty]])/ProductionData[[#This Row],[Produced_Qty]]</f>
        <v>1.9965576592082618E-2</v>
      </c>
      <c r="U576" s="19">
        <f>ProductionData[[#This Row],[Produced_Qty]]/ProductionData[[#This Row],[Planned_Qty]]</f>
        <v>0.95090016366612107</v>
      </c>
      <c r="V576" s="2" t="s">
        <v>89</v>
      </c>
      <c r="W576" s="11">
        <v>0</v>
      </c>
      <c r="X576" s="13">
        <f>W576/60</f>
        <v>0</v>
      </c>
      <c r="Y576" s="2" t="s">
        <v>90</v>
      </c>
      <c r="Z576" s="2">
        <v>51</v>
      </c>
      <c r="AA576" s="2">
        <f>ProductionData[[#This Row],[Rejected_Qty]]*ProductionData[[#This Row],[Unit_Cost_INR]]</f>
        <v>5916</v>
      </c>
      <c r="AB576" s="4">
        <v>17488</v>
      </c>
      <c r="AC576" s="4">
        <v>5690</v>
      </c>
      <c r="AD576" s="4">
        <v>5690</v>
      </c>
      <c r="AE576" s="4">
        <v>17492</v>
      </c>
      <c r="AF576" s="4">
        <v>9000</v>
      </c>
    </row>
    <row r="577" spans="1:32">
      <c r="A577" s="2" t="s">
        <v>1282</v>
      </c>
      <c r="B577" s="3">
        <v>46149</v>
      </c>
      <c r="C577" s="36" t="s">
        <v>790</v>
      </c>
      <c r="D577" s="2">
        <f>MONTH(ProductionData[[#This Row],[Month]])</f>
        <v>5</v>
      </c>
      <c r="E577" s="2" t="s">
        <v>107</v>
      </c>
      <c r="F577" s="2" t="s">
        <v>66</v>
      </c>
      <c r="G577" s="2" t="s">
        <v>195</v>
      </c>
      <c r="H577" s="2" t="s">
        <v>196</v>
      </c>
      <c r="I577" s="2" t="s">
        <v>197</v>
      </c>
      <c r="J577" s="2" t="s">
        <v>586</v>
      </c>
      <c r="K577" s="2" t="s">
        <v>587</v>
      </c>
      <c r="L577" s="2" t="s">
        <v>1283</v>
      </c>
      <c r="M577" s="2" t="s">
        <v>73</v>
      </c>
      <c r="N577" s="2" t="s">
        <v>96</v>
      </c>
      <c r="O577" s="2">
        <v>14</v>
      </c>
      <c r="P577" s="2">
        <v>14</v>
      </c>
      <c r="Q577" s="4">
        <v>6420</v>
      </c>
      <c r="R577" s="4">
        <v>6340</v>
      </c>
      <c r="S577" s="4">
        <v>175</v>
      </c>
      <c r="T577" s="19">
        <f>(ProductionData[[#This Row],[Rejected_Qty]])/ProductionData[[#This Row],[Produced_Qty]]</f>
        <v>2.7602523659305992E-2</v>
      </c>
      <c r="U577" s="19">
        <f>ProductionData[[#This Row],[Produced_Qty]]/ProductionData[[#This Row],[Planned_Qty]]</f>
        <v>0.98753894080996885</v>
      </c>
      <c r="V577" s="2" t="s">
        <v>75</v>
      </c>
      <c r="W577" s="11">
        <v>0</v>
      </c>
      <c r="X577" s="13">
        <f>W577/60</f>
        <v>0</v>
      </c>
      <c r="Y577" s="2" t="s">
        <v>90</v>
      </c>
      <c r="Z577" s="2">
        <v>51</v>
      </c>
      <c r="AA577" s="2">
        <f>ProductionData[[#This Row],[Rejected_Qty]]*ProductionData[[#This Row],[Unit_Cost_INR]]</f>
        <v>8925</v>
      </c>
      <c r="AB577" s="4">
        <v>17673</v>
      </c>
      <c r="AC577" s="4">
        <v>6350</v>
      </c>
      <c r="AD577" s="4">
        <v>6350</v>
      </c>
      <c r="AE577" s="4">
        <v>17488</v>
      </c>
      <c r="AF577" s="4">
        <v>9000</v>
      </c>
    </row>
    <row r="578" spans="1:32">
      <c r="A578" s="2" t="s">
        <v>1284</v>
      </c>
      <c r="B578" s="3">
        <v>46158</v>
      </c>
      <c r="C578" s="36" t="s">
        <v>790</v>
      </c>
      <c r="D578" s="2">
        <f>MONTH(ProductionData[[#This Row],[Month]])</f>
        <v>5</v>
      </c>
      <c r="E578" s="2" t="s">
        <v>65</v>
      </c>
      <c r="F578" s="2" t="s">
        <v>80</v>
      </c>
      <c r="G578" s="2" t="s">
        <v>195</v>
      </c>
      <c r="H578" s="2" t="s">
        <v>196</v>
      </c>
      <c r="I578" s="2" t="s">
        <v>197</v>
      </c>
      <c r="J578" s="2" t="s">
        <v>586</v>
      </c>
      <c r="K578" s="2" t="s">
        <v>587</v>
      </c>
      <c r="L578" s="2" t="s">
        <v>1285</v>
      </c>
      <c r="M578" s="2" t="s">
        <v>87</v>
      </c>
      <c r="N578" s="2" t="s">
        <v>96</v>
      </c>
      <c r="O578" s="2">
        <v>14</v>
      </c>
      <c r="P578" s="2">
        <v>11</v>
      </c>
      <c r="Q578" s="4">
        <v>5660</v>
      </c>
      <c r="R578" s="4">
        <v>5010</v>
      </c>
      <c r="S578" s="4">
        <v>147</v>
      </c>
      <c r="T578" s="19">
        <f>(ProductionData[[#This Row],[Rejected_Qty]])/ProductionData[[#This Row],[Produced_Qty]]</f>
        <v>2.9341317365269463E-2</v>
      </c>
      <c r="U578" s="19">
        <f>ProductionData[[#This Row],[Produced_Qty]]/ProductionData[[#This Row],[Planned_Qty]]</f>
        <v>0.88515901060070667</v>
      </c>
      <c r="V578" s="2" t="s">
        <v>103</v>
      </c>
      <c r="W578" s="11">
        <v>0</v>
      </c>
      <c r="X578" s="13">
        <f>W578/60</f>
        <v>0</v>
      </c>
      <c r="Y578" s="2" t="s">
        <v>90</v>
      </c>
      <c r="Z578" s="2">
        <v>51</v>
      </c>
      <c r="AA578" s="2">
        <f>ProductionData[[#This Row],[Rejected_Qty]]*ProductionData[[#This Row],[Unit_Cost_INR]]</f>
        <v>7497</v>
      </c>
      <c r="AB578" s="4">
        <v>18126</v>
      </c>
      <c r="AC578" s="4">
        <v>5550</v>
      </c>
      <c r="AD578" s="4">
        <v>5550</v>
      </c>
      <c r="AE578" s="4">
        <v>17439</v>
      </c>
      <c r="AF578" s="4">
        <v>9000</v>
      </c>
    </row>
    <row r="579" spans="1:32">
      <c r="A579" s="2" t="s">
        <v>1286</v>
      </c>
      <c r="B579" s="3">
        <v>46149</v>
      </c>
      <c r="C579" s="36" t="s">
        <v>790</v>
      </c>
      <c r="D579" s="2">
        <f>MONTH(ProductionData[[#This Row],[Month]])</f>
        <v>5</v>
      </c>
      <c r="E579" s="2" t="s">
        <v>107</v>
      </c>
      <c r="F579" s="2" t="s">
        <v>93</v>
      </c>
      <c r="G579" s="2" t="s">
        <v>195</v>
      </c>
      <c r="H579" s="2" t="s">
        <v>196</v>
      </c>
      <c r="I579" s="2" t="s">
        <v>197</v>
      </c>
      <c r="J579" s="2" t="s">
        <v>586</v>
      </c>
      <c r="K579" s="2" t="s">
        <v>587</v>
      </c>
      <c r="L579" s="2" t="s">
        <v>1287</v>
      </c>
      <c r="M579" s="2" t="s">
        <v>95</v>
      </c>
      <c r="N579" s="2" t="s">
        <v>96</v>
      </c>
      <c r="O579" s="2">
        <v>14</v>
      </c>
      <c r="P579" s="2">
        <v>10</v>
      </c>
      <c r="Q579" s="4">
        <v>5650</v>
      </c>
      <c r="R579" s="4">
        <v>4940</v>
      </c>
      <c r="S579" s="4">
        <v>142</v>
      </c>
      <c r="T579" s="19">
        <f>(ProductionData[[#This Row],[Rejected_Qty]])/ProductionData[[#This Row],[Produced_Qty]]</f>
        <v>2.8744939271255061E-2</v>
      </c>
      <c r="U579" s="19">
        <f>ProductionData[[#This Row],[Produced_Qty]]/ProductionData[[#This Row],[Planned_Qty]]</f>
        <v>0.87433628318584067</v>
      </c>
      <c r="V579" s="2" t="s">
        <v>113</v>
      </c>
      <c r="W579" s="11">
        <v>0</v>
      </c>
      <c r="X579" s="13">
        <f>W579/60</f>
        <v>0</v>
      </c>
      <c r="Y579" s="2" t="s">
        <v>90</v>
      </c>
      <c r="Z579" s="2">
        <v>51</v>
      </c>
      <c r="AA579" s="2">
        <f>ProductionData[[#This Row],[Rejected_Qty]]*ProductionData[[#This Row],[Unit_Cost_INR]]</f>
        <v>7242</v>
      </c>
      <c r="AB579" s="4">
        <v>17492</v>
      </c>
      <c r="AC579" s="4">
        <v>4960</v>
      </c>
      <c r="AD579" s="4">
        <v>4960</v>
      </c>
      <c r="AE579" s="4">
        <v>17330</v>
      </c>
      <c r="AF579" s="4">
        <v>9000</v>
      </c>
    </row>
    <row r="580" spans="1:32">
      <c r="A580" s="2" t="s">
        <v>1288</v>
      </c>
      <c r="B580" s="3">
        <v>46155</v>
      </c>
      <c r="C580" s="36" t="s">
        <v>790</v>
      </c>
      <c r="D580" s="2">
        <f>MONTH(ProductionData[[#This Row],[Month]])</f>
        <v>5</v>
      </c>
      <c r="E580" s="2" t="s">
        <v>79</v>
      </c>
      <c r="F580" s="2" t="s">
        <v>80</v>
      </c>
      <c r="G580" s="2" t="s">
        <v>195</v>
      </c>
      <c r="H580" s="2" t="s">
        <v>196</v>
      </c>
      <c r="I580" s="2" t="s">
        <v>197</v>
      </c>
      <c r="J580" s="2" t="s">
        <v>586</v>
      </c>
      <c r="K580" s="2" t="s">
        <v>587</v>
      </c>
      <c r="L580" s="2" t="s">
        <v>1289</v>
      </c>
      <c r="M580" s="2" t="s">
        <v>87</v>
      </c>
      <c r="N580" s="2" t="s">
        <v>88</v>
      </c>
      <c r="O580" s="2">
        <v>14</v>
      </c>
      <c r="P580" s="2">
        <v>14</v>
      </c>
      <c r="Q580" s="4">
        <v>5950</v>
      </c>
      <c r="R580" s="4">
        <v>5410</v>
      </c>
      <c r="S580" s="4">
        <v>126</v>
      </c>
      <c r="T580" s="19">
        <f>(ProductionData[[#This Row],[Rejected_Qty]])/ProductionData[[#This Row],[Produced_Qty]]</f>
        <v>2.3290203327171903E-2</v>
      </c>
      <c r="U580" s="19">
        <f>ProductionData[[#This Row],[Produced_Qty]]/ProductionData[[#This Row],[Planned_Qty]]</f>
        <v>0.90924369747899159</v>
      </c>
      <c r="V580" s="2" t="s">
        <v>103</v>
      </c>
      <c r="W580" s="11">
        <v>69</v>
      </c>
      <c r="X580" s="13">
        <f>W580/60</f>
        <v>1.1499999999999999</v>
      </c>
      <c r="Y580" s="2" t="s">
        <v>182</v>
      </c>
      <c r="Z580" s="2">
        <v>51</v>
      </c>
      <c r="AA580" s="2">
        <f>ProductionData[[#This Row],[Rejected_Qty]]*ProductionData[[#This Row],[Unit_Cost_INR]]</f>
        <v>6426</v>
      </c>
      <c r="AB580" s="4">
        <v>17844</v>
      </c>
      <c r="AC580" s="4">
        <v>5910</v>
      </c>
      <c r="AD580" s="4">
        <v>5910</v>
      </c>
      <c r="AE580" s="4">
        <v>17218</v>
      </c>
      <c r="AF580" s="4">
        <v>9000</v>
      </c>
    </row>
    <row r="581" spans="1:32">
      <c r="A581" s="2" t="s">
        <v>1290</v>
      </c>
      <c r="B581" s="3">
        <v>46149</v>
      </c>
      <c r="C581" s="36" t="s">
        <v>790</v>
      </c>
      <c r="D581" s="2">
        <f>MONTH(ProductionData[[#This Row],[Month]])</f>
        <v>5</v>
      </c>
      <c r="E581" s="2" t="s">
        <v>107</v>
      </c>
      <c r="F581" s="2" t="s">
        <v>66</v>
      </c>
      <c r="G581" s="2" t="s">
        <v>174</v>
      </c>
      <c r="H581" s="2" t="s">
        <v>175</v>
      </c>
      <c r="I581" s="2" t="s">
        <v>176</v>
      </c>
      <c r="J581" s="2" t="s">
        <v>629</v>
      </c>
      <c r="K581" s="2" t="s">
        <v>630</v>
      </c>
      <c r="L581" s="2" t="s">
        <v>1291</v>
      </c>
      <c r="M581" s="2" t="s">
        <v>73</v>
      </c>
      <c r="N581" s="2" t="s">
        <v>96</v>
      </c>
      <c r="O581" s="2">
        <v>10</v>
      </c>
      <c r="P581" s="2">
        <v>10</v>
      </c>
      <c r="Q581" s="4">
        <v>5390</v>
      </c>
      <c r="R581" s="4">
        <v>5230</v>
      </c>
      <c r="S581" s="4">
        <v>136</v>
      </c>
      <c r="T581" s="19">
        <f>(ProductionData[[#This Row],[Rejected_Qty]])/ProductionData[[#This Row],[Produced_Qty]]</f>
        <v>2.6003824091778201E-2</v>
      </c>
      <c r="U581" s="19">
        <f>ProductionData[[#This Row],[Produced_Qty]]/ProductionData[[#This Row],[Planned_Qty]]</f>
        <v>0.9703153988868275</v>
      </c>
      <c r="V581" s="2" t="s">
        <v>113</v>
      </c>
      <c r="W581" s="11">
        <v>0</v>
      </c>
      <c r="X581" s="13">
        <f>W581/60</f>
        <v>0</v>
      </c>
      <c r="Y581" s="2" t="s">
        <v>90</v>
      </c>
      <c r="Z581" s="2">
        <v>29</v>
      </c>
      <c r="AA581" s="2">
        <f>ProductionData[[#This Row],[Rejected_Qty]]*ProductionData[[#This Row],[Unit_Cost_INR]]</f>
        <v>3944</v>
      </c>
      <c r="AB581" s="4">
        <v>16658</v>
      </c>
      <c r="AC581" s="4">
        <v>4940</v>
      </c>
      <c r="AD581" s="4">
        <v>4940</v>
      </c>
      <c r="AE581" s="4">
        <v>16812</v>
      </c>
      <c r="AF581" s="4">
        <v>7500</v>
      </c>
    </row>
    <row r="582" spans="1:32">
      <c r="A582" s="2" t="s">
        <v>1292</v>
      </c>
      <c r="B582" s="3">
        <v>46147</v>
      </c>
      <c r="C582" s="36" t="s">
        <v>790</v>
      </c>
      <c r="D582" s="2">
        <f>MONTH(ProductionData[[#This Row],[Month]])</f>
        <v>5</v>
      </c>
      <c r="E582" s="2" t="s">
        <v>92</v>
      </c>
      <c r="F582" s="2" t="s">
        <v>93</v>
      </c>
      <c r="G582" s="2" t="s">
        <v>195</v>
      </c>
      <c r="H582" s="2" t="s">
        <v>196</v>
      </c>
      <c r="I582" s="2" t="s">
        <v>197</v>
      </c>
      <c r="J582" s="2" t="s">
        <v>586</v>
      </c>
      <c r="K582" s="2" t="s">
        <v>587</v>
      </c>
      <c r="L582" s="2" t="s">
        <v>1293</v>
      </c>
      <c r="M582" s="2" t="s">
        <v>133</v>
      </c>
      <c r="N582" s="2" t="s">
        <v>88</v>
      </c>
      <c r="O582" s="2">
        <v>14</v>
      </c>
      <c r="P582" s="2">
        <v>13</v>
      </c>
      <c r="Q582" s="4">
        <v>5760</v>
      </c>
      <c r="R582" s="4">
        <v>5730</v>
      </c>
      <c r="S582" s="4">
        <v>177</v>
      </c>
      <c r="T582" s="19">
        <f>(ProductionData[[#This Row],[Rejected_Qty]])/ProductionData[[#This Row],[Produced_Qty]]</f>
        <v>3.0890052356020943E-2</v>
      </c>
      <c r="U582" s="19">
        <f>ProductionData[[#This Row],[Produced_Qty]]/ProductionData[[#This Row],[Planned_Qty]]</f>
        <v>0.99479166666666663</v>
      </c>
      <c r="V582" s="2" t="s">
        <v>75</v>
      </c>
      <c r="W582" s="11">
        <v>0</v>
      </c>
      <c r="X582" s="13">
        <f>W582/60</f>
        <v>0</v>
      </c>
      <c r="Y582" s="2" t="s">
        <v>90</v>
      </c>
      <c r="Z582" s="2">
        <v>51</v>
      </c>
      <c r="AA582" s="2">
        <f>ProductionData[[#This Row],[Rejected_Qty]]*ProductionData[[#This Row],[Unit_Cost_INR]]</f>
        <v>9027</v>
      </c>
      <c r="AB582" s="4">
        <v>16118</v>
      </c>
      <c r="AC582" s="4">
        <v>4900</v>
      </c>
      <c r="AD582" s="4">
        <v>4900</v>
      </c>
      <c r="AE582" s="4">
        <v>16771</v>
      </c>
      <c r="AF582" s="4">
        <v>9000</v>
      </c>
    </row>
    <row r="583" spans="1:32">
      <c r="A583" s="2" t="s">
        <v>1294</v>
      </c>
      <c r="B583" s="3">
        <v>46144</v>
      </c>
      <c r="C583" s="36" t="s">
        <v>790</v>
      </c>
      <c r="D583" s="2">
        <f>MONTH(ProductionData[[#This Row],[Month]])</f>
        <v>5</v>
      </c>
      <c r="E583" s="2" t="s">
        <v>65</v>
      </c>
      <c r="F583" s="2" t="s">
        <v>80</v>
      </c>
      <c r="G583" s="2" t="s">
        <v>195</v>
      </c>
      <c r="H583" s="2" t="s">
        <v>196</v>
      </c>
      <c r="I583" s="2" t="s">
        <v>197</v>
      </c>
      <c r="J583" s="2" t="s">
        <v>586</v>
      </c>
      <c r="K583" s="2" t="s">
        <v>587</v>
      </c>
      <c r="L583" s="2" t="s">
        <v>1295</v>
      </c>
      <c r="M583" s="2" t="s">
        <v>87</v>
      </c>
      <c r="N583" s="2" t="s">
        <v>96</v>
      </c>
      <c r="O583" s="2">
        <v>14</v>
      </c>
      <c r="P583" s="2">
        <v>14</v>
      </c>
      <c r="Q583" s="4">
        <v>6090</v>
      </c>
      <c r="R583" s="4">
        <v>5880</v>
      </c>
      <c r="S583" s="4">
        <v>101</v>
      </c>
      <c r="T583" s="19">
        <f>(ProductionData[[#This Row],[Rejected_Qty]])/ProductionData[[#This Row],[Produced_Qty]]</f>
        <v>1.7176870748299319E-2</v>
      </c>
      <c r="U583" s="19">
        <f>ProductionData[[#This Row],[Produced_Qty]]/ProductionData[[#This Row],[Planned_Qty]]</f>
        <v>0.96551724137931039</v>
      </c>
      <c r="V583" s="2" t="s">
        <v>89</v>
      </c>
      <c r="W583" s="11">
        <v>35</v>
      </c>
      <c r="X583" s="13">
        <f>W583/60</f>
        <v>0.58333333333333337</v>
      </c>
      <c r="Y583" s="2" t="s">
        <v>136</v>
      </c>
      <c r="Z583" s="2">
        <v>51</v>
      </c>
      <c r="AA583" s="2">
        <f>ProductionData[[#This Row],[Rejected_Qty]]*ProductionData[[#This Row],[Unit_Cost_INR]]</f>
        <v>5151</v>
      </c>
      <c r="AB583" s="4">
        <v>16033</v>
      </c>
      <c r="AC583" s="4">
        <v>5090</v>
      </c>
      <c r="AD583" s="4">
        <v>5090</v>
      </c>
      <c r="AE583" s="4">
        <v>16722</v>
      </c>
      <c r="AF583" s="4">
        <v>9000</v>
      </c>
    </row>
    <row r="584" spans="1:32">
      <c r="A584" s="2" t="s">
        <v>1296</v>
      </c>
      <c r="B584" s="3">
        <v>46148</v>
      </c>
      <c r="C584" s="36" t="s">
        <v>790</v>
      </c>
      <c r="D584" s="2">
        <f>MONTH(ProductionData[[#This Row],[Month]])</f>
        <v>5</v>
      </c>
      <c r="E584" s="2" t="s">
        <v>79</v>
      </c>
      <c r="F584" s="2" t="s">
        <v>93</v>
      </c>
      <c r="G584" s="2" t="s">
        <v>174</v>
      </c>
      <c r="H584" s="2" t="s">
        <v>175</v>
      </c>
      <c r="I584" s="2" t="s">
        <v>176</v>
      </c>
      <c r="J584" s="2" t="s">
        <v>629</v>
      </c>
      <c r="K584" s="2" t="s">
        <v>630</v>
      </c>
      <c r="L584" s="2" t="s">
        <v>1297</v>
      </c>
      <c r="M584" s="2" t="s">
        <v>133</v>
      </c>
      <c r="N584" s="2" t="s">
        <v>88</v>
      </c>
      <c r="O584" s="2">
        <v>10</v>
      </c>
      <c r="P584" s="2">
        <v>9</v>
      </c>
      <c r="Q584" s="4">
        <v>5080</v>
      </c>
      <c r="R584" s="4">
        <v>4930</v>
      </c>
      <c r="S584" s="4">
        <v>115</v>
      </c>
      <c r="T584" s="19">
        <f>(ProductionData[[#This Row],[Rejected_Qty]])/ProductionData[[#This Row],[Produced_Qty]]</f>
        <v>2.332657200811359E-2</v>
      </c>
      <c r="U584" s="19">
        <f>ProductionData[[#This Row],[Produced_Qty]]/ProductionData[[#This Row],[Planned_Qty]]</f>
        <v>0.97047244094488194</v>
      </c>
      <c r="V584" s="2" t="s">
        <v>75</v>
      </c>
      <c r="W584" s="11">
        <v>0</v>
      </c>
      <c r="X584" s="13">
        <f>W584/60</f>
        <v>0</v>
      </c>
      <c r="Y584" s="2" t="s">
        <v>90</v>
      </c>
      <c r="Z584" s="2">
        <v>29</v>
      </c>
      <c r="AA584" s="2">
        <f>ProductionData[[#This Row],[Rejected_Qty]]*ProductionData[[#This Row],[Unit_Cost_INR]]</f>
        <v>3335</v>
      </c>
      <c r="AB584" s="4">
        <v>16473</v>
      </c>
      <c r="AC584" s="4">
        <v>4630</v>
      </c>
      <c r="AD584" s="4">
        <v>4630</v>
      </c>
      <c r="AE584" s="4">
        <v>16658</v>
      </c>
      <c r="AF584" s="4">
        <v>7500</v>
      </c>
    </row>
    <row r="585" spans="1:32">
      <c r="A585" s="2" t="s">
        <v>1298</v>
      </c>
      <c r="B585" s="3">
        <v>46147</v>
      </c>
      <c r="C585" s="36" t="s">
        <v>790</v>
      </c>
      <c r="D585" s="2">
        <f>MONTH(ProductionData[[#This Row],[Month]])</f>
        <v>5</v>
      </c>
      <c r="E585" s="2" t="s">
        <v>92</v>
      </c>
      <c r="F585" s="2" t="s">
        <v>80</v>
      </c>
      <c r="G585" s="2" t="s">
        <v>174</v>
      </c>
      <c r="H585" s="2" t="s">
        <v>175</v>
      </c>
      <c r="I585" s="2" t="s">
        <v>176</v>
      </c>
      <c r="J585" s="2" t="s">
        <v>629</v>
      </c>
      <c r="K585" s="2" t="s">
        <v>630</v>
      </c>
      <c r="L585" s="2" t="s">
        <v>1299</v>
      </c>
      <c r="M585" s="2" t="s">
        <v>102</v>
      </c>
      <c r="N585" s="2" t="s">
        <v>88</v>
      </c>
      <c r="O585" s="2">
        <v>10</v>
      </c>
      <c r="P585" s="2">
        <v>10</v>
      </c>
      <c r="Q585" s="4">
        <v>5060</v>
      </c>
      <c r="R585" s="4">
        <v>5060</v>
      </c>
      <c r="S585" s="4">
        <v>104</v>
      </c>
      <c r="T585" s="19">
        <f>(ProductionData[[#This Row],[Rejected_Qty]])/ProductionData[[#This Row],[Produced_Qty]]</f>
        <v>2.0553359683794466E-2</v>
      </c>
      <c r="U585" s="19">
        <f>ProductionData[[#This Row],[Produced_Qty]]/ProductionData[[#This Row],[Planned_Qty]]</f>
        <v>1</v>
      </c>
      <c r="V585" s="2" t="s">
        <v>109</v>
      </c>
      <c r="W585" s="11">
        <v>63</v>
      </c>
      <c r="X585" s="13">
        <f>W585/60</f>
        <v>1.05</v>
      </c>
      <c r="Y585" s="2" t="s">
        <v>182</v>
      </c>
      <c r="Z585" s="2">
        <v>29</v>
      </c>
      <c r="AA585" s="2">
        <f>ProductionData[[#This Row],[Rejected_Qty]]*ProductionData[[#This Row],[Unit_Cost_INR]]</f>
        <v>3016</v>
      </c>
      <c r="AB585" s="4">
        <v>16437</v>
      </c>
      <c r="AC585" s="4">
        <v>4920</v>
      </c>
      <c r="AD585" s="4">
        <v>4920</v>
      </c>
      <c r="AE585" s="4">
        <v>16473</v>
      </c>
      <c r="AF585" s="4">
        <v>7500</v>
      </c>
    </row>
    <row r="586" spans="1:32">
      <c r="A586" s="2" t="s">
        <v>1300</v>
      </c>
      <c r="B586" s="3">
        <v>46146</v>
      </c>
      <c r="C586" s="36" t="s">
        <v>790</v>
      </c>
      <c r="D586" s="2">
        <f>MONTH(ProductionData[[#This Row],[Month]])</f>
        <v>5</v>
      </c>
      <c r="E586" s="2" t="s">
        <v>116</v>
      </c>
      <c r="F586" s="2" t="s">
        <v>93</v>
      </c>
      <c r="G586" s="2" t="s">
        <v>174</v>
      </c>
      <c r="H586" s="2" t="s">
        <v>175</v>
      </c>
      <c r="I586" s="2" t="s">
        <v>176</v>
      </c>
      <c r="J586" s="2" t="s">
        <v>629</v>
      </c>
      <c r="K586" s="2" t="s">
        <v>630</v>
      </c>
      <c r="L586" s="2" t="s">
        <v>1301</v>
      </c>
      <c r="M586" s="2" t="s">
        <v>95</v>
      </c>
      <c r="N586" s="2" t="s">
        <v>96</v>
      </c>
      <c r="O586" s="2">
        <v>10</v>
      </c>
      <c r="P586" s="2">
        <v>9</v>
      </c>
      <c r="Q586" s="4">
        <v>5060</v>
      </c>
      <c r="R586" s="4">
        <v>4700</v>
      </c>
      <c r="S586" s="4">
        <v>167</v>
      </c>
      <c r="T586" s="19">
        <f>(ProductionData[[#This Row],[Rejected_Qty]])/ProductionData[[#This Row],[Produced_Qty]]</f>
        <v>3.5531914893617018E-2</v>
      </c>
      <c r="U586" s="19">
        <f>ProductionData[[#This Row],[Produced_Qty]]/ProductionData[[#This Row],[Planned_Qty]]</f>
        <v>0.92885375494071143</v>
      </c>
      <c r="V586" s="2" t="s">
        <v>89</v>
      </c>
      <c r="W586" s="11">
        <v>0</v>
      </c>
      <c r="X586" s="13">
        <f>W586/60</f>
        <v>0</v>
      </c>
      <c r="Y586" s="2" t="s">
        <v>90</v>
      </c>
      <c r="Z586" s="2">
        <v>29</v>
      </c>
      <c r="AA586" s="2">
        <f>ProductionData[[#This Row],[Rejected_Qty]]*ProductionData[[#This Row],[Unit_Cost_INR]]</f>
        <v>4843</v>
      </c>
      <c r="AB586" s="4">
        <v>16294</v>
      </c>
      <c r="AC586" s="4">
        <v>4390</v>
      </c>
      <c r="AD586" s="4">
        <v>4390</v>
      </c>
      <c r="AE586" s="4">
        <v>16437</v>
      </c>
      <c r="AF586" s="4">
        <v>7500</v>
      </c>
    </row>
    <row r="587" spans="1:32">
      <c r="A587" s="2" t="s">
        <v>1302</v>
      </c>
      <c r="B587" s="3">
        <v>46143</v>
      </c>
      <c r="C587" s="36" t="s">
        <v>790</v>
      </c>
      <c r="D587" s="2">
        <f>MONTH(ProductionData[[#This Row],[Month]])</f>
        <v>5</v>
      </c>
      <c r="E587" s="2" t="s">
        <v>125</v>
      </c>
      <c r="F587" s="2" t="s">
        <v>66</v>
      </c>
      <c r="G587" s="2" t="s">
        <v>195</v>
      </c>
      <c r="H587" s="2" t="s">
        <v>196</v>
      </c>
      <c r="I587" s="2" t="s">
        <v>197</v>
      </c>
      <c r="J587" s="2" t="s">
        <v>586</v>
      </c>
      <c r="K587" s="2" t="s">
        <v>587</v>
      </c>
      <c r="L587" s="2" t="s">
        <v>1303</v>
      </c>
      <c r="M587" s="2" t="s">
        <v>99</v>
      </c>
      <c r="N587" s="2" t="s">
        <v>96</v>
      </c>
      <c r="O587" s="2">
        <v>14</v>
      </c>
      <c r="P587" s="2">
        <v>13</v>
      </c>
      <c r="Q587" s="4">
        <v>6480</v>
      </c>
      <c r="R587" s="4">
        <v>6060</v>
      </c>
      <c r="S587" s="4">
        <v>162</v>
      </c>
      <c r="T587" s="19">
        <f>(ProductionData[[#This Row],[Rejected_Qty]])/ProductionData[[#This Row],[Produced_Qty]]</f>
        <v>2.6732673267326732E-2</v>
      </c>
      <c r="U587" s="19">
        <f>ProductionData[[#This Row],[Produced_Qty]]/ProductionData[[#This Row],[Planned_Qty]]</f>
        <v>0.93518518518518523</v>
      </c>
      <c r="V587" s="2" t="s">
        <v>113</v>
      </c>
      <c r="W587" s="11">
        <v>74</v>
      </c>
      <c r="X587" s="13">
        <f>W587/60</f>
        <v>1.2333333333333334</v>
      </c>
      <c r="Y587" s="2" t="s">
        <v>182</v>
      </c>
      <c r="Z587" s="2">
        <v>51</v>
      </c>
      <c r="AA587" s="2">
        <f>ProductionData[[#This Row],[Rejected_Qty]]*ProductionData[[#This Row],[Unit_Cost_INR]]</f>
        <v>8262</v>
      </c>
      <c r="AB587" s="4">
        <v>15862</v>
      </c>
      <c r="AC587" s="4">
        <v>5330</v>
      </c>
      <c r="AD587" s="4">
        <v>5330</v>
      </c>
      <c r="AE587" s="4">
        <v>16430</v>
      </c>
      <c r="AF587" s="4">
        <v>9000</v>
      </c>
    </row>
    <row r="588" spans="1:32">
      <c r="A588" s="2" t="s">
        <v>1304</v>
      </c>
      <c r="B588" s="3">
        <v>46154</v>
      </c>
      <c r="C588" s="36" t="s">
        <v>790</v>
      </c>
      <c r="D588" s="2">
        <f>MONTH(ProductionData[[#This Row],[Month]])</f>
        <v>5</v>
      </c>
      <c r="E588" s="2" t="s">
        <v>92</v>
      </c>
      <c r="F588" s="2" t="s">
        <v>80</v>
      </c>
      <c r="G588" s="2" t="s">
        <v>174</v>
      </c>
      <c r="H588" s="2" t="s">
        <v>175</v>
      </c>
      <c r="I588" s="2" t="s">
        <v>176</v>
      </c>
      <c r="J588" s="2" t="s">
        <v>629</v>
      </c>
      <c r="K588" s="2" t="s">
        <v>630</v>
      </c>
      <c r="L588" s="2" t="s">
        <v>1305</v>
      </c>
      <c r="M588" s="2" t="s">
        <v>102</v>
      </c>
      <c r="N588" s="2" t="s">
        <v>96</v>
      </c>
      <c r="O588" s="2">
        <v>10</v>
      </c>
      <c r="P588" s="2">
        <v>9</v>
      </c>
      <c r="Q588" s="4">
        <v>4620</v>
      </c>
      <c r="R588" s="4">
        <v>4200</v>
      </c>
      <c r="S588" s="4">
        <v>72</v>
      </c>
      <c r="T588" s="19">
        <f>(ProductionData[[#This Row],[Rejected_Qty]])/ProductionData[[#This Row],[Produced_Qty]]</f>
        <v>1.7142857142857144E-2</v>
      </c>
      <c r="U588" s="19">
        <f>ProductionData[[#This Row],[Produced_Qty]]/ProductionData[[#This Row],[Planned_Qty]]</f>
        <v>0.90909090909090906</v>
      </c>
      <c r="V588" s="2" t="s">
        <v>113</v>
      </c>
      <c r="W588" s="11">
        <v>0</v>
      </c>
      <c r="X588" s="13">
        <f>W588/60</f>
        <v>0</v>
      </c>
      <c r="Y588" s="2" t="s">
        <v>90</v>
      </c>
      <c r="Z588" s="2">
        <v>29</v>
      </c>
      <c r="AA588" s="2">
        <f>ProductionData[[#This Row],[Rejected_Qty]]*ProductionData[[#This Row],[Unit_Cost_INR]]</f>
        <v>2088</v>
      </c>
      <c r="AB588" s="4">
        <v>15941</v>
      </c>
      <c r="AC588" s="4">
        <v>3640</v>
      </c>
      <c r="AD588" s="4">
        <v>3640</v>
      </c>
      <c r="AE588" s="4">
        <v>16429</v>
      </c>
      <c r="AF588" s="4">
        <v>7500</v>
      </c>
    </row>
    <row r="589" spans="1:32">
      <c r="A589" s="2" t="s">
        <v>1306</v>
      </c>
      <c r="B589" s="3">
        <v>46146</v>
      </c>
      <c r="C589" s="36" t="s">
        <v>790</v>
      </c>
      <c r="D589" s="2">
        <f>MONTH(ProductionData[[#This Row],[Month]])</f>
        <v>5</v>
      </c>
      <c r="E589" s="2" t="s">
        <v>116</v>
      </c>
      <c r="F589" s="2" t="s">
        <v>66</v>
      </c>
      <c r="G589" s="2" t="s">
        <v>195</v>
      </c>
      <c r="H589" s="2" t="s">
        <v>196</v>
      </c>
      <c r="I589" s="2" t="s">
        <v>197</v>
      </c>
      <c r="J589" s="2" t="s">
        <v>586</v>
      </c>
      <c r="K589" s="2" t="s">
        <v>587</v>
      </c>
      <c r="L589" s="2" t="s">
        <v>1307</v>
      </c>
      <c r="M589" s="2" t="s">
        <v>99</v>
      </c>
      <c r="N589" s="2" t="s">
        <v>88</v>
      </c>
      <c r="O589" s="2">
        <v>14</v>
      </c>
      <c r="P589" s="2">
        <v>14</v>
      </c>
      <c r="Q589" s="4">
        <v>5800</v>
      </c>
      <c r="R589" s="4">
        <v>5160</v>
      </c>
      <c r="S589" s="4">
        <v>143</v>
      </c>
      <c r="T589" s="19">
        <f>(ProductionData[[#This Row],[Rejected_Qty]])/ProductionData[[#This Row],[Produced_Qty]]</f>
        <v>2.7713178294573645E-2</v>
      </c>
      <c r="U589" s="19">
        <f>ProductionData[[#This Row],[Produced_Qty]]/ProductionData[[#This Row],[Planned_Qty]]</f>
        <v>0.8896551724137931</v>
      </c>
      <c r="V589" s="2" t="s">
        <v>113</v>
      </c>
      <c r="W589" s="11">
        <v>18</v>
      </c>
      <c r="X589" s="13">
        <f>W589/60</f>
        <v>0.3</v>
      </c>
      <c r="Y589" s="2" t="s">
        <v>114</v>
      </c>
      <c r="Z589" s="2">
        <v>51</v>
      </c>
      <c r="AA589" s="2">
        <f>ProductionData[[#This Row],[Rejected_Qty]]*ProductionData[[#This Row],[Unit_Cost_INR]]</f>
        <v>7293</v>
      </c>
      <c r="AB589" s="4">
        <v>16722</v>
      </c>
      <c r="AC589" s="4">
        <v>5340</v>
      </c>
      <c r="AD589" s="4">
        <v>5340</v>
      </c>
      <c r="AE589" s="4">
        <v>16399</v>
      </c>
      <c r="AF589" s="4">
        <v>9000</v>
      </c>
    </row>
    <row r="590" spans="1:32">
      <c r="A590" s="2" t="s">
        <v>1308</v>
      </c>
      <c r="B590" s="3">
        <v>46155</v>
      </c>
      <c r="C590" s="36" t="s">
        <v>790</v>
      </c>
      <c r="D590" s="2">
        <f>MONTH(ProductionData[[#This Row],[Month]])</f>
        <v>5</v>
      </c>
      <c r="E590" s="2" t="s">
        <v>79</v>
      </c>
      <c r="F590" s="2" t="s">
        <v>93</v>
      </c>
      <c r="G590" s="2" t="s">
        <v>174</v>
      </c>
      <c r="H590" s="2" t="s">
        <v>175</v>
      </c>
      <c r="I590" s="2" t="s">
        <v>176</v>
      </c>
      <c r="J590" s="2" t="s">
        <v>629</v>
      </c>
      <c r="K590" s="2" t="s">
        <v>630</v>
      </c>
      <c r="L590" s="2" t="s">
        <v>1309</v>
      </c>
      <c r="M590" s="2" t="s">
        <v>95</v>
      </c>
      <c r="N590" s="2" t="s">
        <v>88</v>
      </c>
      <c r="O590" s="2">
        <v>10</v>
      </c>
      <c r="P590" s="2">
        <v>9</v>
      </c>
      <c r="Q590" s="4">
        <v>4770</v>
      </c>
      <c r="R590" s="4">
        <v>4390</v>
      </c>
      <c r="S590" s="4">
        <v>126</v>
      </c>
      <c r="T590" s="19">
        <f>(ProductionData[[#This Row],[Rejected_Qty]])/ProductionData[[#This Row],[Produced_Qty]]</f>
        <v>2.8701594533029614E-2</v>
      </c>
      <c r="U590" s="19">
        <f>ProductionData[[#This Row],[Produced_Qty]]/ProductionData[[#This Row],[Planned_Qty]]</f>
        <v>0.92033542976939209</v>
      </c>
      <c r="V590" s="2" t="s">
        <v>89</v>
      </c>
      <c r="W590" s="11">
        <v>47</v>
      </c>
      <c r="X590" s="13">
        <f>W590/60</f>
        <v>0.78333333333333333</v>
      </c>
      <c r="Y590" s="2" t="s">
        <v>136</v>
      </c>
      <c r="Z590" s="2">
        <v>29</v>
      </c>
      <c r="AA590" s="2">
        <f>ProductionData[[#This Row],[Rejected_Qty]]*ProductionData[[#This Row],[Unit_Cost_INR]]</f>
        <v>3654</v>
      </c>
      <c r="AB590" s="4">
        <v>16168</v>
      </c>
      <c r="AC590" s="4">
        <v>4060</v>
      </c>
      <c r="AD590" s="4">
        <v>4060</v>
      </c>
      <c r="AE590" s="4">
        <v>16372</v>
      </c>
      <c r="AF590" s="4">
        <v>7500</v>
      </c>
    </row>
    <row r="591" spans="1:32">
      <c r="A591" s="2" t="s">
        <v>1310</v>
      </c>
      <c r="B591" s="3">
        <v>46146</v>
      </c>
      <c r="C591" s="36" t="s">
        <v>790</v>
      </c>
      <c r="D591" s="2">
        <f>MONTH(ProductionData[[#This Row],[Month]])</f>
        <v>5</v>
      </c>
      <c r="E591" s="2" t="s">
        <v>116</v>
      </c>
      <c r="F591" s="2" t="s">
        <v>80</v>
      </c>
      <c r="G591" s="2" t="s">
        <v>174</v>
      </c>
      <c r="H591" s="2" t="s">
        <v>175</v>
      </c>
      <c r="I591" s="2" t="s">
        <v>176</v>
      </c>
      <c r="J591" s="2" t="s">
        <v>629</v>
      </c>
      <c r="K591" s="2" t="s">
        <v>630</v>
      </c>
      <c r="L591" s="2" t="s">
        <v>1311</v>
      </c>
      <c r="M591" s="2" t="s">
        <v>87</v>
      </c>
      <c r="N591" s="2" t="s">
        <v>88</v>
      </c>
      <c r="O591" s="2">
        <v>10</v>
      </c>
      <c r="P591" s="2">
        <v>10</v>
      </c>
      <c r="Q591" s="4">
        <v>4660</v>
      </c>
      <c r="R591" s="4">
        <v>4430</v>
      </c>
      <c r="S591" s="4">
        <v>113</v>
      </c>
      <c r="T591" s="19">
        <f>(ProductionData[[#This Row],[Rejected_Qty]])/ProductionData[[#This Row],[Produced_Qty]]</f>
        <v>2.5507900677200903E-2</v>
      </c>
      <c r="U591" s="19">
        <f>ProductionData[[#This Row],[Produced_Qty]]/ProductionData[[#This Row],[Planned_Qty]]</f>
        <v>0.95064377682403434</v>
      </c>
      <c r="V591" s="2" t="s">
        <v>103</v>
      </c>
      <c r="W591" s="11">
        <v>0</v>
      </c>
      <c r="X591" s="13">
        <f>W591/60</f>
        <v>0</v>
      </c>
      <c r="Y591" s="2" t="s">
        <v>90</v>
      </c>
      <c r="Z591" s="2">
        <v>29</v>
      </c>
      <c r="AA591" s="2">
        <f>ProductionData[[#This Row],[Rejected_Qty]]*ProductionData[[#This Row],[Unit_Cost_INR]]</f>
        <v>3277</v>
      </c>
      <c r="AB591" s="4">
        <v>15957</v>
      </c>
      <c r="AC591" s="4">
        <v>3980</v>
      </c>
      <c r="AD591" s="4">
        <v>3980</v>
      </c>
      <c r="AE591" s="4">
        <v>16294</v>
      </c>
      <c r="AF591" s="4">
        <v>7500</v>
      </c>
    </row>
    <row r="592" spans="1:32">
      <c r="A592" s="2" t="s">
        <v>1312</v>
      </c>
      <c r="B592" s="3">
        <v>46156</v>
      </c>
      <c r="C592" s="36" t="s">
        <v>790</v>
      </c>
      <c r="D592" s="2">
        <f>MONTH(ProductionData[[#This Row],[Month]])</f>
        <v>5</v>
      </c>
      <c r="E592" s="2" t="s">
        <v>107</v>
      </c>
      <c r="F592" s="2" t="s">
        <v>66</v>
      </c>
      <c r="G592" s="2" t="s">
        <v>174</v>
      </c>
      <c r="H592" s="2" t="s">
        <v>175</v>
      </c>
      <c r="I592" s="2" t="s">
        <v>176</v>
      </c>
      <c r="J592" s="2" t="s">
        <v>629</v>
      </c>
      <c r="K592" s="2" t="s">
        <v>630</v>
      </c>
      <c r="L592" s="2" t="s">
        <v>1313</v>
      </c>
      <c r="M592" s="2" t="s">
        <v>99</v>
      </c>
      <c r="N592" s="2" t="s">
        <v>88</v>
      </c>
      <c r="O592" s="2">
        <v>10</v>
      </c>
      <c r="P592" s="2">
        <v>9</v>
      </c>
      <c r="Q592" s="4">
        <v>5250</v>
      </c>
      <c r="R592" s="4">
        <v>4740</v>
      </c>
      <c r="S592" s="4">
        <v>157</v>
      </c>
      <c r="T592" s="19">
        <f>(ProductionData[[#This Row],[Rejected_Qty]])/ProductionData[[#This Row],[Produced_Qty]]</f>
        <v>3.3122362869198313E-2</v>
      </c>
      <c r="U592" s="19">
        <f>ProductionData[[#This Row],[Produced_Qty]]/ProductionData[[#This Row],[Planned_Qty]]</f>
        <v>0.9028571428571428</v>
      </c>
      <c r="V592" s="2" t="s">
        <v>113</v>
      </c>
      <c r="W592" s="11">
        <v>67</v>
      </c>
      <c r="X592" s="13">
        <f>W592/60</f>
        <v>1.1166666666666667</v>
      </c>
      <c r="Y592" s="2" t="s">
        <v>76</v>
      </c>
      <c r="Z592" s="2">
        <v>29</v>
      </c>
      <c r="AA592" s="2">
        <f>ProductionData[[#This Row],[Rejected_Qty]]*ProductionData[[#This Row],[Unit_Cost_INR]]</f>
        <v>4553</v>
      </c>
      <c r="AB592" s="4">
        <v>16372</v>
      </c>
      <c r="AC592" s="4">
        <v>4690</v>
      </c>
      <c r="AD592" s="4">
        <v>4690</v>
      </c>
      <c r="AE592" s="4">
        <v>16265</v>
      </c>
      <c r="AF592" s="4">
        <v>7500</v>
      </c>
    </row>
    <row r="593" spans="1:32">
      <c r="A593" s="2" t="s">
        <v>1314</v>
      </c>
      <c r="B593" s="3">
        <v>46143</v>
      </c>
      <c r="C593" s="36" t="s">
        <v>790</v>
      </c>
      <c r="D593" s="2">
        <f>MONTH(ProductionData[[#This Row],[Month]])</f>
        <v>5</v>
      </c>
      <c r="E593" s="2" t="s">
        <v>125</v>
      </c>
      <c r="F593" s="2" t="s">
        <v>93</v>
      </c>
      <c r="G593" s="2" t="s">
        <v>195</v>
      </c>
      <c r="H593" s="2" t="s">
        <v>196</v>
      </c>
      <c r="I593" s="2" t="s">
        <v>197</v>
      </c>
      <c r="J593" s="2" t="s">
        <v>586</v>
      </c>
      <c r="K593" s="2" t="s">
        <v>587</v>
      </c>
      <c r="L593" s="2" t="s">
        <v>1315</v>
      </c>
      <c r="M593" s="2" t="s">
        <v>95</v>
      </c>
      <c r="N593" s="2" t="s">
        <v>96</v>
      </c>
      <c r="O593" s="2">
        <v>14</v>
      </c>
      <c r="P593" s="2">
        <v>13</v>
      </c>
      <c r="Q593" s="4">
        <v>5740</v>
      </c>
      <c r="R593" s="4">
        <v>5270</v>
      </c>
      <c r="S593" s="4">
        <v>92</v>
      </c>
      <c r="T593" s="19">
        <f>(ProductionData[[#This Row],[Rejected_Qty]])/ProductionData[[#This Row],[Produced_Qty]]</f>
        <v>1.7457305502846299E-2</v>
      </c>
      <c r="U593" s="19">
        <f>ProductionData[[#This Row],[Produced_Qty]]/ProductionData[[#This Row],[Planned_Qty]]</f>
        <v>0.91811846689895471</v>
      </c>
      <c r="V593" s="2" t="s">
        <v>75</v>
      </c>
      <c r="W593" s="11">
        <v>0</v>
      </c>
      <c r="X593" s="13">
        <f>W593/60</f>
        <v>0</v>
      </c>
      <c r="Y593" s="2" t="s">
        <v>90</v>
      </c>
      <c r="Z593" s="2">
        <v>51</v>
      </c>
      <c r="AA593" s="2">
        <f>ProductionData[[#This Row],[Rejected_Qty]]*ProductionData[[#This Row],[Unit_Cost_INR]]</f>
        <v>4692</v>
      </c>
      <c r="AB593" s="4">
        <v>16430</v>
      </c>
      <c r="AC593" s="4">
        <v>5440</v>
      </c>
      <c r="AD593" s="4">
        <v>5440</v>
      </c>
      <c r="AE593" s="4">
        <v>16168</v>
      </c>
      <c r="AF593" s="4">
        <v>9000</v>
      </c>
    </row>
    <row r="594" spans="1:32">
      <c r="A594" s="2" t="s">
        <v>1316</v>
      </c>
      <c r="B594" s="3">
        <v>46155</v>
      </c>
      <c r="C594" s="36" t="s">
        <v>790</v>
      </c>
      <c r="D594" s="2">
        <f>MONTH(ProductionData[[#This Row],[Month]])</f>
        <v>5</v>
      </c>
      <c r="E594" s="2" t="s">
        <v>79</v>
      </c>
      <c r="F594" s="2" t="s">
        <v>80</v>
      </c>
      <c r="G594" s="2" t="s">
        <v>174</v>
      </c>
      <c r="H594" s="2" t="s">
        <v>175</v>
      </c>
      <c r="I594" s="2" t="s">
        <v>176</v>
      </c>
      <c r="J594" s="2" t="s">
        <v>629</v>
      </c>
      <c r="K594" s="2" t="s">
        <v>630</v>
      </c>
      <c r="L594" s="2" t="s">
        <v>1317</v>
      </c>
      <c r="M594" s="2" t="s">
        <v>87</v>
      </c>
      <c r="N594" s="2" t="s">
        <v>96</v>
      </c>
      <c r="O594" s="2">
        <v>10</v>
      </c>
      <c r="P594" s="2">
        <v>9</v>
      </c>
      <c r="Q594" s="4">
        <v>4910</v>
      </c>
      <c r="R594" s="4">
        <v>4410</v>
      </c>
      <c r="S594" s="4">
        <v>111</v>
      </c>
      <c r="T594" s="19">
        <f>(ProductionData[[#This Row],[Rejected_Qty]])/ProductionData[[#This Row],[Produced_Qty]]</f>
        <v>2.5170068027210883E-2</v>
      </c>
      <c r="U594" s="19">
        <f>ProductionData[[#This Row],[Produced_Qty]]/ProductionData[[#This Row],[Planned_Qty]]</f>
        <v>0.89816700610997968</v>
      </c>
      <c r="V594" s="2" t="s">
        <v>75</v>
      </c>
      <c r="W594" s="11">
        <v>0</v>
      </c>
      <c r="X594" s="13">
        <f>W594/60</f>
        <v>0</v>
      </c>
      <c r="Y594" s="2" t="s">
        <v>90</v>
      </c>
      <c r="Z594" s="2">
        <v>29</v>
      </c>
      <c r="AA594" s="2">
        <f>ProductionData[[#This Row],[Rejected_Qty]]*ProductionData[[#This Row],[Unit_Cost_INR]]</f>
        <v>3219</v>
      </c>
      <c r="AB594" s="4">
        <v>16429</v>
      </c>
      <c r="AC594" s="4">
        <v>4560</v>
      </c>
      <c r="AD594" s="4">
        <v>4560</v>
      </c>
      <c r="AE594" s="4">
        <v>16168</v>
      </c>
      <c r="AF594" s="4">
        <v>7500</v>
      </c>
    </row>
    <row r="595" spans="1:32">
      <c r="A595" s="2" t="s">
        <v>1318</v>
      </c>
      <c r="B595" s="3">
        <v>46147</v>
      </c>
      <c r="C595" s="36" t="s">
        <v>790</v>
      </c>
      <c r="D595" s="2">
        <f>MONTH(ProductionData[[#This Row],[Month]])</f>
        <v>5</v>
      </c>
      <c r="E595" s="2" t="s">
        <v>92</v>
      </c>
      <c r="F595" s="2" t="s">
        <v>80</v>
      </c>
      <c r="G595" s="2" t="s">
        <v>195</v>
      </c>
      <c r="H595" s="2" t="s">
        <v>196</v>
      </c>
      <c r="I595" s="2" t="s">
        <v>197</v>
      </c>
      <c r="J595" s="2" t="s">
        <v>586</v>
      </c>
      <c r="K595" s="2" t="s">
        <v>587</v>
      </c>
      <c r="L595" s="2" t="s">
        <v>1319</v>
      </c>
      <c r="M595" s="2" t="s">
        <v>102</v>
      </c>
      <c r="N595" s="2" t="s">
        <v>96</v>
      </c>
      <c r="O595" s="2">
        <v>14</v>
      </c>
      <c r="P595" s="2">
        <v>13</v>
      </c>
      <c r="Q595" s="4">
        <v>5910</v>
      </c>
      <c r="R595" s="4">
        <v>5570</v>
      </c>
      <c r="S595" s="4">
        <v>191</v>
      </c>
      <c r="T595" s="19">
        <f>(ProductionData[[#This Row],[Rejected_Qty]])/ProductionData[[#This Row],[Produced_Qty]]</f>
        <v>3.4290843806104129E-2</v>
      </c>
      <c r="U595" s="19">
        <f>ProductionData[[#This Row],[Produced_Qty]]/ProductionData[[#This Row],[Planned_Qty]]</f>
        <v>0.94247038917089676</v>
      </c>
      <c r="V595" s="2" t="s">
        <v>113</v>
      </c>
      <c r="W595" s="11">
        <v>0</v>
      </c>
      <c r="X595" s="13">
        <f>W595/60</f>
        <v>0</v>
      </c>
      <c r="Y595" s="2" t="s">
        <v>90</v>
      </c>
      <c r="Z595" s="2">
        <v>51</v>
      </c>
      <c r="AA595" s="2">
        <f>ProductionData[[#This Row],[Rejected_Qty]]*ProductionData[[#This Row],[Unit_Cost_INR]]</f>
        <v>9741</v>
      </c>
      <c r="AB595" s="4">
        <v>16399</v>
      </c>
      <c r="AC595" s="4">
        <v>5660</v>
      </c>
      <c r="AD595" s="4">
        <v>5660</v>
      </c>
      <c r="AE595" s="4">
        <v>16118</v>
      </c>
      <c r="AF595" s="4">
        <v>9000</v>
      </c>
    </row>
    <row r="596" spans="1:32">
      <c r="A596" s="2" t="s">
        <v>1320</v>
      </c>
      <c r="B596" s="3">
        <v>46166</v>
      </c>
      <c r="C596" s="36" t="s">
        <v>790</v>
      </c>
      <c r="D596" s="2">
        <f>MONTH(ProductionData[[#This Row],[Month]])</f>
        <v>5</v>
      </c>
      <c r="E596" s="2" t="s">
        <v>186</v>
      </c>
      <c r="F596" s="2" t="s">
        <v>80</v>
      </c>
      <c r="G596" s="2" t="s">
        <v>174</v>
      </c>
      <c r="H596" s="2" t="s">
        <v>175</v>
      </c>
      <c r="I596" s="2" t="s">
        <v>176</v>
      </c>
      <c r="J596" s="2" t="s">
        <v>629</v>
      </c>
      <c r="K596" s="2" t="s">
        <v>630</v>
      </c>
      <c r="L596" s="2" t="s">
        <v>1321</v>
      </c>
      <c r="M596" s="2" t="s">
        <v>87</v>
      </c>
      <c r="N596" s="2" t="s">
        <v>88</v>
      </c>
      <c r="O596" s="2">
        <v>10</v>
      </c>
      <c r="P596" s="2">
        <v>10</v>
      </c>
      <c r="Q596" s="4">
        <v>3740</v>
      </c>
      <c r="R596" s="4">
        <v>3550</v>
      </c>
      <c r="S596" s="4">
        <v>72</v>
      </c>
      <c r="T596" s="19">
        <f>(ProductionData[[#This Row],[Rejected_Qty]])/ProductionData[[#This Row],[Produced_Qty]]</f>
        <v>2.028169014084507E-2</v>
      </c>
      <c r="U596" s="19">
        <f>ProductionData[[#This Row],[Produced_Qty]]/ProductionData[[#This Row],[Planned_Qty]]</f>
        <v>0.94919786096256686</v>
      </c>
      <c r="V596" s="2" t="s">
        <v>103</v>
      </c>
      <c r="W596" s="11">
        <v>0</v>
      </c>
      <c r="X596" s="13">
        <f>W596/60</f>
        <v>0</v>
      </c>
      <c r="Y596" s="2" t="s">
        <v>90</v>
      </c>
      <c r="Z596" s="2">
        <v>29</v>
      </c>
      <c r="AA596" s="2">
        <f>ProductionData[[#This Row],[Rejected_Qty]]*ProductionData[[#This Row],[Unit_Cost_INR]]</f>
        <v>2088</v>
      </c>
      <c r="AB596" s="4">
        <v>15686</v>
      </c>
      <c r="AC596" s="4">
        <v>3100</v>
      </c>
      <c r="AD596" s="4">
        <v>3100</v>
      </c>
      <c r="AE596" s="4">
        <v>16064</v>
      </c>
      <c r="AF596" s="4">
        <v>7500</v>
      </c>
    </row>
    <row r="597" spans="1:32">
      <c r="A597" s="2" t="s">
        <v>1322</v>
      </c>
      <c r="B597" s="3">
        <v>46144</v>
      </c>
      <c r="C597" s="36" t="s">
        <v>790</v>
      </c>
      <c r="D597" s="2">
        <f>MONTH(ProductionData[[#This Row],[Month]])</f>
        <v>5</v>
      </c>
      <c r="E597" s="2" t="s">
        <v>65</v>
      </c>
      <c r="F597" s="2" t="s">
        <v>66</v>
      </c>
      <c r="G597" s="2" t="s">
        <v>195</v>
      </c>
      <c r="H597" s="2" t="s">
        <v>196</v>
      </c>
      <c r="I597" s="2" t="s">
        <v>197</v>
      </c>
      <c r="J597" s="2" t="s">
        <v>586</v>
      </c>
      <c r="K597" s="2" t="s">
        <v>587</v>
      </c>
      <c r="L597" s="2" t="s">
        <v>1323</v>
      </c>
      <c r="M597" s="2" t="s">
        <v>99</v>
      </c>
      <c r="N597" s="2" t="s">
        <v>96</v>
      </c>
      <c r="O597" s="2">
        <v>14</v>
      </c>
      <c r="P597" s="2">
        <v>14</v>
      </c>
      <c r="Q597" s="4">
        <v>6050</v>
      </c>
      <c r="R597" s="4">
        <v>5570</v>
      </c>
      <c r="S597" s="4">
        <v>95</v>
      </c>
      <c r="T597" s="19">
        <f>(ProductionData[[#This Row],[Rejected_Qty]])/ProductionData[[#This Row],[Produced_Qty]]</f>
        <v>1.7055655296229804E-2</v>
      </c>
      <c r="U597" s="19">
        <f>ProductionData[[#This Row],[Produced_Qty]]/ProductionData[[#This Row],[Planned_Qty]]</f>
        <v>0.92066115702479334</v>
      </c>
      <c r="V597" s="2" t="s">
        <v>113</v>
      </c>
      <c r="W597" s="11">
        <v>20</v>
      </c>
      <c r="X597" s="13">
        <f>W597/60</f>
        <v>0.33333333333333331</v>
      </c>
      <c r="Y597" s="2" t="s">
        <v>114</v>
      </c>
      <c r="Z597" s="2">
        <v>51</v>
      </c>
      <c r="AA597" s="2">
        <f>ProductionData[[#This Row],[Rejected_Qty]]*ProductionData[[#This Row],[Unit_Cost_INR]]</f>
        <v>4845</v>
      </c>
      <c r="AB597" s="4">
        <v>16168</v>
      </c>
      <c r="AC597" s="4">
        <v>5610</v>
      </c>
      <c r="AD597" s="4">
        <v>5610</v>
      </c>
      <c r="AE597" s="4">
        <v>16033</v>
      </c>
      <c r="AF597" s="4">
        <v>9000</v>
      </c>
    </row>
    <row r="598" spans="1:32">
      <c r="A598" s="2" t="s">
        <v>1324</v>
      </c>
      <c r="B598" s="3">
        <v>46151</v>
      </c>
      <c r="C598" s="36" t="s">
        <v>790</v>
      </c>
      <c r="D598" s="2">
        <f>MONTH(ProductionData[[#This Row],[Month]])</f>
        <v>5</v>
      </c>
      <c r="E598" s="2" t="s">
        <v>65</v>
      </c>
      <c r="F598" s="2" t="s">
        <v>80</v>
      </c>
      <c r="G598" s="2" t="s">
        <v>174</v>
      </c>
      <c r="H598" s="2" t="s">
        <v>175</v>
      </c>
      <c r="I598" s="2" t="s">
        <v>176</v>
      </c>
      <c r="J598" s="2" t="s">
        <v>629</v>
      </c>
      <c r="K598" s="2" t="s">
        <v>630</v>
      </c>
      <c r="L598" s="2" t="s">
        <v>1325</v>
      </c>
      <c r="M598" s="2" t="s">
        <v>87</v>
      </c>
      <c r="N598" s="2" t="s">
        <v>96</v>
      </c>
      <c r="O598" s="2">
        <v>10</v>
      </c>
      <c r="P598" s="2">
        <v>7</v>
      </c>
      <c r="Q598" s="4">
        <v>4900</v>
      </c>
      <c r="R598" s="4">
        <v>4170</v>
      </c>
      <c r="S598" s="4">
        <v>120</v>
      </c>
      <c r="T598" s="19">
        <f>(ProductionData[[#This Row],[Rejected_Qty]])/ProductionData[[#This Row],[Produced_Qty]]</f>
        <v>2.8776978417266189E-2</v>
      </c>
      <c r="U598" s="19">
        <f>ProductionData[[#This Row],[Produced_Qty]]/ProductionData[[#This Row],[Planned_Qty]]</f>
        <v>0.8510204081632653</v>
      </c>
      <c r="V598" s="2" t="s">
        <v>109</v>
      </c>
      <c r="W598" s="11">
        <v>0</v>
      </c>
      <c r="X598" s="13">
        <f>W598/60</f>
        <v>0</v>
      </c>
      <c r="Y598" s="2" t="s">
        <v>90</v>
      </c>
      <c r="Z598" s="2">
        <v>29</v>
      </c>
      <c r="AA598" s="2">
        <f>ProductionData[[#This Row],[Rejected_Qty]]*ProductionData[[#This Row],[Unit_Cost_INR]]</f>
        <v>3480</v>
      </c>
      <c r="AB598" s="4">
        <v>16812</v>
      </c>
      <c r="AC598" s="4">
        <v>4860</v>
      </c>
      <c r="AD598" s="4">
        <v>4860</v>
      </c>
      <c r="AE598" s="4">
        <v>16002</v>
      </c>
      <c r="AF598" s="4">
        <v>7500</v>
      </c>
    </row>
    <row r="599" spans="1:32">
      <c r="A599" s="2" t="s">
        <v>1326</v>
      </c>
      <c r="B599" s="3">
        <v>46145</v>
      </c>
      <c r="C599" s="36" t="s">
        <v>790</v>
      </c>
      <c r="D599" s="2">
        <f>MONTH(ProductionData[[#This Row],[Month]])</f>
        <v>5</v>
      </c>
      <c r="E599" s="2" t="s">
        <v>186</v>
      </c>
      <c r="F599" s="2" t="s">
        <v>66</v>
      </c>
      <c r="G599" s="2" t="s">
        <v>174</v>
      </c>
      <c r="H599" s="2" t="s">
        <v>175</v>
      </c>
      <c r="I599" s="2" t="s">
        <v>176</v>
      </c>
      <c r="J599" s="2" t="s">
        <v>629</v>
      </c>
      <c r="K599" s="2" t="s">
        <v>630</v>
      </c>
      <c r="L599" s="2" t="s">
        <v>1327</v>
      </c>
      <c r="M599" s="2" t="s">
        <v>73</v>
      </c>
      <c r="N599" s="2" t="s">
        <v>96</v>
      </c>
      <c r="O599" s="2">
        <v>10</v>
      </c>
      <c r="P599" s="2">
        <v>10</v>
      </c>
      <c r="Q599" s="4">
        <v>3580</v>
      </c>
      <c r="R599" s="4">
        <v>3270</v>
      </c>
      <c r="S599" s="4">
        <v>120</v>
      </c>
      <c r="T599" s="19">
        <f>(ProductionData[[#This Row],[Rejected_Qty]])/ProductionData[[#This Row],[Produced_Qty]]</f>
        <v>3.669724770642202E-2</v>
      </c>
      <c r="U599" s="19">
        <f>ProductionData[[#This Row],[Produced_Qty]]/ProductionData[[#This Row],[Planned_Qty]]</f>
        <v>0.91340782122905029</v>
      </c>
      <c r="V599" s="2" t="s">
        <v>89</v>
      </c>
      <c r="W599" s="11">
        <v>36</v>
      </c>
      <c r="X599" s="13">
        <f>W599/60</f>
        <v>0.6</v>
      </c>
      <c r="Y599" s="2" t="s">
        <v>136</v>
      </c>
      <c r="Z599" s="2">
        <v>29</v>
      </c>
      <c r="AA599" s="2">
        <f>ProductionData[[#This Row],[Rejected_Qty]]*ProductionData[[#This Row],[Unit_Cost_INR]]</f>
        <v>3480</v>
      </c>
      <c r="AB599" s="4">
        <v>15620</v>
      </c>
      <c r="AC599" s="4">
        <v>2770</v>
      </c>
      <c r="AD599" s="4">
        <v>2770</v>
      </c>
      <c r="AE599" s="4">
        <v>16000</v>
      </c>
      <c r="AF599" s="4">
        <v>7500</v>
      </c>
    </row>
    <row r="600" spans="1:32">
      <c r="A600" s="2" t="s">
        <v>1328</v>
      </c>
      <c r="B600" s="3">
        <v>46146</v>
      </c>
      <c r="C600" s="36" t="s">
        <v>790</v>
      </c>
      <c r="D600" s="2">
        <f>MONTH(ProductionData[[#This Row],[Month]])</f>
        <v>5</v>
      </c>
      <c r="E600" s="2" t="s">
        <v>116</v>
      </c>
      <c r="F600" s="2" t="s">
        <v>66</v>
      </c>
      <c r="G600" s="2" t="s">
        <v>174</v>
      </c>
      <c r="H600" s="2" t="s">
        <v>175</v>
      </c>
      <c r="I600" s="2" t="s">
        <v>176</v>
      </c>
      <c r="J600" s="2" t="s">
        <v>629</v>
      </c>
      <c r="K600" s="2" t="s">
        <v>630</v>
      </c>
      <c r="L600" s="2" t="s">
        <v>1329</v>
      </c>
      <c r="M600" s="2" t="s">
        <v>73</v>
      </c>
      <c r="N600" s="2" t="s">
        <v>96</v>
      </c>
      <c r="O600" s="2">
        <v>10</v>
      </c>
      <c r="P600" s="2">
        <v>9</v>
      </c>
      <c r="Q600" s="4">
        <v>4630</v>
      </c>
      <c r="R600" s="4">
        <v>4330</v>
      </c>
      <c r="S600" s="4">
        <v>143</v>
      </c>
      <c r="T600" s="19">
        <f>(ProductionData[[#This Row],[Rejected_Qty]])/ProductionData[[#This Row],[Produced_Qty]]</f>
        <v>3.3025404157043879E-2</v>
      </c>
      <c r="U600" s="19">
        <f>ProductionData[[#This Row],[Produced_Qty]]/ProductionData[[#This Row],[Planned_Qty]]</f>
        <v>0.93520518358531313</v>
      </c>
      <c r="V600" s="2" t="s">
        <v>113</v>
      </c>
      <c r="W600" s="11">
        <v>29</v>
      </c>
      <c r="X600" s="13">
        <f>W600/60</f>
        <v>0.48333333333333334</v>
      </c>
      <c r="Y600" s="2" t="s">
        <v>114</v>
      </c>
      <c r="Z600" s="2">
        <v>29</v>
      </c>
      <c r="AA600" s="2">
        <f>ProductionData[[#This Row],[Rejected_Qty]]*ProductionData[[#This Row],[Unit_Cost_INR]]</f>
        <v>4147</v>
      </c>
      <c r="AB600" s="4">
        <v>16000</v>
      </c>
      <c r="AC600" s="4">
        <v>4230</v>
      </c>
      <c r="AD600" s="4">
        <v>4230</v>
      </c>
      <c r="AE600" s="4">
        <v>15957</v>
      </c>
      <c r="AF600" s="4">
        <v>7500</v>
      </c>
    </row>
    <row r="601" spans="1:32">
      <c r="A601" s="2" t="s">
        <v>1330</v>
      </c>
      <c r="B601" s="3">
        <v>46151</v>
      </c>
      <c r="C601" s="36" t="s">
        <v>790</v>
      </c>
      <c r="D601" s="2">
        <f>MONTH(ProductionData[[#This Row],[Month]])</f>
        <v>5</v>
      </c>
      <c r="E601" s="2" t="s">
        <v>65</v>
      </c>
      <c r="F601" s="2" t="s">
        <v>93</v>
      </c>
      <c r="G601" s="2" t="s">
        <v>174</v>
      </c>
      <c r="H601" s="2" t="s">
        <v>175</v>
      </c>
      <c r="I601" s="2" t="s">
        <v>176</v>
      </c>
      <c r="J601" s="2" t="s">
        <v>629</v>
      </c>
      <c r="K601" s="2" t="s">
        <v>630</v>
      </c>
      <c r="L601" s="2" t="s">
        <v>1331</v>
      </c>
      <c r="M601" s="2" t="s">
        <v>133</v>
      </c>
      <c r="N601" s="2" t="s">
        <v>96</v>
      </c>
      <c r="O601" s="2">
        <v>10</v>
      </c>
      <c r="P601" s="2">
        <v>10</v>
      </c>
      <c r="Q601" s="4">
        <v>4840</v>
      </c>
      <c r="R601" s="4">
        <v>4620</v>
      </c>
      <c r="S601" s="4">
        <v>111</v>
      </c>
      <c r="T601" s="19">
        <f>(ProductionData[[#This Row],[Rejected_Qty]])/ProductionData[[#This Row],[Produced_Qty]]</f>
        <v>2.4025974025974027E-2</v>
      </c>
      <c r="U601" s="19">
        <f>ProductionData[[#This Row],[Produced_Qty]]/ProductionData[[#This Row],[Planned_Qty]]</f>
        <v>0.95454545454545459</v>
      </c>
      <c r="V601" s="2" t="s">
        <v>103</v>
      </c>
      <c r="W601" s="11">
        <v>0</v>
      </c>
      <c r="X601" s="13">
        <f>W601/60</f>
        <v>0</v>
      </c>
      <c r="Y601" s="2" t="s">
        <v>90</v>
      </c>
      <c r="Z601" s="2">
        <v>29</v>
      </c>
      <c r="AA601" s="2">
        <f>ProductionData[[#This Row],[Rejected_Qty]]*ProductionData[[#This Row],[Unit_Cost_INR]]</f>
        <v>3219</v>
      </c>
      <c r="AB601" s="4">
        <v>16002</v>
      </c>
      <c r="AC601" s="4">
        <v>4570</v>
      </c>
      <c r="AD601" s="4">
        <v>4570</v>
      </c>
      <c r="AE601" s="4">
        <v>15941</v>
      </c>
      <c r="AF601" s="4">
        <v>7500</v>
      </c>
    </row>
    <row r="602" spans="1:32">
      <c r="A602" s="2" t="s">
        <v>1332</v>
      </c>
      <c r="B602" s="3">
        <v>46158</v>
      </c>
      <c r="C602" s="36" t="s">
        <v>790</v>
      </c>
      <c r="D602" s="2">
        <f>MONTH(ProductionData[[#This Row],[Month]])</f>
        <v>5</v>
      </c>
      <c r="E602" s="2" t="s">
        <v>65</v>
      </c>
      <c r="F602" s="2" t="s">
        <v>80</v>
      </c>
      <c r="G602" s="2" t="s">
        <v>174</v>
      </c>
      <c r="H602" s="2" t="s">
        <v>175</v>
      </c>
      <c r="I602" s="2" t="s">
        <v>176</v>
      </c>
      <c r="J602" s="2" t="s">
        <v>629</v>
      </c>
      <c r="K602" s="2" t="s">
        <v>630</v>
      </c>
      <c r="L602" s="2" t="s">
        <v>1333</v>
      </c>
      <c r="M602" s="2" t="s">
        <v>102</v>
      </c>
      <c r="N602" s="2" t="s">
        <v>96</v>
      </c>
      <c r="O602" s="2">
        <v>10</v>
      </c>
      <c r="P602" s="2">
        <v>10</v>
      </c>
      <c r="Q602" s="4">
        <v>5360</v>
      </c>
      <c r="R602" s="4">
        <v>5210</v>
      </c>
      <c r="S602" s="4">
        <v>159</v>
      </c>
      <c r="T602" s="19">
        <f>(ProductionData[[#This Row],[Rejected_Qty]])/ProductionData[[#This Row],[Produced_Qty]]</f>
        <v>3.0518234165067177E-2</v>
      </c>
      <c r="U602" s="19">
        <f>ProductionData[[#This Row],[Produced_Qty]]/ProductionData[[#This Row],[Planned_Qty]]</f>
        <v>0.97201492537313428</v>
      </c>
      <c r="V602" s="2" t="s">
        <v>89</v>
      </c>
      <c r="W602" s="11">
        <v>50</v>
      </c>
      <c r="X602" s="13">
        <f>W602/60</f>
        <v>0.83333333333333337</v>
      </c>
      <c r="Y602" s="2" t="s">
        <v>76</v>
      </c>
      <c r="Z602" s="2">
        <v>29</v>
      </c>
      <c r="AA602" s="2">
        <f>ProductionData[[#This Row],[Rejected_Qty]]*ProductionData[[#This Row],[Unit_Cost_INR]]</f>
        <v>4611</v>
      </c>
      <c r="AB602" s="4">
        <v>15313</v>
      </c>
      <c r="AC602" s="4">
        <v>4470</v>
      </c>
      <c r="AD602" s="4">
        <v>4470</v>
      </c>
      <c r="AE602" s="4">
        <v>15894</v>
      </c>
      <c r="AF602" s="4">
        <v>7500</v>
      </c>
    </row>
    <row r="603" spans="1:32">
      <c r="A603" s="2" t="s">
        <v>1334</v>
      </c>
      <c r="B603" s="3">
        <v>46153</v>
      </c>
      <c r="C603" s="36" t="s">
        <v>790</v>
      </c>
      <c r="D603" s="2">
        <f>MONTH(ProductionData[[#This Row],[Month]])</f>
        <v>5</v>
      </c>
      <c r="E603" s="2" t="s">
        <v>116</v>
      </c>
      <c r="F603" s="2" t="s">
        <v>66</v>
      </c>
      <c r="G603" s="2" t="s">
        <v>67</v>
      </c>
      <c r="H603" s="2" t="s">
        <v>68</v>
      </c>
      <c r="I603" s="2" t="s">
        <v>69</v>
      </c>
      <c r="J603" s="2" t="s">
        <v>683</v>
      </c>
      <c r="K603" s="2" t="s">
        <v>684</v>
      </c>
      <c r="L603" s="2" t="s">
        <v>1335</v>
      </c>
      <c r="M603" s="2" t="s">
        <v>73</v>
      </c>
      <c r="N603" s="2" t="s">
        <v>88</v>
      </c>
      <c r="O603" s="2">
        <v>16</v>
      </c>
      <c r="P603" s="2">
        <v>16</v>
      </c>
      <c r="Q603" s="4">
        <v>4750</v>
      </c>
      <c r="R603" s="4">
        <v>4520</v>
      </c>
      <c r="S603" s="4">
        <v>150</v>
      </c>
      <c r="T603" s="19">
        <f>(ProductionData[[#This Row],[Rejected_Qty]])/ProductionData[[#This Row],[Produced_Qty]]</f>
        <v>3.3185840707964605E-2</v>
      </c>
      <c r="U603" s="19">
        <f>ProductionData[[#This Row],[Produced_Qty]]/ProductionData[[#This Row],[Planned_Qty]]</f>
        <v>0.95157894736842108</v>
      </c>
      <c r="V603" s="2" t="s">
        <v>113</v>
      </c>
      <c r="W603" s="11">
        <v>0</v>
      </c>
      <c r="X603" s="13">
        <f>W603/60</f>
        <v>0</v>
      </c>
      <c r="Y603" s="2" t="s">
        <v>90</v>
      </c>
      <c r="Z603" s="2">
        <v>79</v>
      </c>
      <c r="AA603" s="2">
        <f>ProductionData[[#This Row],[Rejected_Qty]]*ProductionData[[#This Row],[Unit_Cost_INR]]</f>
        <v>11850</v>
      </c>
      <c r="AB603" s="4">
        <v>15817</v>
      </c>
      <c r="AC603" s="4">
        <v>4350</v>
      </c>
      <c r="AD603" s="4">
        <v>4350</v>
      </c>
      <c r="AE603" s="4">
        <v>15837</v>
      </c>
      <c r="AF603" s="4">
        <v>6750</v>
      </c>
    </row>
    <row r="604" spans="1:32">
      <c r="A604" s="2" t="s">
        <v>1336</v>
      </c>
      <c r="B604" s="3">
        <v>46168</v>
      </c>
      <c r="C604" s="36" t="s">
        <v>790</v>
      </c>
      <c r="D604" s="2">
        <f>MONTH(ProductionData[[#This Row],[Month]])</f>
        <v>5</v>
      </c>
      <c r="E604" s="2" t="s">
        <v>92</v>
      </c>
      <c r="F604" s="2" t="s">
        <v>66</v>
      </c>
      <c r="G604" s="2" t="s">
        <v>174</v>
      </c>
      <c r="H604" s="2" t="s">
        <v>175</v>
      </c>
      <c r="I604" s="2" t="s">
        <v>176</v>
      </c>
      <c r="J604" s="2" t="s">
        <v>629</v>
      </c>
      <c r="K604" s="2" t="s">
        <v>630</v>
      </c>
      <c r="L604" s="2" t="s">
        <v>1337</v>
      </c>
      <c r="M604" s="2" t="s">
        <v>99</v>
      </c>
      <c r="N604" s="2" t="s">
        <v>96</v>
      </c>
      <c r="O604" s="2">
        <v>10</v>
      </c>
      <c r="P604" s="2">
        <v>9</v>
      </c>
      <c r="Q604" s="4">
        <v>5040</v>
      </c>
      <c r="R604" s="4">
        <v>4870</v>
      </c>
      <c r="S604" s="4">
        <v>147</v>
      </c>
      <c r="T604" s="19">
        <f>(ProductionData[[#This Row],[Rejected_Qty]])/ProductionData[[#This Row],[Produced_Qty]]</f>
        <v>3.0184804928131418E-2</v>
      </c>
      <c r="U604" s="19">
        <f>ProductionData[[#This Row],[Produced_Qty]]/ProductionData[[#This Row],[Planned_Qty]]</f>
        <v>0.96626984126984128</v>
      </c>
      <c r="V604" s="2" t="s">
        <v>89</v>
      </c>
      <c r="W604" s="11">
        <v>0</v>
      </c>
      <c r="X604" s="13">
        <f>W604/60</f>
        <v>0</v>
      </c>
      <c r="Y604" s="2" t="s">
        <v>90</v>
      </c>
      <c r="Z604" s="2">
        <v>29</v>
      </c>
      <c r="AA604" s="2">
        <f>ProductionData[[#This Row],[Rejected_Qty]]*ProductionData[[#This Row],[Unit_Cost_INR]]</f>
        <v>4263</v>
      </c>
      <c r="AB604" s="4">
        <v>16064</v>
      </c>
      <c r="AC604" s="4">
        <v>4960</v>
      </c>
      <c r="AD604" s="4">
        <v>4960</v>
      </c>
      <c r="AE604" s="4">
        <v>15827</v>
      </c>
      <c r="AF604" s="4">
        <v>7500</v>
      </c>
    </row>
    <row r="605" spans="1:32">
      <c r="A605" s="2" t="s">
        <v>1338</v>
      </c>
      <c r="B605" s="3">
        <v>46163</v>
      </c>
      <c r="C605" s="36" t="s">
        <v>790</v>
      </c>
      <c r="D605" s="2">
        <f>MONTH(ProductionData[[#This Row],[Month]])</f>
        <v>5</v>
      </c>
      <c r="E605" s="2" t="s">
        <v>107</v>
      </c>
      <c r="F605" s="2" t="s">
        <v>80</v>
      </c>
      <c r="G605" s="2" t="s">
        <v>174</v>
      </c>
      <c r="H605" s="2" t="s">
        <v>175</v>
      </c>
      <c r="I605" s="2" t="s">
        <v>176</v>
      </c>
      <c r="J605" s="2" t="s">
        <v>629</v>
      </c>
      <c r="K605" s="2" t="s">
        <v>630</v>
      </c>
      <c r="L605" s="2" t="s">
        <v>1339</v>
      </c>
      <c r="M605" s="2" t="s">
        <v>87</v>
      </c>
      <c r="N605" s="2" t="s">
        <v>96</v>
      </c>
      <c r="O605" s="2">
        <v>10</v>
      </c>
      <c r="P605" s="2">
        <v>10</v>
      </c>
      <c r="Q605" s="4">
        <v>5030</v>
      </c>
      <c r="R605" s="4">
        <v>4790</v>
      </c>
      <c r="S605" s="4">
        <v>106</v>
      </c>
      <c r="T605" s="19">
        <f>(ProductionData[[#This Row],[Rejected_Qty]])/ProductionData[[#This Row],[Produced_Qty]]</f>
        <v>2.2129436325678497E-2</v>
      </c>
      <c r="U605" s="19">
        <f>ProductionData[[#This Row],[Produced_Qty]]/ProductionData[[#This Row],[Planned_Qty]]</f>
        <v>0.95228628230616297</v>
      </c>
      <c r="V605" s="2" t="s">
        <v>89</v>
      </c>
      <c r="W605" s="11">
        <v>0</v>
      </c>
      <c r="X605" s="13">
        <f>W605/60</f>
        <v>0</v>
      </c>
      <c r="Y605" s="2" t="s">
        <v>90</v>
      </c>
      <c r="Z605" s="2">
        <v>29</v>
      </c>
      <c r="AA605" s="2">
        <f>ProductionData[[#This Row],[Rejected_Qty]]*ProductionData[[#This Row],[Unit_Cost_INR]]</f>
        <v>3074</v>
      </c>
      <c r="AB605" s="4">
        <v>15264</v>
      </c>
      <c r="AC605" s="4">
        <v>4130</v>
      </c>
      <c r="AD605" s="4">
        <v>4130</v>
      </c>
      <c r="AE605" s="4">
        <v>15818</v>
      </c>
      <c r="AF605" s="4">
        <v>7500</v>
      </c>
    </row>
    <row r="606" spans="1:32">
      <c r="A606" s="2" t="s">
        <v>1340</v>
      </c>
      <c r="B606" s="3">
        <v>46152</v>
      </c>
      <c r="C606" s="36" t="s">
        <v>790</v>
      </c>
      <c r="D606" s="2">
        <f>MONTH(ProductionData[[#This Row],[Month]])</f>
        <v>5</v>
      </c>
      <c r="E606" s="2" t="s">
        <v>186</v>
      </c>
      <c r="F606" s="2" t="s">
        <v>80</v>
      </c>
      <c r="G606" s="2" t="s">
        <v>67</v>
      </c>
      <c r="H606" s="2" t="s">
        <v>68</v>
      </c>
      <c r="I606" s="2" t="s">
        <v>69</v>
      </c>
      <c r="J606" s="2" t="s">
        <v>683</v>
      </c>
      <c r="K606" s="2" t="s">
        <v>684</v>
      </c>
      <c r="L606" s="2" t="s">
        <v>1341</v>
      </c>
      <c r="M606" s="2" t="s">
        <v>102</v>
      </c>
      <c r="N606" s="2" t="s">
        <v>88</v>
      </c>
      <c r="O606" s="2">
        <v>16</v>
      </c>
      <c r="P606" s="2">
        <v>15</v>
      </c>
      <c r="Q606" s="4">
        <v>2950</v>
      </c>
      <c r="R606" s="4">
        <v>2870</v>
      </c>
      <c r="S606" s="4">
        <v>77</v>
      </c>
      <c r="T606" s="19">
        <f>(ProductionData[[#This Row],[Rejected_Qty]])/ProductionData[[#This Row],[Produced_Qty]]</f>
        <v>2.6829268292682926E-2</v>
      </c>
      <c r="U606" s="19">
        <f>ProductionData[[#This Row],[Produced_Qty]]/ProductionData[[#This Row],[Planned_Qty]]</f>
        <v>0.97288135593220337</v>
      </c>
      <c r="V606" s="2" t="s">
        <v>75</v>
      </c>
      <c r="W606" s="11">
        <v>0</v>
      </c>
      <c r="X606" s="13">
        <f>W606/60</f>
        <v>0</v>
      </c>
      <c r="Y606" s="2" t="s">
        <v>90</v>
      </c>
      <c r="Z606" s="2">
        <v>79</v>
      </c>
      <c r="AA606" s="2">
        <f>ProductionData[[#This Row],[Rejected_Qty]]*ProductionData[[#This Row],[Unit_Cost_INR]]</f>
        <v>6083</v>
      </c>
      <c r="AB606" s="4">
        <v>15794</v>
      </c>
      <c r="AC606" s="4">
        <v>2770</v>
      </c>
      <c r="AD606" s="4">
        <v>2770</v>
      </c>
      <c r="AE606" s="4">
        <v>15817</v>
      </c>
      <c r="AF606" s="4">
        <v>6750</v>
      </c>
    </row>
    <row r="607" spans="1:32">
      <c r="A607" s="2" t="s">
        <v>1342</v>
      </c>
      <c r="B607" s="3">
        <v>46151</v>
      </c>
      <c r="C607" s="36" t="s">
        <v>790</v>
      </c>
      <c r="D607" s="2">
        <f>MONTH(ProductionData[[#This Row],[Month]])</f>
        <v>5</v>
      </c>
      <c r="E607" s="2" t="s">
        <v>65</v>
      </c>
      <c r="F607" s="2" t="s">
        <v>80</v>
      </c>
      <c r="G607" s="2" t="s">
        <v>67</v>
      </c>
      <c r="H607" s="2" t="s">
        <v>68</v>
      </c>
      <c r="I607" s="2" t="s">
        <v>69</v>
      </c>
      <c r="J607" s="2" t="s">
        <v>683</v>
      </c>
      <c r="K607" s="2" t="s">
        <v>684</v>
      </c>
      <c r="L607" s="2" t="s">
        <v>1343</v>
      </c>
      <c r="M607" s="2" t="s">
        <v>87</v>
      </c>
      <c r="N607" s="2" t="s">
        <v>96</v>
      </c>
      <c r="O607" s="2">
        <v>16</v>
      </c>
      <c r="P607" s="2">
        <v>16</v>
      </c>
      <c r="Q607" s="4">
        <v>4790</v>
      </c>
      <c r="R607" s="4">
        <v>4700</v>
      </c>
      <c r="S607" s="4">
        <v>87</v>
      </c>
      <c r="T607" s="19">
        <f>(ProductionData[[#This Row],[Rejected_Qty]])/ProductionData[[#This Row],[Produced_Qty]]</f>
        <v>1.8510638297872341E-2</v>
      </c>
      <c r="U607" s="19">
        <f>ProductionData[[#This Row],[Produced_Qty]]/ProductionData[[#This Row],[Planned_Qty]]</f>
        <v>0.98121085594989566</v>
      </c>
      <c r="V607" s="2" t="s">
        <v>89</v>
      </c>
      <c r="W607" s="11">
        <v>56</v>
      </c>
      <c r="X607" s="13">
        <f>W607/60</f>
        <v>0.93333333333333335</v>
      </c>
      <c r="Y607" s="2" t="s">
        <v>110</v>
      </c>
      <c r="Z607" s="2">
        <v>79</v>
      </c>
      <c r="AA607" s="2">
        <f>ProductionData[[#This Row],[Rejected_Qty]]*ProductionData[[#This Row],[Unit_Cost_INR]]</f>
        <v>6873</v>
      </c>
      <c r="AB607" s="4">
        <v>15221</v>
      </c>
      <c r="AC607" s="4">
        <v>4040</v>
      </c>
      <c r="AD607" s="4">
        <v>4040</v>
      </c>
      <c r="AE607" s="4">
        <v>15794</v>
      </c>
      <c r="AF607" s="4">
        <v>6750</v>
      </c>
    </row>
    <row r="608" spans="1:32">
      <c r="A608" s="2" t="s">
        <v>1344</v>
      </c>
      <c r="B608" s="3">
        <v>46150</v>
      </c>
      <c r="C608" s="36" t="s">
        <v>790</v>
      </c>
      <c r="D608" s="2">
        <f>MONTH(ProductionData[[#This Row],[Month]])</f>
        <v>5</v>
      </c>
      <c r="E608" s="2" t="s">
        <v>125</v>
      </c>
      <c r="F608" s="2" t="s">
        <v>93</v>
      </c>
      <c r="G608" s="2" t="s">
        <v>67</v>
      </c>
      <c r="H608" s="2" t="s">
        <v>68</v>
      </c>
      <c r="I608" s="2" t="s">
        <v>69</v>
      </c>
      <c r="J608" s="2" t="s">
        <v>683</v>
      </c>
      <c r="K608" s="2" t="s">
        <v>684</v>
      </c>
      <c r="L608" s="2" t="s">
        <v>1345</v>
      </c>
      <c r="M608" s="2" t="s">
        <v>95</v>
      </c>
      <c r="N608" s="2" t="s">
        <v>88</v>
      </c>
      <c r="O608" s="2">
        <v>16</v>
      </c>
      <c r="P608" s="2">
        <v>14</v>
      </c>
      <c r="Q608" s="4">
        <v>4020</v>
      </c>
      <c r="R608" s="4">
        <v>3800</v>
      </c>
      <c r="S608" s="4">
        <v>86</v>
      </c>
      <c r="T608" s="19">
        <f>(ProductionData[[#This Row],[Rejected_Qty]])/ProductionData[[#This Row],[Produced_Qty]]</f>
        <v>2.2631578947368423E-2</v>
      </c>
      <c r="U608" s="19">
        <f>ProductionData[[#This Row],[Produced_Qty]]/ProductionData[[#This Row],[Planned_Qty]]</f>
        <v>0.94527363184079605</v>
      </c>
      <c r="V608" s="2" t="s">
        <v>109</v>
      </c>
      <c r="W608" s="11">
        <v>0</v>
      </c>
      <c r="X608" s="13">
        <f>W608/60</f>
        <v>0</v>
      </c>
      <c r="Y608" s="2" t="s">
        <v>90</v>
      </c>
      <c r="Z608" s="2">
        <v>79</v>
      </c>
      <c r="AA608" s="2">
        <f>ProductionData[[#This Row],[Rejected_Qty]]*ProductionData[[#This Row],[Unit_Cost_INR]]</f>
        <v>6794</v>
      </c>
      <c r="AB608" s="4">
        <v>15239</v>
      </c>
      <c r="AC608" s="4">
        <v>3200</v>
      </c>
      <c r="AD608" s="4">
        <v>3200</v>
      </c>
      <c r="AE608" s="4">
        <v>15753</v>
      </c>
      <c r="AF608" s="4">
        <v>6750</v>
      </c>
    </row>
    <row r="609" spans="1:32">
      <c r="A609" s="2" t="s">
        <v>1346</v>
      </c>
      <c r="B609" s="3">
        <v>46172</v>
      </c>
      <c r="C609" s="36" t="s">
        <v>790</v>
      </c>
      <c r="D609" s="2">
        <f>MONTH(ProductionData[[#This Row],[Month]])</f>
        <v>5</v>
      </c>
      <c r="E609" s="2" t="s">
        <v>65</v>
      </c>
      <c r="F609" s="2" t="s">
        <v>93</v>
      </c>
      <c r="G609" s="2" t="s">
        <v>67</v>
      </c>
      <c r="H609" s="2" t="s">
        <v>68</v>
      </c>
      <c r="I609" s="2" t="s">
        <v>69</v>
      </c>
      <c r="J609" s="2" t="s">
        <v>683</v>
      </c>
      <c r="K609" s="2" t="s">
        <v>684</v>
      </c>
      <c r="L609" s="2" t="s">
        <v>1347</v>
      </c>
      <c r="M609" s="2" t="s">
        <v>95</v>
      </c>
      <c r="N609" s="2" t="s">
        <v>88</v>
      </c>
      <c r="O609" s="2">
        <v>16</v>
      </c>
      <c r="P609" s="2">
        <v>12</v>
      </c>
      <c r="Q609" s="4">
        <v>4120</v>
      </c>
      <c r="R609" s="4">
        <v>3690</v>
      </c>
      <c r="S609" s="4">
        <v>88</v>
      </c>
      <c r="T609" s="19">
        <f>(ProductionData[[#This Row],[Rejected_Qty]])/ProductionData[[#This Row],[Produced_Qty]]</f>
        <v>2.3848238482384824E-2</v>
      </c>
      <c r="U609" s="19">
        <f>ProductionData[[#This Row],[Produced_Qty]]/ProductionData[[#This Row],[Planned_Qty]]</f>
        <v>0.89563106796116509</v>
      </c>
      <c r="V609" s="2" t="s">
        <v>75</v>
      </c>
      <c r="W609" s="11">
        <v>27</v>
      </c>
      <c r="X609" s="13">
        <f>W609/60</f>
        <v>0.45</v>
      </c>
      <c r="Y609" s="2" t="s">
        <v>76</v>
      </c>
      <c r="Z609" s="2">
        <v>79</v>
      </c>
      <c r="AA609" s="2">
        <f>ProductionData[[#This Row],[Rejected_Qty]]*ProductionData[[#This Row],[Unit_Cost_INR]]</f>
        <v>6952</v>
      </c>
      <c r="AB609" s="4">
        <v>15588</v>
      </c>
      <c r="AC609" s="4">
        <v>3500</v>
      </c>
      <c r="AD609" s="4">
        <v>3500</v>
      </c>
      <c r="AE609" s="4">
        <v>15690</v>
      </c>
      <c r="AF609" s="4">
        <v>6750</v>
      </c>
    </row>
    <row r="610" spans="1:32">
      <c r="A610" s="2" t="s">
        <v>1348</v>
      </c>
      <c r="B610" s="3">
        <v>46163</v>
      </c>
      <c r="C610" s="36" t="s">
        <v>790</v>
      </c>
      <c r="D610" s="2">
        <f>MONTH(ProductionData[[#This Row],[Month]])</f>
        <v>5</v>
      </c>
      <c r="E610" s="2" t="s">
        <v>107</v>
      </c>
      <c r="F610" s="2" t="s">
        <v>93</v>
      </c>
      <c r="G610" s="2" t="s">
        <v>174</v>
      </c>
      <c r="H610" s="2" t="s">
        <v>175</v>
      </c>
      <c r="I610" s="2" t="s">
        <v>176</v>
      </c>
      <c r="J610" s="2" t="s">
        <v>629</v>
      </c>
      <c r="K610" s="2" t="s">
        <v>630</v>
      </c>
      <c r="L610" s="2" t="s">
        <v>1349</v>
      </c>
      <c r="M610" s="2" t="s">
        <v>95</v>
      </c>
      <c r="N610" s="2" t="s">
        <v>88</v>
      </c>
      <c r="O610" s="2">
        <v>10</v>
      </c>
      <c r="P610" s="2">
        <v>8</v>
      </c>
      <c r="Q610" s="4">
        <v>4550</v>
      </c>
      <c r="R610" s="4">
        <v>3910</v>
      </c>
      <c r="S610" s="4">
        <v>92</v>
      </c>
      <c r="T610" s="19">
        <f>(ProductionData[[#This Row],[Rejected_Qty]])/ProductionData[[#This Row],[Produced_Qty]]</f>
        <v>2.3529411764705882E-2</v>
      </c>
      <c r="U610" s="19">
        <f>ProductionData[[#This Row],[Produced_Qty]]/ProductionData[[#This Row],[Planned_Qty]]</f>
        <v>0.85934065934065929</v>
      </c>
      <c r="V610" s="2" t="s">
        <v>103</v>
      </c>
      <c r="W610" s="11">
        <v>0</v>
      </c>
      <c r="X610" s="13">
        <f>W610/60</f>
        <v>0</v>
      </c>
      <c r="Y610" s="2" t="s">
        <v>90</v>
      </c>
      <c r="Z610" s="2">
        <v>29</v>
      </c>
      <c r="AA610" s="2">
        <f>ProductionData[[#This Row],[Rejected_Qty]]*ProductionData[[#This Row],[Unit_Cost_INR]]</f>
        <v>2668</v>
      </c>
      <c r="AB610" s="4">
        <v>15818</v>
      </c>
      <c r="AC610" s="4">
        <v>3950</v>
      </c>
      <c r="AD610" s="4">
        <v>3950</v>
      </c>
      <c r="AE610" s="4">
        <v>15686</v>
      </c>
      <c r="AF610" s="4">
        <v>7500</v>
      </c>
    </row>
    <row r="611" spans="1:32">
      <c r="A611" s="2" t="s">
        <v>1350</v>
      </c>
      <c r="B611" s="3">
        <v>46143</v>
      </c>
      <c r="C611" s="36" t="s">
        <v>790</v>
      </c>
      <c r="D611" s="2">
        <f>MONTH(ProductionData[[#This Row],[Month]])</f>
        <v>5</v>
      </c>
      <c r="E611" s="2" t="s">
        <v>125</v>
      </c>
      <c r="F611" s="2" t="s">
        <v>66</v>
      </c>
      <c r="G611" s="2" t="s">
        <v>174</v>
      </c>
      <c r="H611" s="2" t="s">
        <v>175</v>
      </c>
      <c r="I611" s="2" t="s">
        <v>176</v>
      </c>
      <c r="J611" s="2" t="s">
        <v>629</v>
      </c>
      <c r="K611" s="2" t="s">
        <v>630</v>
      </c>
      <c r="L611" s="2" t="s">
        <v>1351</v>
      </c>
      <c r="M611" s="2" t="s">
        <v>73</v>
      </c>
      <c r="N611" s="2" t="s">
        <v>88</v>
      </c>
      <c r="O611" s="2">
        <v>10</v>
      </c>
      <c r="P611" s="2">
        <v>9</v>
      </c>
      <c r="Q611" s="4">
        <v>5210</v>
      </c>
      <c r="R611" s="4">
        <v>5060</v>
      </c>
      <c r="S611" s="4">
        <v>134</v>
      </c>
      <c r="T611" s="19">
        <f>(ProductionData[[#This Row],[Rejected_Qty]])/ProductionData[[#This Row],[Produced_Qty]]</f>
        <v>2.6482213438735178E-2</v>
      </c>
      <c r="U611" s="19">
        <f>ProductionData[[#This Row],[Produced_Qty]]/ProductionData[[#This Row],[Planned_Qty]]</f>
        <v>0.97120921305182339</v>
      </c>
      <c r="V611" s="2" t="s">
        <v>109</v>
      </c>
      <c r="W611" s="11">
        <v>0</v>
      </c>
      <c r="X611" s="13">
        <f>W611/60</f>
        <v>0</v>
      </c>
      <c r="Y611" s="2" t="s">
        <v>90</v>
      </c>
      <c r="Z611" s="2">
        <v>29</v>
      </c>
      <c r="AA611" s="2">
        <f>ProductionData[[#This Row],[Rejected_Qty]]*ProductionData[[#This Row],[Unit_Cost_INR]]</f>
        <v>3886</v>
      </c>
      <c r="AB611" s="4">
        <v>15819</v>
      </c>
      <c r="AC611" s="4">
        <v>5060</v>
      </c>
      <c r="AD611" s="4">
        <v>5060</v>
      </c>
      <c r="AE611" s="4">
        <v>15685</v>
      </c>
      <c r="AF611" s="4">
        <v>7500</v>
      </c>
    </row>
    <row r="612" spans="1:32">
      <c r="A612" s="2" t="s">
        <v>1352</v>
      </c>
      <c r="B612" s="3">
        <v>46144</v>
      </c>
      <c r="C612" s="36" t="s">
        <v>790</v>
      </c>
      <c r="D612" s="2">
        <f>MONTH(ProductionData[[#This Row],[Month]])</f>
        <v>5</v>
      </c>
      <c r="E612" s="2" t="s">
        <v>65</v>
      </c>
      <c r="F612" s="2" t="s">
        <v>66</v>
      </c>
      <c r="G612" s="2" t="s">
        <v>174</v>
      </c>
      <c r="H612" s="2" t="s">
        <v>175</v>
      </c>
      <c r="I612" s="2" t="s">
        <v>176</v>
      </c>
      <c r="J612" s="2" t="s">
        <v>629</v>
      </c>
      <c r="K612" s="2" t="s">
        <v>630</v>
      </c>
      <c r="L612" s="2" t="s">
        <v>1353</v>
      </c>
      <c r="M612" s="2" t="s">
        <v>99</v>
      </c>
      <c r="N612" s="2" t="s">
        <v>88</v>
      </c>
      <c r="O612" s="2">
        <v>10</v>
      </c>
      <c r="P612" s="2">
        <v>8</v>
      </c>
      <c r="Q612" s="4">
        <v>4600</v>
      </c>
      <c r="R612" s="4">
        <v>3860</v>
      </c>
      <c r="S612" s="4">
        <v>95</v>
      </c>
      <c r="T612" s="19">
        <f>(ProductionData[[#This Row],[Rejected_Qty]])/ProductionData[[#This Row],[Produced_Qty]]</f>
        <v>2.4611398963730571E-2</v>
      </c>
      <c r="U612" s="19">
        <f>ProductionData[[#This Row],[Produced_Qty]]/ProductionData[[#This Row],[Planned_Qty]]</f>
        <v>0.83913043478260874</v>
      </c>
      <c r="V612" s="2" t="s">
        <v>113</v>
      </c>
      <c r="W612" s="11">
        <v>0</v>
      </c>
      <c r="X612" s="13">
        <f>W612/60</f>
        <v>0</v>
      </c>
      <c r="Y612" s="2" t="s">
        <v>90</v>
      </c>
      <c r="Z612" s="2">
        <v>29</v>
      </c>
      <c r="AA612" s="2">
        <f>ProductionData[[#This Row],[Rejected_Qty]]*ProductionData[[#This Row],[Unit_Cost_INR]]</f>
        <v>2755</v>
      </c>
      <c r="AB612" s="4">
        <v>15685</v>
      </c>
      <c r="AC612" s="4">
        <v>3830</v>
      </c>
      <c r="AD612" s="4">
        <v>3830</v>
      </c>
      <c r="AE612" s="4">
        <v>15620</v>
      </c>
      <c r="AF612" s="4">
        <v>7500</v>
      </c>
    </row>
    <row r="613" spans="1:32">
      <c r="A613" s="2" t="s">
        <v>1354</v>
      </c>
      <c r="B613" s="3">
        <v>46160</v>
      </c>
      <c r="C613" s="36" t="s">
        <v>790</v>
      </c>
      <c r="D613" s="2">
        <f>MONTH(ProductionData[[#This Row],[Month]])</f>
        <v>5</v>
      </c>
      <c r="E613" s="2" t="s">
        <v>116</v>
      </c>
      <c r="F613" s="2" t="s">
        <v>66</v>
      </c>
      <c r="G613" s="2" t="s">
        <v>174</v>
      </c>
      <c r="H613" s="2" t="s">
        <v>175</v>
      </c>
      <c r="I613" s="2" t="s">
        <v>176</v>
      </c>
      <c r="J613" s="2" t="s">
        <v>629</v>
      </c>
      <c r="K613" s="2" t="s">
        <v>630</v>
      </c>
      <c r="L613" s="2" t="s">
        <v>1355</v>
      </c>
      <c r="M613" s="2" t="s">
        <v>99</v>
      </c>
      <c r="N613" s="2" t="s">
        <v>96</v>
      </c>
      <c r="O613" s="2">
        <v>10</v>
      </c>
      <c r="P613" s="2">
        <v>10</v>
      </c>
      <c r="Q613" s="4">
        <v>4860</v>
      </c>
      <c r="R613" s="4">
        <v>4780</v>
      </c>
      <c r="S613" s="4">
        <v>95</v>
      </c>
      <c r="T613" s="19">
        <f>(ProductionData[[#This Row],[Rejected_Qty]])/ProductionData[[#This Row],[Produced_Qty]]</f>
        <v>1.9874476987447699E-2</v>
      </c>
      <c r="U613" s="19">
        <f>ProductionData[[#This Row],[Produced_Qty]]/ProductionData[[#This Row],[Planned_Qty]]</f>
        <v>0.98353909465020573</v>
      </c>
      <c r="V613" s="2" t="s">
        <v>103</v>
      </c>
      <c r="W613" s="11">
        <v>50</v>
      </c>
      <c r="X613" s="13">
        <f>W613/60</f>
        <v>0.83333333333333337</v>
      </c>
      <c r="Y613" s="2" t="s">
        <v>110</v>
      </c>
      <c r="Z613" s="2">
        <v>29</v>
      </c>
      <c r="AA613" s="2">
        <f>ProductionData[[#This Row],[Rejected_Qty]]*ProductionData[[#This Row],[Unit_Cost_INR]]</f>
        <v>2755</v>
      </c>
      <c r="AB613" s="4">
        <v>15894</v>
      </c>
      <c r="AC613" s="4">
        <v>4960</v>
      </c>
      <c r="AD613" s="4">
        <v>4960</v>
      </c>
      <c r="AE613" s="4">
        <v>15619</v>
      </c>
      <c r="AF613" s="4">
        <v>7500</v>
      </c>
    </row>
    <row r="614" spans="1:32">
      <c r="A614" s="2" t="s">
        <v>1356</v>
      </c>
      <c r="B614" s="3">
        <v>46161</v>
      </c>
      <c r="C614" s="36" t="s">
        <v>790</v>
      </c>
      <c r="D614" s="2">
        <f>MONTH(ProductionData[[#This Row],[Month]])</f>
        <v>5</v>
      </c>
      <c r="E614" s="2" t="s">
        <v>92</v>
      </c>
      <c r="F614" s="2" t="s">
        <v>66</v>
      </c>
      <c r="G614" s="2" t="s">
        <v>174</v>
      </c>
      <c r="H614" s="2" t="s">
        <v>175</v>
      </c>
      <c r="I614" s="2" t="s">
        <v>176</v>
      </c>
      <c r="J614" s="2" t="s">
        <v>629</v>
      </c>
      <c r="K614" s="2" t="s">
        <v>630</v>
      </c>
      <c r="L614" s="2" t="s">
        <v>1357</v>
      </c>
      <c r="M614" s="2" t="s">
        <v>73</v>
      </c>
      <c r="N614" s="2" t="s">
        <v>96</v>
      </c>
      <c r="O614" s="2">
        <v>10</v>
      </c>
      <c r="P614" s="2">
        <v>9</v>
      </c>
      <c r="Q614" s="4">
        <v>5070</v>
      </c>
      <c r="R614" s="4">
        <v>4850</v>
      </c>
      <c r="S614" s="4">
        <v>127</v>
      </c>
      <c r="T614" s="19">
        <f>(ProductionData[[#This Row],[Rejected_Qty]])/ProductionData[[#This Row],[Produced_Qty]]</f>
        <v>2.6185567010309278E-2</v>
      </c>
      <c r="U614" s="19">
        <f>ProductionData[[#This Row],[Produced_Qty]]/ProductionData[[#This Row],[Planned_Qty]]</f>
        <v>0.95660749506903353</v>
      </c>
      <c r="V614" s="2" t="s">
        <v>113</v>
      </c>
      <c r="W614" s="11">
        <v>48</v>
      </c>
      <c r="X614" s="13">
        <f>W614/60</f>
        <v>0.8</v>
      </c>
      <c r="Y614" s="2" t="s">
        <v>76</v>
      </c>
      <c r="Z614" s="2">
        <v>29</v>
      </c>
      <c r="AA614" s="2">
        <f>ProductionData[[#This Row],[Rejected_Qty]]*ProductionData[[#This Row],[Unit_Cost_INR]]</f>
        <v>3683</v>
      </c>
      <c r="AB614" s="4">
        <v>15619</v>
      </c>
      <c r="AC614" s="4">
        <v>4730</v>
      </c>
      <c r="AD614" s="4">
        <v>4730</v>
      </c>
      <c r="AE614" s="4">
        <v>15612</v>
      </c>
      <c r="AF614" s="4">
        <v>7500</v>
      </c>
    </row>
    <row r="615" spans="1:32">
      <c r="A615" s="2" t="s">
        <v>1358</v>
      </c>
      <c r="B615" s="3">
        <v>46170</v>
      </c>
      <c r="C615" s="36" t="s">
        <v>790</v>
      </c>
      <c r="D615" s="2">
        <f>MONTH(ProductionData[[#This Row],[Month]])</f>
        <v>5</v>
      </c>
      <c r="E615" s="2" t="s">
        <v>107</v>
      </c>
      <c r="F615" s="2" t="s">
        <v>93</v>
      </c>
      <c r="G615" s="2" t="s">
        <v>67</v>
      </c>
      <c r="H615" s="2" t="s">
        <v>68</v>
      </c>
      <c r="I615" s="2" t="s">
        <v>69</v>
      </c>
      <c r="J615" s="2" t="s">
        <v>683</v>
      </c>
      <c r="K615" s="2" t="s">
        <v>684</v>
      </c>
      <c r="L615" s="2" t="s">
        <v>1359</v>
      </c>
      <c r="M615" s="2" t="s">
        <v>95</v>
      </c>
      <c r="N615" s="2" t="s">
        <v>88</v>
      </c>
      <c r="O615" s="2">
        <v>16</v>
      </c>
      <c r="P615" s="2">
        <v>16</v>
      </c>
      <c r="Q615" s="4">
        <v>4100</v>
      </c>
      <c r="R615" s="4">
        <v>4010</v>
      </c>
      <c r="S615" s="4">
        <v>74</v>
      </c>
      <c r="T615" s="19">
        <f>(ProductionData[[#This Row],[Rejected_Qty]])/ProductionData[[#This Row],[Produced_Qty]]</f>
        <v>1.8453865336658354E-2</v>
      </c>
      <c r="U615" s="19">
        <f>ProductionData[[#This Row],[Produced_Qty]]/ProductionData[[#This Row],[Planned_Qty]]</f>
        <v>0.97804878048780486</v>
      </c>
      <c r="V615" s="2" t="s">
        <v>103</v>
      </c>
      <c r="W615" s="11">
        <v>27</v>
      </c>
      <c r="X615" s="13">
        <f>W615/60</f>
        <v>0.45</v>
      </c>
      <c r="Y615" s="2" t="s">
        <v>182</v>
      </c>
      <c r="Z615" s="2">
        <v>79</v>
      </c>
      <c r="AA615" s="2">
        <f>ProductionData[[#This Row],[Rejected_Qty]]*ProductionData[[#This Row],[Unit_Cost_INR]]</f>
        <v>5846</v>
      </c>
      <c r="AB615" s="4">
        <v>15142</v>
      </c>
      <c r="AC615" s="4">
        <v>3490</v>
      </c>
      <c r="AD615" s="4">
        <v>3490</v>
      </c>
      <c r="AE615" s="4">
        <v>15588</v>
      </c>
      <c r="AF615" s="4">
        <v>6750</v>
      </c>
    </row>
    <row r="616" spans="1:32">
      <c r="A616" s="2" t="s">
        <v>1360</v>
      </c>
      <c r="B616" s="3">
        <v>46153</v>
      </c>
      <c r="C616" s="36" t="s">
        <v>790</v>
      </c>
      <c r="D616" s="2">
        <f>MONTH(ProductionData[[#This Row],[Month]])</f>
        <v>5</v>
      </c>
      <c r="E616" s="2" t="s">
        <v>116</v>
      </c>
      <c r="F616" s="2" t="s">
        <v>80</v>
      </c>
      <c r="G616" s="2" t="s">
        <v>67</v>
      </c>
      <c r="H616" s="2" t="s">
        <v>68</v>
      </c>
      <c r="I616" s="2" t="s">
        <v>69</v>
      </c>
      <c r="J616" s="2" t="s">
        <v>683</v>
      </c>
      <c r="K616" s="2" t="s">
        <v>684</v>
      </c>
      <c r="L616" s="2" t="s">
        <v>1361</v>
      </c>
      <c r="M616" s="2" t="s">
        <v>102</v>
      </c>
      <c r="N616" s="2" t="s">
        <v>96</v>
      </c>
      <c r="O616" s="2">
        <v>16</v>
      </c>
      <c r="P616" s="2">
        <v>16</v>
      </c>
      <c r="Q616" s="4">
        <v>4790</v>
      </c>
      <c r="R616" s="4">
        <v>4520</v>
      </c>
      <c r="S616" s="4">
        <v>85</v>
      </c>
      <c r="T616" s="19">
        <f>(ProductionData[[#This Row],[Rejected_Qty]])/ProductionData[[#This Row],[Produced_Qty]]</f>
        <v>1.8805309734513276E-2</v>
      </c>
      <c r="U616" s="19">
        <f>ProductionData[[#This Row],[Produced_Qty]]/ProductionData[[#This Row],[Planned_Qty]]</f>
        <v>0.94363256784968685</v>
      </c>
      <c r="V616" s="2" t="s">
        <v>89</v>
      </c>
      <c r="W616" s="11">
        <v>0</v>
      </c>
      <c r="X616" s="13">
        <f>W616/60</f>
        <v>0</v>
      </c>
      <c r="Y616" s="2" t="s">
        <v>90</v>
      </c>
      <c r="Z616" s="2">
        <v>79</v>
      </c>
      <c r="AA616" s="2">
        <f>ProductionData[[#This Row],[Rejected_Qty]]*ProductionData[[#This Row],[Unit_Cost_INR]]</f>
        <v>6715</v>
      </c>
      <c r="AB616" s="4">
        <v>15837</v>
      </c>
      <c r="AC616" s="4">
        <v>4700</v>
      </c>
      <c r="AD616" s="4">
        <v>4700</v>
      </c>
      <c r="AE616" s="4">
        <v>15572</v>
      </c>
      <c r="AF616" s="4">
        <v>6750</v>
      </c>
    </row>
    <row r="617" spans="1:32">
      <c r="A617" s="2" t="s">
        <v>1362</v>
      </c>
      <c r="B617" s="3">
        <v>46160</v>
      </c>
      <c r="C617" s="36" t="s">
        <v>790</v>
      </c>
      <c r="D617" s="2">
        <f>MONTH(ProductionData[[#This Row],[Month]])</f>
        <v>5</v>
      </c>
      <c r="E617" s="2" t="s">
        <v>116</v>
      </c>
      <c r="F617" s="2" t="s">
        <v>66</v>
      </c>
      <c r="G617" s="2" t="s">
        <v>67</v>
      </c>
      <c r="H617" s="2" t="s">
        <v>68</v>
      </c>
      <c r="I617" s="2" t="s">
        <v>69</v>
      </c>
      <c r="J617" s="2" t="s">
        <v>683</v>
      </c>
      <c r="K617" s="2" t="s">
        <v>684</v>
      </c>
      <c r="L617" s="2" t="s">
        <v>1363</v>
      </c>
      <c r="M617" s="2" t="s">
        <v>73</v>
      </c>
      <c r="N617" s="2" t="s">
        <v>88</v>
      </c>
      <c r="O617" s="2">
        <v>16</v>
      </c>
      <c r="P617" s="2">
        <v>16</v>
      </c>
      <c r="Q617" s="4">
        <v>4540</v>
      </c>
      <c r="R617" s="4">
        <v>4460</v>
      </c>
      <c r="S617" s="4">
        <v>111</v>
      </c>
      <c r="T617" s="19">
        <f>(ProductionData[[#This Row],[Rejected_Qty]])/ProductionData[[#This Row],[Produced_Qty]]</f>
        <v>2.4887892376681615E-2</v>
      </c>
      <c r="U617" s="19">
        <f>ProductionData[[#This Row],[Produced_Qty]]/ProductionData[[#This Row],[Planned_Qty]]</f>
        <v>0.98237885462555063</v>
      </c>
      <c r="V617" s="2" t="s">
        <v>89</v>
      </c>
      <c r="W617" s="11">
        <v>31</v>
      </c>
      <c r="X617" s="13">
        <f>W617/60</f>
        <v>0.51666666666666672</v>
      </c>
      <c r="Y617" s="2" t="s">
        <v>76</v>
      </c>
      <c r="Z617" s="2">
        <v>79</v>
      </c>
      <c r="AA617" s="2">
        <f>ProductionData[[#This Row],[Rejected_Qty]]*ProductionData[[#This Row],[Unit_Cost_INR]]</f>
        <v>8769</v>
      </c>
      <c r="AB617" s="4">
        <v>15493</v>
      </c>
      <c r="AC617" s="4">
        <v>4340</v>
      </c>
      <c r="AD617" s="4">
        <v>4340</v>
      </c>
      <c r="AE617" s="4">
        <v>15502</v>
      </c>
      <c r="AF617" s="4">
        <v>6750</v>
      </c>
    </row>
    <row r="618" spans="1:32">
      <c r="A618" s="2" t="s">
        <v>1364</v>
      </c>
      <c r="B618" s="3">
        <v>46157</v>
      </c>
      <c r="C618" s="36" t="s">
        <v>790</v>
      </c>
      <c r="D618" s="2">
        <f>MONTH(ProductionData[[#This Row],[Month]])</f>
        <v>5</v>
      </c>
      <c r="E618" s="2" t="s">
        <v>125</v>
      </c>
      <c r="F618" s="2" t="s">
        <v>66</v>
      </c>
      <c r="G618" s="2" t="s">
        <v>67</v>
      </c>
      <c r="H618" s="2" t="s">
        <v>68</v>
      </c>
      <c r="I618" s="2" t="s">
        <v>69</v>
      </c>
      <c r="J618" s="2" t="s">
        <v>683</v>
      </c>
      <c r="K618" s="2" t="s">
        <v>684</v>
      </c>
      <c r="L618" s="2" t="s">
        <v>1365</v>
      </c>
      <c r="M618" s="2" t="s">
        <v>99</v>
      </c>
      <c r="N618" s="2" t="s">
        <v>88</v>
      </c>
      <c r="O618" s="2">
        <v>16</v>
      </c>
      <c r="P618" s="2">
        <v>16</v>
      </c>
      <c r="Q618" s="4">
        <v>4820</v>
      </c>
      <c r="R618" s="4">
        <v>4890</v>
      </c>
      <c r="S618" s="4">
        <v>184</v>
      </c>
      <c r="T618" s="19">
        <f>(ProductionData[[#This Row],[Rejected_Qty]])/ProductionData[[#This Row],[Produced_Qty]]</f>
        <v>3.7627811860940698E-2</v>
      </c>
      <c r="U618" s="19">
        <f>ProductionData[[#This Row],[Produced_Qty]]/ProductionData[[#This Row],[Planned_Qty]]</f>
        <v>1.0145228215767634</v>
      </c>
      <c r="V618" s="2" t="s">
        <v>109</v>
      </c>
      <c r="W618" s="11">
        <v>16</v>
      </c>
      <c r="X618" s="13">
        <f>W618/60</f>
        <v>0.26666666666666666</v>
      </c>
      <c r="Y618" s="2" t="s">
        <v>110</v>
      </c>
      <c r="Z618" s="2">
        <v>79</v>
      </c>
      <c r="AA618" s="2">
        <f>ProductionData[[#This Row],[Rejected_Qty]]*ProductionData[[#This Row],[Unit_Cost_INR]]</f>
        <v>14536</v>
      </c>
      <c r="AB618" s="4">
        <v>15047</v>
      </c>
      <c r="AC618" s="4">
        <v>4260</v>
      </c>
      <c r="AD618" s="4">
        <v>4260</v>
      </c>
      <c r="AE618" s="4">
        <v>15493</v>
      </c>
      <c r="AF618" s="4">
        <v>6750</v>
      </c>
    </row>
    <row r="619" spans="1:32">
      <c r="A619" s="2" t="s">
        <v>1366</v>
      </c>
      <c r="B619" s="3">
        <v>46157</v>
      </c>
      <c r="C619" s="36" t="s">
        <v>790</v>
      </c>
      <c r="D619" s="2">
        <f>MONTH(ProductionData[[#This Row],[Month]])</f>
        <v>5</v>
      </c>
      <c r="E619" s="2" t="s">
        <v>125</v>
      </c>
      <c r="F619" s="2" t="s">
        <v>66</v>
      </c>
      <c r="G619" s="2" t="s">
        <v>174</v>
      </c>
      <c r="H619" s="2" t="s">
        <v>175</v>
      </c>
      <c r="I619" s="2" t="s">
        <v>176</v>
      </c>
      <c r="J619" s="2" t="s">
        <v>629</v>
      </c>
      <c r="K619" s="2" t="s">
        <v>630</v>
      </c>
      <c r="L619" s="2" t="s">
        <v>1367</v>
      </c>
      <c r="M619" s="2" t="s">
        <v>73</v>
      </c>
      <c r="N619" s="2" t="s">
        <v>96</v>
      </c>
      <c r="O619" s="2">
        <v>10</v>
      </c>
      <c r="P619" s="2">
        <v>9</v>
      </c>
      <c r="Q619" s="4">
        <v>5360</v>
      </c>
      <c r="R619" s="4">
        <v>4920</v>
      </c>
      <c r="S619" s="4">
        <v>117</v>
      </c>
      <c r="T619" s="19">
        <f>(ProductionData[[#This Row],[Rejected_Qty]])/ProductionData[[#This Row],[Produced_Qty]]</f>
        <v>2.3780487804878049E-2</v>
      </c>
      <c r="U619" s="19">
        <f>ProductionData[[#This Row],[Produced_Qty]]/ProductionData[[#This Row],[Planned_Qty]]</f>
        <v>0.91791044776119401</v>
      </c>
      <c r="V619" s="2" t="s">
        <v>75</v>
      </c>
      <c r="W619" s="11">
        <v>0</v>
      </c>
      <c r="X619" s="13">
        <f>W619/60</f>
        <v>0</v>
      </c>
      <c r="Y619" s="2" t="s">
        <v>90</v>
      </c>
      <c r="Z619" s="2">
        <v>29</v>
      </c>
      <c r="AA619" s="2">
        <f>ProductionData[[#This Row],[Rejected_Qty]]*ProductionData[[#This Row],[Unit_Cost_INR]]</f>
        <v>3393</v>
      </c>
      <c r="AB619" s="4">
        <v>15190</v>
      </c>
      <c r="AC619" s="4">
        <v>4680</v>
      </c>
      <c r="AD619" s="4">
        <v>4680</v>
      </c>
      <c r="AE619" s="4">
        <v>15313</v>
      </c>
      <c r="AF619" s="4">
        <v>7500</v>
      </c>
    </row>
    <row r="620" spans="1:32">
      <c r="A620" s="2" t="s">
        <v>1368</v>
      </c>
      <c r="B620" s="3">
        <v>46161</v>
      </c>
      <c r="C620" s="36" t="s">
        <v>790</v>
      </c>
      <c r="D620" s="2">
        <f>MONTH(ProductionData[[#This Row],[Month]])</f>
        <v>5</v>
      </c>
      <c r="E620" s="2" t="s">
        <v>92</v>
      </c>
      <c r="F620" s="2" t="s">
        <v>93</v>
      </c>
      <c r="G620" s="2" t="s">
        <v>174</v>
      </c>
      <c r="H620" s="2" t="s">
        <v>175</v>
      </c>
      <c r="I620" s="2" t="s">
        <v>176</v>
      </c>
      <c r="J620" s="2" t="s">
        <v>629</v>
      </c>
      <c r="K620" s="2" t="s">
        <v>630</v>
      </c>
      <c r="L620" s="2" t="s">
        <v>1369</v>
      </c>
      <c r="M620" s="2" t="s">
        <v>133</v>
      </c>
      <c r="N620" s="2" t="s">
        <v>96</v>
      </c>
      <c r="O620" s="2">
        <v>10</v>
      </c>
      <c r="P620" s="2">
        <v>8</v>
      </c>
      <c r="Q620" s="4">
        <v>4740</v>
      </c>
      <c r="R620" s="4">
        <v>4230</v>
      </c>
      <c r="S620" s="4">
        <v>98</v>
      </c>
      <c r="T620" s="19">
        <f>(ProductionData[[#This Row],[Rejected_Qty]])/ProductionData[[#This Row],[Produced_Qty]]</f>
        <v>2.3167848699763592E-2</v>
      </c>
      <c r="U620" s="19">
        <f>ProductionData[[#This Row],[Produced_Qty]]/ProductionData[[#This Row],[Planned_Qty]]</f>
        <v>0.89240506329113922</v>
      </c>
      <c r="V620" s="2" t="s">
        <v>103</v>
      </c>
      <c r="W620" s="11">
        <v>0</v>
      </c>
      <c r="X620" s="13">
        <f>W620/60</f>
        <v>0</v>
      </c>
      <c r="Y620" s="2" t="s">
        <v>90</v>
      </c>
      <c r="Z620" s="2">
        <v>29</v>
      </c>
      <c r="AA620" s="2">
        <f>ProductionData[[#This Row],[Rejected_Qty]]*ProductionData[[#This Row],[Unit_Cost_INR]]</f>
        <v>2842</v>
      </c>
      <c r="AB620" s="4">
        <v>15612</v>
      </c>
      <c r="AC620" s="4">
        <v>4480</v>
      </c>
      <c r="AD620" s="4">
        <v>4480</v>
      </c>
      <c r="AE620" s="4">
        <v>15264</v>
      </c>
      <c r="AF620" s="4">
        <v>7500</v>
      </c>
    </row>
    <row r="621" spans="1:32">
      <c r="A621" s="2" t="s">
        <v>1370</v>
      </c>
      <c r="B621" s="3">
        <v>46149</v>
      </c>
      <c r="C621" s="36" t="s">
        <v>790</v>
      </c>
      <c r="D621" s="2">
        <f>MONTH(ProductionData[[#This Row],[Month]])</f>
        <v>5</v>
      </c>
      <c r="E621" s="2" t="s">
        <v>107</v>
      </c>
      <c r="F621" s="2" t="s">
        <v>80</v>
      </c>
      <c r="G621" s="2" t="s">
        <v>67</v>
      </c>
      <c r="H621" s="2" t="s">
        <v>68</v>
      </c>
      <c r="I621" s="2" t="s">
        <v>69</v>
      </c>
      <c r="J621" s="2" t="s">
        <v>683</v>
      </c>
      <c r="K621" s="2" t="s">
        <v>684</v>
      </c>
      <c r="L621" s="2" t="s">
        <v>1371</v>
      </c>
      <c r="M621" s="2" t="s">
        <v>87</v>
      </c>
      <c r="N621" s="2" t="s">
        <v>96</v>
      </c>
      <c r="O621" s="2">
        <v>16</v>
      </c>
      <c r="P621" s="2">
        <v>14</v>
      </c>
      <c r="Q621" s="4">
        <v>4200</v>
      </c>
      <c r="R621" s="4">
        <v>3880</v>
      </c>
      <c r="S621" s="4">
        <v>84</v>
      </c>
      <c r="T621" s="19">
        <f>(ProductionData[[#This Row],[Rejected_Qty]])/ProductionData[[#This Row],[Produced_Qty]]</f>
        <v>2.1649484536082474E-2</v>
      </c>
      <c r="U621" s="19">
        <f>ProductionData[[#This Row],[Produced_Qty]]/ProductionData[[#This Row],[Planned_Qty]]</f>
        <v>0.92380952380952386</v>
      </c>
      <c r="V621" s="2" t="s">
        <v>75</v>
      </c>
      <c r="W621" s="11">
        <v>74</v>
      </c>
      <c r="X621" s="13">
        <f>W621/60</f>
        <v>1.2333333333333334</v>
      </c>
      <c r="Y621" s="2" t="s">
        <v>182</v>
      </c>
      <c r="Z621" s="2">
        <v>79</v>
      </c>
      <c r="AA621" s="2">
        <f>ProductionData[[#This Row],[Rejected_Qty]]*ProductionData[[#This Row],[Unit_Cost_INR]]</f>
        <v>6636</v>
      </c>
      <c r="AB621" s="4">
        <v>14963</v>
      </c>
      <c r="AC621" s="4">
        <v>3520</v>
      </c>
      <c r="AD621" s="4">
        <v>3520</v>
      </c>
      <c r="AE621" s="4">
        <v>15239</v>
      </c>
      <c r="AF621" s="4">
        <v>6750</v>
      </c>
    </row>
    <row r="622" spans="1:32">
      <c r="A622" s="2" t="s">
        <v>1372</v>
      </c>
      <c r="B622" s="3">
        <v>46151</v>
      </c>
      <c r="C622" s="36" t="s">
        <v>790</v>
      </c>
      <c r="D622" s="2">
        <f>MONTH(ProductionData[[#This Row],[Month]])</f>
        <v>5</v>
      </c>
      <c r="E622" s="2" t="s">
        <v>65</v>
      </c>
      <c r="F622" s="2" t="s">
        <v>66</v>
      </c>
      <c r="G622" s="2" t="s">
        <v>67</v>
      </c>
      <c r="H622" s="2" t="s">
        <v>68</v>
      </c>
      <c r="I622" s="2" t="s">
        <v>69</v>
      </c>
      <c r="J622" s="2" t="s">
        <v>683</v>
      </c>
      <c r="K622" s="2" t="s">
        <v>684</v>
      </c>
      <c r="L622" s="2" t="s">
        <v>1373</v>
      </c>
      <c r="M622" s="2" t="s">
        <v>99</v>
      </c>
      <c r="N622" s="2" t="s">
        <v>88</v>
      </c>
      <c r="O622" s="2">
        <v>16</v>
      </c>
      <c r="P622" s="2">
        <v>13</v>
      </c>
      <c r="Q622" s="4">
        <v>4540</v>
      </c>
      <c r="R622" s="4">
        <v>3930</v>
      </c>
      <c r="S622" s="4">
        <v>102</v>
      </c>
      <c r="T622" s="19">
        <f>(ProductionData[[#This Row],[Rejected_Qty]])/ProductionData[[#This Row],[Produced_Qty]]</f>
        <v>2.5954198473282442E-2</v>
      </c>
      <c r="U622" s="19">
        <f>ProductionData[[#This Row],[Produced_Qty]]/ProductionData[[#This Row],[Planned_Qty]]</f>
        <v>0.86563876651982374</v>
      </c>
      <c r="V622" s="2" t="s">
        <v>89</v>
      </c>
      <c r="W622" s="11">
        <v>30</v>
      </c>
      <c r="X622" s="13">
        <f>W622/60</f>
        <v>0.5</v>
      </c>
      <c r="Y622" s="2" t="s">
        <v>182</v>
      </c>
      <c r="Z622" s="2">
        <v>79</v>
      </c>
      <c r="AA622" s="2">
        <f>ProductionData[[#This Row],[Rejected_Qty]]*ProductionData[[#This Row],[Unit_Cost_INR]]</f>
        <v>8058</v>
      </c>
      <c r="AB622" s="4">
        <v>15753</v>
      </c>
      <c r="AC622" s="4">
        <v>4360</v>
      </c>
      <c r="AD622" s="4">
        <v>4360</v>
      </c>
      <c r="AE622" s="4">
        <v>15221</v>
      </c>
      <c r="AF622" s="4">
        <v>6750</v>
      </c>
    </row>
    <row r="623" spans="1:32">
      <c r="A623" s="2" t="s">
        <v>1374</v>
      </c>
      <c r="B623" s="3">
        <v>46156</v>
      </c>
      <c r="C623" s="36" t="s">
        <v>790</v>
      </c>
      <c r="D623" s="2">
        <f>MONTH(ProductionData[[#This Row],[Month]])</f>
        <v>5</v>
      </c>
      <c r="E623" s="2" t="s">
        <v>107</v>
      </c>
      <c r="F623" s="2" t="s">
        <v>93</v>
      </c>
      <c r="G623" s="2" t="s">
        <v>174</v>
      </c>
      <c r="H623" s="2" t="s">
        <v>175</v>
      </c>
      <c r="I623" s="2" t="s">
        <v>176</v>
      </c>
      <c r="J623" s="2" t="s">
        <v>629</v>
      </c>
      <c r="K623" s="2" t="s">
        <v>630</v>
      </c>
      <c r="L623" s="2" t="s">
        <v>1375</v>
      </c>
      <c r="M623" s="2" t="s">
        <v>133</v>
      </c>
      <c r="N623" s="2" t="s">
        <v>96</v>
      </c>
      <c r="O623" s="2">
        <v>10</v>
      </c>
      <c r="P623" s="2">
        <v>6</v>
      </c>
      <c r="Q623" s="4">
        <v>5000</v>
      </c>
      <c r="R623" s="4">
        <v>3790</v>
      </c>
      <c r="S623" s="4">
        <v>85</v>
      </c>
      <c r="T623" s="19">
        <f>(ProductionData[[#This Row],[Rejected_Qty]])/ProductionData[[#This Row],[Produced_Qty]]</f>
        <v>2.2427440633245383E-2</v>
      </c>
      <c r="U623" s="19">
        <f>ProductionData[[#This Row],[Produced_Qty]]/ProductionData[[#This Row],[Planned_Qty]]</f>
        <v>0.75800000000000001</v>
      </c>
      <c r="V623" s="2" t="s">
        <v>109</v>
      </c>
      <c r="W623" s="11">
        <v>0</v>
      </c>
      <c r="X623" s="13">
        <f>W623/60</f>
        <v>0</v>
      </c>
      <c r="Y623" s="2" t="s">
        <v>90</v>
      </c>
      <c r="Z623" s="2">
        <v>29</v>
      </c>
      <c r="AA623" s="2">
        <f>ProductionData[[#This Row],[Rejected_Qty]]*ProductionData[[#This Row],[Unit_Cost_INR]]</f>
        <v>2465</v>
      </c>
      <c r="AB623" s="4">
        <v>16265</v>
      </c>
      <c r="AC623" s="4">
        <v>4780</v>
      </c>
      <c r="AD623" s="4">
        <v>4780</v>
      </c>
      <c r="AE623" s="4">
        <v>15190</v>
      </c>
      <c r="AF623" s="4">
        <v>7500</v>
      </c>
    </row>
    <row r="624" spans="1:32">
      <c r="A624" s="2" t="s">
        <v>1376</v>
      </c>
      <c r="B624" s="3">
        <v>46169</v>
      </c>
      <c r="C624" s="36" t="s">
        <v>790</v>
      </c>
      <c r="D624" s="2">
        <f>MONTH(ProductionData[[#This Row],[Month]])</f>
        <v>5</v>
      </c>
      <c r="E624" s="2" t="s">
        <v>79</v>
      </c>
      <c r="F624" s="2" t="s">
        <v>66</v>
      </c>
      <c r="G624" s="2" t="s">
        <v>67</v>
      </c>
      <c r="H624" s="2" t="s">
        <v>68</v>
      </c>
      <c r="I624" s="2" t="s">
        <v>69</v>
      </c>
      <c r="J624" s="2" t="s">
        <v>683</v>
      </c>
      <c r="K624" s="2" t="s">
        <v>684</v>
      </c>
      <c r="L624" s="2" t="s">
        <v>1377</v>
      </c>
      <c r="M624" s="2" t="s">
        <v>73</v>
      </c>
      <c r="N624" s="2" t="s">
        <v>88</v>
      </c>
      <c r="O624" s="2">
        <v>16</v>
      </c>
      <c r="P624" s="2">
        <v>16</v>
      </c>
      <c r="Q624" s="4">
        <v>4670</v>
      </c>
      <c r="R624" s="4">
        <v>4820</v>
      </c>
      <c r="S624" s="4">
        <v>152</v>
      </c>
      <c r="T624" s="19">
        <f>(ProductionData[[#This Row],[Rejected_Qty]])/ProductionData[[#This Row],[Produced_Qty]]</f>
        <v>3.1535269709543567E-2</v>
      </c>
      <c r="U624" s="19">
        <f>ProductionData[[#This Row],[Produced_Qty]]/ProductionData[[#This Row],[Planned_Qty]]</f>
        <v>1.0321199143468951</v>
      </c>
      <c r="V624" s="2" t="s">
        <v>109</v>
      </c>
      <c r="W624" s="11">
        <v>0</v>
      </c>
      <c r="X624" s="13">
        <f>W624/60</f>
        <v>0</v>
      </c>
      <c r="Y624" s="2" t="s">
        <v>90</v>
      </c>
      <c r="Z624" s="2">
        <v>79</v>
      </c>
      <c r="AA624" s="2">
        <f>ProductionData[[#This Row],[Rejected_Qty]]*ProductionData[[#This Row],[Unit_Cost_INR]]</f>
        <v>12008</v>
      </c>
      <c r="AB624" s="4">
        <v>14831</v>
      </c>
      <c r="AC624" s="4">
        <v>4310</v>
      </c>
      <c r="AD624" s="4">
        <v>4310</v>
      </c>
      <c r="AE624" s="4">
        <v>15189</v>
      </c>
      <c r="AF624" s="4">
        <v>6750</v>
      </c>
    </row>
    <row r="625" spans="1:32">
      <c r="A625" s="2" t="s">
        <v>1378</v>
      </c>
      <c r="B625" s="3">
        <v>46169</v>
      </c>
      <c r="C625" s="36" t="s">
        <v>790</v>
      </c>
      <c r="D625" s="2">
        <f>MONTH(ProductionData[[#This Row],[Month]])</f>
        <v>5</v>
      </c>
      <c r="E625" s="2" t="s">
        <v>79</v>
      </c>
      <c r="F625" s="2" t="s">
        <v>93</v>
      </c>
      <c r="G625" s="2" t="s">
        <v>67</v>
      </c>
      <c r="H625" s="2" t="s">
        <v>68</v>
      </c>
      <c r="I625" s="2" t="s">
        <v>69</v>
      </c>
      <c r="J625" s="2" t="s">
        <v>683</v>
      </c>
      <c r="K625" s="2" t="s">
        <v>684</v>
      </c>
      <c r="L625" s="2" t="s">
        <v>1379</v>
      </c>
      <c r="M625" s="2" t="s">
        <v>95</v>
      </c>
      <c r="N625" s="2" t="s">
        <v>96</v>
      </c>
      <c r="O625" s="2">
        <v>16</v>
      </c>
      <c r="P625" s="2">
        <v>14</v>
      </c>
      <c r="Q625" s="4">
        <v>4320</v>
      </c>
      <c r="R625" s="4">
        <v>3900</v>
      </c>
      <c r="S625" s="4">
        <v>67</v>
      </c>
      <c r="T625" s="19">
        <f>(ProductionData[[#This Row],[Rejected_Qty]])/ProductionData[[#This Row],[Produced_Qty]]</f>
        <v>1.7179487179487179E-2</v>
      </c>
      <c r="U625" s="19">
        <f>ProductionData[[#This Row],[Produced_Qty]]/ProductionData[[#This Row],[Planned_Qty]]</f>
        <v>0.90277777777777779</v>
      </c>
      <c r="V625" s="2" t="s">
        <v>113</v>
      </c>
      <c r="W625" s="11">
        <v>0</v>
      </c>
      <c r="X625" s="13">
        <f>W625/60</f>
        <v>0</v>
      </c>
      <c r="Y625" s="2" t="s">
        <v>90</v>
      </c>
      <c r="Z625" s="2">
        <v>79</v>
      </c>
      <c r="AA625" s="2">
        <f>ProductionData[[#This Row],[Rejected_Qty]]*ProductionData[[#This Row],[Unit_Cost_INR]]</f>
        <v>5293</v>
      </c>
      <c r="AB625" s="4">
        <v>15189</v>
      </c>
      <c r="AC625" s="4">
        <v>3880</v>
      </c>
      <c r="AD625" s="4">
        <v>3880</v>
      </c>
      <c r="AE625" s="4">
        <v>15142</v>
      </c>
      <c r="AF625" s="4">
        <v>6750</v>
      </c>
    </row>
    <row r="626" spans="1:32">
      <c r="A626" s="2" t="s">
        <v>1380</v>
      </c>
      <c r="B626" s="3">
        <v>46144</v>
      </c>
      <c r="C626" s="36" t="s">
        <v>790</v>
      </c>
      <c r="D626" s="2">
        <f>MONTH(ProductionData[[#This Row],[Month]])</f>
        <v>5</v>
      </c>
      <c r="E626" s="2" t="s">
        <v>65</v>
      </c>
      <c r="F626" s="2" t="s">
        <v>93</v>
      </c>
      <c r="G626" s="2" t="s">
        <v>67</v>
      </c>
      <c r="H626" s="2" t="s">
        <v>68</v>
      </c>
      <c r="I626" s="2" t="s">
        <v>69</v>
      </c>
      <c r="J626" s="2" t="s">
        <v>683</v>
      </c>
      <c r="K626" s="2" t="s">
        <v>684</v>
      </c>
      <c r="L626" s="2" t="s">
        <v>1381</v>
      </c>
      <c r="M626" s="2" t="s">
        <v>133</v>
      </c>
      <c r="N626" s="2" t="s">
        <v>88</v>
      </c>
      <c r="O626" s="2">
        <v>16</v>
      </c>
      <c r="P626" s="2">
        <v>16</v>
      </c>
      <c r="Q626" s="4">
        <v>4140</v>
      </c>
      <c r="R626" s="4">
        <v>4110</v>
      </c>
      <c r="S626" s="4">
        <v>47</v>
      </c>
      <c r="T626" s="19">
        <f>(ProductionData[[#This Row],[Rejected_Qty]])/ProductionData[[#This Row],[Produced_Qty]]</f>
        <v>1.1435523114355231E-2</v>
      </c>
      <c r="U626" s="19">
        <f>ProductionData[[#This Row],[Produced_Qty]]/ProductionData[[#This Row],[Planned_Qty]]</f>
        <v>0.99275362318840576</v>
      </c>
      <c r="V626" s="2" t="s">
        <v>75</v>
      </c>
      <c r="W626" s="11">
        <v>14</v>
      </c>
      <c r="X626" s="13">
        <f>W626/60</f>
        <v>0.23333333333333334</v>
      </c>
      <c r="Y626" s="2" t="s">
        <v>76</v>
      </c>
      <c r="Z626" s="2">
        <v>79</v>
      </c>
      <c r="AA626" s="2">
        <f>ProductionData[[#This Row],[Rejected_Qty]]*ProductionData[[#This Row],[Unit_Cost_INR]]</f>
        <v>3713</v>
      </c>
      <c r="AB626" s="4">
        <v>14855</v>
      </c>
      <c r="AC626" s="4">
        <v>3780</v>
      </c>
      <c r="AD626" s="4">
        <v>3780</v>
      </c>
      <c r="AE626" s="4">
        <v>15138</v>
      </c>
      <c r="AF626" s="4">
        <v>6750</v>
      </c>
    </row>
    <row r="627" spans="1:32">
      <c r="A627" s="2" t="s">
        <v>1382</v>
      </c>
      <c r="B627" s="3">
        <v>46147</v>
      </c>
      <c r="C627" s="36" t="s">
        <v>790</v>
      </c>
      <c r="D627" s="2">
        <f>MONTH(ProductionData[[#This Row],[Month]])</f>
        <v>5</v>
      </c>
      <c r="E627" s="2" t="s">
        <v>92</v>
      </c>
      <c r="F627" s="2" t="s">
        <v>66</v>
      </c>
      <c r="G627" s="2" t="s">
        <v>67</v>
      </c>
      <c r="H627" s="2" t="s">
        <v>68</v>
      </c>
      <c r="I627" s="2" t="s">
        <v>69</v>
      </c>
      <c r="J627" s="2" t="s">
        <v>683</v>
      </c>
      <c r="K627" s="2" t="s">
        <v>684</v>
      </c>
      <c r="L627" s="2" t="s">
        <v>1383</v>
      </c>
      <c r="M627" s="2" t="s">
        <v>99</v>
      </c>
      <c r="N627" s="2" t="s">
        <v>88</v>
      </c>
      <c r="O627" s="2">
        <v>16</v>
      </c>
      <c r="P627" s="2">
        <v>16</v>
      </c>
      <c r="Q627" s="4">
        <v>4230</v>
      </c>
      <c r="R627" s="4">
        <v>4250</v>
      </c>
      <c r="S627" s="4">
        <v>121</v>
      </c>
      <c r="T627" s="19">
        <f>(ProductionData[[#This Row],[Rejected_Qty]])/ProductionData[[#This Row],[Produced_Qty]]</f>
        <v>2.8470588235294119E-2</v>
      </c>
      <c r="U627" s="19">
        <f>ProductionData[[#This Row],[Produced_Qty]]/ProductionData[[#This Row],[Planned_Qty]]</f>
        <v>1.0047281323877069</v>
      </c>
      <c r="V627" s="2" t="s">
        <v>109</v>
      </c>
      <c r="W627" s="11">
        <v>0</v>
      </c>
      <c r="X627" s="13">
        <f>W627/60</f>
        <v>0</v>
      </c>
      <c r="Y627" s="2" t="s">
        <v>90</v>
      </c>
      <c r="Z627" s="2">
        <v>79</v>
      </c>
      <c r="AA627" s="2">
        <f>ProductionData[[#This Row],[Rejected_Qty]]*ProductionData[[#This Row],[Unit_Cost_INR]]</f>
        <v>9559</v>
      </c>
      <c r="AB627" s="4">
        <v>15045</v>
      </c>
      <c r="AC627" s="4">
        <v>4100</v>
      </c>
      <c r="AD627" s="4">
        <v>4100</v>
      </c>
      <c r="AE627" s="4">
        <v>15074</v>
      </c>
      <c r="AF627" s="4">
        <v>6750</v>
      </c>
    </row>
    <row r="628" spans="1:32">
      <c r="A628" s="2" t="s">
        <v>1384</v>
      </c>
      <c r="B628" s="3">
        <v>46155</v>
      </c>
      <c r="C628" s="36" t="s">
        <v>790</v>
      </c>
      <c r="D628" s="2">
        <f>MONTH(ProductionData[[#This Row],[Month]])</f>
        <v>5</v>
      </c>
      <c r="E628" s="2" t="s">
        <v>79</v>
      </c>
      <c r="F628" s="2" t="s">
        <v>93</v>
      </c>
      <c r="G628" s="2" t="s">
        <v>67</v>
      </c>
      <c r="H628" s="2" t="s">
        <v>68</v>
      </c>
      <c r="I628" s="2" t="s">
        <v>69</v>
      </c>
      <c r="J628" s="2" t="s">
        <v>683</v>
      </c>
      <c r="K628" s="2" t="s">
        <v>684</v>
      </c>
      <c r="L628" s="2" t="s">
        <v>1385</v>
      </c>
      <c r="M628" s="2" t="s">
        <v>133</v>
      </c>
      <c r="N628" s="2" t="s">
        <v>88</v>
      </c>
      <c r="O628" s="2">
        <v>16</v>
      </c>
      <c r="P628" s="2">
        <v>12</v>
      </c>
      <c r="Q628" s="4">
        <v>4410</v>
      </c>
      <c r="R628" s="4">
        <v>3640</v>
      </c>
      <c r="S628" s="4">
        <v>95</v>
      </c>
      <c r="T628" s="19">
        <f>(ProductionData[[#This Row],[Rejected_Qty]])/ProductionData[[#This Row],[Produced_Qty]]</f>
        <v>2.60989010989011E-2</v>
      </c>
      <c r="U628" s="19">
        <f>ProductionData[[#This Row],[Produced_Qty]]/ProductionData[[#This Row],[Planned_Qty]]</f>
        <v>0.82539682539682535</v>
      </c>
      <c r="V628" s="2" t="s">
        <v>89</v>
      </c>
      <c r="W628" s="11">
        <v>64</v>
      </c>
      <c r="X628" s="13">
        <f>W628/60</f>
        <v>1.0666666666666667</v>
      </c>
      <c r="Y628" s="2" t="s">
        <v>182</v>
      </c>
      <c r="Z628" s="2">
        <v>79</v>
      </c>
      <c r="AA628" s="2">
        <f>ProductionData[[#This Row],[Rejected_Qty]]*ProductionData[[#This Row],[Unit_Cost_INR]]</f>
        <v>7505</v>
      </c>
      <c r="AB628" s="4">
        <v>15572</v>
      </c>
      <c r="AC628" s="4">
        <v>4070</v>
      </c>
      <c r="AD628" s="4">
        <v>4070</v>
      </c>
      <c r="AE628" s="4">
        <v>15047</v>
      </c>
      <c r="AF628" s="4">
        <v>6750</v>
      </c>
    </row>
    <row r="629" spans="1:32">
      <c r="A629" s="2" t="s">
        <v>1386</v>
      </c>
      <c r="B629" s="3">
        <v>46146</v>
      </c>
      <c r="C629" s="36" t="s">
        <v>790</v>
      </c>
      <c r="D629" s="2">
        <f>MONTH(ProductionData[[#This Row],[Month]])</f>
        <v>5</v>
      </c>
      <c r="E629" s="2" t="s">
        <v>116</v>
      </c>
      <c r="F629" s="2" t="s">
        <v>93</v>
      </c>
      <c r="G629" s="2" t="s">
        <v>67</v>
      </c>
      <c r="H629" s="2" t="s">
        <v>68</v>
      </c>
      <c r="I629" s="2" t="s">
        <v>69</v>
      </c>
      <c r="J629" s="2" t="s">
        <v>683</v>
      </c>
      <c r="K629" s="2" t="s">
        <v>684</v>
      </c>
      <c r="L629" s="2" t="s">
        <v>1387</v>
      </c>
      <c r="M629" s="2" t="s">
        <v>95</v>
      </c>
      <c r="N629" s="2" t="s">
        <v>88</v>
      </c>
      <c r="O629" s="2">
        <v>16</v>
      </c>
      <c r="P629" s="2">
        <v>14</v>
      </c>
      <c r="Q629" s="4">
        <v>4350</v>
      </c>
      <c r="R629" s="4">
        <v>3970</v>
      </c>
      <c r="S629" s="4">
        <v>63</v>
      </c>
      <c r="T629" s="19">
        <f>(ProductionData[[#This Row],[Rejected_Qty]])/ProductionData[[#This Row],[Produced_Qty]]</f>
        <v>1.5869017632241814E-2</v>
      </c>
      <c r="U629" s="19">
        <f>ProductionData[[#This Row],[Produced_Qty]]/ProductionData[[#This Row],[Planned_Qty]]</f>
        <v>0.91264367816091951</v>
      </c>
      <c r="V629" s="2" t="s">
        <v>103</v>
      </c>
      <c r="W629" s="11">
        <v>0</v>
      </c>
      <c r="X629" s="13">
        <f>W629/60</f>
        <v>0</v>
      </c>
      <c r="Y629" s="2" t="s">
        <v>90</v>
      </c>
      <c r="Z629" s="2">
        <v>79</v>
      </c>
      <c r="AA629" s="2">
        <f>ProductionData[[#This Row],[Rejected_Qty]]*ProductionData[[#This Row],[Unit_Cost_INR]]</f>
        <v>4977</v>
      </c>
      <c r="AB629" s="4">
        <v>15138</v>
      </c>
      <c r="AC629" s="4">
        <v>4000</v>
      </c>
      <c r="AD629" s="4">
        <v>4000</v>
      </c>
      <c r="AE629" s="4">
        <v>15045</v>
      </c>
      <c r="AF629" s="4">
        <v>6750</v>
      </c>
    </row>
    <row r="630" spans="1:32">
      <c r="A630" s="2" t="s">
        <v>1388</v>
      </c>
      <c r="B630" s="3">
        <v>46149</v>
      </c>
      <c r="C630" s="36" t="s">
        <v>790</v>
      </c>
      <c r="D630" s="2">
        <f>MONTH(ProductionData[[#This Row],[Month]])</f>
        <v>5</v>
      </c>
      <c r="E630" s="2" t="s">
        <v>107</v>
      </c>
      <c r="F630" s="2" t="s">
        <v>66</v>
      </c>
      <c r="G630" s="2" t="s">
        <v>67</v>
      </c>
      <c r="H630" s="2" t="s">
        <v>68</v>
      </c>
      <c r="I630" s="2" t="s">
        <v>69</v>
      </c>
      <c r="J630" s="2" t="s">
        <v>683</v>
      </c>
      <c r="K630" s="2" t="s">
        <v>684</v>
      </c>
      <c r="L630" s="2" t="s">
        <v>1389</v>
      </c>
      <c r="M630" s="2" t="s">
        <v>73</v>
      </c>
      <c r="N630" s="2" t="s">
        <v>88</v>
      </c>
      <c r="O630" s="2">
        <v>16</v>
      </c>
      <c r="P630" s="2">
        <v>15</v>
      </c>
      <c r="Q630" s="4">
        <v>4470</v>
      </c>
      <c r="R630" s="4">
        <v>4110</v>
      </c>
      <c r="S630" s="4">
        <v>81</v>
      </c>
      <c r="T630" s="19">
        <f>(ProductionData[[#This Row],[Rejected_Qty]])/ProductionData[[#This Row],[Produced_Qty]]</f>
        <v>1.9708029197080291E-2</v>
      </c>
      <c r="U630" s="19">
        <f>ProductionData[[#This Row],[Produced_Qty]]/ProductionData[[#This Row],[Planned_Qty]]</f>
        <v>0.91946308724832215</v>
      </c>
      <c r="V630" s="2" t="s">
        <v>109</v>
      </c>
      <c r="W630" s="11">
        <v>0</v>
      </c>
      <c r="X630" s="13">
        <f>W630/60</f>
        <v>0</v>
      </c>
      <c r="Y630" s="2" t="s">
        <v>90</v>
      </c>
      <c r="Z630" s="2">
        <v>79</v>
      </c>
      <c r="AA630" s="2">
        <f>ProductionData[[#This Row],[Rejected_Qty]]*ProductionData[[#This Row],[Unit_Cost_INR]]</f>
        <v>6399</v>
      </c>
      <c r="AB630" s="4">
        <v>15074</v>
      </c>
      <c r="AC630" s="4">
        <v>4140</v>
      </c>
      <c r="AD630" s="4">
        <v>4140</v>
      </c>
      <c r="AE630" s="4">
        <v>14963</v>
      </c>
      <c r="AF630" s="4">
        <v>6750</v>
      </c>
    </row>
    <row r="631" spans="1:32">
      <c r="A631" s="2" t="s">
        <v>1390</v>
      </c>
      <c r="B631" s="3">
        <v>46164</v>
      </c>
      <c r="C631" s="36" t="s">
        <v>790</v>
      </c>
      <c r="D631" s="2">
        <f>MONTH(ProductionData[[#This Row],[Month]])</f>
        <v>5</v>
      </c>
      <c r="E631" s="2" t="s">
        <v>125</v>
      </c>
      <c r="F631" s="2" t="s">
        <v>93</v>
      </c>
      <c r="G631" s="2" t="s">
        <v>67</v>
      </c>
      <c r="H631" s="2" t="s">
        <v>68</v>
      </c>
      <c r="I631" s="2" t="s">
        <v>69</v>
      </c>
      <c r="J631" s="2" t="s">
        <v>683</v>
      </c>
      <c r="K631" s="2" t="s">
        <v>684</v>
      </c>
      <c r="L631" s="2" t="s">
        <v>1391</v>
      </c>
      <c r="M631" s="2" t="s">
        <v>95</v>
      </c>
      <c r="N631" s="2" t="s">
        <v>88</v>
      </c>
      <c r="O631" s="2">
        <v>16</v>
      </c>
      <c r="P631" s="2">
        <v>13</v>
      </c>
      <c r="Q631" s="4">
        <v>4430</v>
      </c>
      <c r="R631" s="4">
        <v>4010</v>
      </c>
      <c r="S631" s="4">
        <v>95</v>
      </c>
      <c r="T631" s="19">
        <f>(ProductionData[[#This Row],[Rejected_Qty]])/ProductionData[[#This Row],[Produced_Qty]]</f>
        <v>2.369077306733167E-2</v>
      </c>
      <c r="U631" s="19">
        <f>ProductionData[[#This Row],[Produced_Qty]]/ProductionData[[#This Row],[Planned_Qty]]</f>
        <v>0.90519187358916475</v>
      </c>
      <c r="V631" s="2" t="s">
        <v>113</v>
      </c>
      <c r="W631" s="11">
        <v>0</v>
      </c>
      <c r="X631" s="13">
        <f>W631/60</f>
        <v>0</v>
      </c>
      <c r="Y631" s="2" t="s">
        <v>90</v>
      </c>
      <c r="Z631" s="2">
        <v>79</v>
      </c>
      <c r="AA631" s="2">
        <f>ProductionData[[#This Row],[Rejected_Qty]]*ProductionData[[#This Row],[Unit_Cost_INR]]</f>
        <v>7505</v>
      </c>
      <c r="AB631" s="4">
        <v>15502</v>
      </c>
      <c r="AC631" s="4">
        <v>4480</v>
      </c>
      <c r="AD631" s="4">
        <v>4480</v>
      </c>
      <c r="AE631" s="4">
        <v>14937</v>
      </c>
      <c r="AF631" s="4">
        <v>6750</v>
      </c>
    </row>
    <row r="632" spans="1:32">
      <c r="A632" s="2" t="s">
        <v>1392</v>
      </c>
      <c r="B632" s="3">
        <v>46144</v>
      </c>
      <c r="C632" s="36" t="s">
        <v>790</v>
      </c>
      <c r="D632" s="2">
        <f>MONTH(ProductionData[[#This Row],[Month]])</f>
        <v>5</v>
      </c>
      <c r="E632" s="2" t="s">
        <v>65</v>
      </c>
      <c r="F632" s="2" t="s">
        <v>66</v>
      </c>
      <c r="G632" s="2" t="s">
        <v>67</v>
      </c>
      <c r="H632" s="2" t="s">
        <v>68</v>
      </c>
      <c r="I632" s="2" t="s">
        <v>69</v>
      </c>
      <c r="J632" s="2" t="s">
        <v>683</v>
      </c>
      <c r="K632" s="2" t="s">
        <v>684</v>
      </c>
      <c r="L632" s="2" t="s">
        <v>1393</v>
      </c>
      <c r="M632" s="2" t="s">
        <v>99</v>
      </c>
      <c r="N632" s="2" t="s">
        <v>88</v>
      </c>
      <c r="O632" s="2">
        <v>16</v>
      </c>
      <c r="P632" s="2">
        <v>15</v>
      </c>
      <c r="Q632" s="4">
        <v>4310</v>
      </c>
      <c r="R632" s="4">
        <v>4180</v>
      </c>
      <c r="S632" s="4">
        <v>131</v>
      </c>
      <c r="T632" s="19">
        <f>(ProductionData[[#This Row],[Rejected_Qty]])/ProductionData[[#This Row],[Produced_Qty]]</f>
        <v>3.1339712918660285E-2</v>
      </c>
      <c r="U632" s="19">
        <f>ProductionData[[#This Row],[Produced_Qty]]/ProductionData[[#This Row],[Planned_Qty]]</f>
        <v>0.96983758700696054</v>
      </c>
      <c r="V632" s="2" t="s">
        <v>113</v>
      </c>
      <c r="W632" s="11">
        <v>42</v>
      </c>
      <c r="X632" s="13">
        <f>W632/60</f>
        <v>0.7</v>
      </c>
      <c r="Y632" s="2" t="s">
        <v>110</v>
      </c>
      <c r="Z632" s="2">
        <v>79</v>
      </c>
      <c r="AA632" s="2">
        <f>ProductionData[[#This Row],[Rejected_Qty]]*ProductionData[[#This Row],[Unit_Cost_INR]]</f>
        <v>10349</v>
      </c>
      <c r="AB632" s="4">
        <v>14356</v>
      </c>
      <c r="AC632" s="4">
        <v>3550</v>
      </c>
      <c r="AD632" s="4">
        <v>3550</v>
      </c>
      <c r="AE632" s="4">
        <v>14855</v>
      </c>
      <c r="AF632" s="4">
        <v>6750</v>
      </c>
    </row>
    <row r="633" spans="1:32">
      <c r="A633" s="2" t="s">
        <v>1394</v>
      </c>
      <c r="B633" s="3">
        <v>46167</v>
      </c>
      <c r="C633" s="36" t="s">
        <v>790</v>
      </c>
      <c r="D633" s="2">
        <f>MONTH(ProductionData[[#This Row],[Month]])</f>
        <v>5</v>
      </c>
      <c r="E633" s="2" t="s">
        <v>116</v>
      </c>
      <c r="F633" s="2" t="s">
        <v>80</v>
      </c>
      <c r="G633" s="2" t="s">
        <v>67</v>
      </c>
      <c r="H633" s="2" t="s">
        <v>68</v>
      </c>
      <c r="I633" s="2" t="s">
        <v>69</v>
      </c>
      <c r="J633" s="2" t="s">
        <v>683</v>
      </c>
      <c r="K633" s="2" t="s">
        <v>684</v>
      </c>
      <c r="L633" s="2" t="s">
        <v>1395</v>
      </c>
      <c r="M633" s="2" t="s">
        <v>102</v>
      </c>
      <c r="N633" s="2" t="s">
        <v>88</v>
      </c>
      <c r="O633" s="2">
        <v>16</v>
      </c>
      <c r="P633" s="2">
        <v>16</v>
      </c>
      <c r="Q633" s="4">
        <v>4810</v>
      </c>
      <c r="R633" s="4">
        <v>4450</v>
      </c>
      <c r="S633" s="4">
        <v>96</v>
      </c>
      <c r="T633" s="19">
        <f>(ProductionData[[#This Row],[Rejected_Qty]])/ProductionData[[#This Row],[Produced_Qty]]</f>
        <v>2.1573033707865168E-2</v>
      </c>
      <c r="U633" s="19">
        <f>ProductionData[[#This Row],[Produced_Qty]]/ProductionData[[#This Row],[Planned_Qty]]</f>
        <v>0.92515592515592515</v>
      </c>
      <c r="V633" s="2" t="s">
        <v>103</v>
      </c>
      <c r="W633" s="11">
        <v>0</v>
      </c>
      <c r="X633" s="13">
        <f>W633/60</f>
        <v>0</v>
      </c>
      <c r="Y633" s="2" t="s">
        <v>90</v>
      </c>
      <c r="Z633" s="2">
        <v>79</v>
      </c>
      <c r="AA633" s="2">
        <f>ProductionData[[#This Row],[Rejected_Qty]]*ProductionData[[#This Row],[Unit_Cost_INR]]</f>
        <v>7584</v>
      </c>
      <c r="AB633" s="4">
        <v>14937</v>
      </c>
      <c r="AC633" s="4">
        <v>4460</v>
      </c>
      <c r="AD633" s="4">
        <v>4460</v>
      </c>
      <c r="AE633" s="4">
        <v>14831</v>
      </c>
      <c r="AF633" s="4">
        <v>6750</v>
      </c>
    </row>
    <row r="634" spans="1:32">
      <c r="A634" s="2" t="s">
        <v>1396</v>
      </c>
      <c r="B634" s="3">
        <v>46169</v>
      </c>
      <c r="C634" s="36" t="s">
        <v>790</v>
      </c>
      <c r="D634" s="2">
        <f>MONTH(ProductionData[[#This Row],[Month]])</f>
        <v>5</v>
      </c>
      <c r="E634" s="2" t="s">
        <v>79</v>
      </c>
      <c r="F634" s="2" t="s">
        <v>93</v>
      </c>
      <c r="G634" s="2" t="s">
        <v>174</v>
      </c>
      <c r="H634" s="2" t="s">
        <v>175</v>
      </c>
      <c r="I634" s="2" t="s">
        <v>176</v>
      </c>
      <c r="J634" s="2" t="s">
        <v>629</v>
      </c>
      <c r="K634" s="2" t="s">
        <v>630</v>
      </c>
      <c r="L634" s="2" t="s">
        <v>1397</v>
      </c>
      <c r="M634" s="2" t="s">
        <v>95</v>
      </c>
      <c r="N634" s="2" t="s">
        <v>88</v>
      </c>
      <c r="O634" s="2">
        <v>10</v>
      </c>
      <c r="P634" s="2">
        <v>8</v>
      </c>
      <c r="Q634" s="4">
        <v>4760</v>
      </c>
      <c r="R634" s="4">
        <v>4040</v>
      </c>
      <c r="S634" s="4">
        <v>110</v>
      </c>
      <c r="T634" s="19">
        <f>(ProductionData[[#This Row],[Rejected_Qty]])/ProductionData[[#This Row],[Produced_Qty]]</f>
        <v>2.7227722772277228E-2</v>
      </c>
      <c r="U634" s="19">
        <f>ProductionData[[#This Row],[Produced_Qty]]/ProductionData[[#This Row],[Planned_Qty]]</f>
        <v>0.84873949579831931</v>
      </c>
      <c r="V634" s="2" t="s">
        <v>109</v>
      </c>
      <c r="W634" s="11">
        <v>0</v>
      </c>
      <c r="X634" s="13">
        <f>W634/60</f>
        <v>0</v>
      </c>
      <c r="Y634" s="2" t="s">
        <v>90</v>
      </c>
      <c r="Z634" s="2">
        <v>29</v>
      </c>
      <c r="AA634" s="2">
        <f>ProductionData[[#This Row],[Rejected_Qty]]*ProductionData[[#This Row],[Unit_Cost_INR]]</f>
        <v>3190</v>
      </c>
      <c r="AB634" s="4">
        <v>15827</v>
      </c>
      <c r="AC634" s="4">
        <v>5000</v>
      </c>
      <c r="AD634" s="4">
        <v>5000</v>
      </c>
      <c r="AE634" s="4">
        <v>14757</v>
      </c>
      <c r="AF634" s="4">
        <v>7500</v>
      </c>
    </row>
    <row r="635" spans="1:32">
      <c r="A635" s="2" t="s">
        <v>1398</v>
      </c>
      <c r="B635" s="3">
        <v>46170</v>
      </c>
      <c r="C635" s="36" t="s">
        <v>790</v>
      </c>
      <c r="D635" s="2">
        <f>MONTH(ProductionData[[#This Row],[Month]])</f>
        <v>5</v>
      </c>
      <c r="E635" s="2" t="s">
        <v>107</v>
      </c>
      <c r="F635" s="2" t="s">
        <v>66</v>
      </c>
      <c r="G635" s="2" t="s">
        <v>174</v>
      </c>
      <c r="H635" s="2" t="s">
        <v>175</v>
      </c>
      <c r="I635" s="2" t="s">
        <v>176</v>
      </c>
      <c r="J635" s="2" t="s">
        <v>629</v>
      </c>
      <c r="K635" s="2" t="s">
        <v>630</v>
      </c>
      <c r="L635" s="2" t="s">
        <v>1399</v>
      </c>
      <c r="M635" s="2" t="s">
        <v>99</v>
      </c>
      <c r="N635" s="2" t="s">
        <v>88</v>
      </c>
      <c r="O635" s="2">
        <v>10</v>
      </c>
      <c r="P635" s="2">
        <v>10</v>
      </c>
      <c r="Q635" s="4">
        <v>4780</v>
      </c>
      <c r="R635" s="4">
        <v>4650</v>
      </c>
      <c r="S635" s="4">
        <v>123</v>
      </c>
      <c r="T635" s="19">
        <f>(ProductionData[[#This Row],[Rejected_Qty]])/ProductionData[[#This Row],[Produced_Qty]]</f>
        <v>2.6451612903225806E-2</v>
      </c>
      <c r="U635" s="19">
        <f>ProductionData[[#This Row],[Produced_Qty]]/ProductionData[[#This Row],[Planned_Qty]]</f>
        <v>0.97280334728033468</v>
      </c>
      <c r="V635" s="2" t="s">
        <v>109</v>
      </c>
      <c r="W635" s="11">
        <v>0</v>
      </c>
      <c r="X635" s="13">
        <f>W635/60</f>
        <v>0</v>
      </c>
      <c r="Y635" s="2" t="s">
        <v>90</v>
      </c>
      <c r="Z635" s="2">
        <v>29</v>
      </c>
      <c r="AA635" s="2">
        <f>ProductionData[[#This Row],[Rejected_Qty]]*ProductionData[[#This Row],[Unit_Cost_INR]]</f>
        <v>3567</v>
      </c>
      <c r="AB635" s="4">
        <v>14757</v>
      </c>
      <c r="AC635" s="4">
        <v>4820</v>
      </c>
      <c r="AD635" s="4">
        <v>4820</v>
      </c>
      <c r="AE635" s="4">
        <v>14464</v>
      </c>
      <c r="AF635" s="4">
        <v>7500</v>
      </c>
    </row>
    <row r="636" spans="1:32">
      <c r="A636" s="2" t="s">
        <v>1400</v>
      </c>
      <c r="B636" s="3">
        <v>46143</v>
      </c>
      <c r="C636" s="36" t="s">
        <v>790</v>
      </c>
      <c r="D636" s="2">
        <f>MONTH(ProductionData[[#This Row],[Month]])</f>
        <v>5</v>
      </c>
      <c r="E636" s="2" t="s">
        <v>125</v>
      </c>
      <c r="F636" s="2" t="s">
        <v>93</v>
      </c>
      <c r="G636" s="2" t="s">
        <v>81</v>
      </c>
      <c r="H636" s="2" t="s">
        <v>82</v>
      </c>
      <c r="I636" s="2" t="s">
        <v>83</v>
      </c>
      <c r="J636" s="2" t="s">
        <v>721</v>
      </c>
      <c r="K636" s="2" t="s">
        <v>722</v>
      </c>
      <c r="L636" s="2" t="s">
        <v>1401</v>
      </c>
      <c r="M636" s="2" t="s">
        <v>133</v>
      </c>
      <c r="N636" s="2" t="s">
        <v>96</v>
      </c>
      <c r="O636" s="2">
        <v>18</v>
      </c>
      <c r="P636" s="2">
        <v>16</v>
      </c>
      <c r="Q636" s="4">
        <v>3250</v>
      </c>
      <c r="R636" s="4">
        <v>3120</v>
      </c>
      <c r="S636" s="4">
        <v>77</v>
      </c>
      <c r="T636" s="19">
        <f>(ProductionData[[#This Row],[Rejected_Qty]])/ProductionData[[#This Row],[Produced_Qty]]</f>
        <v>2.4679487179487179E-2</v>
      </c>
      <c r="U636" s="19">
        <f>ProductionData[[#This Row],[Produced_Qty]]/ProductionData[[#This Row],[Planned_Qty]]</f>
        <v>0.96</v>
      </c>
      <c r="V636" s="2" t="s">
        <v>109</v>
      </c>
      <c r="W636" s="11">
        <v>21</v>
      </c>
      <c r="X636" s="13">
        <f>W636/60</f>
        <v>0.35</v>
      </c>
      <c r="Y636" s="2" t="s">
        <v>136</v>
      </c>
      <c r="Z636" s="2">
        <v>64</v>
      </c>
      <c r="AA636" s="2">
        <f>ProductionData[[#This Row],[Rejected_Qty]]*ProductionData[[#This Row],[Unit_Cost_INR]]</f>
        <v>4928</v>
      </c>
      <c r="AB636" s="4">
        <v>12150</v>
      </c>
      <c r="AC636" s="4">
        <v>2810</v>
      </c>
      <c r="AD636" s="4">
        <v>2810</v>
      </c>
      <c r="AE636" s="4">
        <v>12383</v>
      </c>
      <c r="AF636" s="4">
        <v>5250</v>
      </c>
    </row>
    <row r="637" spans="1:32">
      <c r="A637" s="2" t="s">
        <v>1402</v>
      </c>
      <c r="B637" s="3">
        <v>46144</v>
      </c>
      <c r="C637" s="36" t="s">
        <v>790</v>
      </c>
      <c r="D637" s="2">
        <f>MONTH(ProductionData[[#This Row],[Month]])</f>
        <v>5</v>
      </c>
      <c r="E637" s="2" t="s">
        <v>65</v>
      </c>
      <c r="F637" s="2" t="s">
        <v>80</v>
      </c>
      <c r="G637" s="2" t="s">
        <v>81</v>
      </c>
      <c r="H637" s="2" t="s">
        <v>82</v>
      </c>
      <c r="I637" s="2" t="s">
        <v>83</v>
      </c>
      <c r="J637" s="2" t="s">
        <v>721</v>
      </c>
      <c r="K637" s="2" t="s">
        <v>722</v>
      </c>
      <c r="L637" s="2" t="s">
        <v>1403</v>
      </c>
      <c r="M637" s="2" t="s">
        <v>87</v>
      </c>
      <c r="N637" s="2" t="s">
        <v>96</v>
      </c>
      <c r="O637" s="2">
        <v>18</v>
      </c>
      <c r="P637" s="2">
        <v>18</v>
      </c>
      <c r="Q637" s="4">
        <v>3710</v>
      </c>
      <c r="R637" s="4">
        <v>3560</v>
      </c>
      <c r="S637" s="4">
        <v>73</v>
      </c>
      <c r="T637" s="19">
        <f>(ProductionData[[#This Row],[Rejected_Qty]])/ProductionData[[#This Row],[Produced_Qty]]</f>
        <v>2.050561797752809E-2</v>
      </c>
      <c r="U637" s="19">
        <f>ProductionData[[#This Row],[Produced_Qty]]/ProductionData[[#This Row],[Planned_Qty]]</f>
        <v>0.95956873315363878</v>
      </c>
      <c r="V637" s="2" t="s">
        <v>103</v>
      </c>
      <c r="W637" s="11">
        <v>0</v>
      </c>
      <c r="X637" s="13">
        <f>W637/60</f>
        <v>0</v>
      </c>
      <c r="Y637" s="2" t="s">
        <v>90</v>
      </c>
      <c r="Z637" s="2">
        <v>64</v>
      </c>
      <c r="AA637" s="2">
        <f>ProductionData[[#This Row],[Rejected_Qty]]*ProductionData[[#This Row],[Unit_Cost_INR]]</f>
        <v>4672</v>
      </c>
      <c r="AB637" s="4">
        <v>12383</v>
      </c>
      <c r="AC637" s="4">
        <v>3850</v>
      </c>
      <c r="AD637" s="4">
        <v>3850</v>
      </c>
      <c r="AE637" s="4">
        <v>12020</v>
      </c>
      <c r="AF637" s="4">
        <v>5250</v>
      </c>
    </row>
    <row r="638" spans="1:32">
      <c r="A638" s="2" t="s">
        <v>1404</v>
      </c>
      <c r="B638" s="3">
        <v>46144</v>
      </c>
      <c r="C638" s="36" t="s">
        <v>790</v>
      </c>
      <c r="D638" s="2">
        <f>MONTH(ProductionData[[#This Row],[Month]])</f>
        <v>5</v>
      </c>
      <c r="E638" s="2" t="s">
        <v>65</v>
      </c>
      <c r="F638" s="2" t="s">
        <v>93</v>
      </c>
      <c r="G638" s="2" t="s">
        <v>81</v>
      </c>
      <c r="H638" s="2" t="s">
        <v>82</v>
      </c>
      <c r="I638" s="2" t="s">
        <v>83</v>
      </c>
      <c r="J638" s="2" t="s">
        <v>721</v>
      </c>
      <c r="K638" s="2" t="s">
        <v>722</v>
      </c>
      <c r="L638" s="2" t="s">
        <v>1405</v>
      </c>
      <c r="M638" s="2" t="s">
        <v>95</v>
      </c>
      <c r="N638" s="2" t="s">
        <v>88</v>
      </c>
      <c r="O638" s="2">
        <v>18</v>
      </c>
      <c r="P638" s="2">
        <v>17</v>
      </c>
      <c r="Q638" s="4">
        <v>3180</v>
      </c>
      <c r="R638" s="4">
        <v>2870</v>
      </c>
      <c r="S638" s="4">
        <v>59</v>
      </c>
      <c r="T638" s="19">
        <f>(ProductionData[[#This Row],[Rejected_Qty]])/ProductionData[[#This Row],[Produced_Qty]]</f>
        <v>2.0557491289198607E-2</v>
      </c>
      <c r="U638" s="19">
        <f>ProductionData[[#This Row],[Produced_Qty]]/ProductionData[[#This Row],[Planned_Qty]]</f>
        <v>0.90251572327044027</v>
      </c>
      <c r="V638" s="2" t="s">
        <v>103</v>
      </c>
      <c r="W638" s="11">
        <v>0</v>
      </c>
      <c r="X638" s="13">
        <f>W638/60</f>
        <v>0</v>
      </c>
      <c r="Y638" s="2" t="s">
        <v>90</v>
      </c>
      <c r="Z638" s="2">
        <v>64</v>
      </c>
      <c r="AA638" s="2">
        <f>ProductionData[[#This Row],[Rejected_Qty]]*ProductionData[[#This Row],[Unit_Cost_INR]]</f>
        <v>3776</v>
      </c>
      <c r="AB638" s="4">
        <v>12020</v>
      </c>
      <c r="AC638" s="4">
        <v>2900</v>
      </c>
      <c r="AD638" s="4">
        <v>2900</v>
      </c>
      <c r="AE638" s="4">
        <v>11931</v>
      </c>
      <c r="AF638" s="4">
        <v>5250</v>
      </c>
    </row>
    <row r="639" spans="1:32">
      <c r="A639" s="2" t="s">
        <v>1406</v>
      </c>
      <c r="B639" s="3">
        <v>46147</v>
      </c>
      <c r="C639" s="36" t="s">
        <v>790</v>
      </c>
      <c r="D639" s="2">
        <f>MONTH(ProductionData[[#This Row],[Month]])</f>
        <v>5</v>
      </c>
      <c r="E639" s="2" t="s">
        <v>92</v>
      </c>
      <c r="F639" s="2" t="s">
        <v>80</v>
      </c>
      <c r="G639" s="2" t="s">
        <v>81</v>
      </c>
      <c r="H639" s="2" t="s">
        <v>82</v>
      </c>
      <c r="I639" s="2" t="s">
        <v>83</v>
      </c>
      <c r="J639" s="2" t="s">
        <v>721</v>
      </c>
      <c r="K639" s="2" t="s">
        <v>722</v>
      </c>
      <c r="L639" s="2" t="s">
        <v>1407</v>
      </c>
      <c r="M639" s="2" t="s">
        <v>87</v>
      </c>
      <c r="N639" s="2" t="s">
        <v>96</v>
      </c>
      <c r="O639" s="2">
        <v>18</v>
      </c>
      <c r="P639" s="2">
        <v>17</v>
      </c>
      <c r="Q639" s="4">
        <v>3750</v>
      </c>
      <c r="R639" s="4">
        <v>3490</v>
      </c>
      <c r="S639" s="4">
        <v>81</v>
      </c>
      <c r="T639" s="19">
        <f>(ProductionData[[#This Row],[Rejected_Qty]])/ProductionData[[#This Row],[Produced_Qty]]</f>
        <v>2.3209169054441262E-2</v>
      </c>
      <c r="U639" s="19">
        <f>ProductionData[[#This Row],[Produced_Qty]]/ProductionData[[#This Row],[Planned_Qty]]</f>
        <v>0.93066666666666664</v>
      </c>
      <c r="V639" s="2" t="s">
        <v>75</v>
      </c>
      <c r="W639" s="11">
        <v>54</v>
      </c>
      <c r="X639" s="13">
        <f>W639/60</f>
        <v>0.9</v>
      </c>
      <c r="Y639" s="2" t="s">
        <v>110</v>
      </c>
      <c r="Z639" s="2">
        <v>64</v>
      </c>
      <c r="AA639" s="2">
        <f>ProductionData[[#This Row],[Rejected_Qty]]*ProductionData[[#This Row],[Unit_Cost_INR]]</f>
        <v>5184</v>
      </c>
      <c r="AB639" s="4">
        <v>11790</v>
      </c>
      <c r="AC639" s="4">
        <v>3290</v>
      </c>
      <c r="AD639" s="4">
        <v>3290</v>
      </c>
      <c r="AE639" s="4">
        <v>11909</v>
      </c>
      <c r="AF639" s="4">
        <v>5250</v>
      </c>
    </row>
    <row r="640" spans="1:32">
      <c r="A640" s="2" t="s">
        <v>1408</v>
      </c>
      <c r="B640" s="3">
        <v>46147</v>
      </c>
      <c r="C640" s="36" t="s">
        <v>790</v>
      </c>
      <c r="D640" s="2">
        <f>MONTH(ProductionData[[#This Row],[Month]])</f>
        <v>5</v>
      </c>
      <c r="E640" s="2" t="s">
        <v>92</v>
      </c>
      <c r="F640" s="2" t="s">
        <v>66</v>
      </c>
      <c r="G640" s="2" t="s">
        <v>81</v>
      </c>
      <c r="H640" s="2" t="s">
        <v>82</v>
      </c>
      <c r="I640" s="2" t="s">
        <v>83</v>
      </c>
      <c r="J640" s="2" t="s">
        <v>721</v>
      </c>
      <c r="K640" s="2" t="s">
        <v>722</v>
      </c>
      <c r="L640" s="2" t="s">
        <v>1409</v>
      </c>
      <c r="M640" s="2" t="s">
        <v>99</v>
      </c>
      <c r="N640" s="2" t="s">
        <v>96</v>
      </c>
      <c r="O640" s="2">
        <v>18</v>
      </c>
      <c r="P640" s="2">
        <v>18</v>
      </c>
      <c r="Q640" s="4">
        <v>3610</v>
      </c>
      <c r="R640" s="4">
        <v>3290</v>
      </c>
      <c r="S640" s="4">
        <v>91</v>
      </c>
      <c r="T640" s="19">
        <f>(ProductionData[[#This Row],[Rejected_Qty]])/ProductionData[[#This Row],[Produced_Qty]]</f>
        <v>2.7659574468085105E-2</v>
      </c>
      <c r="U640" s="19">
        <f>ProductionData[[#This Row],[Produced_Qty]]/ProductionData[[#This Row],[Planned_Qty]]</f>
        <v>0.91135734072022156</v>
      </c>
      <c r="V640" s="2" t="s">
        <v>109</v>
      </c>
      <c r="W640" s="11">
        <v>0</v>
      </c>
      <c r="X640" s="13">
        <f>W640/60</f>
        <v>0</v>
      </c>
      <c r="Y640" s="2" t="s">
        <v>90</v>
      </c>
      <c r="Z640" s="2">
        <v>64</v>
      </c>
      <c r="AA640" s="2">
        <f>ProductionData[[#This Row],[Rejected_Qty]]*ProductionData[[#This Row],[Unit_Cost_INR]]</f>
        <v>5824</v>
      </c>
      <c r="AB640" s="4">
        <v>11931</v>
      </c>
      <c r="AC640" s="4">
        <v>3340</v>
      </c>
      <c r="AD640" s="4">
        <v>3340</v>
      </c>
      <c r="AE640" s="4">
        <v>11790</v>
      </c>
      <c r="AF640" s="4">
        <v>5250</v>
      </c>
    </row>
    <row r="641" spans="1:32">
      <c r="A641" s="2" t="s">
        <v>1410</v>
      </c>
      <c r="B641" s="3">
        <v>46147</v>
      </c>
      <c r="C641" s="36" t="s">
        <v>790</v>
      </c>
      <c r="D641" s="2">
        <f>MONTH(ProductionData[[#This Row],[Month]])</f>
        <v>5</v>
      </c>
      <c r="E641" s="2" t="s">
        <v>92</v>
      </c>
      <c r="F641" s="2" t="s">
        <v>93</v>
      </c>
      <c r="G641" s="2" t="s">
        <v>81</v>
      </c>
      <c r="H641" s="2" t="s">
        <v>82</v>
      </c>
      <c r="I641" s="2" t="s">
        <v>83</v>
      </c>
      <c r="J641" s="2" t="s">
        <v>721</v>
      </c>
      <c r="K641" s="2" t="s">
        <v>722</v>
      </c>
      <c r="L641" s="2" t="s">
        <v>1411</v>
      </c>
      <c r="M641" s="2" t="s">
        <v>133</v>
      </c>
      <c r="N641" s="2" t="s">
        <v>88</v>
      </c>
      <c r="O641" s="2">
        <v>18</v>
      </c>
      <c r="P641" s="2">
        <v>17</v>
      </c>
      <c r="Q641" s="4">
        <v>3330</v>
      </c>
      <c r="R641" s="4">
        <v>2970</v>
      </c>
      <c r="S641" s="4">
        <v>124</v>
      </c>
      <c r="T641" s="19">
        <f>(ProductionData[[#This Row],[Rejected_Qty]])/ProductionData[[#This Row],[Produced_Qty]]</f>
        <v>4.1750841750841754E-2</v>
      </c>
      <c r="U641" s="19">
        <f>ProductionData[[#This Row],[Produced_Qty]]/ProductionData[[#This Row],[Planned_Qty]]</f>
        <v>0.89189189189189189</v>
      </c>
      <c r="V641" s="2" t="s">
        <v>103</v>
      </c>
      <c r="W641" s="11">
        <v>14</v>
      </c>
      <c r="X641" s="13">
        <f>W641/60</f>
        <v>0.23333333333333334</v>
      </c>
      <c r="Y641" s="2" t="s">
        <v>182</v>
      </c>
      <c r="Z641" s="2">
        <v>64</v>
      </c>
      <c r="AA641" s="2">
        <f>ProductionData[[#This Row],[Rejected_Qty]]*ProductionData[[#This Row],[Unit_Cost_INR]]</f>
        <v>7936</v>
      </c>
      <c r="AB641" s="4">
        <v>11909</v>
      </c>
      <c r="AC641" s="4">
        <v>3170</v>
      </c>
      <c r="AD641" s="4">
        <v>3170</v>
      </c>
      <c r="AE641" s="4">
        <v>11585</v>
      </c>
      <c r="AF641" s="4">
        <v>5250</v>
      </c>
    </row>
    <row r="642" spans="1:32">
      <c r="A642" s="2" t="s">
        <v>1412</v>
      </c>
      <c r="B642" s="3">
        <v>46148</v>
      </c>
      <c r="C642" s="36" t="s">
        <v>790</v>
      </c>
      <c r="D642" s="2">
        <f>MONTH(ProductionData[[#This Row],[Month]])</f>
        <v>5</v>
      </c>
      <c r="E642" s="2" t="s">
        <v>79</v>
      </c>
      <c r="F642" s="2" t="s">
        <v>66</v>
      </c>
      <c r="G642" s="2" t="s">
        <v>81</v>
      </c>
      <c r="H642" s="2" t="s">
        <v>82</v>
      </c>
      <c r="I642" s="2" t="s">
        <v>83</v>
      </c>
      <c r="J642" s="2" t="s">
        <v>721</v>
      </c>
      <c r="K642" s="2" t="s">
        <v>722</v>
      </c>
      <c r="L642" s="2" t="s">
        <v>1413</v>
      </c>
      <c r="M642" s="2" t="s">
        <v>99</v>
      </c>
      <c r="N642" s="2" t="s">
        <v>88</v>
      </c>
      <c r="O642" s="2">
        <v>18</v>
      </c>
      <c r="P642" s="2">
        <v>18</v>
      </c>
      <c r="Q642" s="4">
        <v>3370</v>
      </c>
      <c r="R642" s="4">
        <v>3390</v>
      </c>
      <c r="S642" s="4">
        <v>83</v>
      </c>
      <c r="T642" s="19">
        <f>(ProductionData[[#This Row],[Rejected_Qty]])/ProductionData[[#This Row],[Produced_Qty]]</f>
        <v>2.4483775811209439E-2</v>
      </c>
      <c r="U642" s="19">
        <f>ProductionData[[#This Row],[Produced_Qty]]/ProductionData[[#This Row],[Planned_Qty]]</f>
        <v>1.0059347181008902</v>
      </c>
      <c r="V642" s="2" t="s">
        <v>113</v>
      </c>
      <c r="W642" s="11">
        <v>0</v>
      </c>
      <c r="X642" s="13">
        <f>W642/60</f>
        <v>0</v>
      </c>
      <c r="Y642" s="2" t="s">
        <v>90</v>
      </c>
      <c r="Z642" s="2">
        <v>64</v>
      </c>
      <c r="AA642" s="2">
        <f>ProductionData[[#This Row],[Rejected_Qty]]*ProductionData[[#This Row],[Unit_Cost_INR]]</f>
        <v>5312</v>
      </c>
      <c r="AB642" s="4">
        <v>11585</v>
      </c>
      <c r="AC642" s="4">
        <v>3380</v>
      </c>
      <c r="AD642" s="4">
        <v>3380</v>
      </c>
      <c r="AE642" s="4">
        <v>11512</v>
      </c>
      <c r="AF642" s="4">
        <v>5250</v>
      </c>
    </row>
    <row r="643" spans="1:32">
      <c r="A643" s="2" t="s">
        <v>1414</v>
      </c>
      <c r="B643" s="3">
        <v>46150</v>
      </c>
      <c r="C643" s="36" t="s">
        <v>790</v>
      </c>
      <c r="D643" s="2">
        <f>MONTH(ProductionData[[#This Row],[Month]])</f>
        <v>5</v>
      </c>
      <c r="E643" s="2" t="s">
        <v>125</v>
      </c>
      <c r="F643" s="2" t="s">
        <v>80</v>
      </c>
      <c r="G643" s="2" t="s">
        <v>81</v>
      </c>
      <c r="H643" s="2" t="s">
        <v>82</v>
      </c>
      <c r="I643" s="2" t="s">
        <v>83</v>
      </c>
      <c r="J643" s="2" t="s">
        <v>721</v>
      </c>
      <c r="K643" s="2" t="s">
        <v>722</v>
      </c>
      <c r="L643" s="2" t="s">
        <v>1415</v>
      </c>
      <c r="M643" s="2" t="s">
        <v>102</v>
      </c>
      <c r="N643" s="2" t="s">
        <v>96</v>
      </c>
      <c r="O643" s="2">
        <v>18</v>
      </c>
      <c r="P643" s="2">
        <v>16</v>
      </c>
      <c r="Q643" s="4">
        <v>3700</v>
      </c>
      <c r="R643" s="4">
        <v>3400</v>
      </c>
      <c r="S643" s="4">
        <v>108</v>
      </c>
      <c r="T643" s="19">
        <f>(ProductionData[[#This Row],[Rejected_Qty]])/ProductionData[[#This Row],[Produced_Qty]]</f>
        <v>3.1764705882352938E-2</v>
      </c>
      <c r="U643" s="19">
        <f>ProductionData[[#This Row],[Produced_Qty]]/ProductionData[[#This Row],[Planned_Qty]]</f>
        <v>0.91891891891891897</v>
      </c>
      <c r="V643" s="2" t="s">
        <v>75</v>
      </c>
      <c r="W643" s="11">
        <v>10</v>
      </c>
      <c r="X643" s="13">
        <f>W643/60</f>
        <v>0.16666666666666666</v>
      </c>
      <c r="Y643" s="2" t="s">
        <v>136</v>
      </c>
      <c r="Z643" s="2">
        <v>64</v>
      </c>
      <c r="AA643" s="2">
        <f>ProductionData[[#This Row],[Rejected_Qty]]*ProductionData[[#This Row],[Unit_Cost_INR]]</f>
        <v>6912</v>
      </c>
      <c r="AB643" s="4">
        <v>11235</v>
      </c>
      <c r="AC643" s="4">
        <v>3070</v>
      </c>
      <c r="AD643" s="4">
        <v>3070</v>
      </c>
      <c r="AE643" s="4">
        <v>11457</v>
      </c>
      <c r="AF643" s="4">
        <v>5250</v>
      </c>
    </row>
    <row r="644" spans="1:32">
      <c r="A644" s="2" t="s">
        <v>1416</v>
      </c>
      <c r="B644" s="3">
        <v>46149</v>
      </c>
      <c r="C644" s="36" t="s">
        <v>790</v>
      </c>
      <c r="D644" s="2">
        <f>MONTH(ProductionData[[#This Row],[Month]])</f>
        <v>5</v>
      </c>
      <c r="E644" s="2" t="s">
        <v>107</v>
      </c>
      <c r="F644" s="2" t="s">
        <v>80</v>
      </c>
      <c r="G644" s="2" t="s">
        <v>81</v>
      </c>
      <c r="H644" s="2" t="s">
        <v>82</v>
      </c>
      <c r="I644" s="2" t="s">
        <v>83</v>
      </c>
      <c r="J644" s="2" t="s">
        <v>721</v>
      </c>
      <c r="K644" s="2" t="s">
        <v>722</v>
      </c>
      <c r="L644" s="2" t="s">
        <v>1417</v>
      </c>
      <c r="M644" s="2" t="s">
        <v>102</v>
      </c>
      <c r="N644" s="2" t="s">
        <v>96</v>
      </c>
      <c r="O644" s="2">
        <v>18</v>
      </c>
      <c r="P644" s="2">
        <v>18</v>
      </c>
      <c r="Q644" s="4">
        <v>3770</v>
      </c>
      <c r="R644" s="4">
        <v>3560</v>
      </c>
      <c r="S644" s="4">
        <v>127</v>
      </c>
      <c r="T644" s="19">
        <f>(ProductionData[[#This Row],[Rejected_Qty]])/ProductionData[[#This Row],[Produced_Qty]]</f>
        <v>3.5674157303370785E-2</v>
      </c>
      <c r="U644" s="19">
        <f>ProductionData[[#This Row],[Produced_Qty]]/ProductionData[[#This Row],[Planned_Qty]]</f>
        <v>0.9442970822281167</v>
      </c>
      <c r="V644" s="2" t="s">
        <v>89</v>
      </c>
      <c r="W644" s="11">
        <v>0</v>
      </c>
      <c r="X644" s="13">
        <f>W644/60</f>
        <v>0</v>
      </c>
      <c r="Y644" s="2" t="s">
        <v>90</v>
      </c>
      <c r="Z644" s="2">
        <v>64</v>
      </c>
      <c r="AA644" s="2">
        <f>ProductionData[[#This Row],[Rejected_Qty]]*ProductionData[[#This Row],[Unit_Cost_INR]]</f>
        <v>8128</v>
      </c>
      <c r="AB644" s="4">
        <v>11512</v>
      </c>
      <c r="AC644" s="4">
        <v>3710</v>
      </c>
      <c r="AD644" s="4">
        <v>3710</v>
      </c>
      <c r="AE644" s="4">
        <v>11235</v>
      </c>
      <c r="AF644" s="4">
        <v>5250</v>
      </c>
    </row>
    <row r="645" spans="1:32">
      <c r="A645" s="2" t="s">
        <v>1418</v>
      </c>
      <c r="B645" s="3">
        <v>46151</v>
      </c>
      <c r="C645" s="36" t="s">
        <v>790</v>
      </c>
      <c r="D645" s="2">
        <f>MONTH(ProductionData[[#This Row],[Month]])</f>
        <v>5</v>
      </c>
      <c r="E645" s="2" t="s">
        <v>65</v>
      </c>
      <c r="F645" s="2" t="s">
        <v>66</v>
      </c>
      <c r="G645" s="2" t="s">
        <v>81</v>
      </c>
      <c r="H645" s="2" t="s">
        <v>82</v>
      </c>
      <c r="I645" s="2" t="s">
        <v>83</v>
      </c>
      <c r="J645" s="2" t="s">
        <v>721</v>
      </c>
      <c r="K645" s="2" t="s">
        <v>722</v>
      </c>
      <c r="L645" s="2" t="s">
        <v>1419</v>
      </c>
      <c r="M645" s="2" t="s">
        <v>73</v>
      </c>
      <c r="N645" s="2" t="s">
        <v>96</v>
      </c>
      <c r="O645" s="2">
        <v>18</v>
      </c>
      <c r="P645" s="2">
        <v>17</v>
      </c>
      <c r="Q645" s="4">
        <v>3340</v>
      </c>
      <c r="R645" s="4">
        <v>2960</v>
      </c>
      <c r="S645" s="4">
        <v>71</v>
      </c>
      <c r="T645" s="19">
        <f>(ProductionData[[#This Row],[Rejected_Qty]])/ProductionData[[#This Row],[Produced_Qty]]</f>
        <v>2.3986486486486488E-2</v>
      </c>
      <c r="U645" s="19">
        <f>ProductionData[[#This Row],[Produced_Qty]]/ProductionData[[#This Row],[Planned_Qty]]</f>
        <v>0.88622754491017963</v>
      </c>
      <c r="V645" s="2" t="s">
        <v>109</v>
      </c>
      <c r="W645" s="11">
        <v>61</v>
      </c>
      <c r="X645" s="13">
        <f>W645/60</f>
        <v>1.0166666666666666</v>
      </c>
      <c r="Y645" s="2" t="s">
        <v>110</v>
      </c>
      <c r="Z645" s="2">
        <v>64</v>
      </c>
      <c r="AA645" s="2">
        <f>ProductionData[[#This Row],[Rejected_Qty]]*ProductionData[[#This Row],[Unit_Cost_INR]]</f>
        <v>4544</v>
      </c>
      <c r="AB645" s="4">
        <v>11457</v>
      </c>
      <c r="AC645" s="4">
        <v>3310</v>
      </c>
      <c r="AD645" s="4">
        <v>3310</v>
      </c>
      <c r="AE645" s="4">
        <v>11036</v>
      </c>
      <c r="AF645" s="4">
        <v>5250</v>
      </c>
    </row>
    <row r="646" spans="1:32">
      <c r="A646" s="2" t="s">
        <v>1420</v>
      </c>
      <c r="B646" s="3">
        <v>46153</v>
      </c>
      <c r="C646" s="36" t="s">
        <v>790</v>
      </c>
      <c r="D646" s="2">
        <f>MONTH(ProductionData[[#This Row],[Month]])</f>
        <v>5</v>
      </c>
      <c r="E646" s="2" t="s">
        <v>116</v>
      </c>
      <c r="F646" s="2" t="s">
        <v>66</v>
      </c>
      <c r="G646" s="2" t="s">
        <v>81</v>
      </c>
      <c r="H646" s="2" t="s">
        <v>82</v>
      </c>
      <c r="I646" s="2" t="s">
        <v>83</v>
      </c>
      <c r="J646" s="2" t="s">
        <v>721</v>
      </c>
      <c r="K646" s="2" t="s">
        <v>722</v>
      </c>
      <c r="L646" s="2" t="s">
        <v>1421</v>
      </c>
      <c r="M646" s="2" t="s">
        <v>73</v>
      </c>
      <c r="N646" s="2" t="s">
        <v>96</v>
      </c>
      <c r="O646" s="2">
        <v>18</v>
      </c>
      <c r="P646" s="2">
        <v>18</v>
      </c>
      <c r="Q646" s="4">
        <v>3470</v>
      </c>
      <c r="R646" s="4">
        <v>3250</v>
      </c>
      <c r="S646" s="4">
        <v>141</v>
      </c>
      <c r="T646" s="19">
        <f>(ProductionData[[#This Row],[Rejected_Qty]])/ProductionData[[#This Row],[Produced_Qty]]</f>
        <v>4.3384615384615383E-2</v>
      </c>
      <c r="U646" s="19">
        <f>ProductionData[[#This Row],[Produced_Qty]]/ProductionData[[#This Row],[Planned_Qty]]</f>
        <v>0.93659942363112392</v>
      </c>
      <c r="V646" s="2" t="s">
        <v>103</v>
      </c>
      <c r="W646" s="11">
        <v>0</v>
      </c>
      <c r="X646" s="13">
        <f>W646/60</f>
        <v>0</v>
      </c>
      <c r="Y646" s="2" t="s">
        <v>90</v>
      </c>
      <c r="Z646" s="2">
        <v>64</v>
      </c>
      <c r="AA646" s="2">
        <f>ProductionData[[#This Row],[Rejected_Qty]]*ProductionData[[#This Row],[Unit_Cost_INR]]</f>
        <v>9024</v>
      </c>
      <c r="AB646" s="4">
        <v>11036</v>
      </c>
      <c r="AC646" s="4">
        <v>3230</v>
      </c>
      <c r="AD646" s="4">
        <v>3230</v>
      </c>
      <c r="AE646" s="4">
        <v>10915</v>
      </c>
      <c r="AF646" s="4">
        <v>5250</v>
      </c>
    </row>
    <row r="647" spans="1:32">
      <c r="A647" s="2" t="s">
        <v>1422</v>
      </c>
      <c r="B647" s="3">
        <v>46158</v>
      </c>
      <c r="C647" s="36" t="s">
        <v>790</v>
      </c>
      <c r="D647" s="2">
        <f>MONTH(ProductionData[[#This Row],[Month]])</f>
        <v>5</v>
      </c>
      <c r="E647" s="2" t="s">
        <v>65</v>
      </c>
      <c r="F647" s="2" t="s">
        <v>80</v>
      </c>
      <c r="G647" s="2" t="s">
        <v>81</v>
      </c>
      <c r="H647" s="2" t="s">
        <v>82</v>
      </c>
      <c r="I647" s="2" t="s">
        <v>83</v>
      </c>
      <c r="J647" s="2" t="s">
        <v>721</v>
      </c>
      <c r="K647" s="2" t="s">
        <v>722</v>
      </c>
      <c r="L647" s="2" t="s">
        <v>1423</v>
      </c>
      <c r="M647" s="2" t="s">
        <v>102</v>
      </c>
      <c r="N647" s="2" t="s">
        <v>96</v>
      </c>
      <c r="O647" s="2">
        <v>18</v>
      </c>
      <c r="P647" s="2">
        <v>17</v>
      </c>
      <c r="Q647" s="4">
        <v>3600</v>
      </c>
      <c r="R647" s="4">
        <v>3380</v>
      </c>
      <c r="S647" s="4">
        <v>73</v>
      </c>
      <c r="T647" s="19">
        <f>(ProductionData[[#This Row],[Rejected_Qty]])/ProductionData[[#This Row],[Produced_Qty]]</f>
        <v>2.1597633136094675E-2</v>
      </c>
      <c r="U647" s="19">
        <f>ProductionData[[#This Row],[Produced_Qty]]/ProductionData[[#This Row],[Planned_Qty]]</f>
        <v>0.93888888888888888</v>
      </c>
      <c r="V647" s="2" t="s">
        <v>75</v>
      </c>
      <c r="W647" s="11">
        <v>0</v>
      </c>
      <c r="X647" s="13">
        <f>W647/60</f>
        <v>0</v>
      </c>
      <c r="Y647" s="2" t="s">
        <v>90</v>
      </c>
      <c r="Z647" s="2">
        <v>64</v>
      </c>
      <c r="AA647" s="2">
        <f>ProductionData[[#This Row],[Rejected_Qty]]*ProductionData[[#This Row],[Unit_Cost_INR]]</f>
        <v>4672</v>
      </c>
      <c r="AB647" s="4">
        <v>10658</v>
      </c>
      <c r="AC647" s="4">
        <v>3100</v>
      </c>
      <c r="AD647" s="4">
        <v>3100</v>
      </c>
      <c r="AE647" s="4">
        <v>10865</v>
      </c>
      <c r="AF647" s="4">
        <v>5250</v>
      </c>
    </row>
    <row r="648" spans="1:32">
      <c r="A648" s="2" t="s">
        <v>1424</v>
      </c>
      <c r="B648" s="3">
        <v>46165</v>
      </c>
      <c r="C648" s="36" t="s">
        <v>790</v>
      </c>
      <c r="D648" s="2">
        <f>MONTH(ProductionData[[#This Row],[Month]])</f>
        <v>5</v>
      </c>
      <c r="E648" s="2" t="s">
        <v>65</v>
      </c>
      <c r="F648" s="2" t="s">
        <v>66</v>
      </c>
      <c r="G648" s="2" t="s">
        <v>81</v>
      </c>
      <c r="H648" s="2" t="s">
        <v>82</v>
      </c>
      <c r="I648" s="2" t="s">
        <v>83</v>
      </c>
      <c r="J648" s="2" t="s">
        <v>721</v>
      </c>
      <c r="K648" s="2" t="s">
        <v>722</v>
      </c>
      <c r="L648" s="2" t="s">
        <v>1425</v>
      </c>
      <c r="M648" s="2" t="s">
        <v>73</v>
      </c>
      <c r="N648" s="2" t="s">
        <v>96</v>
      </c>
      <c r="O648" s="2">
        <v>18</v>
      </c>
      <c r="P648" s="2">
        <v>18</v>
      </c>
      <c r="Q648" s="4">
        <v>3530</v>
      </c>
      <c r="R648" s="4">
        <v>3520</v>
      </c>
      <c r="S648" s="4">
        <v>71</v>
      </c>
      <c r="T648" s="19">
        <f>(ProductionData[[#This Row],[Rejected_Qty]])/ProductionData[[#This Row],[Produced_Qty]]</f>
        <v>2.0170454545454547E-2</v>
      </c>
      <c r="U648" s="19">
        <f>ProductionData[[#This Row],[Produced_Qty]]/ProductionData[[#This Row],[Planned_Qty]]</f>
        <v>0.99716713881019825</v>
      </c>
      <c r="V648" s="2" t="s">
        <v>103</v>
      </c>
      <c r="W648" s="11">
        <v>0</v>
      </c>
      <c r="X648" s="13">
        <f>W648/60</f>
        <v>0</v>
      </c>
      <c r="Y648" s="2" t="s">
        <v>90</v>
      </c>
      <c r="Z648" s="2">
        <v>64</v>
      </c>
      <c r="AA648" s="2">
        <f>ProductionData[[#This Row],[Rejected_Qty]]*ProductionData[[#This Row],[Unit_Cost_INR]]</f>
        <v>4544</v>
      </c>
      <c r="AB648" s="4">
        <v>10226</v>
      </c>
      <c r="AC648" s="4">
        <v>2850</v>
      </c>
      <c r="AD648" s="4">
        <v>2850</v>
      </c>
      <c r="AE648" s="4">
        <v>10825</v>
      </c>
      <c r="AF648" s="4">
        <v>5250</v>
      </c>
    </row>
    <row r="649" spans="1:32">
      <c r="A649" s="2" t="s">
        <v>1426</v>
      </c>
      <c r="B649" s="3">
        <v>46167</v>
      </c>
      <c r="C649" s="36" t="s">
        <v>790</v>
      </c>
      <c r="D649" s="2">
        <f>MONTH(ProductionData[[#This Row],[Month]])</f>
        <v>5</v>
      </c>
      <c r="E649" s="2" t="s">
        <v>116</v>
      </c>
      <c r="F649" s="2" t="s">
        <v>80</v>
      </c>
      <c r="G649" s="2" t="s">
        <v>81</v>
      </c>
      <c r="H649" s="2" t="s">
        <v>82</v>
      </c>
      <c r="I649" s="2" t="s">
        <v>83</v>
      </c>
      <c r="J649" s="2" t="s">
        <v>721</v>
      </c>
      <c r="K649" s="2" t="s">
        <v>722</v>
      </c>
      <c r="L649" s="2" t="s">
        <v>1427</v>
      </c>
      <c r="M649" s="2" t="s">
        <v>87</v>
      </c>
      <c r="N649" s="2" t="s">
        <v>88</v>
      </c>
      <c r="O649" s="2">
        <v>18</v>
      </c>
      <c r="P649" s="2">
        <v>16</v>
      </c>
      <c r="Q649" s="4">
        <v>3510</v>
      </c>
      <c r="R649" s="4">
        <v>3210</v>
      </c>
      <c r="S649" s="4">
        <v>120</v>
      </c>
      <c r="T649" s="19">
        <f>(ProductionData[[#This Row],[Rejected_Qty]])/ProductionData[[#This Row],[Produced_Qty]]</f>
        <v>3.7383177570093455E-2</v>
      </c>
      <c r="U649" s="19">
        <f>ProductionData[[#This Row],[Produced_Qty]]/ProductionData[[#This Row],[Planned_Qty]]</f>
        <v>0.9145299145299145</v>
      </c>
      <c r="V649" s="2" t="s">
        <v>89</v>
      </c>
      <c r="W649" s="11">
        <v>0</v>
      </c>
      <c r="X649" s="13">
        <f>W649/60</f>
        <v>0</v>
      </c>
      <c r="Y649" s="2" t="s">
        <v>90</v>
      </c>
      <c r="Z649" s="2">
        <v>64</v>
      </c>
      <c r="AA649" s="2">
        <f>ProductionData[[#This Row],[Rejected_Qty]]*ProductionData[[#This Row],[Unit_Cost_INR]]</f>
        <v>7680</v>
      </c>
      <c r="AB649" s="4">
        <v>10825</v>
      </c>
      <c r="AC649" s="4">
        <v>3120</v>
      </c>
      <c r="AD649" s="4">
        <v>3120</v>
      </c>
      <c r="AE649" s="4">
        <v>10795</v>
      </c>
      <c r="AF649" s="4">
        <v>5250</v>
      </c>
    </row>
    <row r="650" spans="1:32">
      <c r="A650" s="2" t="s">
        <v>1428</v>
      </c>
      <c r="B650" s="3">
        <v>46154</v>
      </c>
      <c r="C650" s="36" t="s">
        <v>790</v>
      </c>
      <c r="D650" s="2">
        <f>MONTH(ProductionData[[#This Row],[Month]])</f>
        <v>5</v>
      </c>
      <c r="E650" s="2" t="s">
        <v>92</v>
      </c>
      <c r="F650" s="2" t="s">
        <v>93</v>
      </c>
      <c r="G650" s="2" t="s">
        <v>81</v>
      </c>
      <c r="H650" s="2" t="s">
        <v>82</v>
      </c>
      <c r="I650" s="2" t="s">
        <v>83</v>
      </c>
      <c r="J650" s="2" t="s">
        <v>721</v>
      </c>
      <c r="K650" s="2" t="s">
        <v>722</v>
      </c>
      <c r="L650" s="2" t="s">
        <v>1429</v>
      </c>
      <c r="M650" s="2" t="s">
        <v>95</v>
      </c>
      <c r="N650" s="2" t="s">
        <v>88</v>
      </c>
      <c r="O650" s="2">
        <v>18</v>
      </c>
      <c r="P650" s="2">
        <v>14</v>
      </c>
      <c r="Q650" s="4">
        <v>3460</v>
      </c>
      <c r="R650" s="4">
        <v>3170</v>
      </c>
      <c r="S650" s="4">
        <v>57</v>
      </c>
      <c r="T650" s="19">
        <f>(ProductionData[[#This Row],[Rejected_Qty]])/ProductionData[[#This Row],[Produced_Qty]]</f>
        <v>1.7981072555205046E-2</v>
      </c>
      <c r="U650" s="19">
        <f>ProductionData[[#This Row],[Produced_Qty]]/ProductionData[[#This Row],[Planned_Qty]]</f>
        <v>0.91618497109826591</v>
      </c>
      <c r="V650" s="2" t="s">
        <v>89</v>
      </c>
      <c r="W650" s="11">
        <v>0</v>
      </c>
      <c r="X650" s="13">
        <f>W650/60</f>
        <v>0</v>
      </c>
      <c r="Y650" s="2" t="s">
        <v>90</v>
      </c>
      <c r="Z650" s="2">
        <v>64</v>
      </c>
      <c r="AA650" s="2">
        <f>ProductionData[[#This Row],[Rejected_Qty]]*ProductionData[[#This Row],[Unit_Cost_INR]]</f>
        <v>3648</v>
      </c>
      <c r="AB650" s="4">
        <v>10915</v>
      </c>
      <c r="AC650" s="4">
        <v>3320</v>
      </c>
      <c r="AD650" s="4">
        <v>3320</v>
      </c>
      <c r="AE650" s="4">
        <v>10708</v>
      </c>
      <c r="AF650" s="4">
        <v>5250</v>
      </c>
    </row>
    <row r="651" spans="1:32">
      <c r="A651" s="2" t="s">
        <v>1430</v>
      </c>
      <c r="B651" s="3">
        <v>46155</v>
      </c>
      <c r="C651" s="36" t="s">
        <v>790</v>
      </c>
      <c r="D651" s="2">
        <f>MONTH(ProductionData[[#This Row],[Month]])</f>
        <v>5</v>
      </c>
      <c r="E651" s="2" t="s">
        <v>79</v>
      </c>
      <c r="F651" s="2" t="s">
        <v>66</v>
      </c>
      <c r="G651" s="2" t="s">
        <v>81</v>
      </c>
      <c r="H651" s="2" t="s">
        <v>82</v>
      </c>
      <c r="I651" s="2" t="s">
        <v>83</v>
      </c>
      <c r="J651" s="2" t="s">
        <v>721</v>
      </c>
      <c r="K651" s="2" t="s">
        <v>722</v>
      </c>
      <c r="L651" s="2" t="s">
        <v>1431</v>
      </c>
      <c r="M651" s="2" t="s">
        <v>73</v>
      </c>
      <c r="N651" s="2" t="s">
        <v>96</v>
      </c>
      <c r="O651" s="2">
        <v>18</v>
      </c>
      <c r="P651" s="2">
        <v>18</v>
      </c>
      <c r="Q651" s="4">
        <v>3430</v>
      </c>
      <c r="R651" s="4">
        <v>3070</v>
      </c>
      <c r="S651" s="4">
        <v>60</v>
      </c>
      <c r="T651" s="19">
        <f>(ProductionData[[#This Row],[Rejected_Qty]])/ProductionData[[#This Row],[Produced_Qty]]</f>
        <v>1.9543973941368076E-2</v>
      </c>
      <c r="U651" s="19">
        <f>ProductionData[[#This Row],[Produced_Qty]]/ProductionData[[#This Row],[Planned_Qty]]</f>
        <v>0.89504373177842567</v>
      </c>
      <c r="V651" s="2" t="s">
        <v>103</v>
      </c>
      <c r="W651" s="11">
        <v>22</v>
      </c>
      <c r="X651" s="13">
        <f>W651/60</f>
        <v>0.36666666666666664</v>
      </c>
      <c r="Y651" s="2" t="s">
        <v>110</v>
      </c>
      <c r="Z651" s="2">
        <v>64</v>
      </c>
      <c r="AA651" s="2">
        <f>ProductionData[[#This Row],[Rejected_Qty]]*ProductionData[[#This Row],[Unit_Cost_INR]]</f>
        <v>3840</v>
      </c>
      <c r="AB651" s="4">
        <v>10708</v>
      </c>
      <c r="AC651" s="4">
        <v>3060</v>
      </c>
      <c r="AD651" s="4">
        <v>3060</v>
      </c>
      <c r="AE651" s="4">
        <v>10658</v>
      </c>
      <c r="AF651" s="4">
        <v>5250</v>
      </c>
    </row>
    <row r="652" spans="1:32">
      <c r="A652" s="2" t="s">
        <v>1432</v>
      </c>
      <c r="B652" s="3">
        <v>46168</v>
      </c>
      <c r="C652" s="36" t="s">
        <v>790</v>
      </c>
      <c r="D652" s="2">
        <f>MONTH(ProductionData[[#This Row],[Month]])</f>
        <v>5</v>
      </c>
      <c r="E652" s="2" t="s">
        <v>92</v>
      </c>
      <c r="F652" s="2" t="s">
        <v>80</v>
      </c>
      <c r="G652" s="2" t="s">
        <v>81</v>
      </c>
      <c r="H652" s="2" t="s">
        <v>82</v>
      </c>
      <c r="I652" s="2" t="s">
        <v>83</v>
      </c>
      <c r="J652" s="2" t="s">
        <v>721</v>
      </c>
      <c r="K652" s="2" t="s">
        <v>722</v>
      </c>
      <c r="L652" s="2" t="s">
        <v>1433</v>
      </c>
      <c r="M652" s="2" t="s">
        <v>102</v>
      </c>
      <c r="N652" s="2" t="s">
        <v>88</v>
      </c>
      <c r="O652" s="2">
        <v>18</v>
      </c>
      <c r="P652" s="2">
        <v>17</v>
      </c>
      <c r="Q652" s="4">
        <v>3500</v>
      </c>
      <c r="R652" s="4">
        <v>3050</v>
      </c>
      <c r="S652" s="4">
        <v>100</v>
      </c>
      <c r="T652" s="19">
        <f>(ProductionData[[#This Row],[Rejected_Qty]])/ProductionData[[#This Row],[Produced_Qty]]</f>
        <v>3.2786885245901641E-2</v>
      </c>
      <c r="U652" s="19">
        <f>ProductionData[[#This Row],[Produced_Qty]]/ProductionData[[#This Row],[Planned_Qty]]</f>
        <v>0.87142857142857144</v>
      </c>
      <c r="V652" s="2" t="s">
        <v>109</v>
      </c>
      <c r="W652" s="11">
        <v>0</v>
      </c>
      <c r="X652" s="13">
        <f>W652/60</f>
        <v>0</v>
      </c>
      <c r="Y652" s="2" t="s">
        <v>90</v>
      </c>
      <c r="Z652" s="2">
        <v>64</v>
      </c>
      <c r="AA652" s="2">
        <f>ProductionData[[#This Row],[Rejected_Qty]]*ProductionData[[#This Row],[Unit_Cost_INR]]</f>
        <v>6400</v>
      </c>
      <c r="AB652" s="4">
        <v>10419</v>
      </c>
      <c r="AC652" s="4">
        <v>2810</v>
      </c>
      <c r="AD652" s="4">
        <v>2810</v>
      </c>
      <c r="AE652" s="4">
        <v>10559</v>
      </c>
      <c r="AF652" s="4">
        <v>5250</v>
      </c>
    </row>
    <row r="653" spans="1:32">
      <c r="A653" s="2" t="s">
        <v>1434</v>
      </c>
      <c r="B653" s="3">
        <v>46158</v>
      </c>
      <c r="C653" s="36" t="s">
        <v>790</v>
      </c>
      <c r="D653" s="2">
        <f>MONTH(ProductionData[[#This Row],[Month]])</f>
        <v>5</v>
      </c>
      <c r="E653" s="2" t="s">
        <v>65</v>
      </c>
      <c r="F653" s="2" t="s">
        <v>93</v>
      </c>
      <c r="G653" s="2" t="s">
        <v>81</v>
      </c>
      <c r="H653" s="2" t="s">
        <v>82</v>
      </c>
      <c r="I653" s="2" t="s">
        <v>83</v>
      </c>
      <c r="J653" s="2" t="s">
        <v>721</v>
      </c>
      <c r="K653" s="2" t="s">
        <v>722</v>
      </c>
      <c r="L653" s="2" t="s">
        <v>1435</v>
      </c>
      <c r="M653" s="2" t="s">
        <v>133</v>
      </c>
      <c r="N653" s="2" t="s">
        <v>88</v>
      </c>
      <c r="O653" s="2">
        <v>18</v>
      </c>
      <c r="P653" s="2">
        <v>15</v>
      </c>
      <c r="Q653" s="4">
        <v>3290</v>
      </c>
      <c r="R653" s="4">
        <v>2990</v>
      </c>
      <c r="S653" s="4">
        <v>66</v>
      </c>
      <c r="T653" s="19">
        <f>(ProductionData[[#This Row],[Rejected_Qty]])/ProductionData[[#This Row],[Produced_Qty]]</f>
        <v>2.2073578595317726E-2</v>
      </c>
      <c r="U653" s="19">
        <f>ProductionData[[#This Row],[Produced_Qty]]/ProductionData[[#This Row],[Planned_Qty]]</f>
        <v>0.90881458966565354</v>
      </c>
      <c r="V653" s="2" t="s">
        <v>113</v>
      </c>
      <c r="W653" s="11">
        <v>0</v>
      </c>
      <c r="X653" s="13">
        <f>W653/60</f>
        <v>0</v>
      </c>
      <c r="Y653" s="2" t="s">
        <v>90</v>
      </c>
      <c r="Z653" s="2">
        <v>64</v>
      </c>
      <c r="AA653" s="2">
        <f>ProductionData[[#This Row],[Rejected_Qty]]*ProductionData[[#This Row],[Unit_Cost_INR]]</f>
        <v>4224</v>
      </c>
      <c r="AB653" s="4">
        <v>10865</v>
      </c>
      <c r="AC653" s="4">
        <v>3240</v>
      </c>
      <c r="AD653" s="4">
        <v>3240</v>
      </c>
      <c r="AE653" s="4">
        <v>10549</v>
      </c>
      <c r="AF653" s="4">
        <v>5250</v>
      </c>
    </row>
    <row r="654" spans="1:32">
      <c r="A654" s="2" t="s">
        <v>1436</v>
      </c>
      <c r="B654" s="3">
        <v>46160</v>
      </c>
      <c r="C654" s="36" t="s">
        <v>790</v>
      </c>
      <c r="D654" s="2">
        <f>MONTH(ProductionData[[#This Row],[Month]])</f>
        <v>5</v>
      </c>
      <c r="E654" s="2" t="s">
        <v>116</v>
      </c>
      <c r="F654" s="2" t="s">
        <v>93</v>
      </c>
      <c r="G654" s="2" t="s">
        <v>81</v>
      </c>
      <c r="H654" s="2" t="s">
        <v>82</v>
      </c>
      <c r="I654" s="2" t="s">
        <v>83</v>
      </c>
      <c r="J654" s="2" t="s">
        <v>721</v>
      </c>
      <c r="K654" s="2" t="s">
        <v>722</v>
      </c>
      <c r="L654" s="2" t="s">
        <v>1437</v>
      </c>
      <c r="M654" s="2" t="s">
        <v>95</v>
      </c>
      <c r="N654" s="2" t="s">
        <v>88</v>
      </c>
      <c r="O654" s="2">
        <v>18</v>
      </c>
      <c r="P654" s="2">
        <v>14</v>
      </c>
      <c r="Q654" s="4">
        <v>3280</v>
      </c>
      <c r="R654" s="4">
        <v>2860</v>
      </c>
      <c r="S654" s="4">
        <v>74</v>
      </c>
      <c r="T654" s="19">
        <f>(ProductionData[[#This Row],[Rejected_Qty]])/ProductionData[[#This Row],[Produced_Qty]]</f>
        <v>2.5874125874125874E-2</v>
      </c>
      <c r="U654" s="19">
        <f>ProductionData[[#This Row],[Produced_Qty]]/ProductionData[[#This Row],[Planned_Qty]]</f>
        <v>0.87195121951219512</v>
      </c>
      <c r="V654" s="2" t="s">
        <v>113</v>
      </c>
      <c r="W654" s="11">
        <v>0</v>
      </c>
      <c r="X654" s="13">
        <f>W654/60</f>
        <v>0</v>
      </c>
      <c r="Y654" s="2" t="s">
        <v>90</v>
      </c>
      <c r="Z654" s="2">
        <v>64</v>
      </c>
      <c r="AA654" s="2">
        <f>ProductionData[[#This Row],[Rejected_Qty]]*ProductionData[[#This Row],[Unit_Cost_INR]]</f>
        <v>4736</v>
      </c>
      <c r="AB654" s="4">
        <v>10549</v>
      </c>
      <c r="AC654" s="4">
        <v>2850</v>
      </c>
      <c r="AD654" s="4">
        <v>2850</v>
      </c>
      <c r="AE654" s="4">
        <v>10485</v>
      </c>
      <c r="AF654" s="4">
        <v>5250</v>
      </c>
    </row>
    <row r="655" spans="1:32">
      <c r="A655" s="2" t="s">
        <v>1438</v>
      </c>
      <c r="B655" s="3">
        <v>46167</v>
      </c>
      <c r="C655" s="36" t="s">
        <v>790</v>
      </c>
      <c r="D655" s="2">
        <f>MONTH(ProductionData[[#This Row],[Month]])</f>
        <v>5</v>
      </c>
      <c r="E655" s="2" t="s">
        <v>116</v>
      </c>
      <c r="F655" s="2" t="s">
        <v>93</v>
      </c>
      <c r="G655" s="2" t="s">
        <v>81</v>
      </c>
      <c r="H655" s="2" t="s">
        <v>82</v>
      </c>
      <c r="I655" s="2" t="s">
        <v>83</v>
      </c>
      <c r="J655" s="2" t="s">
        <v>721</v>
      </c>
      <c r="K655" s="2" t="s">
        <v>722</v>
      </c>
      <c r="L655" s="2" t="s">
        <v>1439</v>
      </c>
      <c r="M655" s="2" t="s">
        <v>133</v>
      </c>
      <c r="N655" s="2" t="s">
        <v>88</v>
      </c>
      <c r="O655" s="2">
        <v>18</v>
      </c>
      <c r="P655" s="2">
        <v>13</v>
      </c>
      <c r="Q655" s="4">
        <v>3470</v>
      </c>
      <c r="R655" s="4">
        <v>3110</v>
      </c>
      <c r="S655" s="4">
        <v>96</v>
      </c>
      <c r="T655" s="19">
        <f>(ProductionData[[#This Row],[Rejected_Qty]])/ProductionData[[#This Row],[Produced_Qty]]</f>
        <v>3.0868167202572346E-2</v>
      </c>
      <c r="U655" s="19">
        <f>ProductionData[[#This Row],[Produced_Qty]]/ProductionData[[#This Row],[Planned_Qty]]</f>
        <v>0.89625360230547546</v>
      </c>
      <c r="V655" s="2" t="s">
        <v>75</v>
      </c>
      <c r="W655" s="11">
        <v>0</v>
      </c>
      <c r="X655" s="13">
        <f>W655/60</f>
        <v>0</v>
      </c>
      <c r="Y655" s="2" t="s">
        <v>90</v>
      </c>
      <c r="Z655" s="2">
        <v>64</v>
      </c>
      <c r="AA655" s="2">
        <f>ProductionData[[#This Row],[Rejected_Qty]]*ProductionData[[#This Row],[Unit_Cost_INR]]</f>
        <v>6144</v>
      </c>
      <c r="AB655" s="4">
        <v>10795</v>
      </c>
      <c r="AC655" s="4">
        <v>3390</v>
      </c>
      <c r="AD655" s="4">
        <v>3390</v>
      </c>
      <c r="AE655" s="4">
        <v>10419</v>
      </c>
      <c r="AF655" s="4">
        <v>5250</v>
      </c>
    </row>
    <row r="656" spans="1:32">
      <c r="A656" s="2" t="s">
        <v>1440</v>
      </c>
      <c r="B656" s="3">
        <v>46168</v>
      </c>
      <c r="C656" s="36" t="s">
        <v>790</v>
      </c>
      <c r="D656" s="2">
        <f>MONTH(ProductionData[[#This Row],[Month]])</f>
        <v>5</v>
      </c>
      <c r="E656" s="2" t="s">
        <v>92</v>
      </c>
      <c r="F656" s="2" t="s">
        <v>93</v>
      </c>
      <c r="G656" s="2" t="s">
        <v>81</v>
      </c>
      <c r="H656" s="2" t="s">
        <v>82</v>
      </c>
      <c r="I656" s="2" t="s">
        <v>83</v>
      </c>
      <c r="J656" s="2" t="s">
        <v>721</v>
      </c>
      <c r="K656" s="2" t="s">
        <v>722</v>
      </c>
      <c r="L656" s="2" t="s">
        <v>1441</v>
      </c>
      <c r="M656" s="2" t="s">
        <v>95</v>
      </c>
      <c r="N656" s="2" t="s">
        <v>96</v>
      </c>
      <c r="O656" s="2">
        <v>18</v>
      </c>
      <c r="P656" s="2">
        <v>13</v>
      </c>
      <c r="Q656" s="4">
        <v>3480</v>
      </c>
      <c r="R656" s="4">
        <v>2970</v>
      </c>
      <c r="S656" s="4">
        <v>83</v>
      </c>
      <c r="T656" s="19">
        <f>(ProductionData[[#This Row],[Rejected_Qty]])/ProductionData[[#This Row],[Produced_Qty]]</f>
        <v>2.7946127946127945E-2</v>
      </c>
      <c r="U656" s="19">
        <f>ProductionData[[#This Row],[Produced_Qty]]/ProductionData[[#This Row],[Planned_Qty]]</f>
        <v>0.85344827586206895</v>
      </c>
      <c r="V656" s="2" t="s">
        <v>103</v>
      </c>
      <c r="W656" s="11">
        <v>0</v>
      </c>
      <c r="X656" s="13">
        <f>W656/60</f>
        <v>0</v>
      </c>
      <c r="Y656" s="2" t="s">
        <v>90</v>
      </c>
      <c r="Z656" s="2">
        <v>64</v>
      </c>
      <c r="AA656" s="2">
        <f>ProductionData[[#This Row],[Rejected_Qty]]*ProductionData[[#This Row],[Unit_Cost_INR]]</f>
        <v>5312</v>
      </c>
      <c r="AB656" s="4">
        <v>10559</v>
      </c>
      <c r="AC656" s="4">
        <v>3040</v>
      </c>
      <c r="AD656" s="4">
        <v>3040</v>
      </c>
      <c r="AE656" s="4">
        <v>10406</v>
      </c>
      <c r="AF656" s="4">
        <v>5250</v>
      </c>
    </row>
    <row r="657" spans="1:32">
      <c r="A657" s="2" t="s">
        <v>1442</v>
      </c>
      <c r="B657" s="3">
        <v>46161</v>
      </c>
      <c r="C657" s="36" t="s">
        <v>790</v>
      </c>
      <c r="D657" s="2">
        <f>MONTH(ProductionData[[#This Row],[Month]])</f>
        <v>5</v>
      </c>
      <c r="E657" s="2" t="s">
        <v>92</v>
      </c>
      <c r="F657" s="2" t="s">
        <v>66</v>
      </c>
      <c r="G657" s="2" t="s">
        <v>81</v>
      </c>
      <c r="H657" s="2" t="s">
        <v>82</v>
      </c>
      <c r="I657" s="2" t="s">
        <v>83</v>
      </c>
      <c r="J657" s="2" t="s">
        <v>721</v>
      </c>
      <c r="K657" s="2" t="s">
        <v>722</v>
      </c>
      <c r="L657" s="2" t="s">
        <v>1443</v>
      </c>
      <c r="M657" s="2" t="s">
        <v>99</v>
      </c>
      <c r="N657" s="2" t="s">
        <v>96</v>
      </c>
      <c r="O657" s="2">
        <v>18</v>
      </c>
      <c r="P657" s="2">
        <v>16</v>
      </c>
      <c r="Q657" s="4">
        <v>3270</v>
      </c>
      <c r="R657" s="4">
        <v>3020</v>
      </c>
      <c r="S657" s="4">
        <v>62</v>
      </c>
      <c r="T657" s="19">
        <f>(ProductionData[[#This Row],[Rejected_Qty]])/ProductionData[[#This Row],[Produced_Qty]]</f>
        <v>2.052980132450331E-2</v>
      </c>
      <c r="U657" s="19">
        <f>ProductionData[[#This Row],[Produced_Qty]]/ProductionData[[#This Row],[Planned_Qty]]</f>
        <v>0.92354740061162077</v>
      </c>
      <c r="V657" s="2" t="s">
        <v>109</v>
      </c>
      <c r="W657" s="11">
        <v>11</v>
      </c>
      <c r="X657" s="13">
        <f>W657/60</f>
        <v>0.18333333333333332</v>
      </c>
      <c r="Y657" s="2" t="s">
        <v>76</v>
      </c>
      <c r="Z657" s="2">
        <v>64</v>
      </c>
      <c r="AA657" s="2">
        <f>ProductionData[[#This Row],[Rejected_Qty]]*ProductionData[[#This Row],[Unit_Cost_INR]]</f>
        <v>3968</v>
      </c>
      <c r="AB657" s="4">
        <v>10485</v>
      </c>
      <c r="AC657" s="4">
        <v>3120</v>
      </c>
      <c r="AD657" s="4">
        <v>3120</v>
      </c>
      <c r="AE657" s="4">
        <v>10323</v>
      </c>
      <c r="AF657" s="4">
        <v>5250</v>
      </c>
    </row>
    <row r="658" spans="1:32">
      <c r="A658" s="2" t="s">
        <v>1444</v>
      </c>
      <c r="B658" s="3">
        <v>46169</v>
      </c>
      <c r="C658" s="36" t="s">
        <v>790</v>
      </c>
      <c r="D658" s="2">
        <f>MONTH(ProductionData[[#This Row],[Month]])</f>
        <v>5</v>
      </c>
      <c r="E658" s="2" t="s">
        <v>79</v>
      </c>
      <c r="F658" s="2" t="s">
        <v>80</v>
      </c>
      <c r="G658" s="2" t="s">
        <v>81</v>
      </c>
      <c r="H658" s="2" t="s">
        <v>82</v>
      </c>
      <c r="I658" s="2" t="s">
        <v>83</v>
      </c>
      <c r="J658" s="2" t="s">
        <v>721</v>
      </c>
      <c r="K658" s="2" t="s">
        <v>722</v>
      </c>
      <c r="L658" s="2" t="s">
        <v>1445</v>
      </c>
      <c r="M658" s="2" t="s">
        <v>102</v>
      </c>
      <c r="N658" s="2" t="s">
        <v>96</v>
      </c>
      <c r="O658" s="2">
        <v>18</v>
      </c>
      <c r="P658" s="2">
        <v>18</v>
      </c>
      <c r="Q658" s="4">
        <v>3360</v>
      </c>
      <c r="R658" s="4">
        <v>2960</v>
      </c>
      <c r="S658" s="4">
        <v>54</v>
      </c>
      <c r="T658" s="19">
        <f>(ProductionData[[#This Row],[Rejected_Qty]])/ProductionData[[#This Row],[Produced_Qty]]</f>
        <v>1.8243243243243244E-2</v>
      </c>
      <c r="U658" s="19">
        <f>ProductionData[[#This Row],[Produced_Qty]]/ProductionData[[#This Row],[Planned_Qty]]</f>
        <v>0.88095238095238093</v>
      </c>
      <c r="V658" s="2" t="s">
        <v>113</v>
      </c>
      <c r="W658" s="11">
        <v>0</v>
      </c>
      <c r="X658" s="13">
        <f>W658/60</f>
        <v>0</v>
      </c>
      <c r="Y658" s="2" t="s">
        <v>90</v>
      </c>
      <c r="Z658" s="2">
        <v>64</v>
      </c>
      <c r="AA658" s="2">
        <f>ProductionData[[#This Row],[Rejected_Qty]]*ProductionData[[#This Row],[Unit_Cost_INR]]</f>
        <v>3456</v>
      </c>
      <c r="AB658" s="4">
        <v>10406</v>
      </c>
      <c r="AC658" s="4">
        <v>3050</v>
      </c>
      <c r="AD658" s="4">
        <v>3050</v>
      </c>
      <c r="AE658" s="4">
        <v>10262</v>
      </c>
      <c r="AF658" s="4">
        <v>5250</v>
      </c>
    </row>
    <row r="659" spans="1:32">
      <c r="A659" s="2" t="s">
        <v>1446</v>
      </c>
      <c r="B659" s="3">
        <v>46164</v>
      </c>
      <c r="C659" s="36" t="s">
        <v>790</v>
      </c>
      <c r="D659" s="2">
        <f>MONTH(ProductionData[[#This Row],[Month]])</f>
        <v>5</v>
      </c>
      <c r="E659" s="2" t="s">
        <v>125</v>
      </c>
      <c r="F659" s="2" t="s">
        <v>80</v>
      </c>
      <c r="G659" s="2" t="s">
        <v>81</v>
      </c>
      <c r="H659" s="2" t="s">
        <v>82</v>
      </c>
      <c r="I659" s="2" t="s">
        <v>83</v>
      </c>
      <c r="J659" s="2" t="s">
        <v>721</v>
      </c>
      <c r="K659" s="2" t="s">
        <v>722</v>
      </c>
      <c r="L659" s="2" t="s">
        <v>1447</v>
      </c>
      <c r="M659" s="2" t="s">
        <v>102</v>
      </c>
      <c r="N659" s="2" t="s">
        <v>96</v>
      </c>
      <c r="O659" s="2">
        <v>18</v>
      </c>
      <c r="P659" s="2">
        <v>16</v>
      </c>
      <c r="Q659" s="4">
        <v>3740</v>
      </c>
      <c r="R659" s="4">
        <v>3440</v>
      </c>
      <c r="S659" s="4">
        <v>87</v>
      </c>
      <c r="T659" s="19">
        <f>(ProductionData[[#This Row],[Rejected_Qty]])/ProductionData[[#This Row],[Produced_Qty]]</f>
        <v>2.5290697674418605E-2</v>
      </c>
      <c r="U659" s="19">
        <f>ProductionData[[#This Row],[Produced_Qty]]/ProductionData[[#This Row],[Planned_Qty]]</f>
        <v>0.9197860962566845</v>
      </c>
      <c r="V659" s="2" t="s">
        <v>75</v>
      </c>
      <c r="W659" s="11">
        <v>39</v>
      </c>
      <c r="X659" s="13">
        <f>W659/60</f>
        <v>0.65</v>
      </c>
      <c r="Y659" s="2" t="s">
        <v>136</v>
      </c>
      <c r="Z659" s="2">
        <v>64</v>
      </c>
      <c r="AA659" s="2">
        <f>ProductionData[[#This Row],[Rejected_Qty]]*ProductionData[[#This Row],[Unit_Cost_INR]]</f>
        <v>5568</v>
      </c>
      <c r="AB659" s="4">
        <v>10323</v>
      </c>
      <c r="AC659" s="4">
        <v>3450</v>
      </c>
      <c r="AD659" s="4">
        <v>3450</v>
      </c>
      <c r="AE659" s="4">
        <v>10226</v>
      </c>
      <c r="AF659" s="4">
        <v>5250</v>
      </c>
    </row>
    <row r="660" spans="1:32">
      <c r="A660" s="2" t="s">
        <v>1448</v>
      </c>
      <c r="B660" s="3">
        <v>46170</v>
      </c>
      <c r="C660" s="36" t="s">
        <v>790</v>
      </c>
      <c r="D660" s="2">
        <f>MONTH(ProductionData[[#This Row],[Month]])</f>
        <v>5</v>
      </c>
      <c r="E660" s="2" t="s">
        <v>107</v>
      </c>
      <c r="F660" s="2" t="s">
        <v>93</v>
      </c>
      <c r="G660" s="2" t="s">
        <v>81</v>
      </c>
      <c r="H660" s="2" t="s">
        <v>82</v>
      </c>
      <c r="I660" s="2" t="s">
        <v>83</v>
      </c>
      <c r="J660" s="2" t="s">
        <v>721</v>
      </c>
      <c r="K660" s="2" t="s">
        <v>722</v>
      </c>
      <c r="L660" s="2" t="s">
        <v>1449</v>
      </c>
      <c r="M660" s="2" t="s">
        <v>133</v>
      </c>
      <c r="N660" s="2" t="s">
        <v>88</v>
      </c>
      <c r="O660" s="2">
        <v>18</v>
      </c>
      <c r="P660" s="2">
        <v>16</v>
      </c>
      <c r="Q660" s="4">
        <v>3410</v>
      </c>
      <c r="R660" s="4">
        <v>3030</v>
      </c>
      <c r="S660" s="4">
        <v>49</v>
      </c>
      <c r="T660" s="19">
        <f>(ProductionData[[#This Row],[Rejected_Qty]])/ProductionData[[#This Row],[Produced_Qty]]</f>
        <v>1.6171617161716171E-2</v>
      </c>
      <c r="U660" s="19">
        <f>ProductionData[[#This Row],[Produced_Qty]]/ProductionData[[#This Row],[Planned_Qty]]</f>
        <v>0.88856304985337242</v>
      </c>
      <c r="V660" s="2" t="s">
        <v>75</v>
      </c>
      <c r="W660" s="11">
        <v>0</v>
      </c>
      <c r="X660" s="13">
        <f>W660/60</f>
        <v>0</v>
      </c>
      <c r="Y660" s="2" t="s">
        <v>90</v>
      </c>
      <c r="Z660" s="2">
        <v>64</v>
      </c>
      <c r="AA660" s="2">
        <f>ProductionData[[#This Row],[Rejected_Qty]]*ProductionData[[#This Row],[Unit_Cost_INR]]</f>
        <v>3136</v>
      </c>
      <c r="AB660" s="4">
        <v>10035</v>
      </c>
      <c r="AC660" s="4">
        <v>2920</v>
      </c>
      <c r="AD660" s="4">
        <v>2920</v>
      </c>
      <c r="AE660" s="4">
        <v>10096</v>
      </c>
      <c r="AF660" s="4">
        <v>5250</v>
      </c>
    </row>
    <row r="661" spans="1:32">
      <c r="A661" s="2" t="s">
        <v>1450</v>
      </c>
      <c r="B661" s="3">
        <v>46170</v>
      </c>
      <c r="C661" s="36" t="s">
        <v>790</v>
      </c>
      <c r="D661" s="2">
        <f>MONTH(ProductionData[[#This Row],[Month]])</f>
        <v>5</v>
      </c>
      <c r="E661" s="2" t="s">
        <v>107</v>
      </c>
      <c r="F661" s="2" t="s">
        <v>80</v>
      </c>
      <c r="G661" s="2" t="s">
        <v>81</v>
      </c>
      <c r="H661" s="2" t="s">
        <v>82</v>
      </c>
      <c r="I661" s="2" t="s">
        <v>83</v>
      </c>
      <c r="J661" s="2" t="s">
        <v>721</v>
      </c>
      <c r="K661" s="2" t="s">
        <v>722</v>
      </c>
      <c r="L661" s="2" t="s">
        <v>1451</v>
      </c>
      <c r="M661" s="2" t="s">
        <v>87</v>
      </c>
      <c r="N661" s="2" t="s">
        <v>88</v>
      </c>
      <c r="O661" s="2">
        <v>18</v>
      </c>
      <c r="P661" s="2">
        <v>15</v>
      </c>
      <c r="Q661" s="4">
        <v>3650</v>
      </c>
      <c r="R661" s="4">
        <v>3220</v>
      </c>
      <c r="S661" s="4">
        <v>97</v>
      </c>
      <c r="T661" s="19">
        <f>(ProductionData[[#This Row],[Rejected_Qty]])/ProductionData[[#This Row],[Produced_Qty]]</f>
        <v>3.0124223602484471E-2</v>
      </c>
      <c r="U661" s="19">
        <f>ProductionData[[#This Row],[Produced_Qty]]/ProductionData[[#This Row],[Planned_Qty]]</f>
        <v>0.88219178082191785</v>
      </c>
      <c r="V661" s="2" t="s">
        <v>75</v>
      </c>
      <c r="W661" s="11">
        <v>0</v>
      </c>
      <c r="X661" s="13">
        <f>W661/60</f>
        <v>0</v>
      </c>
      <c r="Y661" s="2" t="s">
        <v>90</v>
      </c>
      <c r="Z661" s="2">
        <v>64</v>
      </c>
      <c r="AA661" s="2">
        <f>ProductionData[[#This Row],[Rejected_Qty]]*ProductionData[[#This Row],[Unit_Cost_INR]]</f>
        <v>6208</v>
      </c>
      <c r="AB661" s="4">
        <v>10262</v>
      </c>
      <c r="AC661" s="4">
        <v>3350</v>
      </c>
      <c r="AD661" s="4">
        <v>3350</v>
      </c>
      <c r="AE661" s="4">
        <v>10035</v>
      </c>
      <c r="AF661" s="4">
        <v>5250</v>
      </c>
    </row>
    <row r="662" spans="1:32">
      <c r="A662" s="2" t="s">
        <v>1452</v>
      </c>
      <c r="B662" s="3">
        <v>46172</v>
      </c>
      <c r="C662" s="36" t="s">
        <v>790</v>
      </c>
      <c r="D662" s="2">
        <f>MONTH(ProductionData[[#This Row],[Month]])</f>
        <v>5</v>
      </c>
      <c r="E662" s="2" t="s">
        <v>65</v>
      </c>
      <c r="F662" s="2" t="s">
        <v>93</v>
      </c>
      <c r="G662" s="2" t="s">
        <v>81</v>
      </c>
      <c r="H662" s="2" t="s">
        <v>82</v>
      </c>
      <c r="I662" s="2" t="s">
        <v>83</v>
      </c>
      <c r="J662" s="2" t="s">
        <v>721</v>
      </c>
      <c r="K662" s="2" t="s">
        <v>722</v>
      </c>
      <c r="L662" s="2" t="s">
        <v>1453</v>
      </c>
      <c r="M662" s="2" t="s">
        <v>95</v>
      </c>
      <c r="N662" s="2" t="s">
        <v>88</v>
      </c>
      <c r="O662" s="2">
        <v>18</v>
      </c>
      <c r="P662" s="2">
        <v>14</v>
      </c>
      <c r="Q662" s="4">
        <v>3580</v>
      </c>
      <c r="R662" s="4">
        <v>3210</v>
      </c>
      <c r="S662" s="4">
        <v>50</v>
      </c>
      <c r="T662" s="19">
        <f>(ProductionData[[#This Row],[Rejected_Qty]])/ProductionData[[#This Row],[Produced_Qty]]</f>
        <v>1.5576323987538941E-2</v>
      </c>
      <c r="U662" s="19">
        <f>ProductionData[[#This Row],[Produced_Qty]]/ProductionData[[#This Row],[Planned_Qty]]</f>
        <v>0.8966480446927374</v>
      </c>
      <c r="V662" s="2" t="s">
        <v>89</v>
      </c>
      <c r="W662" s="11">
        <v>16</v>
      </c>
      <c r="X662" s="13">
        <f>W662/60</f>
        <v>0.26666666666666666</v>
      </c>
      <c r="Y662" s="2" t="s">
        <v>76</v>
      </c>
      <c r="Z662" s="2">
        <v>64</v>
      </c>
      <c r="AA662" s="2">
        <f>ProductionData[[#This Row],[Rejected_Qty]]*ProductionData[[#This Row],[Unit_Cost_INR]]</f>
        <v>3200</v>
      </c>
      <c r="AB662" s="4">
        <v>9954</v>
      </c>
      <c r="AC662" s="4">
        <v>3120</v>
      </c>
      <c r="AD662" s="4">
        <v>3120</v>
      </c>
      <c r="AE662" s="4">
        <v>9994</v>
      </c>
      <c r="AF662" s="4">
        <v>5250</v>
      </c>
    </row>
    <row r="663" spans="1:32">
      <c r="A663" s="2" t="s">
        <v>1454</v>
      </c>
      <c r="B663" s="3">
        <v>46172</v>
      </c>
      <c r="C663" s="36" t="s">
        <v>790</v>
      </c>
      <c r="D663" s="2">
        <f>MONTH(ProductionData[[#This Row],[Month]])</f>
        <v>5</v>
      </c>
      <c r="E663" s="2" t="s">
        <v>65</v>
      </c>
      <c r="F663" s="2" t="s">
        <v>80</v>
      </c>
      <c r="G663" s="2" t="s">
        <v>81</v>
      </c>
      <c r="H663" s="2" t="s">
        <v>82</v>
      </c>
      <c r="I663" s="2" t="s">
        <v>83</v>
      </c>
      <c r="J663" s="2" t="s">
        <v>721</v>
      </c>
      <c r="K663" s="2" t="s">
        <v>722</v>
      </c>
      <c r="L663" s="2" t="s">
        <v>1455</v>
      </c>
      <c r="M663" s="2" t="s">
        <v>102</v>
      </c>
      <c r="N663" s="2" t="s">
        <v>96</v>
      </c>
      <c r="O663" s="2">
        <v>18</v>
      </c>
      <c r="P663" s="2">
        <v>17</v>
      </c>
      <c r="Q663" s="4">
        <v>3460</v>
      </c>
      <c r="R663" s="4">
        <v>3360</v>
      </c>
      <c r="S663" s="4">
        <v>88</v>
      </c>
      <c r="T663" s="19">
        <f>(ProductionData[[#This Row],[Rejected_Qty]])/ProductionData[[#This Row],[Produced_Qty]]</f>
        <v>2.6190476190476191E-2</v>
      </c>
      <c r="U663" s="19">
        <f>ProductionData[[#This Row],[Produced_Qty]]/ProductionData[[#This Row],[Planned_Qty]]</f>
        <v>0.97109826589595372</v>
      </c>
      <c r="V663" s="2" t="s">
        <v>109</v>
      </c>
      <c r="W663" s="11">
        <v>0</v>
      </c>
      <c r="X663" s="13">
        <f>W663/60</f>
        <v>0</v>
      </c>
      <c r="Y663" s="2" t="s">
        <v>90</v>
      </c>
      <c r="Z663" s="2">
        <v>64</v>
      </c>
      <c r="AA663" s="2">
        <f>ProductionData[[#This Row],[Rejected_Qty]]*ProductionData[[#This Row],[Unit_Cost_INR]]</f>
        <v>5632</v>
      </c>
      <c r="AB663" s="4">
        <v>9842</v>
      </c>
      <c r="AC663" s="4">
        <v>3160</v>
      </c>
      <c r="AD663" s="4">
        <v>3160</v>
      </c>
      <c r="AE663" s="4">
        <v>9954</v>
      </c>
      <c r="AF663" s="4">
        <v>5250</v>
      </c>
    </row>
    <row r="664" spans="1:32">
      <c r="A664" s="2" t="s">
        <v>1456</v>
      </c>
      <c r="B664" s="3">
        <v>46171</v>
      </c>
      <c r="C664" s="36" t="s">
        <v>790</v>
      </c>
      <c r="D664" s="2">
        <f>MONTH(ProductionData[[#This Row],[Month]])</f>
        <v>5</v>
      </c>
      <c r="E664" s="2" t="s">
        <v>125</v>
      </c>
      <c r="F664" s="2" t="s">
        <v>93</v>
      </c>
      <c r="G664" s="2" t="s">
        <v>81</v>
      </c>
      <c r="H664" s="2" t="s">
        <v>82</v>
      </c>
      <c r="I664" s="2" t="s">
        <v>83</v>
      </c>
      <c r="J664" s="2" t="s">
        <v>721</v>
      </c>
      <c r="K664" s="2" t="s">
        <v>722</v>
      </c>
      <c r="L664" s="2" t="s">
        <v>1457</v>
      </c>
      <c r="M664" s="2" t="s">
        <v>95</v>
      </c>
      <c r="N664" s="2" t="s">
        <v>88</v>
      </c>
      <c r="O664" s="2">
        <v>18</v>
      </c>
      <c r="P664" s="2">
        <v>13</v>
      </c>
      <c r="Q664" s="4">
        <v>3560</v>
      </c>
      <c r="R664" s="4">
        <v>2980</v>
      </c>
      <c r="S664" s="4">
        <v>94</v>
      </c>
      <c r="T664" s="19">
        <f>(ProductionData[[#This Row],[Rejected_Qty]])/ProductionData[[#This Row],[Produced_Qty]]</f>
        <v>3.1543624161073827E-2</v>
      </c>
      <c r="U664" s="19">
        <f>ProductionData[[#This Row],[Produced_Qty]]/ProductionData[[#This Row],[Planned_Qty]]</f>
        <v>0.8370786516853933</v>
      </c>
      <c r="V664" s="2" t="s">
        <v>103</v>
      </c>
      <c r="W664" s="11">
        <v>37</v>
      </c>
      <c r="X664" s="13">
        <f>W664/60</f>
        <v>0.6166666666666667</v>
      </c>
      <c r="Y664" s="2" t="s">
        <v>110</v>
      </c>
      <c r="Z664" s="2">
        <v>64</v>
      </c>
      <c r="AA664" s="2">
        <f>ProductionData[[#This Row],[Rejected_Qty]]*ProductionData[[#This Row],[Unit_Cost_INR]]</f>
        <v>6016</v>
      </c>
      <c r="AB664" s="4">
        <v>10096</v>
      </c>
      <c r="AC664" s="4">
        <v>3140</v>
      </c>
      <c r="AD664" s="4">
        <v>3140</v>
      </c>
      <c r="AE664" s="4">
        <v>9842</v>
      </c>
      <c r="AF664" s="4">
        <v>5250</v>
      </c>
    </row>
    <row r="665" spans="1:32">
      <c r="A665" s="2" t="s">
        <v>1458</v>
      </c>
      <c r="B665" s="3">
        <v>46184</v>
      </c>
      <c r="C665" s="36" t="s">
        <v>1459</v>
      </c>
      <c r="D665" s="2">
        <f>MONTH(ProductionData[[#This Row],[Month]])</f>
        <v>6</v>
      </c>
      <c r="E665" s="2" t="s">
        <v>107</v>
      </c>
      <c r="F665" s="2" t="s">
        <v>80</v>
      </c>
      <c r="G665" s="2" t="s">
        <v>81</v>
      </c>
      <c r="H665" s="2" t="s">
        <v>82</v>
      </c>
      <c r="I665" s="2" t="s">
        <v>83</v>
      </c>
      <c r="J665" s="2" t="s">
        <v>84</v>
      </c>
      <c r="K665" s="2" t="s">
        <v>85</v>
      </c>
      <c r="L665" s="2" t="s">
        <v>1460</v>
      </c>
      <c r="M665" s="2" t="s">
        <v>87</v>
      </c>
      <c r="N665" s="2" t="s">
        <v>88</v>
      </c>
      <c r="O665" s="2">
        <v>18</v>
      </c>
      <c r="P665" s="2">
        <v>17</v>
      </c>
      <c r="Q665" s="4">
        <v>10220</v>
      </c>
      <c r="R665" s="4">
        <v>9650</v>
      </c>
      <c r="S665" s="4">
        <v>285</v>
      </c>
      <c r="T665" s="19">
        <f>(ProductionData[[#This Row],[Rejected_Qty]])/ProductionData[[#This Row],[Produced_Qty]]</f>
        <v>2.9533678756476684E-2</v>
      </c>
      <c r="U665" s="19">
        <f>ProductionData[[#This Row],[Produced_Qty]]/ProductionData[[#This Row],[Planned_Qty]]</f>
        <v>0.94422700587084152</v>
      </c>
      <c r="V665" s="2" t="s">
        <v>113</v>
      </c>
      <c r="W665" s="11">
        <v>0</v>
      </c>
      <c r="X665" s="13">
        <f>W665/60</f>
        <v>0</v>
      </c>
      <c r="Y665" s="2" t="s">
        <v>90</v>
      </c>
      <c r="Z665" s="2">
        <v>18</v>
      </c>
      <c r="AA665" s="2">
        <f>ProductionData[[#This Row],[Rejected_Qty]]*ProductionData[[#This Row],[Unit_Cost_INR]]</f>
        <v>5130</v>
      </c>
      <c r="AB665" s="4">
        <v>36339</v>
      </c>
      <c r="AC665" s="4">
        <v>7970</v>
      </c>
      <c r="AD665" s="4">
        <v>7970</v>
      </c>
      <c r="AE665" s="4">
        <v>37734</v>
      </c>
      <c r="AF665" s="4">
        <v>15000</v>
      </c>
    </row>
    <row r="666" spans="1:32">
      <c r="A666" s="2" t="s">
        <v>1461</v>
      </c>
      <c r="B666" s="3">
        <v>46185</v>
      </c>
      <c r="C666" s="36" t="s">
        <v>1459</v>
      </c>
      <c r="D666" s="2">
        <f>MONTH(ProductionData[[#This Row],[Month]])</f>
        <v>6</v>
      </c>
      <c r="E666" s="2" t="s">
        <v>125</v>
      </c>
      <c r="F666" s="2" t="s">
        <v>66</v>
      </c>
      <c r="G666" s="2" t="s">
        <v>81</v>
      </c>
      <c r="H666" s="2" t="s">
        <v>82</v>
      </c>
      <c r="I666" s="2" t="s">
        <v>83</v>
      </c>
      <c r="J666" s="2" t="s">
        <v>84</v>
      </c>
      <c r="K666" s="2" t="s">
        <v>85</v>
      </c>
      <c r="L666" s="2" t="s">
        <v>1462</v>
      </c>
      <c r="M666" s="2" t="s">
        <v>73</v>
      </c>
      <c r="N666" s="2" t="s">
        <v>88</v>
      </c>
      <c r="O666" s="2">
        <v>18</v>
      </c>
      <c r="P666" s="2">
        <v>17</v>
      </c>
      <c r="Q666" s="4">
        <v>10020</v>
      </c>
      <c r="R666" s="4">
        <v>9390</v>
      </c>
      <c r="S666" s="4">
        <v>188</v>
      </c>
      <c r="T666" s="19">
        <f>(ProductionData[[#This Row],[Rejected_Qty]])/ProductionData[[#This Row],[Produced_Qty]]</f>
        <v>2.0021299254526091E-2</v>
      </c>
      <c r="U666" s="19">
        <f>ProductionData[[#This Row],[Produced_Qty]]/ProductionData[[#This Row],[Planned_Qty]]</f>
        <v>0.93712574850299402</v>
      </c>
      <c r="V666" s="2" t="s">
        <v>89</v>
      </c>
      <c r="W666" s="11">
        <v>0</v>
      </c>
      <c r="X666" s="13">
        <f>W666/60</f>
        <v>0</v>
      </c>
      <c r="Y666" s="2" t="s">
        <v>90</v>
      </c>
      <c r="Z666" s="2">
        <v>18</v>
      </c>
      <c r="AA666" s="2">
        <f>ProductionData[[#This Row],[Rejected_Qty]]*ProductionData[[#This Row],[Unit_Cost_INR]]</f>
        <v>3384</v>
      </c>
      <c r="AB666" s="4">
        <v>36090</v>
      </c>
      <c r="AC666" s="4">
        <v>8340</v>
      </c>
      <c r="AD666" s="4">
        <v>8340</v>
      </c>
      <c r="AE666" s="4">
        <v>36952</v>
      </c>
      <c r="AF666" s="4">
        <v>15000</v>
      </c>
    </row>
    <row r="667" spans="1:32">
      <c r="A667" s="2" t="s">
        <v>1463</v>
      </c>
      <c r="B667" s="3">
        <v>46182</v>
      </c>
      <c r="C667" s="36" t="s">
        <v>1459</v>
      </c>
      <c r="D667" s="2">
        <f>MONTH(ProductionData[[#This Row],[Month]])</f>
        <v>6</v>
      </c>
      <c r="E667" s="2" t="s">
        <v>92</v>
      </c>
      <c r="F667" s="2" t="s">
        <v>80</v>
      </c>
      <c r="G667" s="2" t="s">
        <v>81</v>
      </c>
      <c r="H667" s="2" t="s">
        <v>82</v>
      </c>
      <c r="I667" s="2" t="s">
        <v>83</v>
      </c>
      <c r="J667" s="2" t="s">
        <v>84</v>
      </c>
      <c r="K667" s="2" t="s">
        <v>85</v>
      </c>
      <c r="L667" s="2" t="s">
        <v>1464</v>
      </c>
      <c r="M667" s="2" t="s">
        <v>87</v>
      </c>
      <c r="N667" s="2" t="s">
        <v>88</v>
      </c>
      <c r="O667" s="2">
        <v>18</v>
      </c>
      <c r="P667" s="2">
        <v>18</v>
      </c>
      <c r="Q667" s="4">
        <v>9290</v>
      </c>
      <c r="R667" s="4">
        <v>9190</v>
      </c>
      <c r="S667" s="4">
        <v>289</v>
      </c>
      <c r="T667" s="19">
        <f>(ProductionData[[#This Row],[Rejected_Qty]])/ProductionData[[#This Row],[Produced_Qty]]</f>
        <v>3.1447225244831338E-2</v>
      </c>
      <c r="U667" s="19">
        <f>ProductionData[[#This Row],[Produced_Qty]]/ProductionData[[#This Row],[Planned_Qty]]</f>
        <v>0.98923573735199144</v>
      </c>
      <c r="V667" s="2" t="s">
        <v>109</v>
      </c>
      <c r="W667" s="11">
        <v>0</v>
      </c>
      <c r="X667" s="13">
        <f>W667/60</f>
        <v>0</v>
      </c>
      <c r="Y667" s="2" t="s">
        <v>90</v>
      </c>
      <c r="Z667" s="2">
        <v>18</v>
      </c>
      <c r="AA667" s="2">
        <f>ProductionData[[#This Row],[Rejected_Qty]]*ProductionData[[#This Row],[Unit_Cost_INR]]</f>
        <v>5202</v>
      </c>
      <c r="AB667" s="4">
        <v>36426</v>
      </c>
      <c r="AC667" s="4">
        <v>8720</v>
      </c>
      <c r="AD667" s="4">
        <v>8720</v>
      </c>
      <c r="AE667" s="4">
        <v>36607</v>
      </c>
      <c r="AF667" s="4">
        <v>15000</v>
      </c>
    </row>
    <row r="668" spans="1:32">
      <c r="A668" s="2" t="s">
        <v>1465</v>
      </c>
      <c r="B668" s="3">
        <v>46200</v>
      </c>
      <c r="C668" s="36" t="s">
        <v>1459</v>
      </c>
      <c r="D668" s="2">
        <f>MONTH(ProductionData[[#This Row],[Month]])</f>
        <v>6</v>
      </c>
      <c r="E668" s="2" t="s">
        <v>65</v>
      </c>
      <c r="F668" s="2" t="s">
        <v>66</v>
      </c>
      <c r="G668" s="2" t="s">
        <v>195</v>
      </c>
      <c r="H668" s="2" t="s">
        <v>196</v>
      </c>
      <c r="I668" s="2" t="s">
        <v>197</v>
      </c>
      <c r="J668" s="2" t="s">
        <v>198</v>
      </c>
      <c r="K668" s="2" t="s">
        <v>199</v>
      </c>
      <c r="L668" s="2" t="s">
        <v>1466</v>
      </c>
      <c r="M668" s="2" t="s">
        <v>73</v>
      </c>
      <c r="N668" s="2" t="s">
        <v>96</v>
      </c>
      <c r="O668" s="2">
        <v>14</v>
      </c>
      <c r="P668" s="2">
        <v>14</v>
      </c>
      <c r="Q668" s="4">
        <v>9590</v>
      </c>
      <c r="R668" s="4">
        <v>9310</v>
      </c>
      <c r="S668" s="4">
        <v>138</v>
      </c>
      <c r="T668" s="19">
        <f>(ProductionData[[#This Row],[Rejected_Qty]])/ProductionData[[#This Row],[Produced_Qty]]</f>
        <v>1.4822771213748658E-2</v>
      </c>
      <c r="U668" s="19">
        <f>ProductionData[[#This Row],[Produced_Qty]]/ProductionData[[#This Row],[Planned_Qty]]</f>
        <v>0.97080291970802923</v>
      </c>
      <c r="V668" s="2" t="s">
        <v>75</v>
      </c>
      <c r="W668" s="11">
        <v>0</v>
      </c>
      <c r="X668" s="13">
        <f>W668/60</f>
        <v>0</v>
      </c>
      <c r="Y668" s="2" t="s">
        <v>90</v>
      </c>
      <c r="Z668" s="2">
        <v>38</v>
      </c>
      <c r="AA668" s="2">
        <f>ProductionData[[#This Row],[Rejected_Qty]]*ProductionData[[#This Row],[Unit_Cost_INR]]</f>
        <v>5244</v>
      </c>
      <c r="AB668" s="4">
        <v>34718</v>
      </c>
      <c r="AC668" s="4">
        <v>7310</v>
      </c>
      <c r="AD668" s="4">
        <v>7310</v>
      </c>
      <c r="AE668" s="4">
        <v>36580</v>
      </c>
      <c r="AF668" s="4">
        <v>13500</v>
      </c>
    </row>
    <row r="669" spans="1:32">
      <c r="A669" s="2" t="s">
        <v>1467</v>
      </c>
      <c r="B669" s="3">
        <v>46182</v>
      </c>
      <c r="C669" s="36" t="s">
        <v>1459</v>
      </c>
      <c r="D669" s="2">
        <f>MONTH(ProductionData[[#This Row],[Month]])</f>
        <v>6</v>
      </c>
      <c r="E669" s="2" t="s">
        <v>92</v>
      </c>
      <c r="F669" s="2" t="s">
        <v>93</v>
      </c>
      <c r="G669" s="2" t="s">
        <v>81</v>
      </c>
      <c r="H669" s="2" t="s">
        <v>82</v>
      </c>
      <c r="I669" s="2" t="s">
        <v>83</v>
      </c>
      <c r="J669" s="2" t="s">
        <v>84</v>
      </c>
      <c r="K669" s="2" t="s">
        <v>85</v>
      </c>
      <c r="L669" s="2" t="s">
        <v>1468</v>
      </c>
      <c r="M669" s="2" t="s">
        <v>133</v>
      </c>
      <c r="N669" s="2" t="s">
        <v>88</v>
      </c>
      <c r="O669" s="2">
        <v>18</v>
      </c>
      <c r="P669" s="2">
        <v>16</v>
      </c>
      <c r="Q669" s="4">
        <v>9300</v>
      </c>
      <c r="R669" s="4">
        <v>8740</v>
      </c>
      <c r="S669" s="4">
        <v>258</v>
      </c>
      <c r="T669" s="19">
        <f>(ProductionData[[#This Row],[Rejected_Qty]])/ProductionData[[#This Row],[Produced_Qty]]</f>
        <v>2.9519450800915333E-2</v>
      </c>
      <c r="U669" s="19">
        <f>ProductionData[[#This Row],[Produced_Qty]]/ProductionData[[#This Row],[Planned_Qty]]</f>
        <v>0.93978494623655917</v>
      </c>
      <c r="V669" s="2" t="s">
        <v>113</v>
      </c>
      <c r="W669" s="11">
        <v>0</v>
      </c>
      <c r="X669" s="13">
        <f>W669/60</f>
        <v>0</v>
      </c>
      <c r="Y669" s="2" t="s">
        <v>90</v>
      </c>
      <c r="Z669" s="2">
        <v>18</v>
      </c>
      <c r="AA669" s="2">
        <f>ProductionData[[#This Row],[Rejected_Qty]]*ProductionData[[#This Row],[Unit_Cost_INR]]</f>
        <v>4644</v>
      </c>
      <c r="AB669" s="4">
        <v>36607</v>
      </c>
      <c r="AC669" s="4">
        <v>8510</v>
      </c>
      <c r="AD669" s="4">
        <v>8510</v>
      </c>
      <c r="AE669" s="4">
        <v>36579</v>
      </c>
      <c r="AF669" s="4">
        <v>15000</v>
      </c>
    </row>
    <row r="670" spans="1:32">
      <c r="A670" s="2" t="s">
        <v>1469</v>
      </c>
      <c r="B670" s="3">
        <v>46188</v>
      </c>
      <c r="C670" s="36" t="s">
        <v>1459</v>
      </c>
      <c r="D670" s="2">
        <f>MONTH(ProductionData[[#This Row],[Month]])</f>
        <v>6</v>
      </c>
      <c r="E670" s="2" t="s">
        <v>116</v>
      </c>
      <c r="F670" s="2" t="s">
        <v>66</v>
      </c>
      <c r="G670" s="2" t="s">
        <v>81</v>
      </c>
      <c r="H670" s="2" t="s">
        <v>82</v>
      </c>
      <c r="I670" s="2" t="s">
        <v>83</v>
      </c>
      <c r="J670" s="2" t="s">
        <v>84</v>
      </c>
      <c r="K670" s="2" t="s">
        <v>85</v>
      </c>
      <c r="L670" s="2" t="s">
        <v>1470</v>
      </c>
      <c r="M670" s="2" t="s">
        <v>73</v>
      </c>
      <c r="N670" s="2" t="s">
        <v>88</v>
      </c>
      <c r="O670" s="2">
        <v>18</v>
      </c>
      <c r="P670" s="2">
        <v>17</v>
      </c>
      <c r="Q670" s="4">
        <v>10610</v>
      </c>
      <c r="R670" s="4">
        <v>9610</v>
      </c>
      <c r="S670" s="4">
        <v>221</v>
      </c>
      <c r="T670" s="19">
        <f>(ProductionData[[#This Row],[Rejected_Qty]])/ProductionData[[#This Row],[Produced_Qty]]</f>
        <v>2.2996878251821021E-2</v>
      </c>
      <c r="U670" s="19">
        <f>ProductionData[[#This Row],[Produced_Qty]]/ProductionData[[#This Row],[Planned_Qty]]</f>
        <v>0.90574929311969843</v>
      </c>
      <c r="V670" s="2" t="s">
        <v>109</v>
      </c>
      <c r="W670" s="11">
        <v>32</v>
      </c>
      <c r="X670" s="13">
        <f>W670/60</f>
        <v>0.53333333333333333</v>
      </c>
      <c r="Y670" s="2" t="s">
        <v>76</v>
      </c>
      <c r="Z670" s="2">
        <v>18</v>
      </c>
      <c r="AA670" s="2">
        <f>ProductionData[[#This Row],[Rejected_Qty]]*ProductionData[[#This Row],[Unit_Cost_INR]]</f>
        <v>3978</v>
      </c>
      <c r="AB670" s="4">
        <v>36252</v>
      </c>
      <c r="AC670" s="4">
        <v>9190</v>
      </c>
      <c r="AD670" s="4">
        <v>9190</v>
      </c>
      <c r="AE670" s="4">
        <v>36451</v>
      </c>
      <c r="AF670" s="4">
        <v>15000</v>
      </c>
    </row>
    <row r="671" spans="1:32">
      <c r="A671" s="2" t="s">
        <v>1471</v>
      </c>
      <c r="B671" s="3">
        <v>46183</v>
      </c>
      <c r="C671" s="36" t="s">
        <v>1459</v>
      </c>
      <c r="D671" s="2">
        <f>MONTH(ProductionData[[#This Row],[Month]])</f>
        <v>6</v>
      </c>
      <c r="E671" s="2" t="s">
        <v>79</v>
      </c>
      <c r="F671" s="2" t="s">
        <v>66</v>
      </c>
      <c r="G671" s="2" t="s">
        <v>81</v>
      </c>
      <c r="H671" s="2" t="s">
        <v>82</v>
      </c>
      <c r="I671" s="2" t="s">
        <v>83</v>
      </c>
      <c r="J671" s="2" t="s">
        <v>84</v>
      </c>
      <c r="K671" s="2" t="s">
        <v>85</v>
      </c>
      <c r="L671" s="2" t="s">
        <v>1472</v>
      </c>
      <c r="M671" s="2" t="s">
        <v>73</v>
      </c>
      <c r="N671" s="2" t="s">
        <v>96</v>
      </c>
      <c r="O671" s="2">
        <v>18</v>
      </c>
      <c r="P671" s="2">
        <v>16</v>
      </c>
      <c r="Q671" s="4">
        <v>10330</v>
      </c>
      <c r="R671" s="4">
        <v>9730</v>
      </c>
      <c r="S671" s="4">
        <v>371</v>
      </c>
      <c r="T671" s="19">
        <f>(ProductionData[[#This Row],[Rejected_Qty]])/ProductionData[[#This Row],[Produced_Qty]]</f>
        <v>3.8129496402877695E-2</v>
      </c>
      <c r="U671" s="19">
        <f>ProductionData[[#This Row],[Produced_Qty]]/ProductionData[[#This Row],[Planned_Qty]]</f>
        <v>0.94191674733785091</v>
      </c>
      <c r="V671" s="2" t="s">
        <v>109</v>
      </c>
      <c r="W671" s="11">
        <v>44</v>
      </c>
      <c r="X671" s="13">
        <f>W671/60</f>
        <v>0.73333333333333328</v>
      </c>
      <c r="Y671" s="2" t="s">
        <v>114</v>
      </c>
      <c r="Z671" s="2">
        <v>18</v>
      </c>
      <c r="AA671" s="2">
        <f>ProductionData[[#This Row],[Rejected_Qty]]*ProductionData[[#This Row],[Unit_Cost_INR]]</f>
        <v>6678</v>
      </c>
      <c r="AB671" s="4">
        <v>36579</v>
      </c>
      <c r="AC671" s="4">
        <v>9490</v>
      </c>
      <c r="AD671" s="4">
        <v>9490</v>
      </c>
      <c r="AE671" s="4">
        <v>36448</v>
      </c>
      <c r="AF671" s="4">
        <v>15000</v>
      </c>
    </row>
    <row r="672" spans="1:32">
      <c r="A672" s="2" t="s">
        <v>1473</v>
      </c>
      <c r="B672" s="3">
        <v>46182</v>
      </c>
      <c r="C672" s="36" t="s">
        <v>1459</v>
      </c>
      <c r="D672" s="2">
        <f>MONTH(ProductionData[[#This Row],[Month]])</f>
        <v>6</v>
      </c>
      <c r="E672" s="2" t="s">
        <v>92</v>
      </c>
      <c r="F672" s="2" t="s">
        <v>66</v>
      </c>
      <c r="G672" s="2" t="s">
        <v>81</v>
      </c>
      <c r="H672" s="2" t="s">
        <v>82</v>
      </c>
      <c r="I672" s="2" t="s">
        <v>83</v>
      </c>
      <c r="J672" s="2" t="s">
        <v>84</v>
      </c>
      <c r="K672" s="2" t="s">
        <v>85</v>
      </c>
      <c r="L672" s="2" t="s">
        <v>1474</v>
      </c>
      <c r="M672" s="2" t="s">
        <v>99</v>
      </c>
      <c r="N672" s="2" t="s">
        <v>88</v>
      </c>
      <c r="O672" s="2">
        <v>18</v>
      </c>
      <c r="P672" s="2">
        <v>16</v>
      </c>
      <c r="Q672" s="4">
        <v>10050</v>
      </c>
      <c r="R672" s="4">
        <v>9590</v>
      </c>
      <c r="S672" s="4">
        <v>194</v>
      </c>
      <c r="T672" s="19">
        <f>(ProductionData[[#This Row],[Rejected_Qty]])/ProductionData[[#This Row],[Produced_Qty]]</f>
        <v>2.0229405630865484E-2</v>
      </c>
      <c r="U672" s="19">
        <f>ProductionData[[#This Row],[Produced_Qty]]/ProductionData[[#This Row],[Planned_Qty]]</f>
        <v>0.95422885572139304</v>
      </c>
      <c r="V672" s="2" t="s">
        <v>113</v>
      </c>
      <c r="W672" s="11">
        <v>0</v>
      </c>
      <c r="X672" s="13">
        <f>W672/60</f>
        <v>0</v>
      </c>
      <c r="Y672" s="2" t="s">
        <v>90</v>
      </c>
      <c r="Z672" s="2">
        <v>18</v>
      </c>
      <c r="AA672" s="2">
        <f>ProductionData[[#This Row],[Rejected_Qty]]*ProductionData[[#This Row],[Unit_Cost_INR]]</f>
        <v>3492</v>
      </c>
      <c r="AB672" s="4">
        <v>36050</v>
      </c>
      <c r="AC672" s="4">
        <v>9020</v>
      </c>
      <c r="AD672" s="4">
        <v>9020</v>
      </c>
      <c r="AE672" s="4">
        <v>36426</v>
      </c>
      <c r="AF672" s="4">
        <v>15000</v>
      </c>
    </row>
    <row r="673" spans="1:32">
      <c r="A673" s="2" t="s">
        <v>1475</v>
      </c>
      <c r="B673" s="3">
        <v>46181</v>
      </c>
      <c r="C673" s="36" t="s">
        <v>1459</v>
      </c>
      <c r="D673" s="2">
        <f>MONTH(ProductionData[[#This Row],[Month]])</f>
        <v>6</v>
      </c>
      <c r="E673" s="2" t="s">
        <v>116</v>
      </c>
      <c r="F673" s="2" t="s">
        <v>80</v>
      </c>
      <c r="G673" s="2" t="s">
        <v>81</v>
      </c>
      <c r="H673" s="2" t="s">
        <v>82</v>
      </c>
      <c r="I673" s="2" t="s">
        <v>83</v>
      </c>
      <c r="J673" s="2" t="s">
        <v>84</v>
      </c>
      <c r="K673" s="2" t="s">
        <v>85</v>
      </c>
      <c r="L673" s="2" t="s">
        <v>1476</v>
      </c>
      <c r="M673" s="2" t="s">
        <v>102</v>
      </c>
      <c r="N673" s="2" t="s">
        <v>88</v>
      </c>
      <c r="O673" s="2">
        <v>18</v>
      </c>
      <c r="P673" s="2">
        <v>17</v>
      </c>
      <c r="Q673" s="4">
        <v>9460</v>
      </c>
      <c r="R673" s="4">
        <v>8730</v>
      </c>
      <c r="S673" s="4">
        <v>124</v>
      </c>
      <c r="T673" s="19">
        <f>(ProductionData[[#This Row],[Rejected_Qty]])/ProductionData[[#This Row],[Produced_Qty]]</f>
        <v>1.420389461626575E-2</v>
      </c>
      <c r="U673" s="19">
        <f>ProductionData[[#This Row],[Produced_Qty]]/ProductionData[[#This Row],[Planned_Qty]]</f>
        <v>0.92283298097251587</v>
      </c>
      <c r="V673" s="2" t="s">
        <v>89</v>
      </c>
      <c r="W673" s="11">
        <v>27</v>
      </c>
      <c r="X673" s="13">
        <f>W673/60</f>
        <v>0.45</v>
      </c>
      <c r="Y673" s="2" t="s">
        <v>182</v>
      </c>
      <c r="Z673" s="2">
        <v>18</v>
      </c>
      <c r="AA673" s="2">
        <f>ProductionData[[#This Row],[Rejected_Qty]]*ProductionData[[#This Row],[Unit_Cost_INR]]</f>
        <v>2232</v>
      </c>
      <c r="AB673" s="4">
        <v>34755</v>
      </c>
      <c r="AC673" s="4">
        <v>6950</v>
      </c>
      <c r="AD673" s="4">
        <v>6950</v>
      </c>
      <c r="AE673" s="4">
        <v>36411</v>
      </c>
      <c r="AF673" s="4">
        <v>15000</v>
      </c>
    </row>
    <row r="674" spans="1:32">
      <c r="A674" s="2" t="s">
        <v>1477</v>
      </c>
      <c r="B674" s="3">
        <v>46184</v>
      </c>
      <c r="C674" s="36" t="s">
        <v>1459</v>
      </c>
      <c r="D674" s="2">
        <f>MONTH(ProductionData[[#This Row],[Month]])</f>
        <v>6</v>
      </c>
      <c r="E674" s="2" t="s">
        <v>107</v>
      </c>
      <c r="F674" s="2" t="s">
        <v>66</v>
      </c>
      <c r="G674" s="2" t="s">
        <v>81</v>
      </c>
      <c r="H674" s="2" t="s">
        <v>82</v>
      </c>
      <c r="I674" s="2" t="s">
        <v>83</v>
      </c>
      <c r="J674" s="2" t="s">
        <v>84</v>
      </c>
      <c r="K674" s="2" t="s">
        <v>85</v>
      </c>
      <c r="L674" s="2" t="s">
        <v>1478</v>
      </c>
      <c r="M674" s="2" t="s">
        <v>73</v>
      </c>
      <c r="N674" s="2" t="s">
        <v>88</v>
      </c>
      <c r="O674" s="2">
        <v>18</v>
      </c>
      <c r="P674" s="2">
        <v>18</v>
      </c>
      <c r="Q674" s="4">
        <v>9530</v>
      </c>
      <c r="R674" s="4">
        <v>9690</v>
      </c>
      <c r="S674" s="4">
        <v>109</v>
      </c>
      <c r="T674" s="19">
        <f>(ProductionData[[#This Row],[Rejected_Qty]])/ProductionData[[#This Row],[Produced_Qty]]</f>
        <v>1.1248710010319917E-2</v>
      </c>
      <c r="U674" s="19">
        <f>ProductionData[[#This Row],[Produced_Qty]]/ProductionData[[#This Row],[Planned_Qty]]</f>
        <v>1.0167890870933893</v>
      </c>
      <c r="V674" s="2" t="s">
        <v>75</v>
      </c>
      <c r="W674" s="11">
        <v>0</v>
      </c>
      <c r="X674" s="13">
        <f>W674/60</f>
        <v>0</v>
      </c>
      <c r="Y674" s="2" t="s">
        <v>90</v>
      </c>
      <c r="Z674" s="2">
        <v>18</v>
      </c>
      <c r="AA674" s="2">
        <f>ProductionData[[#This Row],[Rejected_Qty]]*ProductionData[[#This Row],[Unit_Cost_INR]]</f>
        <v>1962</v>
      </c>
      <c r="AB674" s="4">
        <v>36448</v>
      </c>
      <c r="AC674" s="4">
        <v>9690</v>
      </c>
      <c r="AD674" s="4">
        <v>9690</v>
      </c>
      <c r="AE674" s="4">
        <v>36339</v>
      </c>
      <c r="AF674" s="4">
        <v>15000</v>
      </c>
    </row>
    <row r="675" spans="1:32">
      <c r="A675" s="2" t="s">
        <v>1479</v>
      </c>
      <c r="B675" s="3">
        <v>46186</v>
      </c>
      <c r="C675" s="36" t="s">
        <v>1459</v>
      </c>
      <c r="D675" s="2">
        <f>MONTH(ProductionData[[#This Row],[Month]])</f>
        <v>6</v>
      </c>
      <c r="E675" s="2" t="s">
        <v>65</v>
      </c>
      <c r="F675" s="2" t="s">
        <v>93</v>
      </c>
      <c r="G675" s="2" t="s">
        <v>81</v>
      </c>
      <c r="H675" s="2" t="s">
        <v>82</v>
      </c>
      <c r="I675" s="2" t="s">
        <v>83</v>
      </c>
      <c r="J675" s="2" t="s">
        <v>84</v>
      </c>
      <c r="K675" s="2" t="s">
        <v>85</v>
      </c>
      <c r="L675" s="2" t="s">
        <v>1480</v>
      </c>
      <c r="M675" s="2" t="s">
        <v>133</v>
      </c>
      <c r="N675" s="2" t="s">
        <v>96</v>
      </c>
      <c r="O675" s="2">
        <v>18</v>
      </c>
      <c r="P675" s="2">
        <v>15</v>
      </c>
      <c r="Q675" s="4">
        <v>8860</v>
      </c>
      <c r="R675" s="4">
        <v>7680</v>
      </c>
      <c r="S675" s="4">
        <v>195</v>
      </c>
      <c r="T675" s="19">
        <f>(ProductionData[[#This Row],[Rejected_Qty]])/ProductionData[[#This Row],[Produced_Qty]]</f>
        <v>2.5390625E-2</v>
      </c>
      <c r="U675" s="19">
        <f>ProductionData[[#This Row],[Produced_Qty]]/ProductionData[[#This Row],[Planned_Qty]]</f>
        <v>0.86681715575620766</v>
      </c>
      <c r="V675" s="2" t="s">
        <v>75</v>
      </c>
      <c r="W675" s="11">
        <v>41</v>
      </c>
      <c r="X675" s="13">
        <f>W675/60</f>
        <v>0.68333333333333335</v>
      </c>
      <c r="Y675" s="2" t="s">
        <v>110</v>
      </c>
      <c r="Z675" s="2">
        <v>18</v>
      </c>
      <c r="AA675" s="2">
        <f>ProductionData[[#This Row],[Rejected_Qty]]*ProductionData[[#This Row],[Unit_Cost_INR]]</f>
        <v>3510</v>
      </c>
      <c r="AB675" s="4">
        <v>36207</v>
      </c>
      <c r="AC675" s="4">
        <v>7440</v>
      </c>
      <c r="AD675" s="4">
        <v>7440</v>
      </c>
      <c r="AE675" s="4">
        <v>36252</v>
      </c>
      <c r="AF675" s="4">
        <v>15000</v>
      </c>
    </row>
    <row r="676" spans="1:32">
      <c r="A676" s="2" t="s">
        <v>1481</v>
      </c>
      <c r="B676" s="3">
        <v>46202</v>
      </c>
      <c r="C676" s="36" t="s">
        <v>1459</v>
      </c>
      <c r="D676" s="2">
        <f>MONTH(ProductionData[[#This Row],[Month]])</f>
        <v>6</v>
      </c>
      <c r="E676" s="2" t="s">
        <v>116</v>
      </c>
      <c r="F676" s="2" t="s">
        <v>80</v>
      </c>
      <c r="G676" s="2" t="s">
        <v>195</v>
      </c>
      <c r="H676" s="2" t="s">
        <v>196</v>
      </c>
      <c r="I676" s="2" t="s">
        <v>197</v>
      </c>
      <c r="J676" s="2" t="s">
        <v>198</v>
      </c>
      <c r="K676" s="2" t="s">
        <v>199</v>
      </c>
      <c r="L676" s="2" t="s">
        <v>1482</v>
      </c>
      <c r="M676" s="2" t="s">
        <v>87</v>
      </c>
      <c r="N676" s="2" t="s">
        <v>96</v>
      </c>
      <c r="O676" s="2">
        <v>14</v>
      </c>
      <c r="P676" s="2">
        <v>14</v>
      </c>
      <c r="Q676" s="4">
        <v>9000</v>
      </c>
      <c r="R676" s="4">
        <v>8210</v>
      </c>
      <c r="S676" s="4">
        <v>177</v>
      </c>
      <c r="T676" s="19">
        <f>(ProductionData[[#This Row],[Rejected_Qty]])/ProductionData[[#This Row],[Produced_Qty]]</f>
        <v>2.1559074299634592E-2</v>
      </c>
      <c r="U676" s="19">
        <f>ProductionData[[#This Row],[Produced_Qty]]/ProductionData[[#This Row],[Planned_Qty]]</f>
        <v>0.91222222222222227</v>
      </c>
      <c r="V676" s="2" t="s">
        <v>103</v>
      </c>
      <c r="W676" s="11">
        <v>0</v>
      </c>
      <c r="X676" s="13">
        <f>W676/60</f>
        <v>0</v>
      </c>
      <c r="Y676" s="2" t="s">
        <v>90</v>
      </c>
      <c r="Z676" s="2">
        <v>38</v>
      </c>
      <c r="AA676" s="2">
        <f>ProductionData[[#This Row],[Rejected_Qty]]*ProductionData[[#This Row],[Unit_Cost_INR]]</f>
        <v>6726</v>
      </c>
      <c r="AB676" s="4">
        <v>36202</v>
      </c>
      <c r="AC676" s="4">
        <v>8010</v>
      </c>
      <c r="AD676" s="4">
        <v>8010</v>
      </c>
      <c r="AE676" s="4">
        <v>36225</v>
      </c>
      <c r="AF676" s="4">
        <v>13500</v>
      </c>
    </row>
    <row r="677" spans="1:32">
      <c r="A677" s="2" t="s">
        <v>1483</v>
      </c>
      <c r="B677" s="3">
        <v>46186</v>
      </c>
      <c r="C677" s="36" t="s">
        <v>1459</v>
      </c>
      <c r="D677" s="2">
        <f>MONTH(ProductionData[[#This Row],[Month]])</f>
        <v>6</v>
      </c>
      <c r="E677" s="2" t="s">
        <v>65</v>
      </c>
      <c r="F677" s="2" t="s">
        <v>66</v>
      </c>
      <c r="G677" s="2" t="s">
        <v>81</v>
      </c>
      <c r="H677" s="2" t="s">
        <v>82</v>
      </c>
      <c r="I677" s="2" t="s">
        <v>83</v>
      </c>
      <c r="J677" s="2" t="s">
        <v>84</v>
      </c>
      <c r="K677" s="2" t="s">
        <v>85</v>
      </c>
      <c r="L677" s="2" t="s">
        <v>1484</v>
      </c>
      <c r="M677" s="2" t="s">
        <v>73</v>
      </c>
      <c r="N677" s="2" t="s">
        <v>96</v>
      </c>
      <c r="O677" s="2">
        <v>18</v>
      </c>
      <c r="P677" s="2">
        <v>18</v>
      </c>
      <c r="Q677" s="4">
        <v>9760</v>
      </c>
      <c r="R677" s="4">
        <v>9560</v>
      </c>
      <c r="S677" s="4">
        <v>202</v>
      </c>
      <c r="T677" s="19">
        <f>(ProductionData[[#This Row],[Rejected_Qty]])/ProductionData[[#This Row],[Produced_Qty]]</f>
        <v>2.112970711297071E-2</v>
      </c>
      <c r="U677" s="19">
        <f>ProductionData[[#This Row],[Produced_Qty]]/ProductionData[[#This Row],[Planned_Qty]]</f>
        <v>0.97950819672131151</v>
      </c>
      <c r="V677" s="2" t="s">
        <v>75</v>
      </c>
      <c r="W677" s="11">
        <v>72</v>
      </c>
      <c r="X677" s="13">
        <f>W677/60</f>
        <v>1.2</v>
      </c>
      <c r="Y677" s="2" t="s">
        <v>136</v>
      </c>
      <c r="Z677" s="2">
        <v>18</v>
      </c>
      <c r="AA677" s="2">
        <f>ProductionData[[#This Row],[Rejected_Qty]]*ProductionData[[#This Row],[Unit_Cost_INR]]</f>
        <v>3636</v>
      </c>
      <c r="AB677" s="4">
        <v>36039</v>
      </c>
      <c r="AC677" s="4">
        <v>9190</v>
      </c>
      <c r="AD677" s="4">
        <v>9190</v>
      </c>
      <c r="AE677" s="4">
        <v>36207</v>
      </c>
      <c r="AF677" s="4">
        <v>15000</v>
      </c>
    </row>
    <row r="678" spans="1:32">
      <c r="A678" s="2" t="s">
        <v>1485</v>
      </c>
      <c r="B678" s="3">
        <v>46202</v>
      </c>
      <c r="C678" s="36" t="s">
        <v>1459</v>
      </c>
      <c r="D678" s="2">
        <f>MONTH(ProductionData[[#This Row],[Month]])</f>
        <v>6</v>
      </c>
      <c r="E678" s="2" t="s">
        <v>116</v>
      </c>
      <c r="F678" s="2" t="s">
        <v>66</v>
      </c>
      <c r="G678" s="2" t="s">
        <v>195</v>
      </c>
      <c r="H678" s="2" t="s">
        <v>196</v>
      </c>
      <c r="I678" s="2" t="s">
        <v>197</v>
      </c>
      <c r="J678" s="2" t="s">
        <v>198</v>
      </c>
      <c r="K678" s="2" t="s">
        <v>199</v>
      </c>
      <c r="L678" s="2" t="s">
        <v>1486</v>
      </c>
      <c r="M678" s="2" t="s">
        <v>73</v>
      </c>
      <c r="N678" s="2" t="s">
        <v>96</v>
      </c>
      <c r="O678" s="2">
        <v>14</v>
      </c>
      <c r="P678" s="2">
        <v>14</v>
      </c>
      <c r="Q678" s="4">
        <v>8350</v>
      </c>
      <c r="R678" s="4">
        <v>7690</v>
      </c>
      <c r="S678" s="4">
        <v>148</v>
      </c>
      <c r="T678" s="19">
        <f>(ProductionData[[#This Row],[Rejected_Qty]])/ProductionData[[#This Row],[Produced_Qty]]</f>
        <v>1.9245773732119636E-2</v>
      </c>
      <c r="U678" s="19">
        <f>ProductionData[[#This Row],[Produced_Qty]]/ProductionData[[#This Row],[Planned_Qty]]</f>
        <v>0.92095808383233535</v>
      </c>
      <c r="V678" s="2" t="s">
        <v>109</v>
      </c>
      <c r="W678" s="11">
        <v>0</v>
      </c>
      <c r="X678" s="13">
        <f>W678/60</f>
        <v>0</v>
      </c>
      <c r="Y678" s="2" t="s">
        <v>90</v>
      </c>
      <c r="Z678" s="2">
        <v>38</v>
      </c>
      <c r="AA678" s="2">
        <f>ProductionData[[#This Row],[Rejected_Qty]]*ProductionData[[#This Row],[Unit_Cost_INR]]</f>
        <v>5624</v>
      </c>
      <c r="AB678" s="4">
        <v>36580</v>
      </c>
      <c r="AC678" s="4">
        <v>7920</v>
      </c>
      <c r="AD678" s="4">
        <v>7920</v>
      </c>
      <c r="AE678" s="4">
        <v>36202</v>
      </c>
      <c r="AF678" s="4">
        <v>13500</v>
      </c>
    </row>
    <row r="679" spans="1:32">
      <c r="A679" s="2" t="s">
        <v>1487</v>
      </c>
      <c r="B679" s="3">
        <v>46184</v>
      </c>
      <c r="C679" s="36" t="s">
        <v>1459</v>
      </c>
      <c r="D679" s="2">
        <f>MONTH(ProductionData[[#This Row],[Month]])</f>
        <v>6</v>
      </c>
      <c r="E679" s="2" t="s">
        <v>107</v>
      </c>
      <c r="F679" s="2" t="s">
        <v>93</v>
      </c>
      <c r="G679" s="2" t="s">
        <v>81</v>
      </c>
      <c r="H679" s="2" t="s">
        <v>82</v>
      </c>
      <c r="I679" s="2" t="s">
        <v>83</v>
      </c>
      <c r="J679" s="2" t="s">
        <v>84</v>
      </c>
      <c r="K679" s="2" t="s">
        <v>85</v>
      </c>
      <c r="L679" s="2" t="s">
        <v>1488</v>
      </c>
      <c r="M679" s="2" t="s">
        <v>95</v>
      </c>
      <c r="N679" s="2" t="s">
        <v>96</v>
      </c>
      <c r="O679" s="2">
        <v>18</v>
      </c>
      <c r="P679" s="2">
        <v>15</v>
      </c>
      <c r="Q679" s="4">
        <v>9990</v>
      </c>
      <c r="R679" s="4">
        <v>8640</v>
      </c>
      <c r="S679" s="4">
        <v>204</v>
      </c>
      <c r="T679" s="19">
        <f>(ProductionData[[#This Row],[Rejected_Qty]])/ProductionData[[#This Row],[Produced_Qty]]</f>
        <v>2.361111111111111E-2</v>
      </c>
      <c r="U679" s="19">
        <f>ProductionData[[#This Row],[Produced_Qty]]/ProductionData[[#This Row],[Planned_Qty]]</f>
        <v>0.86486486486486491</v>
      </c>
      <c r="V679" s="2" t="s">
        <v>75</v>
      </c>
      <c r="W679" s="11">
        <v>0</v>
      </c>
      <c r="X679" s="13">
        <f>W679/60</f>
        <v>0</v>
      </c>
      <c r="Y679" s="2" t="s">
        <v>90</v>
      </c>
      <c r="Z679" s="2">
        <v>18</v>
      </c>
      <c r="AA679" s="2">
        <f>ProductionData[[#This Row],[Rejected_Qty]]*ProductionData[[#This Row],[Unit_Cost_INR]]</f>
        <v>3672</v>
      </c>
      <c r="AB679" s="4">
        <v>37734</v>
      </c>
      <c r="AC679" s="4">
        <v>10080</v>
      </c>
      <c r="AD679" s="4">
        <v>10080</v>
      </c>
      <c r="AE679" s="4">
        <v>36090</v>
      </c>
      <c r="AF679" s="4">
        <v>15000</v>
      </c>
    </row>
    <row r="680" spans="1:32">
      <c r="A680" s="2" t="s">
        <v>1489</v>
      </c>
      <c r="B680" s="3">
        <v>46181</v>
      </c>
      <c r="C680" s="36" t="s">
        <v>1459</v>
      </c>
      <c r="D680" s="2">
        <f>MONTH(ProductionData[[#This Row],[Month]])</f>
        <v>6</v>
      </c>
      <c r="E680" s="2" t="s">
        <v>116</v>
      </c>
      <c r="F680" s="2" t="s">
        <v>93</v>
      </c>
      <c r="G680" s="2" t="s">
        <v>81</v>
      </c>
      <c r="H680" s="2" t="s">
        <v>82</v>
      </c>
      <c r="I680" s="2" t="s">
        <v>83</v>
      </c>
      <c r="J680" s="2" t="s">
        <v>84</v>
      </c>
      <c r="K680" s="2" t="s">
        <v>85</v>
      </c>
      <c r="L680" s="2" t="s">
        <v>1490</v>
      </c>
      <c r="M680" s="2" t="s">
        <v>133</v>
      </c>
      <c r="N680" s="2" t="s">
        <v>88</v>
      </c>
      <c r="O680" s="2">
        <v>18</v>
      </c>
      <c r="P680" s="2">
        <v>17</v>
      </c>
      <c r="Q680" s="4">
        <v>10010</v>
      </c>
      <c r="R680" s="4">
        <v>8940</v>
      </c>
      <c r="S680" s="4">
        <v>181</v>
      </c>
      <c r="T680" s="19">
        <f>(ProductionData[[#This Row],[Rejected_Qty]])/ProductionData[[#This Row],[Produced_Qty]]</f>
        <v>2.0246085011185681E-2</v>
      </c>
      <c r="U680" s="19">
        <f>ProductionData[[#This Row],[Produced_Qty]]/ProductionData[[#This Row],[Planned_Qty]]</f>
        <v>0.89310689310689306</v>
      </c>
      <c r="V680" s="2" t="s">
        <v>103</v>
      </c>
      <c r="W680" s="11">
        <v>0</v>
      </c>
      <c r="X680" s="13">
        <f>W680/60</f>
        <v>0</v>
      </c>
      <c r="Y680" s="2" t="s">
        <v>90</v>
      </c>
      <c r="Z680" s="2">
        <v>18</v>
      </c>
      <c r="AA680" s="2">
        <f>ProductionData[[#This Row],[Rejected_Qty]]*ProductionData[[#This Row],[Unit_Cost_INR]]</f>
        <v>3258</v>
      </c>
      <c r="AB680" s="4">
        <v>36411</v>
      </c>
      <c r="AC680" s="4">
        <v>9120</v>
      </c>
      <c r="AD680" s="4">
        <v>9120</v>
      </c>
      <c r="AE680" s="4">
        <v>36050</v>
      </c>
      <c r="AF680" s="4">
        <v>15000</v>
      </c>
    </row>
    <row r="681" spans="1:32">
      <c r="A681" s="2" t="s">
        <v>1491</v>
      </c>
      <c r="B681" s="3">
        <v>46185</v>
      </c>
      <c r="C681" s="36" t="s">
        <v>1459</v>
      </c>
      <c r="D681" s="2">
        <f>MONTH(ProductionData[[#This Row],[Month]])</f>
        <v>6</v>
      </c>
      <c r="E681" s="2" t="s">
        <v>125</v>
      </c>
      <c r="F681" s="2" t="s">
        <v>80</v>
      </c>
      <c r="G681" s="2" t="s">
        <v>81</v>
      </c>
      <c r="H681" s="2" t="s">
        <v>82</v>
      </c>
      <c r="I681" s="2" t="s">
        <v>83</v>
      </c>
      <c r="J681" s="2" t="s">
        <v>84</v>
      </c>
      <c r="K681" s="2" t="s">
        <v>85</v>
      </c>
      <c r="L681" s="2" t="s">
        <v>1492</v>
      </c>
      <c r="M681" s="2" t="s">
        <v>102</v>
      </c>
      <c r="N681" s="2" t="s">
        <v>88</v>
      </c>
      <c r="O681" s="2">
        <v>18</v>
      </c>
      <c r="P681" s="2">
        <v>15</v>
      </c>
      <c r="Q681" s="4">
        <v>9340</v>
      </c>
      <c r="R681" s="4">
        <v>8530</v>
      </c>
      <c r="S681" s="4">
        <v>303</v>
      </c>
      <c r="T681" s="19">
        <f>(ProductionData[[#This Row],[Rejected_Qty]])/ProductionData[[#This Row],[Produced_Qty]]</f>
        <v>3.5521688159437279E-2</v>
      </c>
      <c r="U681" s="19">
        <f>ProductionData[[#This Row],[Produced_Qty]]/ProductionData[[#This Row],[Planned_Qty]]</f>
        <v>0.91327623126338331</v>
      </c>
      <c r="V681" s="2" t="s">
        <v>113</v>
      </c>
      <c r="W681" s="11">
        <v>35</v>
      </c>
      <c r="X681" s="13">
        <f>W681/60</f>
        <v>0.58333333333333337</v>
      </c>
      <c r="Y681" s="2" t="s">
        <v>259</v>
      </c>
      <c r="Z681" s="2">
        <v>18</v>
      </c>
      <c r="AA681" s="2">
        <f>ProductionData[[#This Row],[Rejected_Qty]]*ProductionData[[#This Row],[Unit_Cost_INR]]</f>
        <v>5454</v>
      </c>
      <c r="AB681" s="4">
        <v>36952</v>
      </c>
      <c r="AC681" s="4">
        <v>9140</v>
      </c>
      <c r="AD681" s="4">
        <v>9140</v>
      </c>
      <c r="AE681" s="4">
        <v>36039</v>
      </c>
      <c r="AF681" s="4">
        <v>15000</v>
      </c>
    </row>
    <row r="682" spans="1:32">
      <c r="A682" s="2" t="s">
        <v>1493</v>
      </c>
      <c r="B682" s="3">
        <v>46189</v>
      </c>
      <c r="C682" s="36" t="s">
        <v>1459</v>
      </c>
      <c r="D682" s="2">
        <f>MONTH(ProductionData[[#This Row],[Month]])</f>
        <v>6</v>
      </c>
      <c r="E682" s="2" t="s">
        <v>92</v>
      </c>
      <c r="F682" s="2" t="s">
        <v>93</v>
      </c>
      <c r="G682" s="2" t="s">
        <v>81</v>
      </c>
      <c r="H682" s="2" t="s">
        <v>82</v>
      </c>
      <c r="I682" s="2" t="s">
        <v>83</v>
      </c>
      <c r="J682" s="2" t="s">
        <v>84</v>
      </c>
      <c r="K682" s="2" t="s">
        <v>85</v>
      </c>
      <c r="L682" s="2" t="s">
        <v>1494</v>
      </c>
      <c r="M682" s="2" t="s">
        <v>95</v>
      </c>
      <c r="N682" s="2" t="s">
        <v>96</v>
      </c>
      <c r="O682" s="2">
        <v>18</v>
      </c>
      <c r="P682" s="2">
        <v>16</v>
      </c>
      <c r="Q682" s="4">
        <v>9070</v>
      </c>
      <c r="R682" s="4">
        <v>8180</v>
      </c>
      <c r="S682" s="4">
        <v>269</v>
      </c>
      <c r="T682" s="19">
        <f>(ProductionData[[#This Row],[Rejected_Qty]])/ProductionData[[#This Row],[Produced_Qty]]</f>
        <v>3.2885085574572127E-2</v>
      </c>
      <c r="U682" s="19">
        <f>ProductionData[[#This Row],[Produced_Qty]]/ProductionData[[#This Row],[Planned_Qty]]</f>
        <v>0.90187431091510473</v>
      </c>
      <c r="V682" s="2" t="s">
        <v>109</v>
      </c>
      <c r="W682" s="11">
        <v>0</v>
      </c>
      <c r="X682" s="13">
        <f>W682/60</f>
        <v>0</v>
      </c>
      <c r="Y682" s="2" t="s">
        <v>90</v>
      </c>
      <c r="Z682" s="2">
        <v>18</v>
      </c>
      <c r="AA682" s="2">
        <f>ProductionData[[#This Row],[Rejected_Qty]]*ProductionData[[#This Row],[Unit_Cost_INR]]</f>
        <v>4842</v>
      </c>
      <c r="AB682" s="4">
        <v>36451</v>
      </c>
      <c r="AC682" s="4">
        <v>8590</v>
      </c>
      <c r="AD682" s="4">
        <v>8590</v>
      </c>
      <c r="AE682" s="4">
        <v>35772</v>
      </c>
      <c r="AF682" s="4">
        <v>15000</v>
      </c>
    </row>
    <row r="683" spans="1:32">
      <c r="A683" s="2" t="s">
        <v>1495</v>
      </c>
      <c r="B683" s="3">
        <v>46190</v>
      </c>
      <c r="C683" s="36" t="s">
        <v>1459</v>
      </c>
      <c r="D683" s="2">
        <f>MONTH(ProductionData[[#This Row],[Month]])</f>
        <v>6</v>
      </c>
      <c r="E683" s="2" t="s">
        <v>79</v>
      </c>
      <c r="F683" s="2" t="s">
        <v>66</v>
      </c>
      <c r="G683" s="2" t="s">
        <v>81</v>
      </c>
      <c r="H683" s="2" t="s">
        <v>82</v>
      </c>
      <c r="I683" s="2" t="s">
        <v>83</v>
      </c>
      <c r="J683" s="2" t="s">
        <v>84</v>
      </c>
      <c r="K683" s="2" t="s">
        <v>85</v>
      </c>
      <c r="L683" s="2" t="s">
        <v>1496</v>
      </c>
      <c r="M683" s="2" t="s">
        <v>99</v>
      </c>
      <c r="N683" s="2" t="s">
        <v>88</v>
      </c>
      <c r="O683" s="2">
        <v>18</v>
      </c>
      <c r="P683" s="2">
        <v>18</v>
      </c>
      <c r="Q683" s="4">
        <v>9940</v>
      </c>
      <c r="R683" s="4">
        <v>9050</v>
      </c>
      <c r="S683" s="4">
        <v>336</v>
      </c>
      <c r="T683" s="19">
        <f>(ProductionData[[#This Row],[Rejected_Qty]])/ProductionData[[#This Row],[Produced_Qty]]</f>
        <v>3.7127071823204419E-2</v>
      </c>
      <c r="U683" s="19">
        <f>ProductionData[[#This Row],[Produced_Qty]]/ProductionData[[#This Row],[Planned_Qty]]</f>
        <v>0.91046277665995978</v>
      </c>
      <c r="V683" s="2" t="s">
        <v>103</v>
      </c>
      <c r="W683" s="11">
        <v>49</v>
      </c>
      <c r="X683" s="13">
        <f>W683/60</f>
        <v>0.81666666666666665</v>
      </c>
      <c r="Y683" s="2" t="s">
        <v>182</v>
      </c>
      <c r="Z683" s="2">
        <v>18</v>
      </c>
      <c r="AA683" s="2">
        <f>ProductionData[[#This Row],[Rejected_Qty]]*ProductionData[[#This Row],[Unit_Cost_INR]]</f>
        <v>6048</v>
      </c>
      <c r="AB683" s="4">
        <v>35772</v>
      </c>
      <c r="AC683" s="4">
        <v>9330</v>
      </c>
      <c r="AD683" s="4">
        <v>9330</v>
      </c>
      <c r="AE683" s="4">
        <v>35156</v>
      </c>
      <c r="AF683" s="4">
        <v>15000</v>
      </c>
    </row>
    <row r="684" spans="1:32">
      <c r="A684" s="2" t="s">
        <v>1497</v>
      </c>
      <c r="B684" s="3">
        <v>46176</v>
      </c>
      <c r="C684" s="36" t="s">
        <v>1459</v>
      </c>
      <c r="D684" s="2">
        <f>MONTH(ProductionData[[#This Row],[Month]])</f>
        <v>6</v>
      </c>
      <c r="E684" s="2" t="s">
        <v>79</v>
      </c>
      <c r="F684" s="2" t="s">
        <v>66</v>
      </c>
      <c r="G684" s="2" t="s">
        <v>81</v>
      </c>
      <c r="H684" s="2" t="s">
        <v>82</v>
      </c>
      <c r="I684" s="2" t="s">
        <v>83</v>
      </c>
      <c r="J684" s="2" t="s">
        <v>84</v>
      </c>
      <c r="K684" s="2" t="s">
        <v>85</v>
      </c>
      <c r="L684" s="2" t="s">
        <v>1498</v>
      </c>
      <c r="M684" s="2" t="s">
        <v>73</v>
      </c>
      <c r="N684" s="2" t="s">
        <v>88</v>
      </c>
      <c r="O684" s="2">
        <v>18</v>
      </c>
      <c r="P684" s="2">
        <v>17</v>
      </c>
      <c r="Q684" s="4">
        <v>10380</v>
      </c>
      <c r="R684" s="4">
        <v>10330</v>
      </c>
      <c r="S684" s="4">
        <v>344</v>
      </c>
      <c r="T684" s="19">
        <f>(ProductionData[[#This Row],[Rejected_Qty]])/ProductionData[[#This Row],[Produced_Qty]]</f>
        <v>3.3301064859632142E-2</v>
      </c>
      <c r="U684" s="19">
        <f>ProductionData[[#This Row],[Produced_Qty]]/ProductionData[[#This Row],[Planned_Qty]]</f>
        <v>0.99518304431599225</v>
      </c>
      <c r="V684" s="2" t="s">
        <v>89</v>
      </c>
      <c r="W684" s="11">
        <v>0</v>
      </c>
      <c r="X684" s="13">
        <f>W684/60</f>
        <v>0</v>
      </c>
      <c r="Y684" s="2" t="s">
        <v>90</v>
      </c>
      <c r="Z684" s="2">
        <v>18</v>
      </c>
      <c r="AA684" s="2">
        <f>ProductionData[[#This Row],[Rejected_Qty]]*ProductionData[[#This Row],[Unit_Cost_INR]]</f>
        <v>6192</v>
      </c>
      <c r="AB684" s="4">
        <v>33576</v>
      </c>
      <c r="AC684" s="4">
        <v>8690</v>
      </c>
      <c r="AD684" s="4">
        <v>8690</v>
      </c>
      <c r="AE684" s="4">
        <v>34872</v>
      </c>
      <c r="AF684" s="4">
        <v>15000</v>
      </c>
    </row>
    <row r="685" spans="1:32">
      <c r="A685" s="2" t="s">
        <v>1499</v>
      </c>
      <c r="B685" s="3">
        <v>46181</v>
      </c>
      <c r="C685" s="36" t="s">
        <v>1459</v>
      </c>
      <c r="D685" s="2">
        <f>MONTH(ProductionData[[#This Row],[Month]])</f>
        <v>6</v>
      </c>
      <c r="E685" s="2" t="s">
        <v>116</v>
      </c>
      <c r="F685" s="2" t="s">
        <v>66</v>
      </c>
      <c r="G685" s="2" t="s">
        <v>81</v>
      </c>
      <c r="H685" s="2" t="s">
        <v>82</v>
      </c>
      <c r="I685" s="2" t="s">
        <v>83</v>
      </c>
      <c r="J685" s="2" t="s">
        <v>84</v>
      </c>
      <c r="K685" s="2" t="s">
        <v>85</v>
      </c>
      <c r="L685" s="2" t="s">
        <v>1500</v>
      </c>
      <c r="M685" s="2" t="s">
        <v>99</v>
      </c>
      <c r="N685" s="2" t="s">
        <v>88</v>
      </c>
      <c r="O685" s="2">
        <v>18</v>
      </c>
      <c r="P685" s="2">
        <v>18</v>
      </c>
      <c r="Q685" s="4">
        <v>10710</v>
      </c>
      <c r="R685" s="4">
        <v>10050</v>
      </c>
      <c r="S685" s="4">
        <v>318</v>
      </c>
      <c r="T685" s="19">
        <f>(ProductionData[[#This Row],[Rejected_Qty]])/ProductionData[[#This Row],[Produced_Qty]]</f>
        <v>3.1641791044776123E-2</v>
      </c>
      <c r="U685" s="19">
        <f>ProductionData[[#This Row],[Produced_Qty]]/ProductionData[[#This Row],[Planned_Qty]]</f>
        <v>0.93837535014005602</v>
      </c>
      <c r="V685" s="2" t="s">
        <v>109</v>
      </c>
      <c r="W685" s="11">
        <v>0</v>
      </c>
      <c r="X685" s="13">
        <f>W685/60</f>
        <v>0</v>
      </c>
      <c r="Y685" s="2" t="s">
        <v>90</v>
      </c>
      <c r="Z685" s="2">
        <v>18</v>
      </c>
      <c r="AA685" s="2">
        <f>ProductionData[[#This Row],[Rejected_Qty]]*ProductionData[[#This Row],[Unit_Cost_INR]]</f>
        <v>5724</v>
      </c>
      <c r="AB685" s="4">
        <v>34093</v>
      </c>
      <c r="AC685" s="4">
        <v>9070</v>
      </c>
      <c r="AD685" s="4">
        <v>9070</v>
      </c>
      <c r="AE685" s="4">
        <v>34755</v>
      </c>
      <c r="AF685" s="4">
        <v>15000</v>
      </c>
    </row>
    <row r="686" spans="1:32">
      <c r="A686" s="2" t="s">
        <v>1501</v>
      </c>
      <c r="B686" s="3">
        <v>46199</v>
      </c>
      <c r="C686" s="36" t="s">
        <v>1459</v>
      </c>
      <c r="D686" s="2">
        <f>MONTH(ProductionData[[#This Row],[Month]])</f>
        <v>6</v>
      </c>
      <c r="E686" s="2" t="s">
        <v>125</v>
      </c>
      <c r="F686" s="2" t="s">
        <v>66</v>
      </c>
      <c r="G686" s="2" t="s">
        <v>195</v>
      </c>
      <c r="H686" s="2" t="s">
        <v>196</v>
      </c>
      <c r="I686" s="2" t="s">
        <v>197</v>
      </c>
      <c r="J686" s="2" t="s">
        <v>198</v>
      </c>
      <c r="K686" s="2" t="s">
        <v>199</v>
      </c>
      <c r="L686" s="2" t="s">
        <v>1502</v>
      </c>
      <c r="M686" s="2" t="s">
        <v>99</v>
      </c>
      <c r="N686" s="2" t="s">
        <v>88</v>
      </c>
      <c r="O686" s="2">
        <v>14</v>
      </c>
      <c r="P686" s="2">
        <v>14</v>
      </c>
      <c r="Q686" s="4">
        <v>8290</v>
      </c>
      <c r="R686" s="4">
        <v>8140</v>
      </c>
      <c r="S686" s="4">
        <v>99</v>
      </c>
      <c r="T686" s="19">
        <f>(ProductionData[[#This Row],[Rejected_Qty]])/ProductionData[[#This Row],[Produced_Qty]]</f>
        <v>1.2162162162162163E-2</v>
      </c>
      <c r="U686" s="19">
        <f>ProductionData[[#This Row],[Produced_Qty]]/ProductionData[[#This Row],[Planned_Qty]]</f>
        <v>0.98190591073582634</v>
      </c>
      <c r="V686" s="2" t="s">
        <v>109</v>
      </c>
      <c r="W686" s="11">
        <v>0</v>
      </c>
      <c r="X686" s="13">
        <f>W686/60</f>
        <v>0</v>
      </c>
      <c r="Y686" s="2" t="s">
        <v>90</v>
      </c>
      <c r="Z686" s="2">
        <v>38</v>
      </c>
      <c r="AA686" s="2">
        <f>ProductionData[[#This Row],[Rejected_Qty]]*ProductionData[[#This Row],[Unit_Cost_INR]]</f>
        <v>3762</v>
      </c>
      <c r="AB686" s="4">
        <v>34697</v>
      </c>
      <c r="AC686" s="4">
        <v>8020</v>
      </c>
      <c r="AD686" s="4">
        <v>8020</v>
      </c>
      <c r="AE686" s="4">
        <v>34718</v>
      </c>
      <c r="AF686" s="4">
        <v>13500</v>
      </c>
    </row>
    <row r="687" spans="1:32">
      <c r="A687" s="2" t="s">
        <v>1503</v>
      </c>
      <c r="B687" s="3">
        <v>46198</v>
      </c>
      <c r="C687" s="36" t="s">
        <v>1459</v>
      </c>
      <c r="D687" s="2">
        <f>MONTH(ProductionData[[#This Row],[Month]])</f>
        <v>6</v>
      </c>
      <c r="E687" s="2" t="s">
        <v>107</v>
      </c>
      <c r="F687" s="2" t="s">
        <v>66</v>
      </c>
      <c r="G687" s="2" t="s">
        <v>195</v>
      </c>
      <c r="H687" s="2" t="s">
        <v>196</v>
      </c>
      <c r="I687" s="2" t="s">
        <v>197</v>
      </c>
      <c r="J687" s="2" t="s">
        <v>198</v>
      </c>
      <c r="K687" s="2" t="s">
        <v>199</v>
      </c>
      <c r="L687" s="2" t="s">
        <v>1504</v>
      </c>
      <c r="M687" s="2" t="s">
        <v>73</v>
      </c>
      <c r="N687" s="2" t="s">
        <v>96</v>
      </c>
      <c r="O687" s="2">
        <v>14</v>
      </c>
      <c r="P687" s="2">
        <v>14</v>
      </c>
      <c r="Q687" s="4">
        <v>8580</v>
      </c>
      <c r="R687" s="4">
        <v>8410</v>
      </c>
      <c r="S687" s="4">
        <v>167</v>
      </c>
      <c r="T687" s="19">
        <f>(ProductionData[[#This Row],[Rejected_Qty]])/ProductionData[[#This Row],[Produced_Qty]]</f>
        <v>1.9857312722948869E-2</v>
      </c>
      <c r="U687" s="19">
        <f>ProductionData[[#This Row],[Produced_Qty]]/ProductionData[[#This Row],[Planned_Qty]]</f>
        <v>0.98018648018648014</v>
      </c>
      <c r="V687" s="2" t="s">
        <v>113</v>
      </c>
      <c r="W687" s="11">
        <v>0</v>
      </c>
      <c r="X687" s="13">
        <f>W687/60</f>
        <v>0</v>
      </c>
      <c r="Y687" s="2" t="s">
        <v>90</v>
      </c>
      <c r="Z687" s="2">
        <v>38</v>
      </c>
      <c r="AA687" s="2">
        <f>ProductionData[[#This Row],[Rejected_Qty]]*ProductionData[[#This Row],[Unit_Cost_INR]]</f>
        <v>6346</v>
      </c>
      <c r="AB687" s="4">
        <v>33454</v>
      </c>
      <c r="AC687" s="4">
        <v>7000</v>
      </c>
      <c r="AD687" s="4">
        <v>7000</v>
      </c>
      <c r="AE687" s="4">
        <v>34697</v>
      </c>
      <c r="AF687" s="4">
        <v>13500</v>
      </c>
    </row>
    <row r="688" spans="1:32">
      <c r="A688" s="2" t="s">
        <v>1505</v>
      </c>
      <c r="B688" s="3">
        <v>46179</v>
      </c>
      <c r="C688" s="36" t="s">
        <v>1459</v>
      </c>
      <c r="D688" s="2">
        <f>MONTH(ProductionData[[#This Row],[Month]])</f>
        <v>6</v>
      </c>
      <c r="E688" s="2" t="s">
        <v>65</v>
      </c>
      <c r="F688" s="2" t="s">
        <v>66</v>
      </c>
      <c r="G688" s="2" t="s">
        <v>81</v>
      </c>
      <c r="H688" s="2" t="s">
        <v>82</v>
      </c>
      <c r="I688" s="2" t="s">
        <v>83</v>
      </c>
      <c r="J688" s="2" t="s">
        <v>84</v>
      </c>
      <c r="K688" s="2" t="s">
        <v>85</v>
      </c>
      <c r="L688" s="2" t="s">
        <v>1506</v>
      </c>
      <c r="M688" s="2" t="s">
        <v>99</v>
      </c>
      <c r="N688" s="2" t="s">
        <v>88</v>
      </c>
      <c r="O688" s="2">
        <v>18</v>
      </c>
      <c r="P688" s="2">
        <v>18</v>
      </c>
      <c r="Q688" s="4">
        <v>10680</v>
      </c>
      <c r="R688" s="4">
        <v>10250</v>
      </c>
      <c r="S688" s="4">
        <v>210</v>
      </c>
      <c r="T688" s="19">
        <f>(ProductionData[[#This Row],[Rejected_Qty]])/ProductionData[[#This Row],[Produced_Qty]]</f>
        <v>2.0487804878048781E-2</v>
      </c>
      <c r="U688" s="19">
        <f>ProductionData[[#This Row],[Produced_Qty]]/ProductionData[[#This Row],[Planned_Qty]]</f>
        <v>0.95973782771535576</v>
      </c>
      <c r="V688" s="2" t="s">
        <v>75</v>
      </c>
      <c r="W688" s="11">
        <v>0</v>
      </c>
      <c r="X688" s="13">
        <f>W688/60</f>
        <v>0</v>
      </c>
      <c r="Y688" s="2" t="s">
        <v>90</v>
      </c>
      <c r="Z688" s="2">
        <v>18</v>
      </c>
      <c r="AA688" s="2">
        <f>ProductionData[[#This Row],[Rejected_Qty]]*ProductionData[[#This Row],[Unit_Cost_INR]]</f>
        <v>3780</v>
      </c>
      <c r="AB688" s="4">
        <v>34279</v>
      </c>
      <c r="AC688" s="4">
        <v>9680</v>
      </c>
      <c r="AD688" s="4">
        <v>9680</v>
      </c>
      <c r="AE688" s="4">
        <v>34639</v>
      </c>
      <c r="AF688" s="4">
        <v>15000</v>
      </c>
    </row>
    <row r="689" spans="1:32">
      <c r="A689" s="2" t="s">
        <v>1507</v>
      </c>
      <c r="B689" s="3">
        <v>46192</v>
      </c>
      <c r="C689" s="36" t="s">
        <v>1459</v>
      </c>
      <c r="D689" s="2">
        <f>MONTH(ProductionData[[#This Row],[Month]])</f>
        <v>6</v>
      </c>
      <c r="E689" s="2" t="s">
        <v>125</v>
      </c>
      <c r="F689" s="2" t="s">
        <v>66</v>
      </c>
      <c r="G689" s="2" t="s">
        <v>81</v>
      </c>
      <c r="H689" s="2" t="s">
        <v>82</v>
      </c>
      <c r="I689" s="2" t="s">
        <v>83</v>
      </c>
      <c r="J689" s="2" t="s">
        <v>84</v>
      </c>
      <c r="K689" s="2" t="s">
        <v>85</v>
      </c>
      <c r="L689" s="2" t="s">
        <v>1508</v>
      </c>
      <c r="M689" s="2" t="s">
        <v>73</v>
      </c>
      <c r="N689" s="2" t="s">
        <v>88</v>
      </c>
      <c r="O689" s="2">
        <v>18</v>
      </c>
      <c r="P689" s="2">
        <v>17</v>
      </c>
      <c r="Q689" s="4">
        <v>9390</v>
      </c>
      <c r="R689" s="4">
        <v>8230</v>
      </c>
      <c r="S689" s="4">
        <v>164</v>
      </c>
      <c r="T689" s="19">
        <f>(ProductionData[[#This Row],[Rejected_Qty]])/ProductionData[[#This Row],[Produced_Qty]]</f>
        <v>1.9927095990279465E-2</v>
      </c>
      <c r="U689" s="19">
        <f>ProductionData[[#This Row],[Produced_Qty]]/ProductionData[[#This Row],[Planned_Qty]]</f>
        <v>0.87646432374866878</v>
      </c>
      <c r="V689" s="2" t="s">
        <v>89</v>
      </c>
      <c r="W689" s="11">
        <v>45</v>
      </c>
      <c r="X689" s="13">
        <f>W689/60</f>
        <v>0.75</v>
      </c>
      <c r="Y689" s="2" t="s">
        <v>76</v>
      </c>
      <c r="Z689" s="2">
        <v>18</v>
      </c>
      <c r="AA689" s="2">
        <f>ProductionData[[#This Row],[Rejected_Qty]]*ProductionData[[#This Row],[Unit_Cost_INR]]</f>
        <v>2952</v>
      </c>
      <c r="AB689" s="4">
        <v>35156</v>
      </c>
      <c r="AC689" s="4">
        <v>8810</v>
      </c>
      <c r="AD689" s="4">
        <v>8810</v>
      </c>
      <c r="AE689" s="4">
        <v>34412</v>
      </c>
      <c r="AF689" s="4">
        <v>15000</v>
      </c>
    </row>
    <row r="690" spans="1:32">
      <c r="A690" s="2" t="s">
        <v>1509</v>
      </c>
      <c r="B690" s="3">
        <v>46178</v>
      </c>
      <c r="C690" s="36" t="s">
        <v>1459</v>
      </c>
      <c r="D690" s="2">
        <f>MONTH(ProductionData[[#This Row],[Month]])</f>
        <v>6</v>
      </c>
      <c r="E690" s="2" t="s">
        <v>125</v>
      </c>
      <c r="F690" s="2" t="s">
        <v>80</v>
      </c>
      <c r="G690" s="2" t="s">
        <v>81</v>
      </c>
      <c r="H690" s="2" t="s">
        <v>82</v>
      </c>
      <c r="I690" s="2" t="s">
        <v>83</v>
      </c>
      <c r="J690" s="2" t="s">
        <v>84</v>
      </c>
      <c r="K690" s="2" t="s">
        <v>85</v>
      </c>
      <c r="L690" s="2" t="s">
        <v>1510</v>
      </c>
      <c r="M690" s="2" t="s">
        <v>87</v>
      </c>
      <c r="N690" s="2" t="s">
        <v>88</v>
      </c>
      <c r="O690" s="2">
        <v>18</v>
      </c>
      <c r="P690" s="2">
        <v>18</v>
      </c>
      <c r="Q690" s="4">
        <v>9930</v>
      </c>
      <c r="R690" s="4">
        <v>9380</v>
      </c>
      <c r="S690" s="4">
        <v>313</v>
      </c>
      <c r="T690" s="19">
        <f>(ProductionData[[#This Row],[Rejected_Qty]])/ProductionData[[#This Row],[Produced_Qty]]</f>
        <v>3.3368869936034114E-2</v>
      </c>
      <c r="U690" s="19">
        <f>ProductionData[[#This Row],[Produced_Qty]]/ProductionData[[#This Row],[Planned_Qty]]</f>
        <v>0.94461228600201408</v>
      </c>
      <c r="V690" s="2" t="s">
        <v>113</v>
      </c>
      <c r="W690" s="11">
        <v>0</v>
      </c>
      <c r="X690" s="13">
        <f>W690/60</f>
        <v>0</v>
      </c>
      <c r="Y690" s="2" t="s">
        <v>90</v>
      </c>
      <c r="Z690" s="2">
        <v>18</v>
      </c>
      <c r="AA690" s="2">
        <f>ProductionData[[#This Row],[Rejected_Qty]]*ProductionData[[#This Row],[Unit_Cost_INR]]</f>
        <v>5634</v>
      </c>
      <c r="AB690" s="4">
        <v>34872</v>
      </c>
      <c r="AC690" s="4">
        <v>9660</v>
      </c>
      <c r="AD690" s="4">
        <v>9660</v>
      </c>
      <c r="AE690" s="4">
        <v>34279</v>
      </c>
      <c r="AF690" s="4">
        <v>15000</v>
      </c>
    </row>
    <row r="691" spans="1:32">
      <c r="A691" s="2" t="s">
        <v>1511</v>
      </c>
      <c r="B691" s="3">
        <v>46203</v>
      </c>
      <c r="C691" s="36" t="s">
        <v>1459</v>
      </c>
      <c r="D691" s="2">
        <f>MONTH(ProductionData[[#This Row],[Month]])</f>
        <v>6</v>
      </c>
      <c r="E691" s="2" t="s">
        <v>92</v>
      </c>
      <c r="F691" s="2" t="s">
        <v>80</v>
      </c>
      <c r="G691" s="2" t="s">
        <v>81</v>
      </c>
      <c r="H691" s="2" t="s">
        <v>82</v>
      </c>
      <c r="I691" s="2" t="s">
        <v>83</v>
      </c>
      <c r="J691" s="2" t="s">
        <v>84</v>
      </c>
      <c r="K691" s="2" t="s">
        <v>85</v>
      </c>
      <c r="L691" s="2" t="s">
        <v>1512</v>
      </c>
      <c r="M691" s="2" t="s">
        <v>87</v>
      </c>
      <c r="N691" s="2" t="s">
        <v>88</v>
      </c>
      <c r="O691" s="2">
        <v>18</v>
      </c>
      <c r="P691" s="2">
        <v>15</v>
      </c>
      <c r="Q691" s="4">
        <v>9950</v>
      </c>
      <c r="R691" s="4">
        <v>9170</v>
      </c>
      <c r="S691" s="4">
        <v>311</v>
      </c>
      <c r="T691" s="19">
        <f>(ProductionData[[#This Row],[Rejected_Qty]])/ProductionData[[#This Row],[Produced_Qty]]</f>
        <v>3.3914940021810253E-2</v>
      </c>
      <c r="U691" s="19">
        <f>ProductionData[[#This Row],[Produced_Qty]]/ProductionData[[#This Row],[Planned_Qty]]</f>
        <v>0.92160804020100506</v>
      </c>
      <c r="V691" s="2" t="s">
        <v>103</v>
      </c>
      <c r="W691" s="11">
        <v>28</v>
      </c>
      <c r="X691" s="13">
        <f>W691/60</f>
        <v>0.46666666666666667</v>
      </c>
      <c r="Y691" s="2" t="s">
        <v>110</v>
      </c>
      <c r="Z691" s="2">
        <v>18</v>
      </c>
      <c r="AA691" s="2">
        <f>ProductionData[[#This Row],[Rejected_Qty]]*ProductionData[[#This Row],[Unit_Cost_INR]]</f>
        <v>5598</v>
      </c>
      <c r="AB691" s="4">
        <v>33881</v>
      </c>
      <c r="AC691" s="4">
        <v>8530</v>
      </c>
      <c r="AD691" s="4">
        <v>8530</v>
      </c>
      <c r="AE691" s="4">
        <v>34210</v>
      </c>
      <c r="AF691" s="4">
        <v>15000</v>
      </c>
    </row>
    <row r="692" spans="1:32">
      <c r="A692" s="2" t="s">
        <v>1513</v>
      </c>
      <c r="B692" s="3">
        <v>46179</v>
      </c>
      <c r="C692" s="36" t="s">
        <v>1459</v>
      </c>
      <c r="D692" s="2">
        <f>MONTH(ProductionData[[#This Row],[Month]])</f>
        <v>6</v>
      </c>
      <c r="E692" s="2" t="s">
        <v>65</v>
      </c>
      <c r="F692" s="2" t="s">
        <v>93</v>
      </c>
      <c r="G692" s="2" t="s">
        <v>81</v>
      </c>
      <c r="H692" s="2" t="s">
        <v>82</v>
      </c>
      <c r="I692" s="2" t="s">
        <v>83</v>
      </c>
      <c r="J692" s="2" t="s">
        <v>84</v>
      </c>
      <c r="K692" s="2" t="s">
        <v>85</v>
      </c>
      <c r="L692" s="2" t="s">
        <v>1514</v>
      </c>
      <c r="M692" s="2" t="s">
        <v>95</v>
      </c>
      <c r="N692" s="2" t="s">
        <v>88</v>
      </c>
      <c r="O692" s="2">
        <v>18</v>
      </c>
      <c r="P692" s="2">
        <v>17</v>
      </c>
      <c r="Q692" s="4">
        <v>8740</v>
      </c>
      <c r="R692" s="4">
        <v>8340</v>
      </c>
      <c r="S692" s="4">
        <v>236</v>
      </c>
      <c r="T692" s="19">
        <f>(ProductionData[[#This Row],[Rejected_Qty]])/ProductionData[[#This Row],[Produced_Qty]]</f>
        <v>2.8297362110311752E-2</v>
      </c>
      <c r="U692" s="19">
        <f>ProductionData[[#This Row],[Produced_Qty]]/ProductionData[[#This Row],[Planned_Qty]]</f>
        <v>0.95423340961098402</v>
      </c>
      <c r="V692" s="2" t="s">
        <v>103</v>
      </c>
      <c r="W692" s="11">
        <v>46</v>
      </c>
      <c r="X692" s="13">
        <f>W692/60</f>
        <v>0.76666666666666672</v>
      </c>
      <c r="Y692" s="2" t="s">
        <v>114</v>
      </c>
      <c r="Z692" s="2">
        <v>18</v>
      </c>
      <c r="AA692" s="2">
        <f>ProductionData[[#This Row],[Rejected_Qty]]*ProductionData[[#This Row],[Unit_Cost_INR]]</f>
        <v>4248</v>
      </c>
      <c r="AB692" s="4">
        <v>34639</v>
      </c>
      <c r="AC692" s="4">
        <v>8650</v>
      </c>
      <c r="AD692" s="4">
        <v>8650</v>
      </c>
      <c r="AE692" s="4">
        <v>34093</v>
      </c>
      <c r="AF692" s="4">
        <v>15000</v>
      </c>
    </row>
    <row r="693" spans="1:32">
      <c r="A693" s="2" t="s">
        <v>1515</v>
      </c>
      <c r="B693" s="3">
        <v>46202</v>
      </c>
      <c r="C693" s="36" t="s">
        <v>1459</v>
      </c>
      <c r="D693" s="2">
        <f>MONTH(ProductionData[[#This Row],[Month]])</f>
        <v>6</v>
      </c>
      <c r="E693" s="2" t="s">
        <v>116</v>
      </c>
      <c r="F693" s="2" t="s">
        <v>66</v>
      </c>
      <c r="G693" s="2" t="s">
        <v>81</v>
      </c>
      <c r="H693" s="2" t="s">
        <v>82</v>
      </c>
      <c r="I693" s="2" t="s">
        <v>83</v>
      </c>
      <c r="J693" s="2" t="s">
        <v>84</v>
      </c>
      <c r="K693" s="2" t="s">
        <v>85</v>
      </c>
      <c r="L693" s="2" t="s">
        <v>1516</v>
      </c>
      <c r="M693" s="2" t="s">
        <v>73</v>
      </c>
      <c r="N693" s="2" t="s">
        <v>88</v>
      </c>
      <c r="O693" s="2">
        <v>18</v>
      </c>
      <c r="P693" s="2">
        <v>18</v>
      </c>
      <c r="Q693" s="4">
        <v>10230</v>
      </c>
      <c r="R693" s="4">
        <v>9970</v>
      </c>
      <c r="S693" s="4">
        <v>280</v>
      </c>
      <c r="T693" s="19">
        <f>(ProductionData[[#This Row],[Rejected_Qty]])/ProductionData[[#This Row],[Produced_Qty]]</f>
        <v>2.8084252758274825E-2</v>
      </c>
      <c r="U693" s="19">
        <f>ProductionData[[#This Row],[Produced_Qty]]/ProductionData[[#This Row],[Planned_Qty]]</f>
        <v>0.97458455522971654</v>
      </c>
      <c r="V693" s="2" t="s">
        <v>103</v>
      </c>
      <c r="W693" s="11">
        <v>0</v>
      </c>
      <c r="X693" s="13">
        <f>W693/60</f>
        <v>0</v>
      </c>
      <c r="Y693" s="2" t="s">
        <v>90</v>
      </c>
      <c r="Z693" s="2">
        <v>18</v>
      </c>
      <c r="AA693" s="2">
        <f>ProductionData[[#This Row],[Rejected_Qty]]*ProductionData[[#This Row],[Unit_Cost_INR]]</f>
        <v>5040</v>
      </c>
      <c r="AB693" s="4">
        <v>32721</v>
      </c>
      <c r="AC693" s="4">
        <v>8530</v>
      </c>
      <c r="AD693" s="4">
        <v>8530</v>
      </c>
      <c r="AE693" s="4">
        <v>33881</v>
      </c>
      <c r="AF693" s="4">
        <v>15000</v>
      </c>
    </row>
    <row r="694" spans="1:32">
      <c r="A694" s="2" t="s">
        <v>1517</v>
      </c>
      <c r="B694" s="3">
        <v>46193</v>
      </c>
      <c r="C694" s="36" t="s">
        <v>1459</v>
      </c>
      <c r="D694" s="2">
        <f>MONTH(ProductionData[[#This Row],[Month]])</f>
        <v>6</v>
      </c>
      <c r="E694" s="2" t="s">
        <v>65</v>
      </c>
      <c r="F694" s="2" t="s">
        <v>80</v>
      </c>
      <c r="G694" s="2" t="s">
        <v>81</v>
      </c>
      <c r="H694" s="2" t="s">
        <v>82</v>
      </c>
      <c r="I694" s="2" t="s">
        <v>83</v>
      </c>
      <c r="J694" s="2" t="s">
        <v>84</v>
      </c>
      <c r="K694" s="2" t="s">
        <v>85</v>
      </c>
      <c r="L694" s="2" t="s">
        <v>1518</v>
      </c>
      <c r="M694" s="2" t="s">
        <v>87</v>
      </c>
      <c r="N694" s="2" t="s">
        <v>88</v>
      </c>
      <c r="O694" s="2">
        <v>18</v>
      </c>
      <c r="P694" s="2">
        <v>17</v>
      </c>
      <c r="Q694" s="4">
        <v>9500</v>
      </c>
      <c r="R694" s="4">
        <v>8790</v>
      </c>
      <c r="S694" s="4">
        <v>222</v>
      </c>
      <c r="T694" s="19">
        <f>(ProductionData[[#This Row],[Rejected_Qty]])/ProductionData[[#This Row],[Produced_Qty]]</f>
        <v>2.5255972696245733E-2</v>
      </c>
      <c r="U694" s="19">
        <f>ProductionData[[#This Row],[Produced_Qty]]/ProductionData[[#This Row],[Planned_Qty]]</f>
        <v>0.92526315789473679</v>
      </c>
      <c r="V694" s="2" t="s">
        <v>89</v>
      </c>
      <c r="W694" s="11">
        <v>71</v>
      </c>
      <c r="X694" s="13">
        <f>W694/60</f>
        <v>1.1833333333333333</v>
      </c>
      <c r="Y694" s="2" t="s">
        <v>136</v>
      </c>
      <c r="Z694" s="2">
        <v>18</v>
      </c>
      <c r="AA694" s="2">
        <f>ProductionData[[#This Row],[Rejected_Qty]]*ProductionData[[#This Row],[Unit_Cost_INR]]</f>
        <v>3996</v>
      </c>
      <c r="AB694" s="4">
        <v>34412</v>
      </c>
      <c r="AC694" s="4">
        <v>9210</v>
      </c>
      <c r="AD694" s="4">
        <v>9210</v>
      </c>
      <c r="AE694" s="4">
        <v>33770</v>
      </c>
      <c r="AF694" s="4">
        <v>15000</v>
      </c>
    </row>
    <row r="695" spans="1:32">
      <c r="A695" s="2" t="s">
        <v>1519</v>
      </c>
      <c r="B695" s="3">
        <v>46174</v>
      </c>
      <c r="C695" s="36" t="s">
        <v>1459</v>
      </c>
      <c r="D695" s="2">
        <f>MONTH(ProductionData[[#This Row],[Month]])</f>
        <v>6</v>
      </c>
      <c r="E695" s="2" t="s">
        <v>116</v>
      </c>
      <c r="F695" s="2" t="s">
        <v>80</v>
      </c>
      <c r="G695" s="2" t="s">
        <v>81</v>
      </c>
      <c r="H695" s="2" t="s">
        <v>82</v>
      </c>
      <c r="I695" s="2" t="s">
        <v>83</v>
      </c>
      <c r="J695" s="2" t="s">
        <v>84</v>
      </c>
      <c r="K695" s="2" t="s">
        <v>85</v>
      </c>
      <c r="L695" s="2" t="s">
        <v>1520</v>
      </c>
      <c r="M695" s="2" t="s">
        <v>87</v>
      </c>
      <c r="N695" s="2" t="s">
        <v>88</v>
      </c>
      <c r="O695" s="2">
        <v>18</v>
      </c>
      <c r="P695" s="2">
        <v>15</v>
      </c>
      <c r="Q695" s="4">
        <v>10170</v>
      </c>
      <c r="R695" s="4">
        <v>8990</v>
      </c>
      <c r="S695" s="4">
        <v>222</v>
      </c>
      <c r="T695" s="19">
        <f>(ProductionData[[#This Row],[Rejected_Qty]])/ProductionData[[#This Row],[Produced_Qty]]</f>
        <v>2.4694104560622914E-2</v>
      </c>
      <c r="U695" s="19">
        <f>ProductionData[[#This Row],[Produced_Qty]]/ProductionData[[#This Row],[Planned_Qty]]</f>
        <v>0.88397246804326446</v>
      </c>
      <c r="V695" s="2" t="s">
        <v>113</v>
      </c>
      <c r="W695" s="11">
        <v>0</v>
      </c>
      <c r="X695" s="13">
        <f>W695/60</f>
        <v>0</v>
      </c>
      <c r="Y695" s="2" t="s">
        <v>90</v>
      </c>
      <c r="Z695" s="2">
        <v>18</v>
      </c>
      <c r="AA695" s="2">
        <f>ProductionData[[#This Row],[Rejected_Qty]]*ProductionData[[#This Row],[Unit_Cost_INR]]</f>
        <v>3996</v>
      </c>
      <c r="AB695" s="4">
        <v>33908</v>
      </c>
      <c r="AC695" s="4">
        <v>9100</v>
      </c>
      <c r="AD695" s="4">
        <v>9100</v>
      </c>
      <c r="AE695" s="4">
        <v>33576</v>
      </c>
      <c r="AF695" s="4">
        <v>15000</v>
      </c>
    </row>
    <row r="696" spans="1:32">
      <c r="A696" s="2" t="s">
        <v>1521</v>
      </c>
      <c r="B696" s="3">
        <v>46198</v>
      </c>
      <c r="C696" s="36" t="s">
        <v>1459</v>
      </c>
      <c r="D696" s="2">
        <f>MONTH(ProductionData[[#This Row],[Month]])</f>
        <v>6</v>
      </c>
      <c r="E696" s="2" t="s">
        <v>107</v>
      </c>
      <c r="F696" s="2" t="s">
        <v>66</v>
      </c>
      <c r="G696" s="2" t="s">
        <v>67</v>
      </c>
      <c r="H696" s="2" t="s">
        <v>68</v>
      </c>
      <c r="I696" s="2" t="s">
        <v>69</v>
      </c>
      <c r="J696" s="2" t="s">
        <v>70</v>
      </c>
      <c r="K696" s="2" t="s">
        <v>71</v>
      </c>
      <c r="L696" s="2" t="s">
        <v>1522</v>
      </c>
      <c r="M696" s="2" t="s">
        <v>73</v>
      </c>
      <c r="N696" s="2" t="s">
        <v>88</v>
      </c>
      <c r="O696" s="2">
        <v>16</v>
      </c>
      <c r="P696" s="2">
        <v>16</v>
      </c>
      <c r="Q696" s="4">
        <v>5860</v>
      </c>
      <c r="R696" s="4">
        <v>5510</v>
      </c>
      <c r="S696" s="4">
        <v>173</v>
      </c>
      <c r="T696" s="19">
        <f>(ProductionData[[#This Row],[Rejected_Qty]])/ProductionData[[#This Row],[Produced_Qty]]</f>
        <v>3.1397459165154268E-2</v>
      </c>
      <c r="U696" s="19">
        <f>ProductionData[[#This Row],[Produced_Qty]]/ProductionData[[#This Row],[Planned_Qty]]</f>
        <v>0.94027303754266212</v>
      </c>
      <c r="V696" s="2" t="s">
        <v>109</v>
      </c>
      <c r="W696" s="11">
        <v>0</v>
      </c>
      <c r="X696" s="13">
        <f>W696/60</f>
        <v>0</v>
      </c>
      <c r="Y696" s="2" t="s">
        <v>90</v>
      </c>
      <c r="Z696" s="2">
        <v>46</v>
      </c>
      <c r="AA696" s="2">
        <f>ProductionData[[#This Row],[Rejected_Qty]]*ProductionData[[#This Row],[Unit_Cost_INR]]</f>
        <v>7958</v>
      </c>
      <c r="AB696" s="4">
        <v>33248</v>
      </c>
      <c r="AC696" s="4">
        <v>5080</v>
      </c>
      <c r="AD696" s="4">
        <v>5080</v>
      </c>
      <c r="AE696" s="4">
        <v>33505</v>
      </c>
      <c r="AF696" s="4">
        <v>10500</v>
      </c>
    </row>
    <row r="697" spans="1:32">
      <c r="A697" s="2" t="s">
        <v>1523</v>
      </c>
      <c r="B697" s="3">
        <v>46196</v>
      </c>
      <c r="C697" s="36" t="s">
        <v>1459</v>
      </c>
      <c r="D697" s="2">
        <f>MONTH(ProductionData[[#This Row],[Month]])</f>
        <v>6</v>
      </c>
      <c r="E697" s="2" t="s">
        <v>92</v>
      </c>
      <c r="F697" s="2" t="s">
        <v>66</v>
      </c>
      <c r="G697" s="2" t="s">
        <v>67</v>
      </c>
      <c r="H697" s="2" t="s">
        <v>68</v>
      </c>
      <c r="I697" s="2" t="s">
        <v>69</v>
      </c>
      <c r="J697" s="2" t="s">
        <v>70</v>
      </c>
      <c r="K697" s="2" t="s">
        <v>71</v>
      </c>
      <c r="L697" s="2" t="s">
        <v>1524</v>
      </c>
      <c r="M697" s="2" t="s">
        <v>99</v>
      </c>
      <c r="N697" s="2" t="s">
        <v>96</v>
      </c>
      <c r="O697" s="2">
        <v>16</v>
      </c>
      <c r="P697" s="2">
        <v>15</v>
      </c>
      <c r="Q697" s="4">
        <v>5640</v>
      </c>
      <c r="R697" s="4">
        <v>5450</v>
      </c>
      <c r="S697" s="4">
        <v>156</v>
      </c>
      <c r="T697" s="19">
        <f>(ProductionData[[#This Row],[Rejected_Qty]])/ProductionData[[#This Row],[Produced_Qty]]</f>
        <v>2.8623853211009173E-2</v>
      </c>
      <c r="U697" s="19">
        <f>ProductionData[[#This Row],[Produced_Qty]]/ProductionData[[#This Row],[Planned_Qty]]</f>
        <v>0.96631205673758869</v>
      </c>
      <c r="V697" s="2" t="s">
        <v>113</v>
      </c>
      <c r="W697" s="11">
        <v>0</v>
      </c>
      <c r="X697" s="13">
        <f>W697/60</f>
        <v>0</v>
      </c>
      <c r="Y697" s="2" t="s">
        <v>90</v>
      </c>
      <c r="Z697" s="2">
        <v>46</v>
      </c>
      <c r="AA697" s="2">
        <f>ProductionData[[#This Row],[Rejected_Qty]]*ProductionData[[#This Row],[Unit_Cost_INR]]</f>
        <v>7176</v>
      </c>
      <c r="AB697" s="4">
        <v>33369</v>
      </c>
      <c r="AC697" s="4">
        <v>5170</v>
      </c>
      <c r="AD697" s="4">
        <v>5170</v>
      </c>
      <c r="AE697" s="4">
        <v>33493</v>
      </c>
      <c r="AF697" s="4">
        <v>10500</v>
      </c>
    </row>
    <row r="698" spans="1:32">
      <c r="A698" s="2" t="s">
        <v>1525</v>
      </c>
      <c r="B698" s="3">
        <v>46197</v>
      </c>
      <c r="C698" s="36" t="s">
        <v>1459</v>
      </c>
      <c r="D698" s="2">
        <f>MONTH(ProductionData[[#This Row],[Month]])</f>
        <v>6</v>
      </c>
      <c r="E698" s="2" t="s">
        <v>79</v>
      </c>
      <c r="F698" s="2" t="s">
        <v>80</v>
      </c>
      <c r="G698" s="2" t="s">
        <v>195</v>
      </c>
      <c r="H698" s="2" t="s">
        <v>196</v>
      </c>
      <c r="I698" s="2" t="s">
        <v>197</v>
      </c>
      <c r="J698" s="2" t="s">
        <v>198</v>
      </c>
      <c r="K698" s="2" t="s">
        <v>199</v>
      </c>
      <c r="L698" s="2" t="s">
        <v>1526</v>
      </c>
      <c r="M698" s="2" t="s">
        <v>87</v>
      </c>
      <c r="N698" s="2" t="s">
        <v>96</v>
      </c>
      <c r="O698" s="2">
        <v>14</v>
      </c>
      <c r="P698" s="2">
        <v>13</v>
      </c>
      <c r="Q698" s="4">
        <v>9460</v>
      </c>
      <c r="R698" s="4">
        <v>9110</v>
      </c>
      <c r="S698" s="4">
        <v>218</v>
      </c>
      <c r="T698" s="19">
        <f>(ProductionData[[#This Row],[Rejected_Qty]])/ProductionData[[#This Row],[Produced_Qty]]</f>
        <v>2.3929747530186608E-2</v>
      </c>
      <c r="U698" s="19">
        <f>ProductionData[[#This Row],[Produced_Qty]]/ProductionData[[#This Row],[Planned_Qty]]</f>
        <v>0.96300211416490489</v>
      </c>
      <c r="V698" s="2" t="s">
        <v>109</v>
      </c>
      <c r="W698" s="11">
        <v>52</v>
      </c>
      <c r="X698" s="13">
        <f>W698/60</f>
        <v>0.8666666666666667</v>
      </c>
      <c r="Y698" s="2" t="s">
        <v>136</v>
      </c>
      <c r="Z698" s="2">
        <v>38</v>
      </c>
      <c r="AA698" s="2">
        <f>ProductionData[[#This Row],[Rejected_Qty]]*ProductionData[[#This Row],[Unit_Cost_INR]]</f>
        <v>8284</v>
      </c>
      <c r="AB698" s="4">
        <v>33012</v>
      </c>
      <c r="AC698" s="4">
        <v>8450</v>
      </c>
      <c r="AD698" s="4">
        <v>8450</v>
      </c>
      <c r="AE698" s="4">
        <v>33454</v>
      </c>
      <c r="AF698" s="4">
        <v>13500</v>
      </c>
    </row>
    <row r="699" spans="1:32">
      <c r="A699" s="2" t="s">
        <v>1527</v>
      </c>
      <c r="B699" s="3">
        <v>46194</v>
      </c>
      <c r="C699" s="36" t="s">
        <v>1459</v>
      </c>
      <c r="D699" s="2">
        <f>MONTH(ProductionData[[#This Row],[Month]])</f>
        <v>6</v>
      </c>
      <c r="E699" s="2" t="s">
        <v>186</v>
      </c>
      <c r="F699" s="2" t="s">
        <v>80</v>
      </c>
      <c r="G699" s="2" t="s">
        <v>67</v>
      </c>
      <c r="H699" s="2" t="s">
        <v>68</v>
      </c>
      <c r="I699" s="2" t="s">
        <v>69</v>
      </c>
      <c r="J699" s="2" t="s">
        <v>70</v>
      </c>
      <c r="K699" s="2" t="s">
        <v>71</v>
      </c>
      <c r="L699" s="2" t="s">
        <v>1528</v>
      </c>
      <c r="M699" s="2" t="s">
        <v>102</v>
      </c>
      <c r="N699" s="2" t="s">
        <v>88</v>
      </c>
      <c r="O699" s="2">
        <v>16</v>
      </c>
      <c r="P699" s="2">
        <v>14</v>
      </c>
      <c r="Q699" s="4">
        <v>4250</v>
      </c>
      <c r="R699" s="4">
        <v>4160</v>
      </c>
      <c r="S699" s="4">
        <v>46</v>
      </c>
      <c r="T699" s="19">
        <f>(ProductionData[[#This Row],[Rejected_Qty]])/ProductionData[[#This Row],[Produced_Qty]]</f>
        <v>1.1057692307692308E-2</v>
      </c>
      <c r="U699" s="19">
        <f>ProductionData[[#This Row],[Produced_Qty]]/ProductionData[[#This Row],[Planned_Qty]]</f>
        <v>0.97882352941176476</v>
      </c>
      <c r="V699" s="2" t="s">
        <v>113</v>
      </c>
      <c r="W699" s="11">
        <v>19</v>
      </c>
      <c r="X699" s="13">
        <f>W699/60</f>
        <v>0.31666666666666665</v>
      </c>
      <c r="Y699" s="2" t="s">
        <v>136</v>
      </c>
      <c r="Z699" s="2">
        <v>46</v>
      </c>
      <c r="AA699" s="2">
        <f>ProductionData[[#This Row],[Rejected_Qty]]*ProductionData[[#This Row],[Unit_Cost_INR]]</f>
        <v>2116</v>
      </c>
      <c r="AB699" s="4">
        <v>33135</v>
      </c>
      <c r="AC699" s="4">
        <v>3880</v>
      </c>
      <c r="AD699" s="4">
        <v>3880</v>
      </c>
      <c r="AE699" s="4">
        <v>33369</v>
      </c>
      <c r="AF699" s="4">
        <v>10500</v>
      </c>
    </row>
    <row r="700" spans="1:32">
      <c r="A700" s="2" t="s">
        <v>1529</v>
      </c>
      <c r="B700" s="3">
        <v>46196</v>
      </c>
      <c r="C700" s="36" t="s">
        <v>1459</v>
      </c>
      <c r="D700" s="2">
        <f>MONTH(ProductionData[[#This Row],[Month]])</f>
        <v>6</v>
      </c>
      <c r="E700" s="2" t="s">
        <v>92</v>
      </c>
      <c r="F700" s="2" t="s">
        <v>93</v>
      </c>
      <c r="G700" s="2" t="s">
        <v>81</v>
      </c>
      <c r="H700" s="2" t="s">
        <v>82</v>
      </c>
      <c r="I700" s="2" t="s">
        <v>83</v>
      </c>
      <c r="J700" s="2" t="s">
        <v>84</v>
      </c>
      <c r="K700" s="2" t="s">
        <v>85</v>
      </c>
      <c r="L700" s="2" t="s">
        <v>1530</v>
      </c>
      <c r="M700" s="2" t="s">
        <v>95</v>
      </c>
      <c r="N700" s="2" t="s">
        <v>88</v>
      </c>
      <c r="O700" s="2">
        <v>18</v>
      </c>
      <c r="P700" s="2">
        <v>15</v>
      </c>
      <c r="Q700" s="4">
        <v>9960</v>
      </c>
      <c r="R700" s="4">
        <v>8680</v>
      </c>
      <c r="S700" s="4">
        <v>261</v>
      </c>
      <c r="T700" s="19">
        <f>(ProductionData[[#This Row],[Rejected_Qty]])/ProductionData[[#This Row],[Produced_Qty]]</f>
        <v>3.0069124423963135E-2</v>
      </c>
      <c r="U700" s="19">
        <f>ProductionData[[#This Row],[Produced_Qty]]/ProductionData[[#This Row],[Planned_Qty]]</f>
        <v>0.87148594377510036</v>
      </c>
      <c r="V700" s="2" t="s">
        <v>75</v>
      </c>
      <c r="W700" s="11">
        <v>46</v>
      </c>
      <c r="X700" s="13">
        <f>W700/60</f>
        <v>0.76666666666666672</v>
      </c>
      <c r="Y700" s="2" t="s">
        <v>76</v>
      </c>
      <c r="Z700" s="2">
        <v>18</v>
      </c>
      <c r="AA700" s="2">
        <f>ProductionData[[#This Row],[Rejected_Qty]]*ProductionData[[#This Row],[Unit_Cost_INR]]</f>
        <v>4698</v>
      </c>
      <c r="AB700" s="4">
        <v>33770</v>
      </c>
      <c r="AC700" s="4">
        <v>8860</v>
      </c>
      <c r="AD700" s="4">
        <v>8860</v>
      </c>
      <c r="AE700" s="4">
        <v>33329</v>
      </c>
      <c r="AF700" s="4">
        <v>15000</v>
      </c>
    </row>
    <row r="701" spans="1:32">
      <c r="A701" s="2" t="s">
        <v>1531</v>
      </c>
      <c r="B701" s="3">
        <v>46196</v>
      </c>
      <c r="C701" s="36" t="s">
        <v>1459</v>
      </c>
      <c r="D701" s="2">
        <f>MONTH(ProductionData[[#This Row],[Month]])</f>
        <v>6</v>
      </c>
      <c r="E701" s="2" t="s">
        <v>92</v>
      </c>
      <c r="F701" s="2" t="s">
        <v>80</v>
      </c>
      <c r="G701" s="2" t="s">
        <v>67</v>
      </c>
      <c r="H701" s="2" t="s">
        <v>68</v>
      </c>
      <c r="I701" s="2" t="s">
        <v>69</v>
      </c>
      <c r="J701" s="2" t="s">
        <v>70</v>
      </c>
      <c r="K701" s="2" t="s">
        <v>71</v>
      </c>
      <c r="L701" s="2" t="s">
        <v>1532</v>
      </c>
      <c r="M701" s="2" t="s">
        <v>87</v>
      </c>
      <c r="N701" s="2" t="s">
        <v>88</v>
      </c>
      <c r="O701" s="2">
        <v>16</v>
      </c>
      <c r="P701" s="2">
        <v>15</v>
      </c>
      <c r="Q701" s="4">
        <v>5580</v>
      </c>
      <c r="R701" s="4">
        <v>5200</v>
      </c>
      <c r="S701" s="4">
        <v>114</v>
      </c>
      <c r="T701" s="19">
        <f>(ProductionData[[#This Row],[Rejected_Qty]])/ProductionData[[#This Row],[Produced_Qty]]</f>
        <v>2.1923076923076924E-2</v>
      </c>
      <c r="U701" s="19">
        <f>ProductionData[[#This Row],[Produced_Qty]]/ProductionData[[#This Row],[Planned_Qty]]</f>
        <v>0.93189964157706096</v>
      </c>
      <c r="V701" s="2" t="s">
        <v>109</v>
      </c>
      <c r="W701" s="11">
        <v>0</v>
      </c>
      <c r="X701" s="13">
        <f>W701/60</f>
        <v>0</v>
      </c>
      <c r="Y701" s="2" t="s">
        <v>90</v>
      </c>
      <c r="Z701" s="2">
        <v>46</v>
      </c>
      <c r="AA701" s="2">
        <f>ProductionData[[#This Row],[Rejected_Qty]]*ProductionData[[#This Row],[Unit_Cost_INR]]</f>
        <v>5244</v>
      </c>
      <c r="AB701" s="4">
        <v>33493</v>
      </c>
      <c r="AC701" s="4">
        <v>5280</v>
      </c>
      <c r="AD701" s="4">
        <v>5280</v>
      </c>
      <c r="AE701" s="4">
        <v>33299</v>
      </c>
      <c r="AF701" s="4">
        <v>10500</v>
      </c>
    </row>
    <row r="702" spans="1:32">
      <c r="A702" s="2" t="s">
        <v>1533</v>
      </c>
      <c r="B702" s="3">
        <v>46198</v>
      </c>
      <c r="C702" s="36" t="s">
        <v>1459</v>
      </c>
      <c r="D702" s="2">
        <f>MONTH(ProductionData[[#This Row],[Month]])</f>
        <v>6</v>
      </c>
      <c r="E702" s="2" t="s">
        <v>107</v>
      </c>
      <c r="F702" s="2" t="s">
        <v>80</v>
      </c>
      <c r="G702" s="2" t="s">
        <v>67</v>
      </c>
      <c r="H702" s="2" t="s">
        <v>68</v>
      </c>
      <c r="I702" s="2" t="s">
        <v>69</v>
      </c>
      <c r="J702" s="2" t="s">
        <v>70</v>
      </c>
      <c r="K702" s="2" t="s">
        <v>71</v>
      </c>
      <c r="L702" s="2" t="s">
        <v>1534</v>
      </c>
      <c r="M702" s="2" t="s">
        <v>102</v>
      </c>
      <c r="N702" s="2" t="s">
        <v>96</v>
      </c>
      <c r="O702" s="2">
        <v>16</v>
      </c>
      <c r="P702" s="2">
        <v>15</v>
      </c>
      <c r="Q702" s="4">
        <v>6060</v>
      </c>
      <c r="R702" s="4">
        <v>5650</v>
      </c>
      <c r="S702" s="4">
        <v>171</v>
      </c>
      <c r="T702" s="19">
        <f>(ProductionData[[#This Row],[Rejected_Qty]])/ProductionData[[#This Row],[Produced_Qty]]</f>
        <v>3.0265486725663718E-2</v>
      </c>
      <c r="U702" s="19">
        <f>ProductionData[[#This Row],[Produced_Qty]]/ProductionData[[#This Row],[Planned_Qty]]</f>
        <v>0.93234323432343236</v>
      </c>
      <c r="V702" s="2" t="s">
        <v>113</v>
      </c>
      <c r="W702" s="11">
        <v>34</v>
      </c>
      <c r="X702" s="13">
        <f>W702/60</f>
        <v>0.56666666666666665</v>
      </c>
      <c r="Y702" s="2" t="s">
        <v>182</v>
      </c>
      <c r="Z702" s="2">
        <v>46</v>
      </c>
      <c r="AA702" s="2">
        <f>ProductionData[[#This Row],[Rejected_Qty]]*ProductionData[[#This Row],[Unit_Cost_INR]]</f>
        <v>7866</v>
      </c>
      <c r="AB702" s="4">
        <v>33505</v>
      </c>
      <c r="AC702" s="4">
        <v>5700</v>
      </c>
      <c r="AD702" s="4">
        <v>5700</v>
      </c>
      <c r="AE702" s="4">
        <v>33284</v>
      </c>
      <c r="AF702" s="4">
        <v>10500</v>
      </c>
    </row>
    <row r="703" spans="1:32">
      <c r="A703" s="2" t="s">
        <v>1535</v>
      </c>
      <c r="B703" s="3">
        <v>46197</v>
      </c>
      <c r="C703" s="36" t="s">
        <v>1459</v>
      </c>
      <c r="D703" s="2">
        <f>MONTH(ProductionData[[#This Row],[Month]])</f>
        <v>6</v>
      </c>
      <c r="E703" s="2" t="s">
        <v>79</v>
      </c>
      <c r="F703" s="2" t="s">
        <v>80</v>
      </c>
      <c r="G703" s="2" t="s">
        <v>67</v>
      </c>
      <c r="H703" s="2" t="s">
        <v>68</v>
      </c>
      <c r="I703" s="2" t="s">
        <v>69</v>
      </c>
      <c r="J703" s="2" t="s">
        <v>70</v>
      </c>
      <c r="K703" s="2" t="s">
        <v>71</v>
      </c>
      <c r="L703" s="2" t="s">
        <v>1536</v>
      </c>
      <c r="M703" s="2" t="s">
        <v>102</v>
      </c>
      <c r="N703" s="2" t="s">
        <v>88</v>
      </c>
      <c r="O703" s="2">
        <v>16</v>
      </c>
      <c r="P703" s="2">
        <v>15</v>
      </c>
      <c r="Q703" s="4">
        <v>5660</v>
      </c>
      <c r="R703" s="4">
        <v>5310</v>
      </c>
      <c r="S703" s="4">
        <v>91</v>
      </c>
      <c r="T703" s="19">
        <f>(ProductionData[[#This Row],[Rejected_Qty]])/ProductionData[[#This Row],[Produced_Qty]]</f>
        <v>1.7137476459510359E-2</v>
      </c>
      <c r="U703" s="19">
        <f>ProductionData[[#This Row],[Produced_Qty]]/ProductionData[[#This Row],[Planned_Qty]]</f>
        <v>0.93816254416961131</v>
      </c>
      <c r="V703" s="2" t="s">
        <v>113</v>
      </c>
      <c r="W703" s="11">
        <v>0</v>
      </c>
      <c r="X703" s="13">
        <f>W703/60</f>
        <v>0</v>
      </c>
      <c r="Y703" s="2" t="s">
        <v>90</v>
      </c>
      <c r="Z703" s="2">
        <v>46</v>
      </c>
      <c r="AA703" s="2">
        <f>ProductionData[[#This Row],[Rejected_Qty]]*ProductionData[[#This Row],[Unit_Cost_INR]]</f>
        <v>4186</v>
      </c>
      <c r="AB703" s="4">
        <v>33299</v>
      </c>
      <c r="AC703" s="4">
        <v>5270</v>
      </c>
      <c r="AD703" s="4">
        <v>5270</v>
      </c>
      <c r="AE703" s="4">
        <v>33248</v>
      </c>
      <c r="AF703" s="4">
        <v>10500</v>
      </c>
    </row>
    <row r="704" spans="1:32">
      <c r="A704" s="2" t="s">
        <v>1537</v>
      </c>
      <c r="B704" s="3">
        <v>46200</v>
      </c>
      <c r="C704" s="36" t="s">
        <v>1459</v>
      </c>
      <c r="D704" s="2">
        <f>MONTH(ProductionData[[#This Row],[Month]])</f>
        <v>6</v>
      </c>
      <c r="E704" s="2" t="s">
        <v>65</v>
      </c>
      <c r="F704" s="2" t="s">
        <v>66</v>
      </c>
      <c r="G704" s="2" t="s">
        <v>81</v>
      </c>
      <c r="H704" s="2" t="s">
        <v>82</v>
      </c>
      <c r="I704" s="2" t="s">
        <v>83</v>
      </c>
      <c r="J704" s="2" t="s">
        <v>84</v>
      </c>
      <c r="K704" s="2" t="s">
        <v>85</v>
      </c>
      <c r="L704" s="2" t="s">
        <v>1538</v>
      </c>
      <c r="M704" s="2" t="s">
        <v>73</v>
      </c>
      <c r="N704" s="2" t="s">
        <v>96</v>
      </c>
      <c r="O704" s="2">
        <v>18</v>
      </c>
      <c r="P704" s="2">
        <v>17</v>
      </c>
      <c r="Q704" s="4">
        <v>10050</v>
      </c>
      <c r="R704" s="4">
        <v>9810</v>
      </c>
      <c r="S704" s="4">
        <v>235</v>
      </c>
      <c r="T704" s="19">
        <f>(ProductionData[[#This Row],[Rejected_Qty]])/ProductionData[[#This Row],[Produced_Qty]]</f>
        <v>2.3955147808358817E-2</v>
      </c>
      <c r="U704" s="19">
        <f>ProductionData[[#This Row],[Produced_Qty]]/ProductionData[[#This Row],[Planned_Qty]]</f>
        <v>0.9761194029850746</v>
      </c>
      <c r="V704" s="2" t="s">
        <v>103</v>
      </c>
      <c r="W704" s="11">
        <v>0</v>
      </c>
      <c r="X704" s="13">
        <f>W704/60</f>
        <v>0</v>
      </c>
      <c r="Y704" s="2" t="s">
        <v>90</v>
      </c>
      <c r="Z704" s="2">
        <v>18</v>
      </c>
      <c r="AA704" s="2">
        <f>ProductionData[[#This Row],[Rejected_Qty]]*ProductionData[[#This Row],[Unit_Cost_INR]]</f>
        <v>4230</v>
      </c>
      <c r="AB704" s="4">
        <v>32397</v>
      </c>
      <c r="AC704" s="4">
        <v>8790</v>
      </c>
      <c r="AD704" s="4">
        <v>8790</v>
      </c>
      <c r="AE704" s="4">
        <v>33182</v>
      </c>
      <c r="AF704" s="4">
        <v>15000</v>
      </c>
    </row>
    <row r="705" spans="1:32">
      <c r="A705" s="2" t="s">
        <v>1539</v>
      </c>
      <c r="B705" s="3">
        <v>46193</v>
      </c>
      <c r="C705" s="36" t="s">
        <v>1459</v>
      </c>
      <c r="D705" s="2">
        <f>MONTH(ProductionData[[#This Row],[Month]])</f>
        <v>6</v>
      </c>
      <c r="E705" s="2" t="s">
        <v>65</v>
      </c>
      <c r="F705" s="2" t="s">
        <v>93</v>
      </c>
      <c r="G705" s="2" t="s">
        <v>67</v>
      </c>
      <c r="H705" s="2" t="s">
        <v>68</v>
      </c>
      <c r="I705" s="2" t="s">
        <v>69</v>
      </c>
      <c r="J705" s="2" t="s">
        <v>70</v>
      </c>
      <c r="K705" s="2" t="s">
        <v>71</v>
      </c>
      <c r="L705" s="2" t="s">
        <v>1540</v>
      </c>
      <c r="M705" s="2" t="s">
        <v>95</v>
      </c>
      <c r="N705" s="2" t="s">
        <v>88</v>
      </c>
      <c r="O705" s="2">
        <v>16</v>
      </c>
      <c r="P705" s="2">
        <v>15</v>
      </c>
      <c r="Q705" s="4">
        <v>5580</v>
      </c>
      <c r="R705" s="4">
        <v>5440</v>
      </c>
      <c r="S705" s="4">
        <v>96</v>
      </c>
      <c r="T705" s="19">
        <f>(ProductionData[[#This Row],[Rejected_Qty]])/ProductionData[[#This Row],[Produced_Qty]]</f>
        <v>1.7647058823529412E-2</v>
      </c>
      <c r="U705" s="19">
        <f>ProductionData[[#This Row],[Produced_Qty]]/ProductionData[[#This Row],[Planned_Qty]]</f>
        <v>0.97491039426523296</v>
      </c>
      <c r="V705" s="2" t="s">
        <v>109</v>
      </c>
      <c r="W705" s="11">
        <v>0</v>
      </c>
      <c r="X705" s="13">
        <f>W705/60</f>
        <v>0</v>
      </c>
      <c r="Y705" s="2" t="s">
        <v>90</v>
      </c>
      <c r="Z705" s="2">
        <v>46</v>
      </c>
      <c r="AA705" s="2">
        <f>ProductionData[[#This Row],[Rejected_Qty]]*ProductionData[[#This Row],[Unit_Cost_INR]]</f>
        <v>4416</v>
      </c>
      <c r="AB705" s="4">
        <v>33041</v>
      </c>
      <c r="AC705" s="4">
        <v>5250</v>
      </c>
      <c r="AD705" s="4">
        <v>5250</v>
      </c>
      <c r="AE705" s="4">
        <v>33135</v>
      </c>
      <c r="AF705" s="4">
        <v>10500</v>
      </c>
    </row>
    <row r="706" spans="1:32">
      <c r="A706" s="2" t="s">
        <v>1541</v>
      </c>
      <c r="B706" s="3">
        <v>46193</v>
      </c>
      <c r="C706" s="36" t="s">
        <v>1459</v>
      </c>
      <c r="D706" s="2">
        <f>MONTH(ProductionData[[#This Row],[Month]])</f>
        <v>6</v>
      </c>
      <c r="E706" s="2" t="s">
        <v>65</v>
      </c>
      <c r="F706" s="2" t="s">
        <v>80</v>
      </c>
      <c r="G706" s="2" t="s">
        <v>67</v>
      </c>
      <c r="H706" s="2" t="s">
        <v>68</v>
      </c>
      <c r="I706" s="2" t="s">
        <v>69</v>
      </c>
      <c r="J706" s="2" t="s">
        <v>70</v>
      </c>
      <c r="K706" s="2" t="s">
        <v>71</v>
      </c>
      <c r="L706" s="2" t="s">
        <v>1542</v>
      </c>
      <c r="M706" s="2" t="s">
        <v>87</v>
      </c>
      <c r="N706" s="2" t="s">
        <v>96</v>
      </c>
      <c r="O706" s="2">
        <v>16</v>
      </c>
      <c r="P706" s="2">
        <v>16</v>
      </c>
      <c r="Q706" s="4">
        <v>5810</v>
      </c>
      <c r="R706" s="4">
        <v>5500</v>
      </c>
      <c r="S706" s="4">
        <v>128</v>
      </c>
      <c r="T706" s="19">
        <f>(ProductionData[[#This Row],[Rejected_Qty]])/ProductionData[[#This Row],[Produced_Qty]]</f>
        <v>2.3272727272727271E-2</v>
      </c>
      <c r="U706" s="19">
        <f>ProductionData[[#This Row],[Produced_Qty]]/ProductionData[[#This Row],[Planned_Qty]]</f>
        <v>0.94664371772805511</v>
      </c>
      <c r="V706" s="2" t="s">
        <v>89</v>
      </c>
      <c r="W706" s="11">
        <v>17</v>
      </c>
      <c r="X706" s="13">
        <f>W706/60</f>
        <v>0.28333333333333333</v>
      </c>
      <c r="Y706" s="2" t="s">
        <v>182</v>
      </c>
      <c r="Z706" s="2">
        <v>46</v>
      </c>
      <c r="AA706" s="2">
        <f>ProductionData[[#This Row],[Rejected_Qty]]*ProductionData[[#This Row],[Unit_Cost_INR]]</f>
        <v>5888</v>
      </c>
      <c r="AB706" s="4">
        <v>32859</v>
      </c>
      <c r="AC706" s="4">
        <v>5190</v>
      </c>
      <c r="AD706" s="4">
        <v>5190</v>
      </c>
      <c r="AE706" s="4">
        <v>33041</v>
      </c>
      <c r="AF706" s="4">
        <v>10500</v>
      </c>
    </row>
    <row r="707" spans="1:32">
      <c r="A707" s="2" t="s">
        <v>1543</v>
      </c>
      <c r="B707" s="3">
        <v>46197</v>
      </c>
      <c r="C707" s="36" t="s">
        <v>1459</v>
      </c>
      <c r="D707" s="2">
        <f>MONTH(ProductionData[[#This Row],[Month]])</f>
        <v>6</v>
      </c>
      <c r="E707" s="2" t="s">
        <v>79</v>
      </c>
      <c r="F707" s="2" t="s">
        <v>66</v>
      </c>
      <c r="G707" s="2" t="s">
        <v>195</v>
      </c>
      <c r="H707" s="2" t="s">
        <v>196</v>
      </c>
      <c r="I707" s="2" t="s">
        <v>197</v>
      </c>
      <c r="J707" s="2" t="s">
        <v>198</v>
      </c>
      <c r="K707" s="2" t="s">
        <v>199</v>
      </c>
      <c r="L707" s="2" t="s">
        <v>1544</v>
      </c>
      <c r="M707" s="2" t="s">
        <v>73</v>
      </c>
      <c r="N707" s="2" t="s">
        <v>96</v>
      </c>
      <c r="O707" s="2">
        <v>14</v>
      </c>
      <c r="P707" s="2">
        <v>14</v>
      </c>
      <c r="Q707" s="4">
        <v>9390</v>
      </c>
      <c r="R707" s="4">
        <v>9320</v>
      </c>
      <c r="S707" s="4">
        <v>181</v>
      </c>
      <c r="T707" s="19">
        <f>(ProductionData[[#This Row],[Rejected_Qty]])/ProductionData[[#This Row],[Produced_Qty]]</f>
        <v>1.9420600858369098E-2</v>
      </c>
      <c r="U707" s="19">
        <f>ProductionData[[#This Row],[Produced_Qty]]/ProductionData[[#This Row],[Planned_Qty]]</f>
        <v>0.99254526091586792</v>
      </c>
      <c r="V707" s="2" t="s">
        <v>75</v>
      </c>
      <c r="W707" s="11">
        <v>0</v>
      </c>
      <c r="X707" s="13">
        <f>W707/60</f>
        <v>0</v>
      </c>
      <c r="Y707" s="2" t="s">
        <v>90</v>
      </c>
      <c r="Z707" s="2">
        <v>38</v>
      </c>
      <c r="AA707" s="2">
        <f>ProductionData[[#This Row],[Rejected_Qty]]*ProductionData[[#This Row],[Unit_Cost_INR]]</f>
        <v>6878</v>
      </c>
      <c r="AB707" s="4">
        <v>32783</v>
      </c>
      <c r="AC707" s="4">
        <v>8910</v>
      </c>
      <c r="AD707" s="4">
        <v>8910</v>
      </c>
      <c r="AE707" s="4">
        <v>33012</v>
      </c>
      <c r="AF707" s="4">
        <v>13500</v>
      </c>
    </row>
    <row r="708" spans="1:32">
      <c r="A708" s="2" t="s">
        <v>1545</v>
      </c>
      <c r="B708" s="3">
        <v>46200</v>
      </c>
      <c r="C708" s="36" t="s">
        <v>1459</v>
      </c>
      <c r="D708" s="2">
        <f>MONTH(ProductionData[[#This Row],[Month]])</f>
        <v>6</v>
      </c>
      <c r="E708" s="2" t="s">
        <v>65</v>
      </c>
      <c r="F708" s="2" t="s">
        <v>80</v>
      </c>
      <c r="G708" s="2" t="s">
        <v>81</v>
      </c>
      <c r="H708" s="2" t="s">
        <v>82</v>
      </c>
      <c r="I708" s="2" t="s">
        <v>83</v>
      </c>
      <c r="J708" s="2" t="s">
        <v>84</v>
      </c>
      <c r="K708" s="2" t="s">
        <v>85</v>
      </c>
      <c r="L708" s="2" t="s">
        <v>1546</v>
      </c>
      <c r="M708" s="2" t="s">
        <v>102</v>
      </c>
      <c r="N708" s="2" t="s">
        <v>88</v>
      </c>
      <c r="O708" s="2">
        <v>18</v>
      </c>
      <c r="P708" s="2">
        <v>17</v>
      </c>
      <c r="Q708" s="4">
        <v>10430</v>
      </c>
      <c r="R708" s="4">
        <v>10210</v>
      </c>
      <c r="S708" s="4">
        <v>202</v>
      </c>
      <c r="T708" s="19">
        <f>(ProductionData[[#This Row],[Rejected_Qty]])/ProductionData[[#This Row],[Produced_Qty]]</f>
        <v>1.9784524975514202E-2</v>
      </c>
      <c r="U708" s="19">
        <f>ProductionData[[#This Row],[Produced_Qty]]/ProductionData[[#This Row],[Planned_Qty]]</f>
        <v>0.97890699904122724</v>
      </c>
      <c r="V708" s="2" t="s">
        <v>109</v>
      </c>
      <c r="W708" s="11">
        <v>36</v>
      </c>
      <c r="X708" s="13">
        <f>W708/60</f>
        <v>0.6</v>
      </c>
      <c r="Y708" s="2" t="s">
        <v>182</v>
      </c>
      <c r="Z708" s="2">
        <v>18</v>
      </c>
      <c r="AA708" s="2">
        <f>ProductionData[[#This Row],[Rejected_Qty]]*ProductionData[[#This Row],[Unit_Cost_INR]]</f>
        <v>3636</v>
      </c>
      <c r="AB708" s="4">
        <v>33182</v>
      </c>
      <c r="AC708" s="4">
        <v>10260</v>
      </c>
      <c r="AD708" s="4">
        <v>10260</v>
      </c>
      <c r="AE708" s="4">
        <v>32930</v>
      </c>
      <c r="AF708" s="4">
        <v>15000</v>
      </c>
    </row>
    <row r="709" spans="1:32">
      <c r="A709" s="2" t="s">
        <v>1547</v>
      </c>
      <c r="B709" s="3">
        <v>46193</v>
      </c>
      <c r="C709" s="36" t="s">
        <v>1459</v>
      </c>
      <c r="D709" s="2">
        <f>MONTH(ProductionData[[#This Row],[Month]])</f>
        <v>6</v>
      </c>
      <c r="E709" s="2" t="s">
        <v>65</v>
      </c>
      <c r="F709" s="2" t="s">
        <v>66</v>
      </c>
      <c r="G709" s="2" t="s">
        <v>67</v>
      </c>
      <c r="H709" s="2" t="s">
        <v>68</v>
      </c>
      <c r="I709" s="2" t="s">
        <v>69</v>
      </c>
      <c r="J709" s="2" t="s">
        <v>70</v>
      </c>
      <c r="K709" s="2" t="s">
        <v>71</v>
      </c>
      <c r="L709" s="2" t="s">
        <v>1548</v>
      </c>
      <c r="M709" s="2" t="s">
        <v>73</v>
      </c>
      <c r="N709" s="2" t="s">
        <v>96</v>
      </c>
      <c r="O709" s="2">
        <v>16</v>
      </c>
      <c r="P709" s="2">
        <v>16</v>
      </c>
      <c r="Q709" s="4">
        <v>5960</v>
      </c>
      <c r="R709" s="4">
        <v>5690</v>
      </c>
      <c r="S709" s="4">
        <v>195</v>
      </c>
      <c r="T709" s="19">
        <f>(ProductionData[[#This Row],[Rejected_Qty]])/ProductionData[[#This Row],[Produced_Qty]]</f>
        <v>3.4270650263620389E-2</v>
      </c>
      <c r="U709" s="19">
        <f>ProductionData[[#This Row],[Produced_Qty]]/ProductionData[[#This Row],[Planned_Qty]]</f>
        <v>0.95469798657718119</v>
      </c>
      <c r="V709" s="2" t="s">
        <v>113</v>
      </c>
      <c r="W709" s="11">
        <v>0</v>
      </c>
      <c r="X709" s="13">
        <f>W709/60</f>
        <v>0</v>
      </c>
      <c r="Y709" s="2" t="s">
        <v>90</v>
      </c>
      <c r="Z709" s="2">
        <v>46</v>
      </c>
      <c r="AA709" s="2">
        <f>ProductionData[[#This Row],[Rejected_Qty]]*ProductionData[[#This Row],[Unit_Cost_INR]]</f>
        <v>8970</v>
      </c>
      <c r="AB709" s="4">
        <v>32104</v>
      </c>
      <c r="AC709" s="4">
        <v>4740</v>
      </c>
      <c r="AD709" s="4">
        <v>4740</v>
      </c>
      <c r="AE709" s="4">
        <v>32859</v>
      </c>
      <c r="AF709" s="4">
        <v>10500</v>
      </c>
    </row>
    <row r="710" spans="1:32">
      <c r="A710" s="2" t="s">
        <v>1549</v>
      </c>
      <c r="B710" s="3">
        <v>46198</v>
      </c>
      <c r="C710" s="36" t="s">
        <v>1459</v>
      </c>
      <c r="D710" s="2">
        <f>MONTH(ProductionData[[#This Row],[Month]])</f>
        <v>6</v>
      </c>
      <c r="E710" s="2" t="s">
        <v>107</v>
      </c>
      <c r="F710" s="2" t="s">
        <v>66</v>
      </c>
      <c r="G710" s="2" t="s">
        <v>81</v>
      </c>
      <c r="H710" s="2" t="s">
        <v>82</v>
      </c>
      <c r="I710" s="2" t="s">
        <v>83</v>
      </c>
      <c r="J710" s="2" t="s">
        <v>84</v>
      </c>
      <c r="K710" s="2" t="s">
        <v>85</v>
      </c>
      <c r="L710" s="2" t="s">
        <v>1550</v>
      </c>
      <c r="M710" s="2" t="s">
        <v>73</v>
      </c>
      <c r="N710" s="2" t="s">
        <v>88</v>
      </c>
      <c r="O710" s="2">
        <v>18</v>
      </c>
      <c r="P710" s="2">
        <v>17</v>
      </c>
      <c r="Q710" s="4">
        <v>10590</v>
      </c>
      <c r="R710" s="4">
        <v>9440</v>
      </c>
      <c r="S710" s="4">
        <v>225</v>
      </c>
      <c r="T710" s="19">
        <f>(ProductionData[[#This Row],[Rejected_Qty]])/ProductionData[[#This Row],[Produced_Qty]]</f>
        <v>2.3834745762711863E-2</v>
      </c>
      <c r="U710" s="19">
        <f>ProductionData[[#This Row],[Produced_Qty]]/ProductionData[[#This Row],[Planned_Qty]]</f>
        <v>0.89140698772426818</v>
      </c>
      <c r="V710" s="2" t="s">
        <v>103</v>
      </c>
      <c r="W710" s="11">
        <v>0</v>
      </c>
      <c r="X710" s="13">
        <f>W710/60</f>
        <v>0</v>
      </c>
      <c r="Y710" s="2" t="s">
        <v>90</v>
      </c>
      <c r="Z710" s="2">
        <v>18</v>
      </c>
      <c r="AA710" s="2">
        <f>ProductionData[[#This Row],[Rejected_Qty]]*ProductionData[[#This Row],[Unit_Cost_INR]]</f>
        <v>4050</v>
      </c>
      <c r="AB710" s="4">
        <v>33329</v>
      </c>
      <c r="AC710" s="4">
        <v>9710</v>
      </c>
      <c r="AD710" s="4">
        <v>9710</v>
      </c>
      <c r="AE710" s="4">
        <v>32834</v>
      </c>
      <c r="AF710" s="4">
        <v>15000</v>
      </c>
    </row>
    <row r="711" spans="1:32">
      <c r="A711" s="2" t="s">
        <v>1551</v>
      </c>
      <c r="B711" s="3">
        <v>46197</v>
      </c>
      <c r="C711" s="36" t="s">
        <v>1459</v>
      </c>
      <c r="D711" s="2">
        <f>MONTH(ProductionData[[#This Row],[Month]])</f>
        <v>6</v>
      </c>
      <c r="E711" s="2" t="s">
        <v>79</v>
      </c>
      <c r="F711" s="2" t="s">
        <v>93</v>
      </c>
      <c r="G711" s="2" t="s">
        <v>174</v>
      </c>
      <c r="H711" s="2" t="s">
        <v>175</v>
      </c>
      <c r="I711" s="2" t="s">
        <v>176</v>
      </c>
      <c r="J711" s="2" t="s">
        <v>177</v>
      </c>
      <c r="K711" s="2" t="s">
        <v>178</v>
      </c>
      <c r="L711" s="2" t="s">
        <v>1552</v>
      </c>
      <c r="M711" s="2" t="s">
        <v>95</v>
      </c>
      <c r="N711" s="2" t="s">
        <v>88</v>
      </c>
      <c r="O711" s="2">
        <v>10</v>
      </c>
      <c r="P711" s="2">
        <v>10</v>
      </c>
      <c r="Q711" s="4">
        <v>7140</v>
      </c>
      <c r="R711" s="4">
        <v>7410</v>
      </c>
      <c r="S711" s="4">
        <v>161</v>
      </c>
      <c r="T711" s="19">
        <f>(ProductionData[[#This Row],[Rejected_Qty]])/ProductionData[[#This Row],[Produced_Qty]]</f>
        <v>2.1727395411605937E-2</v>
      </c>
      <c r="U711" s="19">
        <f>ProductionData[[#This Row],[Produced_Qty]]/ProductionData[[#This Row],[Planned_Qty]]</f>
        <v>1.0378151260504203</v>
      </c>
      <c r="V711" s="2" t="s">
        <v>89</v>
      </c>
      <c r="W711" s="11">
        <v>32</v>
      </c>
      <c r="X711" s="13">
        <f>W711/60</f>
        <v>0.53333333333333333</v>
      </c>
      <c r="Y711" s="2" t="s">
        <v>110</v>
      </c>
      <c r="Z711" s="2">
        <v>24</v>
      </c>
      <c r="AA711" s="2">
        <f>ProductionData[[#This Row],[Rejected_Qty]]*ProductionData[[#This Row],[Unit_Cost_INR]]</f>
        <v>3864</v>
      </c>
      <c r="AB711" s="4">
        <v>32181</v>
      </c>
      <c r="AC711" s="4">
        <v>6610</v>
      </c>
      <c r="AD711" s="4">
        <v>6610</v>
      </c>
      <c r="AE711" s="4">
        <v>32820</v>
      </c>
      <c r="AF711" s="4">
        <v>12000</v>
      </c>
    </row>
    <row r="712" spans="1:32">
      <c r="A712" s="2" t="s">
        <v>1553</v>
      </c>
      <c r="B712" s="3">
        <v>46193</v>
      </c>
      <c r="C712" s="36" t="s">
        <v>1459</v>
      </c>
      <c r="D712" s="2">
        <f>MONTH(ProductionData[[#This Row],[Month]])</f>
        <v>6</v>
      </c>
      <c r="E712" s="2" t="s">
        <v>65</v>
      </c>
      <c r="F712" s="2" t="s">
        <v>66</v>
      </c>
      <c r="G712" s="2" t="s">
        <v>195</v>
      </c>
      <c r="H712" s="2" t="s">
        <v>196</v>
      </c>
      <c r="I712" s="2" t="s">
        <v>197</v>
      </c>
      <c r="J712" s="2" t="s">
        <v>198</v>
      </c>
      <c r="K712" s="2" t="s">
        <v>199</v>
      </c>
      <c r="L712" s="2" t="s">
        <v>1554</v>
      </c>
      <c r="M712" s="2" t="s">
        <v>73</v>
      </c>
      <c r="N712" s="2" t="s">
        <v>96</v>
      </c>
      <c r="O712" s="2">
        <v>14</v>
      </c>
      <c r="P712" s="2">
        <v>14</v>
      </c>
      <c r="Q712" s="4">
        <v>8710</v>
      </c>
      <c r="R712" s="4">
        <v>8540</v>
      </c>
      <c r="S712" s="4">
        <v>68</v>
      </c>
      <c r="T712" s="19">
        <f>(ProductionData[[#This Row],[Rejected_Qty]])/ProductionData[[#This Row],[Produced_Qty]]</f>
        <v>7.9625292740046847E-3</v>
      </c>
      <c r="U712" s="19">
        <f>ProductionData[[#This Row],[Produced_Qty]]/ProductionData[[#This Row],[Planned_Qty]]</f>
        <v>0.98048220436280142</v>
      </c>
      <c r="V712" s="2" t="s">
        <v>89</v>
      </c>
      <c r="W712" s="11">
        <v>0</v>
      </c>
      <c r="X712" s="13">
        <f>W712/60</f>
        <v>0</v>
      </c>
      <c r="Y712" s="2" t="s">
        <v>90</v>
      </c>
      <c r="Z712" s="2">
        <v>38</v>
      </c>
      <c r="AA712" s="2">
        <f>ProductionData[[#This Row],[Rejected_Qty]]*ProductionData[[#This Row],[Unit_Cost_INR]]</f>
        <v>2584</v>
      </c>
      <c r="AB712" s="4">
        <v>31586</v>
      </c>
      <c r="AC712" s="4">
        <v>7260</v>
      </c>
      <c r="AD712" s="4">
        <v>7260</v>
      </c>
      <c r="AE712" s="4">
        <v>32798</v>
      </c>
      <c r="AF712" s="4">
        <v>13500</v>
      </c>
    </row>
    <row r="713" spans="1:32">
      <c r="A713" s="2" t="s">
        <v>1555</v>
      </c>
      <c r="B713" s="3">
        <v>46196</v>
      </c>
      <c r="C713" s="36" t="s">
        <v>1459</v>
      </c>
      <c r="D713" s="2">
        <f>MONTH(ProductionData[[#This Row],[Month]])</f>
        <v>6</v>
      </c>
      <c r="E713" s="2" t="s">
        <v>92</v>
      </c>
      <c r="F713" s="2" t="s">
        <v>66</v>
      </c>
      <c r="G713" s="2" t="s">
        <v>195</v>
      </c>
      <c r="H713" s="2" t="s">
        <v>196</v>
      </c>
      <c r="I713" s="2" t="s">
        <v>197</v>
      </c>
      <c r="J713" s="2" t="s">
        <v>198</v>
      </c>
      <c r="K713" s="2" t="s">
        <v>199</v>
      </c>
      <c r="L713" s="2" t="s">
        <v>1556</v>
      </c>
      <c r="M713" s="2" t="s">
        <v>73</v>
      </c>
      <c r="N713" s="2" t="s">
        <v>88</v>
      </c>
      <c r="O713" s="2">
        <v>14</v>
      </c>
      <c r="P713" s="2">
        <v>14</v>
      </c>
      <c r="Q713" s="4">
        <v>8840</v>
      </c>
      <c r="R713" s="4">
        <v>8860</v>
      </c>
      <c r="S713" s="4">
        <v>195</v>
      </c>
      <c r="T713" s="19">
        <f>(ProductionData[[#This Row],[Rejected_Qty]])/ProductionData[[#This Row],[Produced_Qty]]</f>
        <v>2.2009029345372459E-2</v>
      </c>
      <c r="U713" s="19">
        <f>ProductionData[[#This Row],[Produced_Qty]]/ProductionData[[#This Row],[Planned_Qty]]</f>
        <v>1.002262443438914</v>
      </c>
      <c r="V713" s="2" t="s">
        <v>103</v>
      </c>
      <c r="W713" s="11">
        <v>35</v>
      </c>
      <c r="X713" s="13">
        <f>W713/60</f>
        <v>0.58333333333333337</v>
      </c>
      <c r="Y713" s="2" t="s">
        <v>136</v>
      </c>
      <c r="Z713" s="2">
        <v>38</v>
      </c>
      <c r="AA713" s="2">
        <f>ProductionData[[#This Row],[Rejected_Qty]]*ProductionData[[#This Row],[Unit_Cost_INR]]</f>
        <v>7410</v>
      </c>
      <c r="AB713" s="4">
        <v>32798</v>
      </c>
      <c r="AC713" s="4">
        <v>8680</v>
      </c>
      <c r="AD713" s="4">
        <v>8680</v>
      </c>
      <c r="AE713" s="4">
        <v>32783</v>
      </c>
      <c r="AF713" s="4">
        <v>13500</v>
      </c>
    </row>
    <row r="714" spans="1:32">
      <c r="A714" s="2" t="s">
        <v>1557</v>
      </c>
      <c r="B714" s="3">
        <v>46201</v>
      </c>
      <c r="C714" s="36" t="s">
        <v>1459</v>
      </c>
      <c r="D714" s="2">
        <f>MONTH(ProductionData[[#This Row],[Month]])</f>
        <v>6</v>
      </c>
      <c r="E714" s="2" t="s">
        <v>186</v>
      </c>
      <c r="F714" s="2" t="s">
        <v>66</v>
      </c>
      <c r="G714" s="2" t="s">
        <v>81</v>
      </c>
      <c r="H714" s="2" t="s">
        <v>82</v>
      </c>
      <c r="I714" s="2" t="s">
        <v>83</v>
      </c>
      <c r="J714" s="2" t="s">
        <v>84</v>
      </c>
      <c r="K714" s="2" t="s">
        <v>85</v>
      </c>
      <c r="L714" s="2" t="s">
        <v>1558</v>
      </c>
      <c r="M714" s="2" t="s">
        <v>73</v>
      </c>
      <c r="N714" s="2" t="s">
        <v>96</v>
      </c>
      <c r="O714" s="2">
        <v>18</v>
      </c>
      <c r="P714" s="2">
        <v>17</v>
      </c>
      <c r="Q714" s="4">
        <v>7180</v>
      </c>
      <c r="R714" s="4">
        <v>7310</v>
      </c>
      <c r="S714" s="4">
        <v>89</v>
      </c>
      <c r="T714" s="19">
        <f>(ProductionData[[#This Row],[Rejected_Qty]])/ProductionData[[#This Row],[Produced_Qty]]</f>
        <v>1.2175102599179206E-2</v>
      </c>
      <c r="U714" s="19">
        <f>ProductionData[[#This Row],[Produced_Qty]]/ProductionData[[#This Row],[Planned_Qty]]</f>
        <v>1.0181058495821727</v>
      </c>
      <c r="V714" s="2" t="s">
        <v>75</v>
      </c>
      <c r="W714" s="11">
        <v>24</v>
      </c>
      <c r="X714" s="13">
        <f>W714/60</f>
        <v>0.4</v>
      </c>
      <c r="Y714" s="2" t="s">
        <v>110</v>
      </c>
      <c r="Z714" s="2">
        <v>18</v>
      </c>
      <c r="AA714" s="2">
        <f>ProductionData[[#This Row],[Rejected_Qty]]*ProductionData[[#This Row],[Unit_Cost_INR]]</f>
        <v>1602</v>
      </c>
      <c r="AB714" s="4">
        <v>32930</v>
      </c>
      <c r="AC714" s="4">
        <v>7430</v>
      </c>
      <c r="AD714" s="4">
        <v>7430</v>
      </c>
      <c r="AE714" s="4">
        <v>32721</v>
      </c>
      <c r="AF714" s="4">
        <v>15000</v>
      </c>
    </row>
    <row r="715" spans="1:32">
      <c r="A715" s="2" t="s">
        <v>1559</v>
      </c>
      <c r="B715" s="3">
        <v>46199</v>
      </c>
      <c r="C715" s="36" t="s">
        <v>1459</v>
      </c>
      <c r="D715" s="2">
        <f>MONTH(ProductionData[[#This Row],[Month]])</f>
        <v>6</v>
      </c>
      <c r="E715" s="2" t="s">
        <v>125</v>
      </c>
      <c r="F715" s="2" t="s">
        <v>66</v>
      </c>
      <c r="G715" s="2" t="s">
        <v>174</v>
      </c>
      <c r="H715" s="2" t="s">
        <v>175</v>
      </c>
      <c r="I715" s="2" t="s">
        <v>176</v>
      </c>
      <c r="J715" s="2" t="s">
        <v>177</v>
      </c>
      <c r="K715" s="2" t="s">
        <v>178</v>
      </c>
      <c r="L715" s="2" t="s">
        <v>1560</v>
      </c>
      <c r="M715" s="2" t="s">
        <v>99</v>
      </c>
      <c r="N715" s="2" t="s">
        <v>88</v>
      </c>
      <c r="O715" s="2">
        <v>10</v>
      </c>
      <c r="P715" s="2">
        <v>9</v>
      </c>
      <c r="Q715" s="4">
        <v>8430</v>
      </c>
      <c r="R715" s="4">
        <v>7680</v>
      </c>
      <c r="S715" s="4">
        <v>173</v>
      </c>
      <c r="T715" s="19">
        <f>(ProductionData[[#This Row],[Rejected_Qty]])/ProductionData[[#This Row],[Produced_Qty]]</f>
        <v>2.2526041666666666E-2</v>
      </c>
      <c r="U715" s="19">
        <f>ProductionData[[#This Row],[Produced_Qty]]/ProductionData[[#This Row],[Planned_Qty]]</f>
        <v>0.91103202846975084</v>
      </c>
      <c r="V715" s="2" t="s">
        <v>89</v>
      </c>
      <c r="W715" s="11">
        <v>0</v>
      </c>
      <c r="X715" s="13">
        <f>W715/60</f>
        <v>0</v>
      </c>
      <c r="Y715" s="2" t="s">
        <v>90</v>
      </c>
      <c r="Z715" s="2">
        <v>24</v>
      </c>
      <c r="AA715" s="2">
        <f>ProductionData[[#This Row],[Rejected_Qty]]*ProductionData[[#This Row],[Unit_Cost_INR]]</f>
        <v>4152</v>
      </c>
      <c r="AB715" s="4">
        <v>32820</v>
      </c>
      <c r="AC715" s="4">
        <v>7900</v>
      </c>
      <c r="AD715" s="4">
        <v>7900</v>
      </c>
      <c r="AE715" s="4">
        <v>32427</v>
      </c>
      <c r="AF715" s="4">
        <v>12000</v>
      </c>
    </row>
    <row r="716" spans="1:32">
      <c r="A716" s="2" t="s">
        <v>1561</v>
      </c>
      <c r="B716" s="3">
        <v>46199</v>
      </c>
      <c r="C716" s="36" t="s">
        <v>1459</v>
      </c>
      <c r="D716" s="2">
        <f>MONTH(ProductionData[[#This Row],[Month]])</f>
        <v>6</v>
      </c>
      <c r="E716" s="2" t="s">
        <v>125</v>
      </c>
      <c r="F716" s="2" t="s">
        <v>93</v>
      </c>
      <c r="G716" s="2" t="s">
        <v>81</v>
      </c>
      <c r="H716" s="2" t="s">
        <v>82</v>
      </c>
      <c r="I716" s="2" t="s">
        <v>83</v>
      </c>
      <c r="J716" s="2" t="s">
        <v>84</v>
      </c>
      <c r="K716" s="2" t="s">
        <v>85</v>
      </c>
      <c r="L716" s="2" t="s">
        <v>1562</v>
      </c>
      <c r="M716" s="2" t="s">
        <v>95</v>
      </c>
      <c r="N716" s="2" t="s">
        <v>88</v>
      </c>
      <c r="O716" s="2">
        <v>18</v>
      </c>
      <c r="P716" s="2">
        <v>18</v>
      </c>
      <c r="Q716" s="4">
        <v>9290</v>
      </c>
      <c r="R716" s="4">
        <v>8860</v>
      </c>
      <c r="S716" s="4">
        <v>190</v>
      </c>
      <c r="T716" s="19">
        <f>(ProductionData[[#This Row],[Rejected_Qty]])/ProductionData[[#This Row],[Produced_Qty]]</f>
        <v>2.144469525959368E-2</v>
      </c>
      <c r="U716" s="19">
        <f>ProductionData[[#This Row],[Produced_Qty]]/ProductionData[[#This Row],[Planned_Qty]]</f>
        <v>0.95371367061356294</v>
      </c>
      <c r="V716" s="2" t="s">
        <v>89</v>
      </c>
      <c r="W716" s="11">
        <v>32</v>
      </c>
      <c r="X716" s="13">
        <f>W716/60</f>
        <v>0.53333333333333333</v>
      </c>
      <c r="Y716" s="2" t="s">
        <v>76</v>
      </c>
      <c r="Z716" s="2">
        <v>18</v>
      </c>
      <c r="AA716" s="2">
        <f>ProductionData[[#This Row],[Rejected_Qty]]*ProductionData[[#This Row],[Unit_Cost_INR]]</f>
        <v>3420</v>
      </c>
      <c r="AB716" s="4">
        <v>31997</v>
      </c>
      <c r="AC716" s="4">
        <v>8270</v>
      </c>
      <c r="AD716" s="4">
        <v>8270</v>
      </c>
      <c r="AE716" s="4">
        <v>32397</v>
      </c>
      <c r="AF716" s="4">
        <v>15000</v>
      </c>
    </row>
    <row r="717" spans="1:32">
      <c r="A717" s="2" t="s">
        <v>1563</v>
      </c>
      <c r="B717" s="3">
        <v>46186</v>
      </c>
      <c r="C717" s="36" t="s">
        <v>1459</v>
      </c>
      <c r="D717" s="2">
        <f>MONTH(ProductionData[[#This Row],[Month]])</f>
        <v>6</v>
      </c>
      <c r="E717" s="2" t="s">
        <v>65</v>
      </c>
      <c r="F717" s="2" t="s">
        <v>80</v>
      </c>
      <c r="G717" s="2" t="s">
        <v>174</v>
      </c>
      <c r="H717" s="2" t="s">
        <v>175</v>
      </c>
      <c r="I717" s="2" t="s">
        <v>176</v>
      </c>
      <c r="J717" s="2" t="s">
        <v>177</v>
      </c>
      <c r="K717" s="2" t="s">
        <v>178</v>
      </c>
      <c r="L717" s="2" t="s">
        <v>1564</v>
      </c>
      <c r="M717" s="2" t="s">
        <v>87</v>
      </c>
      <c r="N717" s="2" t="s">
        <v>88</v>
      </c>
      <c r="O717" s="2">
        <v>10</v>
      </c>
      <c r="P717" s="2">
        <v>10</v>
      </c>
      <c r="Q717" s="4">
        <v>7550</v>
      </c>
      <c r="R717" s="4">
        <v>6860</v>
      </c>
      <c r="S717" s="4">
        <v>147</v>
      </c>
      <c r="T717" s="19">
        <f>(ProductionData[[#This Row],[Rejected_Qty]])/ProductionData[[#This Row],[Produced_Qty]]</f>
        <v>2.1428571428571429E-2</v>
      </c>
      <c r="U717" s="19">
        <f>ProductionData[[#This Row],[Produced_Qty]]/ProductionData[[#This Row],[Planned_Qty]]</f>
        <v>0.90860927152317883</v>
      </c>
      <c r="V717" s="2" t="s">
        <v>75</v>
      </c>
      <c r="W717" s="11">
        <v>0</v>
      </c>
      <c r="X717" s="13">
        <f>W717/60</f>
        <v>0</v>
      </c>
      <c r="Y717" s="2" t="s">
        <v>90</v>
      </c>
      <c r="Z717" s="2">
        <v>24</v>
      </c>
      <c r="AA717" s="2">
        <f>ProductionData[[#This Row],[Rejected_Qty]]*ProductionData[[#This Row],[Unit_Cost_INR]]</f>
        <v>3528</v>
      </c>
      <c r="AB717" s="4">
        <v>32246</v>
      </c>
      <c r="AC717" s="4">
        <v>6580</v>
      </c>
      <c r="AD717" s="4">
        <v>6580</v>
      </c>
      <c r="AE717" s="4">
        <v>32379</v>
      </c>
      <c r="AF717" s="4">
        <v>12000</v>
      </c>
    </row>
    <row r="718" spans="1:32">
      <c r="A718" s="2" t="s">
        <v>1565</v>
      </c>
      <c r="B718" s="3">
        <v>46188</v>
      </c>
      <c r="C718" s="36" t="s">
        <v>1459</v>
      </c>
      <c r="D718" s="2">
        <f>MONTH(ProductionData[[#This Row],[Month]])</f>
        <v>6</v>
      </c>
      <c r="E718" s="2" t="s">
        <v>116</v>
      </c>
      <c r="F718" s="2" t="s">
        <v>93</v>
      </c>
      <c r="G718" s="2" t="s">
        <v>67</v>
      </c>
      <c r="H718" s="2" t="s">
        <v>68</v>
      </c>
      <c r="I718" s="2" t="s">
        <v>69</v>
      </c>
      <c r="J718" s="2" t="s">
        <v>70</v>
      </c>
      <c r="K718" s="2" t="s">
        <v>71</v>
      </c>
      <c r="L718" s="2" t="s">
        <v>1566</v>
      </c>
      <c r="M718" s="2" t="s">
        <v>133</v>
      </c>
      <c r="N718" s="2" t="s">
        <v>96</v>
      </c>
      <c r="O718" s="2">
        <v>16</v>
      </c>
      <c r="P718" s="2">
        <v>15</v>
      </c>
      <c r="Q718" s="4">
        <v>5340</v>
      </c>
      <c r="R718" s="4">
        <v>4900</v>
      </c>
      <c r="S718" s="4">
        <v>149</v>
      </c>
      <c r="T718" s="19">
        <f>(ProductionData[[#This Row],[Rejected_Qty]])/ProductionData[[#This Row],[Produced_Qty]]</f>
        <v>3.0408163265306123E-2</v>
      </c>
      <c r="U718" s="19">
        <f>ProductionData[[#This Row],[Produced_Qty]]/ProductionData[[#This Row],[Planned_Qty]]</f>
        <v>0.91760299625468167</v>
      </c>
      <c r="V718" s="2" t="s">
        <v>89</v>
      </c>
      <c r="W718" s="11">
        <v>0</v>
      </c>
      <c r="X718" s="13">
        <f>W718/60</f>
        <v>0</v>
      </c>
      <c r="Y718" s="2" t="s">
        <v>90</v>
      </c>
      <c r="Z718" s="2">
        <v>46</v>
      </c>
      <c r="AA718" s="2">
        <f>ProductionData[[#This Row],[Rejected_Qty]]*ProductionData[[#This Row],[Unit_Cost_INR]]</f>
        <v>6854</v>
      </c>
      <c r="AB718" s="4">
        <v>31980</v>
      </c>
      <c r="AC718" s="4">
        <v>4480</v>
      </c>
      <c r="AD718" s="4">
        <v>4480</v>
      </c>
      <c r="AE718" s="4">
        <v>32251</v>
      </c>
      <c r="AF718" s="4">
        <v>10500</v>
      </c>
    </row>
    <row r="719" spans="1:32">
      <c r="A719" s="2" t="s">
        <v>1567</v>
      </c>
      <c r="B719" s="3">
        <v>46185</v>
      </c>
      <c r="C719" s="36" t="s">
        <v>1459</v>
      </c>
      <c r="D719" s="2">
        <f>MONTH(ProductionData[[#This Row],[Month]])</f>
        <v>6</v>
      </c>
      <c r="E719" s="2" t="s">
        <v>125</v>
      </c>
      <c r="F719" s="2" t="s">
        <v>80</v>
      </c>
      <c r="G719" s="2" t="s">
        <v>174</v>
      </c>
      <c r="H719" s="2" t="s">
        <v>175</v>
      </c>
      <c r="I719" s="2" t="s">
        <v>176</v>
      </c>
      <c r="J719" s="2" t="s">
        <v>177</v>
      </c>
      <c r="K719" s="2" t="s">
        <v>178</v>
      </c>
      <c r="L719" s="2" t="s">
        <v>1568</v>
      </c>
      <c r="M719" s="2" t="s">
        <v>102</v>
      </c>
      <c r="N719" s="2" t="s">
        <v>88</v>
      </c>
      <c r="O719" s="2">
        <v>10</v>
      </c>
      <c r="P719" s="2">
        <v>10</v>
      </c>
      <c r="Q719" s="4">
        <v>7950</v>
      </c>
      <c r="R719" s="4">
        <v>7800</v>
      </c>
      <c r="S719" s="4">
        <v>159</v>
      </c>
      <c r="T719" s="19">
        <f>(ProductionData[[#This Row],[Rejected_Qty]])/ProductionData[[#This Row],[Produced_Qty]]</f>
        <v>2.0384615384615383E-2</v>
      </c>
      <c r="U719" s="19">
        <f>ProductionData[[#This Row],[Produced_Qty]]/ProductionData[[#This Row],[Planned_Qty]]</f>
        <v>0.98113207547169812</v>
      </c>
      <c r="V719" s="2" t="s">
        <v>103</v>
      </c>
      <c r="W719" s="11">
        <v>0</v>
      </c>
      <c r="X719" s="13">
        <f>W719/60</f>
        <v>0</v>
      </c>
      <c r="Y719" s="2" t="s">
        <v>90</v>
      </c>
      <c r="Z719" s="2">
        <v>24</v>
      </c>
      <c r="AA719" s="2">
        <f>ProductionData[[#This Row],[Rejected_Qty]]*ProductionData[[#This Row],[Unit_Cost_INR]]</f>
        <v>3816</v>
      </c>
      <c r="AB719" s="4">
        <v>31125</v>
      </c>
      <c r="AC719" s="4">
        <v>6520</v>
      </c>
      <c r="AD719" s="4">
        <v>6520</v>
      </c>
      <c r="AE719" s="4">
        <v>32246</v>
      </c>
      <c r="AF719" s="4">
        <v>12000</v>
      </c>
    </row>
    <row r="720" spans="1:32">
      <c r="A720" s="2" t="s">
        <v>1569</v>
      </c>
      <c r="B720" s="3">
        <v>46187</v>
      </c>
      <c r="C720" s="36" t="s">
        <v>1459</v>
      </c>
      <c r="D720" s="2">
        <f>MONTH(ProductionData[[#This Row],[Month]])</f>
        <v>6</v>
      </c>
      <c r="E720" s="2" t="s">
        <v>186</v>
      </c>
      <c r="F720" s="2" t="s">
        <v>66</v>
      </c>
      <c r="G720" s="2" t="s">
        <v>174</v>
      </c>
      <c r="H720" s="2" t="s">
        <v>175</v>
      </c>
      <c r="I720" s="2" t="s">
        <v>176</v>
      </c>
      <c r="J720" s="2" t="s">
        <v>177</v>
      </c>
      <c r="K720" s="2" t="s">
        <v>178</v>
      </c>
      <c r="L720" s="2" t="s">
        <v>1570</v>
      </c>
      <c r="M720" s="2" t="s">
        <v>99</v>
      </c>
      <c r="N720" s="2" t="s">
        <v>96</v>
      </c>
      <c r="O720" s="2">
        <v>10</v>
      </c>
      <c r="P720" s="2">
        <v>9</v>
      </c>
      <c r="Q720" s="4">
        <v>5790</v>
      </c>
      <c r="R720" s="4">
        <v>5250</v>
      </c>
      <c r="S720" s="4">
        <v>160</v>
      </c>
      <c r="T720" s="19">
        <f>(ProductionData[[#This Row],[Rejected_Qty]])/ProductionData[[#This Row],[Produced_Qty]]</f>
        <v>3.0476190476190476E-2</v>
      </c>
      <c r="U720" s="19">
        <f>ProductionData[[#This Row],[Produced_Qty]]/ProductionData[[#This Row],[Planned_Qty]]</f>
        <v>0.90673575129533679</v>
      </c>
      <c r="V720" s="2" t="s">
        <v>113</v>
      </c>
      <c r="W720" s="11">
        <v>47</v>
      </c>
      <c r="X720" s="13">
        <f>W720/60</f>
        <v>0.78333333333333333</v>
      </c>
      <c r="Y720" s="2" t="s">
        <v>182</v>
      </c>
      <c r="Z720" s="2">
        <v>24</v>
      </c>
      <c r="AA720" s="2">
        <f>ProductionData[[#This Row],[Rejected_Qty]]*ProductionData[[#This Row],[Unit_Cost_INR]]</f>
        <v>3840</v>
      </c>
      <c r="AB720" s="4">
        <v>32379</v>
      </c>
      <c r="AC720" s="4">
        <v>5240</v>
      </c>
      <c r="AD720" s="4">
        <v>5240</v>
      </c>
      <c r="AE720" s="4">
        <v>32229</v>
      </c>
      <c r="AF720" s="4">
        <v>12000</v>
      </c>
    </row>
    <row r="721" spans="1:32">
      <c r="A721" s="2" t="s">
        <v>1571</v>
      </c>
      <c r="B721" s="3">
        <v>46197</v>
      </c>
      <c r="C721" s="36" t="s">
        <v>1459</v>
      </c>
      <c r="D721" s="2">
        <f>MONTH(ProductionData[[#This Row],[Month]])</f>
        <v>6</v>
      </c>
      <c r="E721" s="2" t="s">
        <v>79</v>
      </c>
      <c r="F721" s="2" t="s">
        <v>80</v>
      </c>
      <c r="G721" s="2" t="s">
        <v>174</v>
      </c>
      <c r="H721" s="2" t="s">
        <v>175</v>
      </c>
      <c r="I721" s="2" t="s">
        <v>176</v>
      </c>
      <c r="J721" s="2" t="s">
        <v>177</v>
      </c>
      <c r="K721" s="2" t="s">
        <v>178</v>
      </c>
      <c r="L721" s="2" t="s">
        <v>1572</v>
      </c>
      <c r="M721" s="2" t="s">
        <v>102</v>
      </c>
      <c r="N721" s="2" t="s">
        <v>88</v>
      </c>
      <c r="O721" s="2">
        <v>10</v>
      </c>
      <c r="P721" s="2">
        <v>10</v>
      </c>
      <c r="Q721" s="4">
        <v>8210</v>
      </c>
      <c r="R721" s="4">
        <v>7520</v>
      </c>
      <c r="S721" s="4">
        <v>128</v>
      </c>
      <c r="T721" s="19">
        <f>(ProductionData[[#This Row],[Rejected_Qty]])/ProductionData[[#This Row],[Produced_Qty]]</f>
        <v>1.7021276595744681E-2</v>
      </c>
      <c r="U721" s="19">
        <f>ProductionData[[#This Row],[Produced_Qty]]/ProductionData[[#This Row],[Planned_Qty]]</f>
        <v>0.9159561510353228</v>
      </c>
      <c r="V721" s="2" t="s">
        <v>113</v>
      </c>
      <c r="W721" s="11">
        <v>0</v>
      </c>
      <c r="X721" s="13">
        <f>W721/60</f>
        <v>0</v>
      </c>
      <c r="Y721" s="2" t="s">
        <v>90</v>
      </c>
      <c r="Z721" s="2">
        <v>24</v>
      </c>
      <c r="AA721" s="2">
        <f>ProductionData[[#This Row],[Rejected_Qty]]*ProductionData[[#This Row],[Unit_Cost_INR]]</f>
        <v>3072</v>
      </c>
      <c r="AB721" s="4">
        <v>31089</v>
      </c>
      <c r="AC721" s="4">
        <v>6300</v>
      </c>
      <c r="AD721" s="4">
        <v>6300</v>
      </c>
      <c r="AE721" s="4">
        <v>32181</v>
      </c>
      <c r="AF721" s="4">
        <v>12000</v>
      </c>
    </row>
    <row r="722" spans="1:32">
      <c r="A722" s="2" t="s">
        <v>1573</v>
      </c>
      <c r="B722" s="3">
        <v>46198</v>
      </c>
      <c r="C722" s="36" t="s">
        <v>1459</v>
      </c>
      <c r="D722" s="2">
        <f>MONTH(ProductionData[[#This Row],[Month]])</f>
        <v>6</v>
      </c>
      <c r="E722" s="2" t="s">
        <v>107</v>
      </c>
      <c r="F722" s="2" t="s">
        <v>93</v>
      </c>
      <c r="G722" s="2" t="s">
        <v>67</v>
      </c>
      <c r="H722" s="2" t="s">
        <v>68</v>
      </c>
      <c r="I722" s="2" t="s">
        <v>69</v>
      </c>
      <c r="J722" s="2" t="s">
        <v>70</v>
      </c>
      <c r="K722" s="2" t="s">
        <v>71</v>
      </c>
      <c r="L722" s="2" t="s">
        <v>1574</v>
      </c>
      <c r="M722" s="2" t="s">
        <v>95</v>
      </c>
      <c r="N722" s="2" t="s">
        <v>96</v>
      </c>
      <c r="O722" s="2">
        <v>16</v>
      </c>
      <c r="P722" s="2">
        <v>11</v>
      </c>
      <c r="Q722" s="4">
        <v>5500</v>
      </c>
      <c r="R722" s="4">
        <v>4560</v>
      </c>
      <c r="S722" s="4">
        <v>115</v>
      </c>
      <c r="T722" s="19">
        <f>(ProductionData[[#This Row],[Rejected_Qty]])/ProductionData[[#This Row],[Produced_Qty]]</f>
        <v>2.5219298245614034E-2</v>
      </c>
      <c r="U722" s="19">
        <f>ProductionData[[#This Row],[Produced_Qty]]/ProductionData[[#This Row],[Planned_Qty]]</f>
        <v>0.8290909090909091</v>
      </c>
      <c r="V722" s="2" t="s">
        <v>89</v>
      </c>
      <c r="W722" s="11">
        <v>0</v>
      </c>
      <c r="X722" s="13">
        <f>W722/60</f>
        <v>0</v>
      </c>
      <c r="Y722" s="2" t="s">
        <v>90</v>
      </c>
      <c r="Z722" s="2">
        <v>46</v>
      </c>
      <c r="AA722" s="2">
        <f>ProductionData[[#This Row],[Rejected_Qty]]*ProductionData[[#This Row],[Unit_Cost_INR]]</f>
        <v>5290</v>
      </c>
      <c r="AB722" s="4">
        <v>33284</v>
      </c>
      <c r="AC722" s="4">
        <v>5550</v>
      </c>
      <c r="AD722" s="4">
        <v>5550</v>
      </c>
      <c r="AE722" s="4">
        <v>32179</v>
      </c>
      <c r="AF722" s="4">
        <v>10500</v>
      </c>
    </row>
    <row r="723" spans="1:32">
      <c r="A723" s="2" t="s">
        <v>1575</v>
      </c>
      <c r="B723" s="3">
        <v>46203</v>
      </c>
      <c r="C723" s="36" t="s">
        <v>1459</v>
      </c>
      <c r="D723" s="2">
        <f>MONTH(ProductionData[[#This Row],[Month]])</f>
        <v>6</v>
      </c>
      <c r="E723" s="2" t="s">
        <v>92</v>
      </c>
      <c r="F723" s="2" t="s">
        <v>66</v>
      </c>
      <c r="G723" s="2" t="s">
        <v>67</v>
      </c>
      <c r="H723" s="2" t="s">
        <v>68</v>
      </c>
      <c r="I723" s="2" t="s">
        <v>69</v>
      </c>
      <c r="J723" s="2" t="s">
        <v>70</v>
      </c>
      <c r="K723" s="2" t="s">
        <v>71</v>
      </c>
      <c r="L723" s="2" t="s">
        <v>1576</v>
      </c>
      <c r="M723" s="2" t="s">
        <v>73</v>
      </c>
      <c r="N723" s="2" t="s">
        <v>88</v>
      </c>
      <c r="O723" s="2">
        <v>16</v>
      </c>
      <c r="P723" s="2">
        <v>16</v>
      </c>
      <c r="Q723" s="4">
        <v>5540</v>
      </c>
      <c r="R723" s="4">
        <v>5610</v>
      </c>
      <c r="S723" s="4">
        <v>182</v>
      </c>
      <c r="T723" s="19">
        <f>(ProductionData[[#This Row],[Rejected_Qty]])/ProductionData[[#This Row],[Produced_Qty]]</f>
        <v>3.2442067736185382E-2</v>
      </c>
      <c r="U723" s="19">
        <f>ProductionData[[#This Row],[Produced_Qty]]/ProductionData[[#This Row],[Planned_Qty]]</f>
        <v>1.0126353790613718</v>
      </c>
      <c r="V723" s="2" t="s">
        <v>75</v>
      </c>
      <c r="W723" s="11">
        <v>0</v>
      </c>
      <c r="X723" s="13">
        <f>W723/60</f>
        <v>0</v>
      </c>
      <c r="Y723" s="2" t="s">
        <v>90</v>
      </c>
      <c r="Z723" s="2">
        <v>46</v>
      </c>
      <c r="AA723" s="2">
        <f>ProductionData[[#This Row],[Rejected_Qty]]*ProductionData[[#This Row],[Unit_Cost_INR]]</f>
        <v>8372</v>
      </c>
      <c r="AB723" s="4">
        <v>32033</v>
      </c>
      <c r="AC723" s="4">
        <v>5340</v>
      </c>
      <c r="AD723" s="4">
        <v>5340</v>
      </c>
      <c r="AE723" s="4">
        <v>32121</v>
      </c>
      <c r="AF723" s="4">
        <v>10500</v>
      </c>
    </row>
    <row r="724" spans="1:32">
      <c r="A724" s="2" t="s">
        <v>1577</v>
      </c>
      <c r="B724" s="3">
        <v>46191</v>
      </c>
      <c r="C724" s="36" t="s">
        <v>1459</v>
      </c>
      <c r="D724" s="2">
        <f>MONTH(ProductionData[[#This Row],[Month]])</f>
        <v>6</v>
      </c>
      <c r="E724" s="2" t="s">
        <v>107</v>
      </c>
      <c r="F724" s="2" t="s">
        <v>66</v>
      </c>
      <c r="G724" s="2" t="s">
        <v>67</v>
      </c>
      <c r="H724" s="2" t="s">
        <v>68</v>
      </c>
      <c r="I724" s="2" t="s">
        <v>69</v>
      </c>
      <c r="J724" s="2" t="s">
        <v>70</v>
      </c>
      <c r="K724" s="2" t="s">
        <v>71</v>
      </c>
      <c r="L724" s="2" t="s">
        <v>1578</v>
      </c>
      <c r="M724" s="2" t="s">
        <v>73</v>
      </c>
      <c r="N724" s="2" t="s">
        <v>88</v>
      </c>
      <c r="O724" s="2">
        <v>16</v>
      </c>
      <c r="P724" s="2">
        <v>16</v>
      </c>
      <c r="Q724" s="4">
        <v>6150</v>
      </c>
      <c r="R724" s="4">
        <v>5910</v>
      </c>
      <c r="S724" s="4">
        <v>174</v>
      </c>
      <c r="T724" s="19">
        <f>(ProductionData[[#This Row],[Rejected_Qty]])/ProductionData[[#This Row],[Produced_Qty]]</f>
        <v>2.9441624365482234E-2</v>
      </c>
      <c r="U724" s="19">
        <f>ProductionData[[#This Row],[Produced_Qty]]/ProductionData[[#This Row],[Planned_Qty]]</f>
        <v>0.96097560975609753</v>
      </c>
      <c r="V724" s="2" t="s">
        <v>113</v>
      </c>
      <c r="W724" s="11">
        <v>32</v>
      </c>
      <c r="X724" s="13">
        <f>W724/60</f>
        <v>0.53333333333333333</v>
      </c>
      <c r="Y724" s="2" t="s">
        <v>110</v>
      </c>
      <c r="Z724" s="2">
        <v>46</v>
      </c>
      <c r="AA724" s="2">
        <f>ProductionData[[#This Row],[Rejected_Qty]]*ProductionData[[#This Row],[Unit_Cost_INR]]</f>
        <v>8004</v>
      </c>
      <c r="AB724" s="4">
        <v>31702</v>
      </c>
      <c r="AC724" s="4">
        <v>5320</v>
      </c>
      <c r="AD724" s="4">
        <v>5320</v>
      </c>
      <c r="AE724" s="4">
        <v>32118</v>
      </c>
      <c r="AF724" s="4">
        <v>10500</v>
      </c>
    </row>
    <row r="725" spans="1:32">
      <c r="A725" s="2" t="s">
        <v>1579</v>
      </c>
      <c r="B725" s="3">
        <v>46191</v>
      </c>
      <c r="C725" s="36" t="s">
        <v>1459</v>
      </c>
      <c r="D725" s="2">
        <f>MONTH(ProductionData[[#This Row],[Month]])</f>
        <v>6</v>
      </c>
      <c r="E725" s="2" t="s">
        <v>107</v>
      </c>
      <c r="F725" s="2" t="s">
        <v>80</v>
      </c>
      <c r="G725" s="2" t="s">
        <v>67</v>
      </c>
      <c r="H725" s="2" t="s">
        <v>68</v>
      </c>
      <c r="I725" s="2" t="s">
        <v>69</v>
      </c>
      <c r="J725" s="2" t="s">
        <v>70</v>
      </c>
      <c r="K725" s="2" t="s">
        <v>71</v>
      </c>
      <c r="L725" s="2" t="s">
        <v>1580</v>
      </c>
      <c r="M725" s="2" t="s">
        <v>102</v>
      </c>
      <c r="N725" s="2" t="s">
        <v>88</v>
      </c>
      <c r="O725" s="2">
        <v>16</v>
      </c>
      <c r="P725" s="2">
        <v>16</v>
      </c>
      <c r="Q725" s="4">
        <v>5790</v>
      </c>
      <c r="R725" s="4">
        <v>5580</v>
      </c>
      <c r="S725" s="4">
        <v>174</v>
      </c>
      <c r="T725" s="19">
        <f>(ProductionData[[#This Row],[Rejected_Qty]])/ProductionData[[#This Row],[Produced_Qty]]</f>
        <v>3.118279569892473E-2</v>
      </c>
      <c r="U725" s="19">
        <f>ProductionData[[#This Row],[Produced_Qty]]/ProductionData[[#This Row],[Planned_Qty]]</f>
        <v>0.96373056994818651</v>
      </c>
      <c r="V725" s="2" t="s">
        <v>103</v>
      </c>
      <c r="W725" s="11">
        <v>0</v>
      </c>
      <c r="X725" s="13">
        <f>W725/60</f>
        <v>0</v>
      </c>
      <c r="Y725" s="2" t="s">
        <v>90</v>
      </c>
      <c r="Z725" s="2">
        <v>46</v>
      </c>
      <c r="AA725" s="2">
        <f>ProductionData[[#This Row],[Rejected_Qty]]*ProductionData[[#This Row],[Unit_Cost_INR]]</f>
        <v>8004</v>
      </c>
      <c r="AB725" s="4">
        <v>32118</v>
      </c>
      <c r="AC725" s="4">
        <v>5420</v>
      </c>
      <c r="AD725" s="4">
        <v>5420</v>
      </c>
      <c r="AE725" s="4">
        <v>32104</v>
      </c>
      <c r="AF725" s="4">
        <v>10500</v>
      </c>
    </row>
    <row r="726" spans="1:32">
      <c r="A726" s="2" t="s">
        <v>1581</v>
      </c>
      <c r="B726" s="3">
        <v>46202</v>
      </c>
      <c r="C726" s="36" t="s">
        <v>1459</v>
      </c>
      <c r="D726" s="2">
        <f>MONTH(ProductionData[[#This Row],[Month]])</f>
        <v>6</v>
      </c>
      <c r="E726" s="2" t="s">
        <v>116</v>
      </c>
      <c r="F726" s="2" t="s">
        <v>80</v>
      </c>
      <c r="G726" s="2" t="s">
        <v>67</v>
      </c>
      <c r="H726" s="2" t="s">
        <v>68</v>
      </c>
      <c r="I726" s="2" t="s">
        <v>69</v>
      </c>
      <c r="J726" s="2" t="s">
        <v>70</v>
      </c>
      <c r="K726" s="2" t="s">
        <v>71</v>
      </c>
      <c r="L726" s="2" t="s">
        <v>1582</v>
      </c>
      <c r="M726" s="2" t="s">
        <v>102</v>
      </c>
      <c r="N726" s="2" t="s">
        <v>96</v>
      </c>
      <c r="O726" s="2">
        <v>16</v>
      </c>
      <c r="P726" s="2">
        <v>16</v>
      </c>
      <c r="Q726" s="4">
        <v>5470</v>
      </c>
      <c r="R726" s="4">
        <v>5380</v>
      </c>
      <c r="S726" s="4">
        <v>135</v>
      </c>
      <c r="T726" s="19">
        <f>(ProductionData[[#This Row],[Rejected_Qty]])/ProductionData[[#This Row],[Produced_Qty]]</f>
        <v>2.5092936802973979E-2</v>
      </c>
      <c r="U726" s="19">
        <f>ProductionData[[#This Row],[Produced_Qty]]/ProductionData[[#This Row],[Planned_Qty]]</f>
        <v>0.98354661791590492</v>
      </c>
      <c r="V726" s="2" t="s">
        <v>103</v>
      </c>
      <c r="W726" s="11">
        <v>60</v>
      </c>
      <c r="X726" s="13">
        <f>W726/60</f>
        <v>1</v>
      </c>
      <c r="Y726" s="2" t="s">
        <v>110</v>
      </c>
      <c r="Z726" s="2">
        <v>46</v>
      </c>
      <c r="AA726" s="2">
        <f>ProductionData[[#This Row],[Rejected_Qty]]*ProductionData[[#This Row],[Unit_Cost_INR]]</f>
        <v>6210</v>
      </c>
      <c r="AB726" s="4">
        <v>31818</v>
      </c>
      <c r="AC726" s="4">
        <v>5030</v>
      </c>
      <c r="AD726" s="4">
        <v>5030</v>
      </c>
      <c r="AE726" s="4">
        <v>32033</v>
      </c>
      <c r="AF726" s="4">
        <v>10500</v>
      </c>
    </row>
    <row r="727" spans="1:32">
      <c r="A727" s="2" t="s">
        <v>1583</v>
      </c>
      <c r="B727" s="3">
        <v>46203</v>
      </c>
      <c r="C727" s="36" t="s">
        <v>1459</v>
      </c>
      <c r="D727" s="2">
        <f>MONTH(ProductionData[[#This Row],[Month]])</f>
        <v>6</v>
      </c>
      <c r="E727" s="2" t="s">
        <v>92</v>
      </c>
      <c r="F727" s="2" t="s">
        <v>66</v>
      </c>
      <c r="G727" s="2" t="s">
        <v>174</v>
      </c>
      <c r="H727" s="2" t="s">
        <v>175</v>
      </c>
      <c r="I727" s="2" t="s">
        <v>176</v>
      </c>
      <c r="J727" s="2" t="s">
        <v>443</v>
      </c>
      <c r="K727" s="2" t="s">
        <v>444</v>
      </c>
      <c r="L727" s="2" t="s">
        <v>1584</v>
      </c>
      <c r="M727" s="2" t="s">
        <v>99</v>
      </c>
      <c r="N727" s="2" t="s">
        <v>88</v>
      </c>
      <c r="O727" s="2">
        <v>10</v>
      </c>
      <c r="P727" s="2">
        <v>10</v>
      </c>
      <c r="Q727" s="4">
        <v>5450</v>
      </c>
      <c r="R727" s="4">
        <v>5250</v>
      </c>
      <c r="S727" s="4">
        <v>166</v>
      </c>
      <c r="T727" s="19">
        <f>(ProductionData[[#This Row],[Rejected_Qty]])/ProductionData[[#This Row],[Produced_Qty]]</f>
        <v>3.1619047619047616E-2</v>
      </c>
      <c r="U727" s="19">
        <f>ProductionData[[#This Row],[Produced_Qty]]/ProductionData[[#This Row],[Planned_Qty]]</f>
        <v>0.96330275229357798</v>
      </c>
      <c r="V727" s="2" t="s">
        <v>75</v>
      </c>
      <c r="W727" s="11">
        <v>64</v>
      </c>
      <c r="X727" s="13">
        <f>W727/60</f>
        <v>1.0666666666666667</v>
      </c>
      <c r="Y727" s="2" t="s">
        <v>136</v>
      </c>
      <c r="Z727" s="2">
        <v>33</v>
      </c>
      <c r="AA727" s="2">
        <f>ProductionData[[#This Row],[Rejected_Qty]]*ProductionData[[#This Row],[Unit_Cost_INR]]</f>
        <v>5478</v>
      </c>
      <c r="AB727" s="4">
        <v>31449</v>
      </c>
      <c r="AC727" s="4">
        <v>4500</v>
      </c>
      <c r="AD727" s="4">
        <v>4500</v>
      </c>
      <c r="AE727" s="4">
        <v>32033</v>
      </c>
      <c r="AF727" s="4">
        <v>9750</v>
      </c>
    </row>
    <row r="728" spans="1:32">
      <c r="A728" s="2" t="s">
        <v>1585</v>
      </c>
      <c r="B728" s="3">
        <v>46198</v>
      </c>
      <c r="C728" s="36" t="s">
        <v>1459</v>
      </c>
      <c r="D728" s="2">
        <f>MONTH(ProductionData[[#This Row],[Month]])</f>
        <v>6</v>
      </c>
      <c r="E728" s="2" t="s">
        <v>107</v>
      </c>
      <c r="F728" s="2" t="s">
        <v>93</v>
      </c>
      <c r="G728" s="2" t="s">
        <v>81</v>
      </c>
      <c r="H728" s="2" t="s">
        <v>82</v>
      </c>
      <c r="I728" s="2" t="s">
        <v>83</v>
      </c>
      <c r="J728" s="2" t="s">
        <v>84</v>
      </c>
      <c r="K728" s="2" t="s">
        <v>85</v>
      </c>
      <c r="L728" s="2" t="s">
        <v>1586</v>
      </c>
      <c r="M728" s="2" t="s">
        <v>133</v>
      </c>
      <c r="N728" s="2" t="s">
        <v>96</v>
      </c>
      <c r="O728" s="2">
        <v>18</v>
      </c>
      <c r="P728" s="2">
        <v>15</v>
      </c>
      <c r="Q728" s="4">
        <v>9030</v>
      </c>
      <c r="R728" s="4">
        <v>7960</v>
      </c>
      <c r="S728" s="4">
        <v>257</v>
      </c>
      <c r="T728" s="19">
        <f>(ProductionData[[#This Row],[Rejected_Qty]])/ProductionData[[#This Row],[Produced_Qty]]</f>
        <v>3.228643216080402E-2</v>
      </c>
      <c r="U728" s="19">
        <f>ProductionData[[#This Row],[Produced_Qty]]/ProductionData[[#This Row],[Planned_Qty]]</f>
        <v>0.88150609080841635</v>
      </c>
      <c r="V728" s="2" t="s">
        <v>75</v>
      </c>
      <c r="W728" s="11">
        <v>0</v>
      </c>
      <c r="X728" s="13">
        <f>W728/60</f>
        <v>0</v>
      </c>
      <c r="Y728" s="2" t="s">
        <v>90</v>
      </c>
      <c r="Z728" s="2">
        <v>18</v>
      </c>
      <c r="AA728" s="2">
        <f>ProductionData[[#This Row],[Rejected_Qty]]*ProductionData[[#This Row],[Unit_Cost_INR]]</f>
        <v>4626</v>
      </c>
      <c r="AB728" s="4">
        <v>32834</v>
      </c>
      <c r="AC728" s="4">
        <v>8540</v>
      </c>
      <c r="AD728" s="4">
        <v>8540</v>
      </c>
      <c r="AE728" s="4">
        <v>31997</v>
      </c>
      <c r="AF728" s="4">
        <v>15000</v>
      </c>
    </row>
    <row r="729" spans="1:32">
      <c r="A729" s="2" t="s">
        <v>1587</v>
      </c>
      <c r="B729" s="3">
        <v>46188</v>
      </c>
      <c r="C729" s="36" t="s">
        <v>1459</v>
      </c>
      <c r="D729" s="2">
        <f>MONTH(ProductionData[[#This Row],[Month]])</f>
        <v>6</v>
      </c>
      <c r="E729" s="2" t="s">
        <v>116</v>
      </c>
      <c r="F729" s="2" t="s">
        <v>80</v>
      </c>
      <c r="G729" s="2" t="s">
        <v>67</v>
      </c>
      <c r="H729" s="2" t="s">
        <v>68</v>
      </c>
      <c r="I729" s="2" t="s">
        <v>69</v>
      </c>
      <c r="J729" s="2" t="s">
        <v>70</v>
      </c>
      <c r="K729" s="2" t="s">
        <v>71</v>
      </c>
      <c r="L729" s="2" t="s">
        <v>1588</v>
      </c>
      <c r="M729" s="2" t="s">
        <v>87</v>
      </c>
      <c r="N729" s="2" t="s">
        <v>88</v>
      </c>
      <c r="O729" s="2">
        <v>16</v>
      </c>
      <c r="P729" s="2">
        <v>15</v>
      </c>
      <c r="Q729" s="4">
        <v>7400</v>
      </c>
      <c r="R729" s="4">
        <v>6800</v>
      </c>
      <c r="S729" s="4">
        <v>262</v>
      </c>
      <c r="T729" s="19">
        <f>(ProductionData[[#This Row],[Rejected_Qty]])/ProductionData[[#This Row],[Produced_Qty]]</f>
        <v>3.8529411764705881E-2</v>
      </c>
      <c r="U729" s="19">
        <f>ProductionData[[#This Row],[Produced_Qty]]/ProductionData[[#This Row],[Planned_Qty]]</f>
        <v>0.91891891891891897</v>
      </c>
      <c r="V729" s="2" t="s">
        <v>103</v>
      </c>
      <c r="W729" s="11">
        <v>31</v>
      </c>
      <c r="X729" s="13">
        <f>W729/60</f>
        <v>0.51666666666666672</v>
      </c>
      <c r="Y729" s="2" t="s">
        <v>136</v>
      </c>
      <c r="Z729" s="2">
        <v>46</v>
      </c>
      <c r="AA729" s="2">
        <f>ProductionData[[#This Row],[Rejected_Qty]]*ProductionData[[#This Row],[Unit_Cost_INR]]</f>
        <v>12052</v>
      </c>
      <c r="AB729" s="4">
        <v>30372</v>
      </c>
      <c r="AC729" s="4">
        <v>4930</v>
      </c>
      <c r="AD729" s="4">
        <v>4930</v>
      </c>
      <c r="AE729" s="4">
        <v>31980</v>
      </c>
      <c r="AF729" s="4">
        <v>10500</v>
      </c>
    </row>
    <row r="730" spans="1:32">
      <c r="A730" s="2" t="s">
        <v>1589</v>
      </c>
      <c r="B730" s="3">
        <v>46189</v>
      </c>
      <c r="C730" s="36" t="s">
        <v>1459</v>
      </c>
      <c r="D730" s="2">
        <f>MONTH(ProductionData[[#This Row],[Month]])</f>
        <v>6</v>
      </c>
      <c r="E730" s="2" t="s">
        <v>92</v>
      </c>
      <c r="F730" s="2" t="s">
        <v>93</v>
      </c>
      <c r="G730" s="2" t="s">
        <v>174</v>
      </c>
      <c r="H730" s="2" t="s">
        <v>175</v>
      </c>
      <c r="I730" s="2" t="s">
        <v>176</v>
      </c>
      <c r="J730" s="2" t="s">
        <v>177</v>
      </c>
      <c r="K730" s="2" t="s">
        <v>178</v>
      </c>
      <c r="L730" s="2" t="s">
        <v>1590</v>
      </c>
      <c r="M730" s="2" t="s">
        <v>95</v>
      </c>
      <c r="N730" s="2" t="s">
        <v>88</v>
      </c>
      <c r="O730" s="2">
        <v>10</v>
      </c>
      <c r="P730" s="2">
        <v>10</v>
      </c>
      <c r="Q730" s="4">
        <v>7560</v>
      </c>
      <c r="R730" s="4">
        <v>7190</v>
      </c>
      <c r="S730" s="4">
        <v>226</v>
      </c>
      <c r="T730" s="19">
        <f>(ProductionData[[#This Row],[Rejected_Qty]])/ProductionData[[#This Row],[Produced_Qty]]</f>
        <v>3.1432545201668986E-2</v>
      </c>
      <c r="U730" s="19">
        <f>ProductionData[[#This Row],[Produced_Qty]]/ProductionData[[#This Row],[Planned_Qty]]</f>
        <v>0.95105820105820105</v>
      </c>
      <c r="V730" s="2" t="s">
        <v>103</v>
      </c>
      <c r="W730" s="11">
        <v>0</v>
      </c>
      <c r="X730" s="13">
        <f>W730/60</f>
        <v>0</v>
      </c>
      <c r="Y730" s="2" t="s">
        <v>90</v>
      </c>
      <c r="Z730" s="2">
        <v>24</v>
      </c>
      <c r="AA730" s="2">
        <f>ProductionData[[#This Row],[Rejected_Qty]]*ProductionData[[#This Row],[Unit_Cost_INR]]</f>
        <v>5424</v>
      </c>
      <c r="AB730" s="4">
        <v>31800</v>
      </c>
      <c r="AC730" s="4">
        <v>6790</v>
      </c>
      <c r="AD730" s="4">
        <v>6790</v>
      </c>
      <c r="AE730" s="4">
        <v>31974</v>
      </c>
      <c r="AF730" s="4">
        <v>12000</v>
      </c>
    </row>
    <row r="731" spans="1:32">
      <c r="A731" s="2" t="s">
        <v>1591</v>
      </c>
      <c r="B731" s="3">
        <v>46183</v>
      </c>
      <c r="C731" s="36" t="s">
        <v>1459</v>
      </c>
      <c r="D731" s="2">
        <f>MONTH(ProductionData[[#This Row],[Month]])</f>
        <v>6</v>
      </c>
      <c r="E731" s="2" t="s">
        <v>79</v>
      </c>
      <c r="F731" s="2" t="s">
        <v>66</v>
      </c>
      <c r="G731" s="2" t="s">
        <v>174</v>
      </c>
      <c r="H731" s="2" t="s">
        <v>175</v>
      </c>
      <c r="I731" s="2" t="s">
        <v>176</v>
      </c>
      <c r="J731" s="2" t="s">
        <v>177</v>
      </c>
      <c r="K731" s="2" t="s">
        <v>178</v>
      </c>
      <c r="L731" s="2" t="s">
        <v>1592</v>
      </c>
      <c r="M731" s="2" t="s">
        <v>73</v>
      </c>
      <c r="N731" s="2" t="s">
        <v>96</v>
      </c>
      <c r="O731" s="2">
        <v>10</v>
      </c>
      <c r="P731" s="2">
        <v>10</v>
      </c>
      <c r="Q731" s="4">
        <v>8140</v>
      </c>
      <c r="R731" s="4">
        <v>8100</v>
      </c>
      <c r="S731" s="4">
        <v>274</v>
      </c>
      <c r="T731" s="19">
        <f>(ProductionData[[#This Row],[Rejected_Qty]])/ProductionData[[#This Row],[Produced_Qty]]</f>
        <v>3.3827160493827162E-2</v>
      </c>
      <c r="U731" s="19">
        <f>ProductionData[[#This Row],[Produced_Qty]]/ProductionData[[#This Row],[Planned_Qty]]</f>
        <v>0.99508599508599505</v>
      </c>
      <c r="V731" s="2" t="s">
        <v>75</v>
      </c>
      <c r="W731" s="11">
        <v>0</v>
      </c>
      <c r="X731" s="13">
        <f>W731/60</f>
        <v>0</v>
      </c>
      <c r="Y731" s="2" t="s">
        <v>90</v>
      </c>
      <c r="Z731" s="2">
        <v>24</v>
      </c>
      <c r="AA731" s="2">
        <f>ProductionData[[#This Row],[Rejected_Qty]]*ProductionData[[#This Row],[Unit_Cost_INR]]</f>
        <v>6576</v>
      </c>
      <c r="AB731" s="4">
        <v>31228</v>
      </c>
      <c r="AC731" s="4">
        <v>7160</v>
      </c>
      <c r="AD731" s="4">
        <v>7160</v>
      </c>
      <c r="AE731" s="4">
        <v>31894</v>
      </c>
      <c r="AF731" s="4">
        <v>12000</v>
      </c>
    </row>
    <row r="732" spans="1:32">
      <c r="A732" s="2" t="s">
        <v>1593</v>
      </c>
      <c r="B732" s="3">
        <v>46179</v>
      </c>
      <c r="C732" s="36" t="s">
        <v>1459</v>
      </c>
      <c r="D732" s="2">
        <f>MONTH(ProductionData[[#This Row],[Month]])</f>
        <v>6</v>
      </c>
      <c r="E732" s="2" t="s">
        <v>65</v>
      </c>
      <c r="F732" s="2" t="s">
        <v>66</v>
      </c>
      <c r="G732" s="2" t="s">
        <v>174</v>
      </c>
      <c r="H732" s="2" t="s">
        <v>175</v>
      </c>
      <c r="I732" s="2" t="s">
        <v>176</v>
      </c>
      <c r="J732" s="2" t="s">
        <v>177</v>
      </c>
      <c r="K732" s="2" t="s">
        <v>178</v>
      </c>
      <c r="L732" s="2" t="s">
        <v>1594</v>
      </c>
      <c r="M732" s="2" t="s">
        <v>99</v>
      </c>
      <c r="N732" s="2" t="s">
        <v>96</v>
      </c>
      <c r="O732" s="2">
        <v>10</v>
      </c>
      <c r="P732" s="2">
        <v>10</v>
      </c>
      <c r="Q732" s="4">
        <v>8280</v>
      </c>
      <c r="R732" s="4">
        <v>8000</v>
      </c>
      <c r="S732" s="4">
        <v>125</v>
      </c>
      <c r="T732" s="19">
        <f>(ProductionData[[#This Row],[Rejected_Qty]])/ProductionData[[#This Row],[Produced_Qty]]</f>
        <v>1.5625E-2</v>
      </c>
      <c r="U732" s="19">
        <f>ProductionData[[#This Row],[Produced_Qty]]/ProductionData[[#This Row],[Planned_Qty]]</f>
        <v>0.96618357487922701</v>
      </c>
      <c r="V732" s="2" t="s">
        <v>113</v>
      </c>
      <c r="W732" s="11">
        <v>0</v>
      </c>
      <c r="X732" s="13">
        <f>W732/60</f>
        <v>0</v>
      </c>
      <c r="Y732" s="2" t="s">
        <v>90</v>
      </c>
      <c r="Z732" s="2">
        <v>24</v>
      </c>
      <c r="AA732" s="2">
        <f>ProductionData[[#This Row],[Rejected_Qty]]*ProductionData[[#This Row],[Unit_Cost_INR]]</f>
        <v>3000</v>
      </c>
      <c r="AB732" s="4">
        <v>31791</v>
      </c>
      <c r="AC732" s="4">
        <v>7800</v>
      </c>
      <c r="AD732" s="4">
        <v>7800</v>
      </c>
      <c r="AE732" s="4">
        <v>31866</v>
      </c>
      <c r="AF732" s="4">
        <v>12000</v>
      </c>
    </row>
    <row r="733" spans="1:32">
      <c r="A733" s="2" t="s">
        <v>1595</v>
      </c>
      <c r="B733" s="3">
        <v>46179</v>
      </c>
      <c r="C733" s="36" t="s">
        <v>1459</v>
      </c>
      <c r="D733" s="2">
        <f>MONTH(ProductionData[[#This Row],[Month]])</f>
        <v>6</v>
      </c>
      <c r="E733" s="2" t="s">
        <v>65</v>
      </c>
      <c r="F733" s="2" t="s">
        <v>93</v>
      </c>
      <c r="G733" s="2" t="s">
        <v>174</v>
      </c>
      <c r="H733" s="2" t="s">
        <v>175</v>
      </c>
      <c r="I733" s="2" t="s">
        <v>176</v>
      </c>
      <c r="J733" s="2" t="s">
        <v>177</v>
      </c>
      <c r="K733" s="2" t="s">
        <v>178</v>
      </c>
      <c r="L733" s="2" t="s">
        <v>1596</v>
      </c>
      <c r="M733" s="2" t="s">
        <v>133</v>
      </c>
      <c r="N733" s="2" t="s">
        <v>96</v>
      </c>
      <c r="O733" s="2">
        <v>10</v>
      </c>
      <c r="P733" s="2">
        <v>10</v>
      </c>
      <c r="Q733" s="4">
        <v>7890</v>
      </c>
      <c r="R733" s="4">
        <v>7790</v>
      </c>
      <c r="S733" s="4">
        <v>222</v>
      </c>
      <c r="T733" s="19">
        <f>(ProductionData[[#This Row],[Rejected_Qty]])/ProductionData[[#This Row],[Produced_Qty]]</f>
        <v>2.8498074454428753E-2</v>
      </c>
      <c r="U733" s="19">
        <f>ProductionData[[#This Row],[Produced_Qty]]/ProductionData[[#This Row],[Planned_Qty]]</f>
        <v>0.98732572877059566</v>
      </c>
      <c r="V733" s="2" t="s">
        <v>113</v>
      </c>
      <c r="W733" s="11">
        <v>33</v>
      </c>
      <c r="X733" s="13">
        <f>W733/60</f>
        <v>0.55000000000000004</v>
      </c>
      <c r="Y733" s="2" t="s">
        <v>136</v>
      </c>
      <c r="Z733" s="2">
        <v>24</v>
      </c>
      <c r="AA733" s="2">
        <f>ProductionData[[#This Row],[Rejected_Qty]]*ProductionData[[#This Row],[Unit_Cost_INR]]</f>
        <v>5328</v>
      </c>
      <c r="AB733" s="4">
        <v>31866</v>
      </c>
      <c r="AC733" s="4">
        <v>7570</v>
      </c>
      <c r="AD733" s="4">
        <v>7570</v>
      </c>
      <c r="AE733" s="4">
        <v>31864</v>
      </c>
      <c r="AF733" s="4">
        <v>12000</v>
      </c>
    </row>
    <row r="734" spans="1:32">
      <c r="A734" s="2" t="s">
        <v>1597</v>
      </c>
      <c r="B734" s="3">
        <v>46192</v>
      </c>
      <c r="C734" s="36" t="s">
        <v>1459</v>
      </c>
      <c r="D734" s="2">
        <f>MONTH(ProductionData[[#This Row],[Month]])</f>
        <v>6</v>
      </c>
      <c r="E734" s="2" t="s">
        <v>125</v>
      </c>
      <c r="F734" s="2" t="s">
        <v>80</v>
      </c>
      <c r="G734" s="2" t="s">
        <v>174</v>
      </c>
      <c r="H734" s="2" t="s">
        <v>175</v>
      </c>
      <c r="I734" s="2" t="s">
        <v>176</v>
      </c>
      <c r="J734" s="2" t="s">
        <v>177</v>
      </c>
      <c r="K734" s="2" t="s">
        <v>178</v>
      </c>
      <c r="L734" s="2" t="s">
        <v>1598</v>
      </c>
      <c r="M734" s="2" t="s">
        <v>102</v>
      </c>
      <c r="N734" s="2" t="s">
        <v>88</v>
      </c>
      <c r="O734" s="2">
        <v>10</v>
      </c>
      <c r="P734" s="2">
        <v>10</v>
      </c>
      <c r="Q734" s="4">
        <v>8600</v>
      </c>
      <c r="R734" s="4">
        <v>8110</v>
      </c>
      <c r="S734" s="4">
        <v>160</v>
      </c>
      <c r="T734" s="19">
        <f>(ProductionData[[#This Row],[Rejected_Qty]])/ProductionData[[#This Row],[Produced_Qty]]</f>
        <v>1.9728729963008632E-2</v>
      </c>
      <c r="U734" s="19">
        <f>ProductionData[[#This Row],[Produced_Qty]]/ProductionData[[#This Row],[Planned_Qty]]</f>
        <v>0.94302325581395352</v>
      </c>
      <c r="V734" s="2" t="s">
        <v>113</v>
      </c>
      <c r="W734" s="11">
        <v>0</v>
      </c>
      <c r="X734" s="13">
        <f>W734/60</f>
        <v>0</v>
      </c>
      <c r="Y734" s="2" t="s">
        <v>90</v>
      </c>
      <c r="Z734" s="2">
        <v>24</v>
      </c>
      <c r="AA734" s="2">
        <f>ProductionData[[#This Row],[Rejected_Qty]]*ProductionData[[#This Row],[Unit_Cost_INR]]</f>
        <v>3840</v>
      </c>
      <c r="AB734" s="4">
        <v>31974</v>
      </c>
      <c r="AC734" s="4">
        <v>8060</v>
      </c>
      <c r="AD734" s="4">
        <v>8060</v>
      </c>
      <c r="AE734" s="4">
        <v>31864</v>
      </c>
      <c r="AF734" s="4">
        <v>12000</v>
      </c>
    </row>
    <row r="735" spans="1:32">
      <c r="A735" s="2" t="s">
        <v>1599</v>
      </c>
      <c r="B735" s="3">
        <v>46200</v>
      </c>
      <c r="C735" s="36" t="s">
        <v>1459</v>
      </c>
      <c r="D735" s="2">
        <f>MONTH(ProductionData[[#This Row],[Month]])</f>
        <v>6</v>
      </c>
      <c r="E735" s="2" t="s">
        <v>65</v>
      </c>
      <c r="F735" s="2" t="s">
        <v>93</v>
      </c>
      <c r="G735" s="2" t="s">
        <v>67</v>
      </c>
      <c r="H735" s="2" t="s">
        <v>68</v>
      </c>
      <c r="I735" s="2" t="s">
        <v>69</v>
      </c>
      <c r="J735" s="2" t="s">
        <v>70</v>
      </c>
      <c r="K735" s="2" t="s">
        <v>71</v>
      </c>
      <c r="L735" s="2" t="s">
        <v>1600</v>
      </c>
      <c r="M735" s="2" t="s">
        <v>95</v>
      </c>
      <c r="N735" s="2" t="s">
        <v>88</v>
      </c>
      <c r="O735" s="2">
        <v>16</v>
      </c>
      <c r="P735" s="2">
        <v>14</v>
      </c>
      <c r="Q735" s="4">
        <v>5350</v>
      </c>
      <c r="R735" s="4">
        <v>4840</v>
      </c>
      <c r="S735" s="4">
        <v>131</v>
      </c>
      <c r="T735" s="19">
        <f>(ProductionData[[#This Row],[Rejected_Qty]])/ProductionData[[#This Row],[Produced_Qty]]</f>
        <v>2.706611570247934E-2</v>
      </c>
      <c r="U735" s="19">
        <f>ProductionData[[#This Row],[Produced_Qty]]/ProductionData[[#This Row],[Planned_Qty]]</f>
        <v>0.90467289719626165</v>
      </c>
      <c r="V735" s="2" t="s">
        <v>89</v>
      </c>
      <c r="W735" s="11">
        <v>0</v>
      </c>
      <c r="X735" s="13">
        <f>W735/60</f>
        <v>0</v>
      </c>
      <c r="Y735" s="2" t="s">
        <v>90</v>
      </c>
      <c r="Z735" s="2">
        <v>46</v>
      </c>
      <c r="AA735" s="2">
        <f>ProductionData[[#This Row],[Rejected_Qty]]*ProductionData[[#This Row],[Unit_Cost_INR]]</f>
        <v>6026</v>
      </c>
      <c r="AB735" s="4">
        <v>32179</v>
      </c>
      <c r="AC735" s="4">
        <v>5070</v>
      </c>
      <c r="AD735" s="4">
        <v>5070</v>
      </c>
      <c r="AE735" s="4">
        <v>31818</v>
      </c>
      <c r="AF735" s="4">
        <v>10500</v>
      </c>
    </row>
    <row r="736" spans="1:32">
      <c r="A736" s="2" t="s">
        <v>1601</v>
      </c>
      <c r="B736" s="3">
        <v>46189</v>
      </c>
      <c r="C736" s="36" t="s">
        <v>1459</v>
      </c>
      <c r="D736" s="2">
        <f>MONTH(ProductionData[[#This Row],[Month]])</f>
        <v>6</v>
      </c>
      <c r="E736" s="2" t="s">
        <v>92</v>
      </c>
      <c r="F736" s="2" t="s">
        <v>80</v>
      </c>
      <c r="G736" s="2" t="s">
        <v>174</v>
      </c>
      <c r="H736" s="2" t="s">
        <v>175</v>
      </c>
      <c r="I736" s="2" t="s">
        <v>176</v>
      </c>
      <c r="J736" s="2" t="s">
        <v>177</v>
      </c>
      <c r="K736" s="2" t="s">
        <v>178</v>
      </c>
      <c r="L736" s="2" t="s">
        <v>1602</v>
      </c>
      <c r="M736" s="2" t="s">
        <v>102</v>
      </c>
      <c r="N736" s="2" t="s">
        <v>88</v>
      </c>
      <c r="O736" s="2">
        <v>10</v>
      </c>
      <c r="P736" s="2">
        <v>10</v>
      </c>
      <c r="Q736" s="4">
        <v>7920</v>
      </c>
      <c r="R736" s="4">
        <v>7920</v>
      </c>
      <c r="S736" s="4">
        <v>285</v>
      </c>
      <c r="T736" s="19">
        <f>(ProductionData[[#This Row],[Rejected_Qty]])/ProductionData[[#This Row],[Produced_Qty]]</f>
        <v>3.5984848484848488E-2</v>
      </c>
      <c r="U736" s="19">
        <f>ProductionData[[#This Row],[Produced_Qty]]/ProductionData[[#This Row],[Planned_Qty]]</f>
        <v>1</v>
      </c>
      <c r="V736" s="2" t="s">
        <v>75</v>
      </c>
      <c r="W736" s="11">
        <v>0</v>
      </c>
      <c r="X736" s="13">
        <f>W736/60</f>
        <v>0</v>
      </c>
      <c r="Y736" s="2" t="s">
        <v>90</v>
      </c>
      <c r="Z736" s="2">
        <v>24</v>
      </c>
      <c r="AA736" s="2">
        <f>ProductionData[[#This Row],[Rejected_Qty]]*ProductionData[[#This Row],[Unit_Cost_INR]]</f>
        <v>6840</v>
      </c>
      <c r="AB736" s="4">
        <v>31205</v>
      </c>
      <c r="AC736" s="4">
        <v>7040</v>
      </c>
      <c r="AD736" s="4">
        <v>7040</v>
      </c>
      <c r="AE736" s="4">
        <v>31800</v>
      </c>
      <c r="AF736" s="4">
        <v>12000</v>
      </c>
    </row>
    <row r="737" spans="1:32">
      <c r="A737" s="2" t="s">
        <v>1603</v>
      </c>
      <c r="B737" s="3">
        <v>46177</v>
      </c>
      <c r="C737" s="36" t="s">
        <v>1459</v>
      </c>
      <c r="D737" s="2">
        <f>MONTH(ProductionData[[#This Row],[Month]])</f>
        <v>6</v>
      </c>
      <c r="E737" s="2" t="s">
        <v>107</v>
      </c>
      <c r="F737" s="2" t="s">
        <v>93</v>
      </c>
      <c r="G737" s="2" t="s">
        <v>174</v>
      </c>
      <c r="H737" s="2" t="s">
        <v>175</v>
      </c>
      <c r="I737" s="2" t="s">
        <v>176</v>
      </c>
      <c r="J737" s="2" t="s">
        <v>177</v>
      </c>
      <c r="K737" s="2" t="s">
        <v>178</v>
      </c>
      <c r="L737" s="2" t="s">
        <v>1604</v>
      </c>
      <c r="M737" s="2" t="s">
        <v>133</v>
      </c>
      <c r="N737" s="2" t="s">
        <v>88</v>
      </c>
      <c r="O737" s="2">
        <v>10</v>
      </c>
      <c r="P737" s="2">
        <v>9</v>
      </c>
      <c r="Q737" s="4">
        <v>8070</v>
      </c>
      <c r="R737" s="4">
        <v>7630</v>
      </c>
      <c r="S737" s="4">
        <v>194</v>
      </c>
      <c r="T737" s="19">
        <f>(ProductionData[[#This Row],[Rejected_Qty]])/ProductionData[[#This Row],[Produced_Qty]]</f>
        <v>2.5425950196592398E-2</v>
      </c>
      <c r="U737" s="19">
        <f>ProductionData[[#This Row],[Produced_Qty]]/ProductionData[[#This Row],[Planned_Qty]]</f>
        <v>0.94547707558859972</v>
      </c>
      <c r="V737" s="2" t="s">
        <v>109</v>
      </c>
      <c r="W737" s="11">
        <v>51</v>
      </c>
      <c r="X737" s="13">
        <f>W737/60</f>
        <v>0.85</v>
      </c>
      <c r="Y737" s="2" t="s">
        <v>76</v>
      </c>
      <c r="Z737" s="2">
        <v>24</v>
      </c>
      <c r="AA737" s="2">
        <f>ProductionData[[#This Row],[Rejected_Qty]]*ProductionData[[#This Row],[Unit_Cost_INR]]</f>
        <v>4656</v>
      </c>
      <c r="AB737" s="4">
        <v>31465</v>
      </c>
      <c r="AC737" s="4">
        <v>7110</v>
      </c>
      <c r="AD737" s="4">
        <v>7110</v>
      </c>
      <c r="AE737" s="4">
        <v>31791</v>
      </c>
      <c r="AF737" s="4">
        <v>12000</v>
      </c>
    </row>
    <row r="738" spans="1:32">
      <c r="A738" s="2" t="s">
        <v>1605</v>
      </c>
      <c r="B738" s="3">
        <v>46189</v>
      </c>
      <c r="C738" s="36" t="s">
        <v>1459</v>
      </c>
      <c r="D738" s="2">
        <f>MONTH(ProductionData[[#This Row],[Month]])</f>
        <v>6</v>
      </c>
      <c r="E738" s="2" t="s">
        <v>92</v>
      </c>
      <c r="F738" s="2" t="s">
        <v>93</v>
      </c>
      <c r="G738" s="2" t="s">
        <v>67</v>
      </c>
      <c r="H738" s="2" t="s">
        <v>68</v>
      </c>
      <c r="I738" s="2" t="s">
        <v>69</v>
      </c>
      <c r="J738" s="2" t="s">
        <v>70</v>
      </c>
      <c r="K738" s="2" t="s">
        <v>71</v>
      </c>
      <c r="L738" s="2" t="s">
        <v>1606</v>
      </c>
      <c r="M738" s="2" t="s">
        <v>95</v>
      </c>
      <c r="N738" s="2" t="s">
        <v>88</v>
      </c>
      <c r="O738" s="2">
        <v>16</v>
      </c>
      <c r="P738" s="2">
        <v>14</v>
      </c>
      <c r="Q738" s="4">
        <v>5410</v>
      </c>
      <c r="R738" s="4">
        <v>4960</v>
      </c>
      <c r="S738" s="4">
        <v>139</v>
      </c>
      <c r="T738" s="19">
        <f>(ProductionData[[#This Row],[Rejected_Qty]])/ProductionData[[#This Row],[Produced_Qty]]</f>
        <v>2.8024193548387095E-2</v>
      </c>
      <c r="U738" s="19">
        <f>ProductionData[[#This Row],[Produced_Qty]]/ProductionData[[#This Row],[Planned_Qty]]</f>
        <v>0.91682070240295743</v>
      </c>
      <c r="V738" s="2" t="s">
        <v>109</v>
      </c>
      <c r="W738" s="11">
        <v>0</v>
      </c>
      <c r="X738" s="13">
        <f>W738/60</f>
        <v>0</v>
      </c>
      <c r="Y738" s="2" t="s">
        <v>90</v>
      </c>
      <c r="Z738" s="2">
        <v>46</v>
      </c>
      <c r="AA738" s="2">
        <f>ProductionData[[#This Row],[Rejected_Qty]]*ProductionData[[#This Row],[Unit_Cost_INR]]</f>
        <v>6394</v>
      </c>
      <c r="AB738" s="4">
        <v>32251</v>
      </c>
      <c r="AC738" s="4">
        <v>5300</v>
      </c>
      <c r="AD738" s="4">
        <v>5300</v>
      </c>
      <c r="AE738" s="4">
        <v>31772</v>
      </c>
      <c r="AF738" s="4">
        <v>10500</v>
      </c>
    </row>
    <row r="739" spans="1:32">
      <c r="A739" s="2" t="s">
        <v>1607</v>
      </c>
      <c r="B739" s="3">
        <v>46190</v>
      </c>
      <c r="C739" s="36" t="s">
        <v>1459</v>
      </c>
      <c r="D739" s="2">
        <f>MONTH(ProductionData[[#This Row],[Month]])</f>
        <v>6</v>
      </c>
      <c r="E739" s="2" t="s">
        <v>79</v>
      </c>
      <c r="F739" s="2" t="s">
        <v>80</v>
      </c>
      <c r="G739" s="2" t="s">
        <v>67</v>
      </c>
      <c r="H739" s="2" t="s">
        <v>68</v>
      </c>
      <c r="I739" s="2" t="s">
        <v>69</v>
      </c>
      <c r="J739" s="2" t="s">
        <v>70</v>
      </c>
      <c r="K739" s="2" t="s">
        <v>71</v>
      </c>
      <c r="L739" s="2" t="s">
        <v>1608</v>
      </c>
      <c r="M739" s="2" t="s">
        <v>102</v>
      </c>
      <c r="N739" s="2" t="s">
        <v>96</v>
      </c>
      <c r="O739" s="2">
        <v>16</v>
      </c>
      <c r="P739" s="2">
        <v>15</v>
      </c>
      <c r="Q739" s="4">
        <v>7270</v>
      </c>
      <c r="R739" s="4">
        <v>6920</v>
      </c>
      <c r="S739" s="4">
        <v>175</v>
      </c>
      <c r="T739" s="19">
        <f>(ProductionData[[#This Row],[Rejected_Qty]])/ProductionData[[#This Row],[Produced_Qty]]</f>
        <v>2.5289017341040464E-2</v>
      </c>
      <c r="U739" s="19">
        <f>ProductionData[[#This Row],[Produced_Qty]]/ProductionData[[#This Row],[Planned_Qty]]</f>
        <v>0.95185694635488305</v>
      </c>
      <c r="V739" s="2" t="s">
        <v>89</v>
      </c>
      <c r="W739" s="11">
        <v>0</v>
      </c>
      <c r="X739" s="13">
        <f>W739/60</f>
        <v>0</v>
      </c>
      <c r="Y739" s="2" t="s">
        <v>90</v>
      </c>
      <c r="Z739" s="2">
        <v>46</v>
      </c>
      <c r="AA739" s="2">
        <f>ProductionData[[#This Row],[Rejected_Qty]]*ProductionData[[#This Row],[Unit_Cost_INR]]</f>
        <v>8050</v>
      </c>
      <c r="AB739" s="4">
        <v>31337</v>
      </c>
      <c r="AC739" s="4">
        <v>6380</v>
      </c>
      <c r="AD739" s="4">
        <v>6380</v>
      </c>
      <c r="AE739" s="4">
        <v>31702</v>
      </c>
      <c r="AF739" s="4">
        <v>10500</v>
      </c>
    </row>
    <row r="740" spans="1:32">
      <c r="A740" s="2" t="s">
        <v>1609</v>
      </c>
      <c r="B740" s="3">
        <v>46199</v>
      </c>
      <c r="C740" s="36" t="s">
        <v>1459</v>
      </c>
      <c r="D740" s="2">
        <f>MONTH(ProductionData[[#This Row],[Month]])</f>
        <v>6</v>
      </c>
      <c r="E740" s="2" t="s">
        <v>125</v>
      </c>
      <c r="F740" s="2" t="s">
        <v>93</v>
      </c>
      <c r="G740" s="2" t="s">
        <v>174</v>
      </c>
      <c r="H740" s="2" t="s">
        <v>175</v>
      </c>
      <c r="I740" s="2" t="s">
        <v>176</v>
      </c>
      <c r="J740" s="2" t="s">
        <v>177</v>
      </c>
      <c r="K740" s="2" t="s">
        <v>178</v>
      </c>
      <c r="L740" s="2" t="s">
        <v>1610</v>
      </c>
      <c r="M740" s="2" t="s">
        <v>95</v>
      </c>
      <c r="N740" s="2" t="s">
        <v>88</v>
      </c>
      <c r="O740" s="2">
        <v>10</v>
      </c>
      <c r="P740" s="2">
        <v>8</v>
      </c>
      <c r="Q740" s="4">
        <v>7950</v>
      </c>
      <c r="R740" s="4">
        <v>6810</v>
      </c>
      <c r="S740" s="4">
        <v>202</v>
      </c>
      <c r="T740" s="19">
        <f>(ProductionData[[#This Row],[Rejected_Qty]])/ProductionData[[#This Row],[Produced_Qty]]</f>
        <v>2.9662261380323053E-2</v>
      </c>
      <c r="U740" s="19">
        <f>ProductionData[[#This Row],[Produced_Qty]]/ProductionData[[#This Row],[Planned_Qty]]</f>
        <v>0.85660377358490569</v>
      </c>
      <c r="V740" s="2" t="s">
        <v>113</v>
      </c>
      <c r="W740" s="11">
        <v>0</v>
      </c>
      <c r="X740" s="13">
        <f>W740/60</f>
        <v>0</v>
      </c>
      <c r="Y740" s="2" t="s">
        <v>90</v>
      </c>
      <c r="Z740" s="2">
        <v>24</v>
      </c>
      <c r="AA740" s="2">
        <f>ProductionData[[#This Row],[Rejected_Qty]]*ProductionData[[#This Row],[Unit_Cost_INR]]</f>
        <v>4848</v>
      </c>
      <c r="AB740" s="4">
        <v>32427</v>
      </c>
      <c r="AC740" s="4">
        <v>7340</v>
      </c>
      <c r="AD740" s="4">
        <v>7340</v>
      </c>
      <c r="AE740" s="4">
        <v>31695</v>
      </c>
      <c r="AF740" s="4">
        <v>12000</v>
      </c>
    </row>
    <row r="741" spans="1:32">
      <c r="A741" s="2" t="s">
        <v>1611</v>
      </c>
      <c r="B741" s="3">
        <v>46202</v>
      </c>
      <c r="C741" s="36" t="s">
        <v>1459</v>
      </c>
      <c r="D741" s="2">
        <f>MONTH(ProductionData[[#This Row],[Month]])</f>
        <v>6</v>
      </c>
      <c r="E741" s="2" t="s">
        <v>116</v>
      </c>
      <c r="F741" s="2" t="s">
        <v>66</v>
      </c>
      <c r="G741" s="2" t="s">
        <v>174</v>
      </c>
      <c r="H741" s="2" t="s">
        <v>175</v>
      </c>
      <c r="I741" s="2" t="s">
        <v>176</v>
      </c>
      <c r="J741" s="2" t="s">
        <v>443</v>
      </c>
      <c r="K741" s="2" t="s">
        <v>444</v>
      </c>
      <c r="L741" s="2" t="s">
        <v>1612</v>
      </c>
      <c r="M741" s="2" t="s">
        <v>99</v>
      </c>
      <c r="N741" s="2" t="s">
        <v>88</v>
      </c>
      <c r="O741" s="2">
        <v>10</v>
      </c>
      <c r="P741" s="2">
        <v>9</v>
      </c>
      <c r="Q741" s="4">
        <v>5230</v>
      </c>
      <c r="R741" s="4">
        <v>4690</v>
      </c>
      <c r="S741" s="4">
        <v>125</v>
      </c>
      <c r="T741" s="19">
        <f>(ProductionData[[#This Row],[Rejected_Qty]])/ProductionData[[#This Row],[Produced_Qty]]</f>
        <v>2.6652452025586353E-2</v>
      </c>
      <c r="U741" s="19">
        <f>ProductionData[[#This Row],[Produced_Qty]]/ProductionData[[#This Row],[Planned_Qty]]</f>
        <v>0.89674952198852775</v>
      </c>
      <c r="V741" s="2" t="s">
        <v>103</v>
      </c>
      <c r="W741" s="11">
        <v>64</v>
      </c>
      <c r="X741" s="13">
        <f>W741/60</f>
        <v>1.0666666666666667</v>
      </c>
      <c r="Y741" s="2" t="s">
        <v>110</v>
      </c>
      <c r="Z741" s="2">
        <v>33</v>
      </c>
      <c r="AA741" s="2">
        <f>ProductionData[[#This Row],[Rejected_Qty]]*ProductionData[[#This Row],[Unit_Cost_INR]]</f>
        <v>4125</v>
      </c>
      <c r="AB741" s="4">
        <v>31444</v>
      </c>
      <c r="AC741" s="4">
        <v>4410</v>
      </c>
      <c r="AD741" s="4">
        <v>4410</v>
      </c>
      <c r="AE741" s="4">
        <v>31599</v>
      </c>
      <c r="AF741" s="4">
        <v>9750</v>
      </c>
    </row>
    <row r="742" spans="1:32">
      <c r="A742" s="2" t="s">
        <v>1613</v>
      </c>
      <c r="B742" s="3">
        <v>46192</v>
      </c>
      <c r="C742" s="36" t="s">
        <v>1459</v>
      </c>
      <c r="D742" s="2">
        <f>MONTH(ProductionData[[#This Row],[Month]])</f>
        <v>6</v>
      </c>
      <c r="E742" s="2" t="s">
        <v>125</v>
      </c>
      <c r="F742" s="2" t="s">
        <v>93</v>
      </c>
      <c r="G742" s="2" t="s">
        <v>195</v>
      </c>
      <c r="H742" s="2" t="s">
        <v>196</v>
      </c>
      <c r="I742" s="2" t="s">
        <v>197</v>
      </c>
      <c r="J742" s="2" t="s">
        <v>198</v>
      </c>
      <c r="K742" s="2" t="s">
        <v>199</v>
      </c>
      <c r="L742" s="2" t="s">
        <v>1614</v>
      </c>
      <c r="M742" s="2" t="s">
        <v>95</v>
      </c>
      <c r="N742" s="2" t="s">
        <v>96</v>
      </c>
      <c r="O742" s="2">
        <v>14</v>
      </c>
      <c r="P742" s="2">
        <v>14</v>
      </c>
      <c r="Q742" s="4">
        <v>9170</v>
      </c>
      <c r="R742" s="4">
        <v>8970</v>
      </c>
      <c r="S742" s="4">
        <v>258</v>
      </c>
      <c r="T742" s="19">
        <f>(ProductionData[[#This Row],[Rejected_Qty]])/ProductionData[[#This Row],[Produced_Qty]]</f>
        <v>2.8762541806020066E-2</v>
      </c>
      <c r="U742" s="19">
        <f>ProductionData[[#This Row],[Produced_Qty]]/ProductionData[[#This Row],[Planned_Qty]]</f>
        <v>0.97818974918211554</v>
      </c>
      <c r="V742" s="2" t="s">
        <v>75</v>
      </c>
      <c r="W742" s="11">
        <v>0</v>
      </c>
      <c r="X742" s="13">
        <f>W742/60</f>
        <v>0</v>
      </c>
      <c r="Y742" s="2" t="s">
        <v>90</v>
      </c>
      <c r="Z742" s="2">
        <v>38</v>
      </c>
      <c r="AA742" s="2">
        <f>ProductionData[[#This Row],[Rejected_Qty]]*ProductionData[[#This Row],[Unit_Cost_INR]]</f>
        <v>9804</v>
      </c>
      <c r="AB742" s="4">
        <v>30484</v>
      </c>
      <c r="AC742" s="4">
        <v>7610</v>
      </c>
      <c r="AD742" s="4">
        <v>7610</v>
      </c>
      <c r="AE742" s="4">
        <v>31586</v>
      </c>
      <c r="AF742" s="4">
        <v>13500</v>
      </c>
    </row>
    <row r="743" spans="1:32">
      <c r="A743" s="2" t="s">
        <v>1615</v>
      </c>
      <c r="B743" s="3">
        <v>46197</v>
      </c>
      <c r="C743" s="36" t="s">
        <v>1459</v>
      </c>
      <c r="D743" s="2">
        <f>MONTH(ProductionData[[#This Row],[Month]])</f>
        <v>6</v>
      </c>
      <c r="E743" s="2" t="s">
        <v>79</v>
      </c>
      <c r="F743" s="2" t="s">
        <v>66</v>
      </c>
      <c r="G743" s="2" t="s">
        <v>174</v>
      </c>
      <c r="H743" s="2" t="s">
        <v>175</v>
      </c>
      <c r="I743" s="2" t="s">
        <v>176</v>
      </c>
      <c r="J743" s="2" t="s">
        <v>443</v>
      </c>
      <c r="K743" s="2" t="s">
        <v>444</v>
      </c>
      <c r="L743" s="2" t="s">
        <v>1616</v>
      </c>
      <c r="M743" s="2" t="s">
        <v>73</v>
      </c>
      <c r="N743" s="2" t="s">
        <v>96</v>
      </c>
      <c r="O743" s="2">
        <v>10</v>
      </c>
      <c r="P743" s="2">
        <v>9</v>
      </c>
      <c r="Q743" s="4">
        <v>5500</v>
      </c>
      <c r="R743" s="4">
        <v>5120</v>
      </c>
      <c r="S743" s="4">
        <v>141</v>
      </c>
      <c r="T743" s="19">
        <f>(ProductionData[[#This Row],[Rejected_Qty]])/ProductionData[[#This Row],[Produced_Qty]]</f>
        <v>2.7539062499999999E-2</v>
      </c>
      <c r="U743" s="19">
        <f>ProductionData[[#This Row],[Produced_Qty]]/ProductionData[[#This Row],[Planned_Qty]]</f>
        <v>0.93090909090909091</v>
      </c>
      <c r="V743" s="2" t="s">
        <v>113</v>
      </c>
      <c r="W743" s="11">
        <v>58</v>
      </c>
      <c r="X743" s="13">
        <f>W743/60</f>
        <v>0.96666666666666667</v>
      </c>
      <c r="Y743" s="2" t="s">
        <v>110</v>
      </c>
      <c r="Z743" s="2">
        <v>33</v>
      </c>
      <c r="AA743" s="2">
        <f>ProductionData[[#This Row],[Rejected_Qty]]*ProductionData[[#This Row],[Unit_Cost_INR]]</f>
        <v>4653</v>
      </c>
      <c r="AB743" s="4">
        <v>31177</v>
      </c>
      <c r="AC743" s="4">
        <v>4610</v>
      </c>
      <c r="AD743" s="4">
        <v>4610</v>
      </c>
      <c r="AE743" s="4">
        <v>31546</v>
      </c>
      <c r="AF743" s="4">
        <v>9750</v>
      </c>
    </row>
    <row r="744" spans="1:32">
      <c r="A744" s="2" t="s">
        <v>1617</v>
      </c>
      <c r="B744" s="3">
        <v>46177</v>
      </c>
      <c r="C744" s="36" t="s">
        <v>1459</v>
      </c>
      <c r="D744" s="2">
        <f>MONTH(ProductionData[[#This Row],[Month]])</f>
        <v>6</v>
      </c>
      <c r="E744" s="2" t="s">
        <v>107</v>
      </c>
      <c r="F744" s="2" t="s">
        <v>80</v>
      </c>
      <c r="G744" s="2" t="s">
        <v>174</v>
      </c>
      <c r="H744" s="2" t="s">
        <v>175</v>
      </c>
      <c r="I744" s="2" t="s">
        <v>176</v>
      </c>
      <c r="J744" s="2" t="s">
        <v>177</v>
      </c>
      <c r="K744" s="2" t="s">
        <v>178</v>
      </c>
      <c r="L744" s="2" t="s">
        <v>1618</v>
      </c>
      <c r="M744" s="2" t="s">
        <v>87</v>
      </c>
      <c r="N744" s="2" t="s">
        <v>96</v>
      </c>
      <c r="O744" s="2">
        <v>10</v>
      </c>
      <c r="P744" s="2">
        <v>10</v>
      </c>
      <c r="Q744" s="4">
        <v>7810</v>
      </c>
      <c r="R744" s="4">
        <v>7930</v>
      </c>
      <c r="S744" s="4">
        <v>176</v>
      </c>
      <c r="T744" s="19">
        <f>(ProductionData[[#This Row],[Rejected_Qty]])/ProductionData[[#This Row],[Produced_Qty]]</f>
        <v>2.2194199243379571E-2</v>
      </c>
      <c r="U744" s="19">
        <f>ProductionData[[#This Row],[Produced_Qty]]/ProductionData[[#This Row],[Planned_Qty]]</f>
        <v>1.0153649167733674</v>
      </c>
      <c r="V744" s="2" t="s">
        <v>113</v>
      </c>
      <c r="W744" s="11">
        <v>43</v>
      </c>
      <c r="X744" s="13">
        <f>W744/60</f>
        <v>0.71666666666666667</v>
      </c>
      <c r="Y744" s="2" t="s">
        <v>136</v>
      </c>
      <c r="Z744" s="2">
        <v>24</v>
      </c>
      <c r="AA744" s="2">
        <f>ProductionData[[#This Row],[Rejected_Qty]]*ProductionData[[#This Row],[Unit_Cost_INR]]</f>
        <v>4224</v>
      </c>
      <c r="AB744" s="4">
        <v>30301</v>
      </c>
      <c r="AC744" s="4">
        <v>6590</v>
      </c>
      <c r="AD744" s="4">
        <v>6590</v>
      </c>
      <c r="AE744" s="4">
        <v>31465</v>
      </c>
      <c r="AF744" s="4">
        <v>12000</v>
      </c>
    </row>
    <row r="745" spans="1:32">
      <c r="A745" s="2" t="s">
        <v>1619</v>
      </c>
      <c r="B745" s="3">
        <v>46202</v>
      </c>
      <c r="C745" s="36" t="s">
        <v>1459</v>
      </c>
      <c r="D745" s="2">
        <f>MONTH(ProductionData[[#This Row],[Month]])</f>
        <v>6</v>
      </c>
      <c r="E745" s="2" t="s">
        <v>116</v>
      </c>
      <c r="F745" s="2" t="s">
        <v>80</v>
      </c>
      <c r="G745" s="2" t="s">
        <v>174</v>
      </c>
      <c r="H745" s="2" t="s">
        <v>175</v>
      </c>
      <c r="I745" s="2" t="s">
        <v>176</v>
      </c>
      <c r="J745" s="2" t="s">
        <v>443</v>
      </c>
      <c r="K745" s="2" t="s">
        <v>444</v>
      </c>
      <c r="L745" s="2" t="s">
        <v>1620</v>
      </c>
      <c r="M745" s="2" t="s">
        <v>102</v>
      </c>
      <c r="N745" s="2" t="s">
        <v>96</v>
      </c>
      <c r="O745" s="2">
        <v>10</v>
      </c>
      <c r="P745" s="2">
        <v>9</v>
      </c>
      <c r="Q745" s="4">
        <v>5440</v>
      </c>
      <c r="R745" s="4">
        <v>4770</v>
      </c>
      <c r="S745" s="4">
        <v>140</v>
      </c>
      <c r="T745" s="19">
        <f>(ProductionData[[#This Row],[Rejected_Qty]])/ProductionData[[#This Row],[Produced_Qty]]</f>
        <v>2.9350104821802937E-2</v>
      </c>
      <c r="U745" s="19">
        <f>ProductionData[[#This Row],[Produced_Qty]]/ProductionData[[#This Row],[Planned_Qty]]</f>
        <v>0.87683823529411764</v>
      </c>
      <c r="V745" s="2" t="s">
        <v>113</v>
      </c>
      <c r="W745" s="11">
        <v>0</v>
      </c>
      <c r="X745" s="13">
        <f>W745/60</f>
        <v>0</v>
      </c>
      <c r="Y745" s="2" t="s">
        <v>90</v>
      </c>
      <c r="Z745" s="2">
        <v>33</v>
      </c>
      <c r="AA745" s="2">
        <f>ProductionData[[#This Row],[Rejected_Qty]]*ProductionData[[#This Row],[Unit_Cost_INR]]</f>
        <v>4620</v>
      </c>
      <c r="AB745" s="4">
        <v>31599</v>
      </c>
      <c r="AC745" s="4">
        <v>4780</v>
      </c>
      <c r="AD745" s="4">
        <v>4780</v>
      </c>
      <c r="AE745" s="4">
        <v>31449</v>
      </c>
      <c r="AF745" s="4">
        <v>9750</v>
      </c>
    </row>
    <row r="746" spans="1:32">
      <c r="A746" s="2" t="s">
        <v>1621</v>
      </c>
      <c r="B746" s="3">
        <v>46199</v>
      </c>
      <c r="C746" s="36" t="s">
        <v>1459</v>
      </c>
      <c r="D746" s="2">
        <f>MONTH(ProductionData[[#This Row],[Month]])</f>
        <v>6</v>
      </c>
      <c r="E746" s="2" t="s">
        <v>125</v>
      </c>
      <c r="F746" s="2" t="s">
        <v>80</v>
      </c>
      <c r="G746" s="2" t="s">
        <v>174</v>
      </c>
      <c r="H746" s="2" t="s">
        <v>175</v>
      </c>
      <c r="I746" s="2" t="s">
        <v>176</v>
      </c>
      <c r="J746" s="2" t="s">
        <v>443</v>
      </c>
      <c r="K746" s="2" t="s">
        <v>444</v>
      </c>
      <c r="L746" s="2" t="s">
        <v>1622</v>
      </c>
      <c r="M746" s="2" t="s">
        <v>102</v>
      </c>
      <c r="N746" s="2" t="s">
        <v>88</v>
      </c>
      <c r="O746" s="2">
        <v>10</v>
      </c>
      <c r="P746" s="2">
        <v>10</v>
      </c>
      <c r="Q746" s="4">
        <v>5250</v>
      </c>
      <c r="R746" s="4">
        <v>4650</v>
      </c>
      <c r="S746" s="4">
        <v>85</v>
      </c>
      <c r="T746" s="19">
        <f>(ProductionData[[#This Row],[Rejected_Qty]])/ProductionData[[#This Row],[Produced_Qty]]</f>
        <v>1.8279569892473119E-2</v>
      </c>
      <c r="U746" s="19">
        <f>ProductionData[[#This Row],[Produced_Qty]]/ProductionData[[#This Row],[Planned_Qty]]</f>
        <v>0.88571428571428568</v>
      </c>
      <c r="V746" s="2" t="s">
        <v>109</v>
      </c>
      <c r="W746" s="11">
        <v>15</v>
      </c>
      <c r="X746" s="13">
        <f>W746/60</f>
        <v>0.25</v>
      </c>
      <c r="Y746" s="2" t="s">
        <v>110</v>
      </c>
      <c r="Z746" s="2">
        <v>33</v>
      </c>
      <c r="AA746" s="2">
        <f>ProductionData[[#This Row],[Rejected_Qty]]*ProductionData[[#This Row],[Unit_Cost_INR]]</f>
        <v>2805</v>
      </c>
      <c r="AB746" s="4">
        <v>31289</v>
      </c>
      <c r="AC746" s="4">
        <v>4410</v>
      </c>
      <c r="AD746" s="4">
        <v>4410</v>
      </c>
      <c r="AE746" s="4">
        <v>31444</v>
      </c>
      <c r="AF746" s="4">
        <v>9750</v>
      </c>
    </row>
    <row r="747" spans="1:32">
      <c r="A747" s="2" t="s">
        <v>1623</v>
      </c>
      <c r="B747" s="3">
        <v>46190</v>
      </c>
      <c r="C747" s="36" t="s">
        <v>1459</v>
      </c>
      <c r="D747" s="2">
        <f>MONTH(ProductionData[[#This Row],[Month]])</f>
        <v>6</v>
      </c>
      <c r="E747" s="2" t="s">
        <v>79</v>
      </c>
      <c r="F747" s="2" t="s">
        <v>66</v>
      </c>
      <c r="G747" s="2" t="s">
        <v>67</v>
      </c>
      <c r="H747" s="2" t="s">
        <v>68</v>
      </c>
      <c r="I747" s="2" t="s">
        <v>69</v>
      </c>
      <c r="J747" s="2" t="s">
        <v>70</v>
      </c>
      <c r="K747" s="2" t="s">
        <v>71</v>
      </c>
      <c r="L747" s="2" t="s">
        <v>1624</v>
      </c>
      <c r="M747" s="2" t="s">
        <v>73</v>
      </c>
      <c r="N747" s="2" t="s">
        <v>96</v>
      </c>
      <c r="O747" s="2">
        <v>16</v>
      </c>
      <c r="P747" s="2">
        <v>16</v>
      </c>
      <c r="Q747" s="4">
        <v>5810</v>
      </c>
      <c r="R747" s="4">
        <v>5580</v>
      </c>
      <c r="S747" s="4">
        <v>105</v>
      </c>
      <c r="T747" s="19">
        <f>(ProductionData[[#This Row],[Rejected_Qty]])/ProductionData[[#This Row],[Produced_Qty]]</f>
        <v>1.8817204301075269E-2</v>
      </c>
      <c r="U747" s="19">
        <f>ProductionData[[#This Row],[Produced_Qty]]/ProductionData[[#This Row],[Planned_Qty]]</f>
        <v>0.96041308089500865</v>
      </c>
      <c r="V747" s="2" t="s">
        <v>89</v>
      </c>
      <c r="W747" s="11">
        <v>63</v>
      </c>
      <c r="X747" s="13">
        <f>W747/60</f>
        <v>1.05</v>
      </c>
      <c r="Y747" s="2" t="s">
        <v>114</v>
      </c>
      <c r="Z747" s="2">
        <v>46</v>
      </c>
      <c r="AA747" s="2">
        <f>ProductionData[[#This Row],[Rejected_Qty]]*ProductionData[[#This Row],[Unit_Cost_INR]]</f>
        <v>4830</v>
      </c>
      <c r="AB747" s="4">
        <v>31772</v>
      </c>
      <c r="AC747" s="4">
        <v>5910</v>
      </c>
      <c r="AD747" s="4">
        <v>5910</v>
      </c>
      <c r="AE747" s="4">
        <v>31337</v>
      </c>
      <c r="AF747" s="4">
        <v>10500</v>
      </c>
    </row>
    <row r="748" spans="1:32">
      <c r="A748" s="2" t="s">
        <v>1625</v>
      </c>
      <c r="B748" s="3">
        <v>46193</v>
      </c>
      <c r="C748" s="36" t="s">
        <v>1459</v>
      </c>
      <c r="D748" s="2">
        <f>MONTH(ProductionData[[#This Row],[Month]])</f>
        <v>6</v>
      </c>
      <c r="E748" s="2" t="s">
        <v>65</v>
      </c>
      <c r="F748" s="2" t="s">
        <v>80</v>
      </c>
      <c r="G748" s="2" t="s">
        <v>174</v>
      </c>
      <c r="H748" s="2" t="s">
        <v>175</v>
      </c>
      <c r="I748" s="2" t="s">
        <v>176</v>
      </c>
      <c r="J748" s="2" t="s">
        <v>177</v>
      </c>
      <c r="K748" s="2" t="s">
        <v>178</v>
      </c>
      <c r="L748" s="2" t="s">
        <v>1626</v>
      </c>
      <c r="M748" s="2" t="s">
        <v>102</v>
      </c>
      <c r="N748" s="2" t="s">
        <v>88</v>
      </c>
      <c r="O748" s="2">
        <v>10</v>
      </c>
      <c r="P748" s="2">
        <v>10</v>
      </c>
      <c r="Q748" s="4">
        <v>7750</v>
      </c>
      <c r="R748" s="4">
        <v>7610</v>
      </c>
      <c r="S748" s="4">
        <v>294</v>
      </c>
      <c r="T748" s="19">
        <f>(ProductionData[[#This Row],[Rejected_Qty]])/ProductionData[[#This Row],[Produced_Qty]]</f>
        <v>3.8633377135348229E-2</v>
      </c>
      <c r="U748" s="19">
        <f>ProductionData[[#This Row],[Produced_Qty]]/ProductionData[[#This Row],[Planned_Qty]]</f>
        <v>0.98193548387096774</v>
      </c>
      <c r="V748" s="2" t="s">
        <v>109</v>
      </c>
      <c r="W748" s="11">
        <v>0</v>
      </c>
      <c r="X748" s="13">
        <f>W748/60</f>
        <v>0</v>
      </c>
      <c r="Y748" s="2" t="s">
        <v>90</v>
      </c>
      <c r="Z748" s="2">
        <v>24</v>
      </c>
      <c r="AA748" s="2">
        <f>ProductionData[[#This Row],[Rejected_Qty]]*ProductionData[[#This Row],[Unit_Cost_INR]]</f>
        <v>7056</v>
      </c>
      <c r="AB748" s="4">
        <v>31864</v>
      </c>
      <c r="AC748" s="4">
        <v>7890</v>
      </c>
      <c r="AD748" s="4">
        <v>7890</v>
      </c>
      <c r="AE748" s="4">
        <v>31290</v>
      </c>
      <c r="AF748" s="4">
        <v>12000</v>
      </c>
    </row>
    <row r="749" spans="1:32">
      <c r="A749" s="2" t="s">
        <v>1627</v>
      </c>
      <c r="B749" s="3">
        <v>46198</v>
      </c>
      <c r="C749" s="36" t="s">
        <v>1459</v>
      </c>
      <c r="D749" s="2">
        <f>MONTH(ProductionData[[#This Row],[Month]])</f>
        <v>6</v>
      </c>
      <c r="E749" s="2" t="s">
        <v>107</v>
      </c>
      <c r="F749" s="2" t="s">
        <v>66</v>
      </c>
      <c r="G749" s="2" t="s">
        <v>174</v>
      </c>
      <c r="H749" s="2" t="s">
        <v>175</v>
      </c>
      <c r="I749" s="2" t="s">
        <v>176</v>
      </c>
      <c r="J749" s="2" t="s">
        <v>443</v>
      </c>
      <c r="K749" s="2" t="s">
        <v>444</v>
      </c>
      <c r="L749" s="2" t="s">
        <v>1628</v>
      </c>
      <c r="M749" s="2" t="s">
        <v>99</v>
      </c>
      <c r="N749" s="2" t="s">
        <v>96</v>
      </c>
      <c r="O749" s="2">
        <v>10</v>
      </c>
      <c r="P749" s="2">
        <v>7</v>
      </c>
      <c r="Q749" s="4">
        <v>5440</v>
      </c>
      <c r="R749" s="4">
        <v>4440</v>
      </c>
      <c r="S749" s="4">
        <v>137</v>
      </c>
      <c r="T749" s="19">
        <f>(ProductionData[[#This Row],[Rejected_Qty]])/ProductionData[[#This Row],[Produced_Qty]]</f>
        <v>3.0855855855855856E-2</v>
      </c>
      <c r="U749" s="19">
        <f>ProductionData[[#This Row],[Produced_Qty]]/ProductionData[[#This Row],[Planned_Qty]]</f>
        <v>0.81617647058823528</v>
      </c>
      <c r="V749" s="2" t="s">
        <v>109</v>
      </c>
      <c r="W749" s="11">
        <v>0</v>
      </c>
      <c r="X749" s="13">
        <f>W749/60</f>
        <v>0</v>
      </c>
      <c r="Y749" s="2" t="s">
        <v>90</v>
      </c>
      <c r="Z749" s="2">
        <v>33</v>
      </c>
      <c r="AA749" s="2">
        <f>ProductionData[[#This Row],[Rejected_Qty]]*ProductionData[[#This Row],[Unit_Cost_INR]]</f>
        <v>4521</v>
      </c>
      <c r="AB749" s="4">
        <v>31546</v>
      </c>
      <c r="AC749" s="4">
        <v>4560</v>
      </c>
      <c r="AD749" s="4">
        <v>4560</v>
      </c>
      <c r="AE749" s="4">
        <v>31289</v>
      </c>
      <c r="AF749" s="4">
        <v>9750</v>
      </c>
    </row>
    <row r="750" spans="1:32">
      <c r="A750" s="2" t="s">
        <v>1629</v>
      </c>
      <c r="B750" s="3">
        <v>46180</v>
      </c>
      <c r="C750" s="36" t="s">
        <v>1459</v>
      </c>
      <c r="D750" s="2">
        <f>MONTH(ProductionData[[#This Row],[Month]])</f>
        <v>6</v>
      </c>
      <c r="E750" s="2" t="s">
        <v>186</v>
      </c>
      <c r="F750" s="2" t="s">
        <v>80</v>
      </c>
      <c r="G750" s="2" t="s">
        <v>174</v>
      </c>
      <c r="H750" s="2" t="s">
        <v>175</v>
      </c>
      <c r="I750" s="2" t="s">
        <v>176</v>
      </c>
      <c r="J750" s="2" t="s">
        <v>177</v>
      </c>
      <c r="K750" s="2" t="s">
        <v>178</v>
      </c>
      <c r="L750" s="2" t="s">
        <v>1630</v>
      </c>
      <c r="M750" s="2" t="s">
        <v>102</v>
      </c>
      <c r="N750" s="2" t="s">
        <v>96</v>
      </c>
      <c r="O750" s="2">
        <v>10</v>
      </c>
      <c r="P750" s="2">
        <v>9</v>
      </c>
      <c r="Q750" s="4">
        <v>5450</v>
      </c>
      <c r="R750" s="4">
        <v>4780</v>
      </c>
      <c r="S750" s="4">
        <v>126</v>
      </c>
      <c r="T750" s="19">
        <f>(ProductionData[[#This Row],[Rejected_Qty]])/ProductionData[[#This Row],[Produced_Qty]]</f>
        <v>2.6359832635983262E-2</v>
      </c>
      <c r="U750" s="19">
        <f>ProductionData[[#This Row],[Produced_Qty]]/ProductionData[[#This Row],[Planned_Qty]]</f>
        <v>0.87706422018348629</v>
      </c>
      <c r="V750" s="2" t="s">
        <v>109</v>
      </c>
      <c r="W750" s="11">
        <v>0</v>
      </c>
      <c r="X750" s="13">
        <f>W750/60</f>
        <v>0</v>
      </c>
      <c r="Y750" s="2" t="s">
        <v>90</v>
      </c>
      <c r="Z750" s="2">
        <v>24</v>
      </c>
      <c r="AA750" s="2">
        <f>ProductionData[[#This Row],[Rejected_Qty]]*ProductionData[[#This Row],[Unit_Cost_INR]]</f>
        <v>3024</v>
      </c>
      <c r="AB750" s="4">
        <v>31864</v>
      </c>
      <c r="AC750" s="4">
        <v>5290</v>
      </c>
      <c r="AD750" s="4">
        <v>5290</v>
      </c>
      <c r="AE750" s="4">
        <v>31228</v>
      </c>
      <c r="AF750" s="4">
        <v>12000</v>
      </c>
    </row>
    <row r="751" spans="1:32">
      <c r="A751" s="2" t="s">
        <v>1631</v>
      </c>
      <c r="B751" s="3">
        <v>46189</v>
      </c>
      <c r="C751" s="36" t="s">
        <v>1459</v>
      </c>
      <c r="D751" s="2">
        <f>MONTH(ProductionData[[#This Row],[Month]])</f>
        <v>6</v>
      </c>
      <c r="E751" s="2" t="s">
        <v>92</v>
      </c>
      <c r="F751" s="2" t="s">
        <v>66</v>
      </c>
      <c r="G751" s="2" t="s">
        <v>174</v>
      </c>
      <c r="H751" s="2" t="s">
        <v>175</v>
      </c>
      <c r="I751" s="2" t="s">
        <v>176</v>
      </c>
      <c r="J751" s="2" t="s">
        <v>177</v>
      </c>
      <c r="K751" s="2" t="s">
        <v>178</v>
      </c>
      <c r="L751" s="2" t="s">
        <v>1632</v>
      </c>
      <c r="M751" s="2" t="s">
        <v>99</v>
      </c>
      <c r="N751" s="2" t="s">
        <v>88</v>
      </c>
      <c r="O751" s="2">
        <v>10</v>
      </c>
      <c r="P751" s="2">
        <v>10</v>
      </c>
      <c r="Q751" s="4">
        <v>8550</v>
      </c>
      <c r="R751" s="4">
        <v>8010</v>
      </c>
      <c r="S751" s="4">
        <v>164</v>
      </c>
      <c r="T751" s="19">
        <f>(ProductionData[[#This Row],[Rejected_Qty]])/ProductionData[[#This Row],[Produced_Qty]]</f>
        <v>2.0474406991260925E-2</v>
      </c>
      <c r="U751" s="19">
        <f>ProductionData[[#This Row],[Produced_Qty]]/ProductionData[[#This Row],[Planned_Qty]]</f>
        <v>0.93684210526315792</v>
      </c>
      <c r="V751" s="2" t="s">
        <v>89</v>
      </c>
      <c r="W751" s="11">
        <v>0</v>
      </c>
      <c r="X751" s="13">
        <f>W751/60</f>
        <v>0</v>
      </c>
      <c r="Y751" s="2" t="s">
        <v>90</v>
      </c>
      <c r="Z751" s="2">
        <v>24</v>
      </c>
      <c r="AA751" s="2">
        <f>ProductionData[[#This Row],[Rejected_Qty]]*ProductionData[[#This Row],[Unit_Cost_INR]]</f>
        <v>3936</v>
      </c>
      <c r="AB751" s="4">
        <v>30799</v>
      </c>
      <c r="AC751" s="4">
        <v>7440</v>
      </c>
      <c r="AD751" s="4">
        <v>7440</v>
      </c>
      <c r="AE751" s="4">
        <v>31205</v>
      </c>
      <c r="AF751" s="4">
        <v>12000</v>
      </c>
    </row>
    <row r="752" spans="1:32">
      <c r="A752" s="2" t="s">
        <v>1633</v>
      </c>
      <c r="B752" s="3">
        <v>46188</v>
      </c>
      <c r="C752" s="36" t="s">
        <v>1459</v>
      </c>
      <c r="D752" s="2">
        <f>MONTH(ProductionData[[#This Row],[Month]])</f>
        <v>6</v>
      </c>
      <c r="E752" s="2" t="s">
        <v>116</v>
      </c>
      <c r="F752" s="2" t="s">
        <v>66</v>
      </c>
      <c r="G752" s="2" t="s">
        <v>174</v>
      </c>
      <c r="H752" s="2" t="s">
        <v>175</v>
      </c>
      <c r="I752" s="2" t="s">
        <v>176</v>
      </c>
      <c r="J752" s="2" t="s">
        <v>177</v>
      </c>
      <c r="K752" s="2" t="s">
        <v>178</v>
      </c>
      <c r="L752" s="2" t="s">
        <v>1634</v>
      </c>
      <c r="M752" s="2" t="s">
        <v>73</v>
      </c>
      <c r="N752" s="2" t="s">
        <v>88</v>
      </c>
      <c r="O752" s="2">
        <v>10</v>
      </c>
      <c r="P752" s="2">
        <v>10</v>
      </c>
      <c r="Q752" s="4">
        <v>8530</v>
      </c>
      <c r="R752" s="4">
        <v>8170</v>
      </c>
      <c r="S752" s="4">
        <v>253</v>
      </c>
      <c r="T752" s="19">
        <f>(ProductionData[[#This Row],[Rejected_Qty]])/ProductionData[[#This Row],[Produced_Qty]]</f>
        <v>3.0966952264381883E-2</v>
      </c>
      <c r="U752" s="19">
        <f>ProductionData[[#This Row],[Produced_Qty]]/ProductionData[[#This Row],[Planned_Qty]]</f>
        <v>0.9577960140679953</v>
      </c>
      <c r="V752" s="2" t="s">
        <v>103</v>
      </c>
      <c r="W752" s="11">
        <v>0</v>
      </c>
      <c r="X752" s="13">
        <f>W752/60</f>
        <v>0</v>
      </c>
      <c r="Y752" s="2" t="s">
        <v>90</v>
      </c>
      <c r="Z752" s="2">
        <v>24</v>
      </c>
      <c r="AA752" s="2">
        <f>ProductionData[[#This Row],[Rejected_Qty]]*ProductionData[[#This Row],[Unit_Cost_INR]]</f>
        <v>6072</v>
      </c>
      <c r="AB752" s="4">
        <v>32229</v>
      </c>
      <c r="AC752" s="4">
        <v>8950</v>
      </c>
      <c r="AD752" s="4">
        <v>8950</v>
      </c>
      <c r="AE752" s="4">
        <v>31196</v>
      </c>
      <c r="AF752" s="4">
        <v>12000</v>
      </c>
    </row>
    <row r="753" spans="1:32">
      <c r="A753" s="2" t="s">
        <v>1635</v>
      </c>
      <c r="B753" s="3">
        <v>46196</v>
      </c>
      <c r="C753" s="36" t="s">
        <v>1459</v>
      </c>
      <c r="D753" s="2">
        <f>MONTH(ProductionData[[#This Row],[Month]])</f>
        <v>6</v>
      </c>
      <c r="E753" s="2" t="s">
        <v>92</v>
      </c>
      <c r="F753" s="2" t="s">
        <v>93</v>
      </c>
      <c r="G753" s="2" t="s">
        <v>174</v>
      </c>
      <c r="H753" s="2" t="s">
        <v>175</v>
      </c>
      <c r="I753" s="2" t="s">
        <v>176</v>
      </c>
      <c r="J753" s="2" t="s">
        <v>443</v>
      </c>
      <c r="K753" s="2" t="s">
        <v>444</v>
      </c>
      <c r="L753" s="2" t="s">
        <v>1636</v>
      </c>
      <c r="M753" s="2" t="s">
        <v>95</v>
      </c>
      <c r="N753" s="2" t="s">
        <v>96</v>
      </c>
      <c r="O753" s="2">
        <v>10</v>
      </c>
      <c r="P753" s="2">
        <v>9</v>
      </c>
      <c r="Q753" s="4">
        <v>5600</v>
      </c>
      <c r="R753" s="4">
        <v>5240</v>
      </c>
      <c r="S753" s="4">
        <v>87</v>
      </c>
      <c r="T753" s="19">
        <f>(ProductionData[[#This Row],[Rejected_Qty]])/ProductionData[[#This Row],[Produced_Qty]]</f>
        <v>1.6603053435114503E-2</v>
      </c>
      <c r="U753" s="19">
        <f>ProductionData[[#This Row],[Produced_Qty]]/ProductionData[[#This Row],[Planned_Qty]]</f>
        <v>0.93571428571428572</v>
      </c>
      <c r="V753" s="2" t="s">
        <v>113</v>
      </c>
      <c r="W753" s="11">
        <v>60</v>
      </c>
      <c r="X753" s="13">
        <f>W753/60</f>
        <v>1</v>
      </c>
      <c r="Y753" s="2" t="s">
        <v>182</v>
      </c>
      <c r="Z753" s="2">
        <v>33</v>
      </c>
      <c r="AA753" s="2">
        <f>ProductionData[[#This Row],[Rejected_Qty]]*ProductionData[[#This Row],[Unit_Cost_INR]]</f>
        <v>2871</v>
      </c>
      <c r="AB753" s="4">
        <v>31064</v>
      </c>
      <c r="AC753" s="4">
        <v>5040</v>
      </c>
      <c r="AD753" s="4">
        <v>5040</v>
      </c>
      <c r="AE753" s="4">
        <v>31177</v>
      </c>
      <c r="AF753" s="4">
        <v>9750</v>
      </c>
    </row>
    <row r="754" spans="1:32">
      <c r="A754" s="2" t="s">
        <v>1637</v>
      </c>
      <c r="B754" s="3">
        <v>46183</v>
      </c>
      <c r="C754" s="36" t="s">
        <v>1459</v>
      </c>
      <c r="D754" s="2">
        <f>MONTH(ProductionData[[#This Row],[Month]])</f>
        <v>6</v>
      </c>
      <c r="E754" s="2" t="s">
        <v>79</v>
      </c>
      <c r="F754" s="2" t="s">
        <v>93</v>
      </c>
      <c r="G754" s="2" t="s">
        <v>174</v>
      </c>
      <c r="H754" s="2" t="s">
        <v>175</v>
      </c>
      <c r="I754" s="2" t="s">
        <v>176</v>
      </c>
      <c r="J754" s="2" t="s">
        <v>177</v>
      </c>
      <c r="K754" s="2" t="s">
        <v>178</v>
      </c>
      <c r="L754" s="2" t="s">
        <v>1638</v>
      </c>
      <c r="M754" s="2" t="s">
        <v>133</v>
      </c>
      <c r="N754" s="2" t="s">
        <v>96</v>
      </c>
      <c r="O754" s="2">
        <v>10</v>
      </c>
      <c r="P754" s="2">
        <v>8</v>
      </c>
      <c r="Q754" s="4">
        <v>7390</v>
      </c>
      <c r="R754" s="4">
        <v>6240</v>
      </c>
      <c r="S754" s="4">
        <v>199</v>
      </c>
      <c r="T754" s="19">
        <f>(ProductionData[[#This Row],[Rejected_Qty]])/ProductionData[[#This Row],[Produced_Qty]]</f>
        <v>3.1891025641025639E-2</v>
      </c>
      <c r="U754" s="19">
        <f>ProductionData[[#This Row],[Produced_Qty]]/ProductionData[[#This Row],[Planned_Qty]]</f>
        <v>0.84438430311231394</v>
      </c>
      <c r="V754" s="2" t="s">
        <v>109</v>
      </c>
      <c r="W754" s="11">
        <v>0</v>
      </c>
      <c r="X754" s="13">
        <f>W754/60</f>
        <v>0</v>
      </c>
      <c r="Y754" s="2" t="s">
        <v>90</v>
      </c>
      <c r="Z754" s="2">
        <v>24</v>
      </c>
      <c r="AA754" s="2">
        <f>ProductionData[[#This Row],[Rejected_Qty]]*ProductionData[[#This Row],[Unit_Cost_INR]]</f>
        <v>4776</v>
      </c>
      <c r="AB754" s="4">
        <v>31894</v>
      </c>
      <c r="AC754" s="4">
        <v>6810</v>
      </c>
      <c r="AD754" s="4">
        <v>6810</v>
      </c>
      <c r="AE754" s="4">
        <v>31125</v>
      </c>
      <c r="AF754" s="4">
        <v>12000</v>
      </c>
    </row>
    <row r="755" spans="1:32">
      <c r="A755" s="2" t="s">
        <v>1639</v>
      </c>
      <c r="B755" s="3">
        <v>46193</v>
      </c>
      <c r="C755" s="36" t="s">
        <v>1459</v>
      </c>
      <c r="D755" s="2">
        <f>MONTH(ProductionData[[#This Row],[Month]])</f>
        <v>6</v>
      </c>
      <c r="E755" s="2" t="s">
        <v>65</v>
      </c>
      <c r="F755" s="2" t="s">
        <v>93</v>
      </c>
      <c r="G755" s="2" t="s">
        <v>174</v>
      </c>
      <c r="H755" s="2" t="s">
        <v>175</v>
      </c>
      <c r="I755" s="2" t="s">
        <v>176</v>
      </c>
      <c r="J755" s="2" t="s">
        <v>177</v>
      </c>
      <c r="K755" s="2" t="s">
        <v>178</v>
      </c>
      <c r="L755" s="2" t="s">
        <v>1640</v>
      </c>
      <c r="M755" s="2" t="s">
        <v>133</v>
      </c>
      <c r="N755" s="2" t="s">
        <v>88</v>
      </c>
      <c r="O755" s="2">
        <v>10</v>
      </c>
      <c r="P755" s="2">
        <v>7</v>
      </c>
      <c r="Q755" s="4">
        <v>7570</v>
      </c>
      <c r="R755" s="4">
        <v>6060</v>
      </c>
      <c r="S755" s="4">
        <v>102</v>
      </c>
      <c r="T755" s="19">
        <f>(ProductionData[[#This Row],[Rejected_Qty]])/ProductionData[[#This Row],[Produced_Qty]]</f>
        <v>1.6831683168316833E-2</v>
      </c>
      <c r="U755" s="19">
        <f>ProductionData[[#This Row],[Produced_Qty]]/ProductionData[[#This Row],[Planned_Qty]]</f>
        <v>0.80052840158520477</v>
      </c>
      <c r="V755" s="2" t="s">
        <v>103</v>
      </c>
      <c r="W755" s="11">
        <v>10</v>
      </c>
      <c r="X755" s="13">
        <f>W755/60</f>
        <v>0.16666666666666666</v>
      </c>
      <c r="Y755" s="2" t="s">
        <v>182</v>
      </c>
      <c r="Z755" s="2">
        <v>24</v>
      </c>
      <c r="AA755" s="2">
        <f>ProductionData[[#This Row],[Rejected_Qty]]*ProductionData[[#This Row],[Unit_Cost_INR]]</f>
        <v>2448</v>
      </c>
      <c r="AB755" s="4">
        <v>31290</v>
      </c>
      <c r="AC755" s="4">
        <v>6150</v>
      </c>
      <c r="AD755" s="4">
        <v>6150</v>
      </c>
      <c r="AE755" s="4">
        <v>31098</v>
      </c>
      <c r="AF755" s="4">
        <v>12000</v>
      </c>
    </row>
    <row r="756" spans="1:32">
      <c r="A756" s="2" t="s">
        <v>1641</v>
      </c>
      <c r="B756" s="3">
        <v>46195</v>
      </c>
      <c r="C756" s="36" t="s">
        <v>1459</v>
      </c>
      <c r="D756" s="2">
        <f>MONTH(ProductionData[[#This Row],[Month]])</f>
        <v>6</v>
      </c>
      <c r="E756" s="2" t="s">
        <v>116</v>
      </c>
      <c r="F756" s="2" t="s">
        <v>66</v>
      </c>
      <c r="G756" s="2" t="s">
        <v>174</v>
      </c>
      <c r="H756" s="2" t="s">
        <v>175</v>
      </c>
      <c r="I756" s="2" t="s">
        <v>176</v>
      </c>
      <c r="J756" s="2" t="s">
        <v>177</v>
      </c>
      <c r="K756" s="2" t="s">
        <v>178</v>
      </c>
      <c r="L756" s="2" t="s">
        <v>1642</v>
      </c>
      <c r="M756" s="2" t="s">
        <v>73</v>
      </c>
      <c r="N756" s="2" t="s">
        <v>96</v>
      </c>
      <c r="O756" s="2">
        <v>10</v>
      </c>
      <c r="P756" s="2">
        <v>9</v>
      </c>
      <c r="Q756" s="4">
        <v>7630</v>
      </c>
      <c r="R756" s="4">
        <v>7470</v>
      </c>
      <c r="S756" s="4">
        <v>159</v>
      </c>
      <c r="T756" s="19">
        <f>(ProductionData[[#This Row],[Rejected_Qty]])/ProductionData[[#This Row],[Produced_Qty]]</f>
        <v>2.1285140562248995E-2</v>
      </c>
      <c r="U756" s="19">
        <f>ProductionData[[#This Row],[Produced_Qty]]/ProductionData[[#This Row],[Planned_Qty]]</f>
        <v>0.9790301441677588</v>
      </c>
      <c r="V756" s="2" t="s">
        <v>113</v>
      </c>
      <c r="W756" s="11">
        <v>0</v>
      </c>
      <c r="X756" s="13">
        <f>W756/60</f>
        <v>0</v>
      </c>
      <c r="Y756" s="2" t="s">
        <v>90</v>
      </c>
      <c r="Z756" s="2">
        <v>24</v>
      </c>
      <c r="AA756" s="2">
        <f>ProductionData[[#This Row],[Rejected_Qty]]*ProductionData[[#This Row],[Unit_Cost_INR]]</f>
        <v>3816</v>
      </c>
      <c r="AB756" s="4">
        <v>31098</v>
      </c>
      <c r="AC756" s="4">
        <v>7320</v>
      </c>
      <c r="AD756" s="4">
        <v>7320</v>
      </c>
      <c r="AE756" s="4">
        <v>31089</v>
      </c>
      <c r="AF756" s="4">
        <v>12000</v>
      </c>
    </row>
    <row r="757" spans="1:32">
      <c r="A757" s="2" t="s">
        <v>1643</v>
      </c>
      <c r="B757" s="3">
        <v>46196</v>
      </c>
      <c r="C757" s="36" t="s">
        <v>1459</v>
      </c>
      <c r="D757" s="2">
        <f>MONTH(ProductionData[[#This Row],[Month]])</f>
        <v>6</v>
      </c>
      <c r="E757" s="2" t="s">
        <v>92</v>
      </c>
      <c r="F757" s="2" t="s">
        <v>80</v>
      </c>
      <c r="G757" s="2" t="s">
        <v>174</v>
      </c>
      <c r="H757" s="2" t="s">
        <v>175</v>
      </c>
      <c r="I757" s="2" t="s">
        <v>176</v>
      </c>
      <c r="J757" s="2" t="s">
        <v>443</v>
      </c>
      <c r="K757" s="2" t="s">
        <v>444</v>
      </c>
      <c r="L757" s="2" t="s">
        <v>1644</v>
      </c>
      <c r="M757" s="2" t="s">
        <v>102</v>
      </c>
      <c r="N757" s="2" t="s">
        <v>88</v>
      </c>
      <c r="O757" s="2">
        <v>10</v>
      </c>
      <c r="P757" s="2">
        <v>10</v>
      </c>
      <c r="Q757" s="4">
        <v>5370</v>
      </c>
      <c r="R757" s="4">
        <v>5270</v>
      </c>
      <c r="S757" s="4">
        <v>97</v>
      </c>
      <c r="T757" s="19">
        <f>(ProductionData[[#This Row],[Rejected_Qty]])/ProductionData[[#This Row],[Produced_Qty]]</f>
        <v>1.8406072106261859E-2</v>
      </c>
      <c r="U757" s="19">
        <f>ProductionData[[#This Row],[Produced_Qty]]/ProductionData[[#This Row],[Planned_Qty]]</f>
        <v>0.98137802607076352</v>
      </c>
      <c r="V757" s="2" t="s">
        <v>113</v>
      </c>
      <c r="W757" s="11">
        <v>26</v>
      </c>
      <c r="X757" s="13">
        <f>W757/60</f>
        <v>0.43333333333333335</v>
      </c>
      <c r="Y757" s="2" t="s">
        <v>182</v>
      </c>
      <c r="Z757" s="2">
        <v>33</v>
      </c>
      <c r="AA757" s="2">
        <f>ProductionData[[#This Row],[Rejected_Qty]]*ProductionData[[#This Row],[Unit_Cost_INR]]</f>
        <v>3201</v>
      </c>
      <c r="AB757" s="4">
        <v>30091</v>
      </c>
      <c r="AC757" s="4">
        <v>4200</v>
      </c>
      <c r="AD757" s="4">
        <v>4200</v>
      </c>
      <c r="AE757" s="4">
        <v>31064</v>
      </c>
      <c r="AF757" s="4">
        <v>9750</v>
      </c>
    </row>
    <row r="758" spans="1:32">
      <c r="A758" s="2" t="s">
        <v>1645</v>
      </c>
      <c r="B758" s="3">
        <v>46177</v>
      </c>
      <c r="C758" s="36" t="s">
        <v>1459</v>
      </c>
      <c r="D758" s="2">
        <f>MONTH(ProductionData[[#This Row],[Month]])</f>
        <v>6</v>
      </c>
      <c r="E758" s="2" t="s">
        <v>107</v>
      </c>
      <c r="F758" s="2" t="s">
        <v>66</v>
      </c>
      <c r="G758" s="2" t="s">
        <v>81</v>
      </c>
      <c r="H758" s="2" t="s">
        <v>82</v>
      </c>
      <c r="I758" s="2" t="s">
        <v>83</v>
      </c>
      <c r="J758" s="2" t="s">
        <v>166</v>
      </c>
      <c r="K758" s="2" t="s">
        <v>167</v>
      </c>
      <c r="L758" s="2" t="s">
        <v>1646</v>
      </c>
      <c r="M758" s="2" t="s">
        <v>73</v>
      </c>
      <c r="N758" s="2" t="s">
        <v>88</v>
      </c>
      <c r="O758" s="2">
        <v>18</v>
      </c>
      <c r="P758" s="2">
        <v>16</v>
      </c>
      <c r="Q758" s="4">
        <v>8870</v>
      </c>
      <c r="R758" s="4">
        <v>8250</v>
      </c>
      <c r="S758" s="4">
        <v>223</v>
      </c>
      <c r="T758" s="19">
        <f>(ProductionData[[#This Row],[Rejected_Qty]])/ProductionData[[#This Row],[Produced_Qty]]</f>
        <v>2.7030303030303029E-2</v>
      </c>
      <c r="U758" s="19">
        <f>ProductionData[[#This Row],[Produced_Qty]]/ProductionData[[#This Row],[Planned_Qty]]</f>
        <v>0.93010146561443063</v>
      </c>
      <c r="V758" s="2" t="s">
        <v>109</v>
      </c>
      <c r="W758" s="11">
        <v>0</v>
      </c>
      <c r="X758" s="13">
        <f>W758/60</f>
        <v>0</v>
      </c>
      <c r="Y758" s="2" t="s">
        <v>90</v>
      </c>
      <c r="Z758" s="2">
        <v>17</v>
      </c>
      <c r="AA758" s="2">
        <f>ProductionData[[#This Row],[Rejected_Qty]]*ProductionData[[#This Row],[Unit_Cost_INR]]</f>
        <v>3791</v>
      </c>
      <c r="AB758" s="4">
        <v>29780</v>
      </c>
      <c r="AC758" s="4">
        <v>6810</v>
      </c>
      <c r="AD758" s="4">
        <v>6810</v>
      </c>
      <c r="AE758" s="4">
        <v>30997</v>
      </c>
      <c r="AF758" s="4">
        <v>13500</v>
      </c>
    </row>
    <row r="759" spans="1:32">
      <c r="A759" s="2" t="s">
        <v>1647</v>
      </c>
      <c r="B759" s="3">
        <v>46178</v>
      </c>
      <c r="C759" s="36" t="s">
        <v>1459</v>
      </c>
      <c r="D759" s="2">
        <f>MONTH(ProductionData[[#This Row],[Month]])</f>
        <v>6</v>
      </c>
      <c r="E759" s="2" t="s">
        <v>125</v>
      </c>
      <c r="F759" s="2" t="s">
        <v>93</v>
      </c>
      <c r="G759" s="2" t="s">
        <v>81</v>
      </c>
      <c r="H759" s="2" t="s">
        <v>82</v>
      </c>
      <c r="I759" s="2" t="s">
        <v>83</v>
      </c>
      <c r="J759" s="2" t="s">
        <v>166</v>
      </c>
      <c r="K759" s="2" t="s">
        <v>167</v>
      </c>
      <c r="L759" s="2" t="s">
        <v>1648</v>
      </c>
      <c r="M759" s="2" t="s">
        <v>95</v>
      </c>
      <c r="N759" s="2" t="s">
        <v>88</v>
      </c>
      <c r="O759" s="2">
        <v>18</v>
      </c>
      <c r="P759" s="2">
        <v>17</v>
      </c>
      <c r="Q759" s="4">
        <v>7960</v>
      </c>
      <c r="R759" s="4">
        <v>7780</v>
      </c>
      <c r="S759" s="4">
        <v>175</v>
      </c>
      <c r="T759" s="19">
        <f>(ProductionData[[#This Row],[Rejected_Qty]])/ProductionData[[#This Row],[Produced_Qty]]</f>
        <v>2.2493573264781491E-2</v>
      </c>
      <c r="U759" s="19">
        <f>ProductionData[[#This Row],[Produced_Qty]]/ProductionData[[#This Row],[Planned_Qty]]</f>
        <v>0.97738693467336679</v>
      </c>
      <c r="V759" s="2" t="s">
        <v>113</v>
      </c>
      <c r="W759" s="11">
        <v>0</v>
      </c>
      <c r="X759" s="13">
        <f>W759/60</f>
        <v>0</v>
      </c>
      <c r="Y759" s="2" t="s">
        <v>90</v>
      </c>
      <c r="Z759" s="2">
        <v>17</v>
      </c>
      <c r="AA759" s="2">
        <f>ProductionData[[#This Row],[Rejected_Qty]]*ProductionData[[#This Row],[Unit_Cost_INR]]</f>
        <v>2975</v>
      </c>
      <c r="AB759" s="4">
        <v>30997</v>
      </c>
      <c r="AC759" s="4">
        <v>7650</v>
      </c>
      <c r="AD759" s="4">
        <v>7650</v>
      </c>
      <c r="AE759" s="4">
        <v>30952</v>
      </c>
      <c r="AF759" s="4">
        <v>13500</v>
      </c>
    </row>
    <row r="760" spans="1:32">
      <c r="A760" s="2" t="s">
        <v>1649</v>
      </c>
      <c r="B760" s="3">
        <v>46192</v>
      </c>
      <c r="C760" s="36" t="s">
        <v>1459</v>
      </c>
      <c r="D760" s="2">
        <f>MONTH(ProductionData[[#This Row],[Month]])</f>
        <v>6</v>
      </c>
      <c r="E760" s="2" t="s">
        <v>125</v>
      </c>
      <c r="F760" s="2" t="s">
        <v>66</v>
      </c>
      <c r="G760" s="2" t="s">
        <v>195</v>
      </c>
      <c r="H760" s="2" t="s">
        <v>196</v>
      </c>
      <c r="I760" s="2" t="s">
        <v>197</v>
      </c>
      <c r="J760" s="2" t="s">
        <v>198</v>
      </c>
      <c r="K760" s="2" t="s">
        <v>199</v>
      </c>
      <c r="L760" s="2" t="s">
        <v>1650</v>
      </c>
      <c r="M760" s="2" t="s">
        <v>73</v>
      </c>
      <c r="N760" s="2" t="s">
        <v>88</v>
      </c>
      <c r="O760" s="2">
        <v>14</v>
      </c>
      <c r="P760" s="2">
        <v>14</v>
      </c>
      <c r="Q760" s="4">
        <v>9410</v>
      </c>
      <c r="R760" s="4">
        <v>9040</v>
      </c>
      <c r="S760" s="4">
        <v>96</v>
      </c>
      <c r="T760" s="19">
        <f>(ProductionData[[#This Row],[Rejected_Qty]])/ProductionData[[#This Row],[Produced_Qty]]</f>
        <v>1.0619469026548672E-2</v>
      </c>
      <c r="U760" s="19">
        <f>ProductionData[[#This Row],[Produced_Qty]]/ProductionData[[#This Row],[Planned_Qty]]</f>
        <v>0.96068012752391074</v>
      </c>
      <c r="V760" s="2" t="s">
        <v>75</v>
      </c>
      <c r="W760" s="11">
        <v>0</v>
      </c>
      <c r="X760" s="13">
        <f>W760/60</f>
        <v>0</v>
      </c>
      <c r="Y760" s="2" t="s">
        <v>90</v>
      </c>
      <c r="Z760" s="2">
        <v>38</v>
      </c>
      <c r="AA760" s="2">
        <f>ProductionData[[#This Row],[Rejected_Qty]]*ProductionData[[#This Row],[Unit_Cost_INR]]</f>
        <v>3648</v>
      </c>
      <c r="AB760" s="4">
        <v>29904</v>
      </c>
      <c r="AC760" s="4">
        <v>8030</v>
      </c>
      <c r="AD760" s="4">
        <v>8030</v>
      </c>
      <c r="AE760" s="4">
        <v>30818</v>
      </c>
      <c r="AF760" s="4">
        <v>13500</v>
      </c>
    </row>
    <row r="761" spans="1:32">
      <c r="A761" s="2" t="s">
        <v>1651</v>
      </c>
      <c r="B761" s="3">
        <v>46188</v>
      </c>
      <c r="C761" s="36" t="s">
        <v>1459</v>
      </c>
      <c r="D761" s="2">
        <f>MONTH(ProductionData[[#This Row],[Month]])</f>
        <v>6</v>
      </c>
      <c r="E761" s="2" t="s">
        <v>116</v>
      </c>
      <c r="F761" s="2" t="s">
        <v>80</v>
      </c>
      <c r="G761" s="2" t="s">
        <v>174</v>
      </c>
      <c r="H761" s="2" t="s">
        <v>175</v>
      </c>
      <c r="I761" s="2" t="s">
        <v>176</v>
      </c>
      <c r="J761" s="2" t="s">
        <v>177</v>
      </c>
      <c r="K761" s="2" t="s">
        <v>178</v>
      </c>
      <c r="L761" s="2" t="s">
        <v>1652</v>
      </c>
      <c r="M761" s="2" t="s">
        <v>102</v>
      </c>
      <c r="N761" s="2" t="s">
        <v>88</v>
      </c>
      <c r="O761" s="2">
        <v>10</v>
      </c>
      <c r="P761" s="2">
        <v>9</v>
      </c>
      <c r="Q761" s="4">
        <v>7530</v>
      </c>
      <c r="R761" s="4">
        <v>6780</v>
      </c>
      <c r="S761" s="4">
        <v>137</v>
      </c>
      <c r="T761" s="19">
        <f>(ProductionData[[#This Row],[Rejected_Qty]])/ProductionData[[#This Row],[Produced_Qty]]</f>
        <v>2.0206489675516224E-2</v>
      </c>
      <c r="U761" s="19">
        <f>ProductionData[[#This Row],[Produced_Qty]]/ProductionData[[#This Row],[Planned_Qty]]</f>
        <v>0.90039840637450197</v>
      </c>
      <c r="V761" s="2" t="s">
        <v>103</v>
      </c>
      <c r="W761" s="11">
        <v>46</v>
      </c>
      <c r="X761" s="13">
        <f>W761/60</f>
        <v>0.76666666666666672</v>
      </c>
      <c r="Y761" s="2" t="s">
        <v>110</v>
      </c>
      <c r="Z761" s="2">
        <v>24</v>
      </c>
      <c r="AA761" s="2">
        <f>ProductionData[[#This Row],[Rejected_Qty]]*ProductionData[[#This Row],[Unit_Cost_INR]]</f>
        <v>3288</v>
      </c>
      <c r="AB761" s="4">
        <v>31196</v>
      </c>
      <c r="AC761" s="4">
        <v>7040</v>
      </c>
      <c r="AD761" s="4">
        <v>7040</v>
      </c>
      <c r="AE761" s="4">
        <v>30799</v>
      </c>
      <c r="AF761" s="4">
        <v>12000</v>
      </c>
    </row>
    <row r="762" spans="1:32">
      <c r="A762" s="2" t="s">
        <v>1653</v>
      </c>
      <c r="B762" s="3">
        <v>46195</v>
      </c>
      <c r="C762" s="36" t="s">
        <v>1459</v>
      </c>
      <c r="D762" s="2">
        <f>MONTH(ProductionData[[#This Row],[Month]])</f>
        <v>6</v>
      </c>
      <c r="E762" s="2" t="s">
        <v>116</v>
      </c>
      <c r="F762" s="2" t="s">
        <v>66</v>
      </c>
      <c r="G762" s="2" t="s">
        <v>81</v>
      </c>
      <c r="H762" s="2" t="s">
        <v>82</v>
      </c>
      <c r="I762" s="2" t="s">
        <v>83</v>
      </c>
      <c r="J762" s="2" t="s">
        <v>166</v>
      </c>
      <c r="K762" s="2" t="s">
        <v>167</v>
      </c>
      <c r="L762" s="2" t="s">
        <v>1654</v>
      </c>
      <c r="M762" s="2" t="s">
        <v>99</v>
      </c>
      <c r="N762" s="2" t="s">
        <v>88</v>
      </c>
      <c r="O762" s="2">
        <v>18</v>
      </c>
      <c r="P762" s="2">
        <v>18</v>
      </c>
      <c r="Q762" s="4">
        <v>8320</v>
      </c>
      <c r="R762" s="4">
        <v>8450</v>
      </c>
      <c r="S762" s="4">
        <v>199</v>
      </c>
      <c r="T762" s="19">
        <f>(ProductionData[[#This Row],[Rejected_Qty]])/ProductionData[[#This Row],[Produced_Qty]]</f>
        <v>2.3550295857988165E-2</v>
      </c>
      <c r="U762" s="19">
        <f>ProductionData[[#This Row],[Produced_Qty]]/ProductionData[[#This Row],[Planned_Qty]]</f>
        <v>1.015625</v>
      </c>
      <c r="V762" s="2" t="s">
        <v>109</v>
      </c>
      <c r="W762" s="11">
        <v>0</v>
      </c>
      <c r="X762" s="13">
        <f>W762/60</f>
        <v>0</v>
      </c>
      <c r="Y762" s="2" t="s">
        <v>90</v>
      </c>
      <c r="Z762" s="2">
        <v>17</v>
      </c>
      <c r="AA762" s="2">
        <f>ProductionData[[#This Row],[Rejected_Qty]]*ProductionData[[#This Row],[Unit_Cost_INR]]</f>
        <v>3383</v>
      </c>
      <c r="AB762" s="4">
        <v>29331</v>
      </c>
      <c r="AC762" s="4">
        <v>6820</v>
      </c>
      <c r="AD762" s="4">
        <v>6820</v>
      </c>
      <c r="AE762" s="4">
        <v>30762</v>
      </c>
      <c r="AF762" s="4">
        <v>13500</v>
      </c>
    </row>
    <row r="763" spans="1:32">
      <c r="A763" s="2" t="s">
        <v>1655</v>
      </c>
      <c r="B763" s="3">
        <v>46186</v>
      </c>
      <c r="C763" s="36" t="s">
        <v>1459</v>
      </c>
      <c r="D763" s="2">
        <f>MONTH(ProductionData[[#This Row],[Month]])</f>
        <v>6</v>
      </c>
      <c r="E763" s="2" t="s">
        <v>65</v>
      </c>
      <c r="F763" s="2" t="s">
        <v>93</v>
      </c>
      <c r="G763" s="2" t="s">
        <v>67</v>
      </c>
      <c r="H763" s="2" t="s">
        <v>68</v>
      </c>
      <c r="I763" s="2" t="s">
        <v>69</v>
      </c>
      <c r="J763" s="2" t="s">
        <v>70</v>
      </c>
      <c r="K763" s="2" t="s">
        <v>71</v>
      </c>
      <c r="L763" s="2" t="s">
        <v>1656</v>
      </c>
      <c r="M763" s="2" t="s">
        <v>95</v>
      </c>
      <c r="N763" s="2" t="s">
        <v>96</v>
      </c>
      <c r="O763" s="2">
        <v>16</v>
      </c>
      <c r="P763" s="2">
        <v>16</v>
      </c>
      <c r="Q763" s="4">
        <v>7060</v>
      </c>
      <c r="R763" s="4">
        <v>6760</v>
      </c>
      <c r="S763" s="4">
        <v>126</v>
      </c>
      <c r="T763" s="19">
        <f>(ProductionData[[#This Row],[Rejected_Qty]])/ProductionData[[#This Row],[Produced_Qty]]</f>
        <v>1.8639053254437869E-2</v>
      </c>
      <c r="U763" s="19">
        <f>ProductionData[[#This Row],[Produced_Qty]]/ProductionData[[#This Row],[Planned_Qty]]</f>
        <v>0.95750708215297453</v>
      </c>
      <c r="V763" s="2" t="s">
        <v>109</v>
      </c>
      <c r="W763" s="11">
        <v>0</v>
      </c>
      <c r="X763" s="13">
        <f>W763/60</f>
        <v>0</v>
      </c>
      <c r="Y763" s="2" t="s">
        <v>90</v>
      </c>
      <c r="Z763" s="2">
        <v>46</v>
      </c>
      <c r="AA763" s="2">
        <f>ProductionData[[#This Row],[Rejected_Qty]]*ProductionData[[#This Row],[Unit_Cost_INR]]</f>
        <v>5796</v>
      </c>
      <c r="AB763" s="4">
        <v>29528</v>
      </c>
      <c r="AC763" s="4">
        <v>5540</v>
      </c>
      <c r="AD763" s="4">
        <v>5540</v>
      </c>
      <c r="AE763" s="4">
        <v>30622</v>
      </c>
      <c r="AF763" s="4">
        <v>10500</v>
      </c>
    </row>
    <row r="764" spans="1:32">
      <c r="A764" s="2" t="s">
        <v>1657</v>
      </c>
      <c r="B764" s="3">
        <v>46199</v>
      </c>
      <c r="C764" s="36" t="s">
        <v>1459</v>
      </c>
      <c r="D764" s="2">
        <f>MONTH(ProductionData[[#This Row],[Month]])</f>
        <v>6</v>
      </c>
      <c r="E764" s="2" t="s">
        <v>125</v>
      </c>
      <c r="F764" s="2" t="s">
        <v>66</v>
      </c>
      <c r="G764" s="2" t="s">
        <v>81</v>
      </c>
      <c r="H764" s="2" t="s">
        <v>82</v>
      </c>
      <c r="I764" s="2" t="s">
        <v>83</v>
      </c>
      <c r="J764" s="2" t="s">
        <v>166</v>
      </c>
      <c r="K764" s="2" t="s">
        <v>167</v>
      </c>
      <c r="L764" s="2" t="s">
        <v>1658</v>
      </c>
      <c r="M764" s="2" t="s">
        <v>99</v>
      </c>
      <c r="N764" s="2" t="s">
        <v>88</v>
      </c>
      <c r="O764" s="2">
        <v>18</v>
      </c>
      <c r="P764" s="2">
        <v>17</v>
      </c>
      <c r="Q764" s="4">
        <v>8970</v>
      </c>
      <c r="R764" s="4">
        <v>7910</v>
      </c>
      <c r="S764" s="4">
        <v>234</v>
      </c>
      <c r="T764" s="19">
        <f>(ProductionData[[#This Row],[Rejected_Qty]])/ProductionData[[#This Row],[Produced_Qty]]</f>
        <v>2.9582806573957017E-2</v>
      </c>
      <c r="U764" s="19">
        <f>ProductionData[[#This Row],[Produced_Qty]]/ProductionData[[#This Row],[Planned_Qty]]</f>
        <v>0.88182831661092531</v>
      </c>
      <c r="V764" s="2" t="s">
        <v>113</v>
      </c>
      <c r="W764" s="11">
        <v>0</v>
      </c>
      <c r="X764" s="13">
        <f>W764/60</f>
        <v>0</v>
      </c>
      <c r="Y764" s="2" t="s">
        <v>90</v>
      </c>
      <c r="Z764" s="2">
        <v>17</v>
      </c>
      <c r="AA764" s="2">
        <f>ProductionData[[#This Row],[Rejected_Qty]]*ProductionData[[#This Row],[Unit_Cost_INR]]</f>
        <v>3978</v>
      </c>
      <c r="AB764" s="4">
        <v>30133</v>
      </c>
      <c r="AC764" s="4">
        <v>7220</v>
      </c>
      <c r="AD764" s="4">
        <v>7220</v>
      </c>
      <c r="AE764" s="4">
        <v>30589</v>
      </c>
      <c r="AF764" s="4">
        <v>13500</v>
      </c>
    </row>
    <row r="765" spans="1:32">
      <c r="A765" s="2" t="s">
        <v>1659</v>
      </c>
      <c r="B765" s="3">
        <v>46192</v>
      </c>
      <c r="C765" s="36" t="s">
        <v>1459</v>
      </c>
      <c r="D765" s="2">
        <f>MONTH(ProductionData[[#This Row],[Month]])</f>
        <v>6</v>
      </c>
      <c r="E765" s="2" t="s">
        <v>125</v>
      </c>
      <c r="F765" s="2" t="s">
        <v>80</v>
      </c>
      <c r="G765" s="2" t="s">
        <v>195</v>
      </c>
      <c r="H765" s="2" t="s">
        <v>196</v>
      </c>
      <c r="I765" s="2" t="s">
        <v>197</v>
      </c>
      <c r="J765" s="2" t="s">
        <v>198</v>
      </c>
      <c r="K765" s="2" t="s">
        <v>199</v>
      </c>
      <c r="L765" s="2" t="s">
        <v>1660</v>
      </c>
      <c r="M765" s="2" t="s">
        <v>87</v>
      </c>
      <c r="N765" s="2" t="s">
        <v>88</v>
      </c>
      <c r="O765" s="2">
        <v>14</v>
      </c>
      <c r="P765" s="2">
        <v>13</v>
      </c>
      <c r="Q765" s="4">
        <v>8440</v>
      </c>
      <c r="R765" s="4">
        <v>7860</v>
      </c>
      <c r="S765" s="4">
        <v>154</v>
      </c>
      <c r="T765" s="19">
        <f>(ProductionData[[#This Row],[Rejected_Qty]])/ProductionData[[#This Row],[Produced_Qty]]</f>
        <v>1.9592875318066159E-2</v>
      </c>
      <c r="U765" s="19">
        <f>ProductionData[[#This Row],[Produced_Qty]]/ProductionData[[#This Row],[Planned_Qty]]</f>
        <v>0.93127962085308058</v>
      </c>
      <c r="V765" s="2" t="s">
        <v>113</v>
      </c>
      <c r="W765" s="11">
        <v>0</v>
      </c>
      <c r="X765" s="13">
        <f>W765/60</f>
        <v>0</v>
      </c>
      <c r="Y765" s="2" t="s">
        <v>90</v>
      </c>
      <c r="Z765" s="2">
        <v>38</v>
      </c>
      <c r="AA765" s="2">
        <f>ProductionData[[#This Row],[Rejected_Qty]]*ProductionData[[#This Row],[Unit_Cost_INR]]</f>
        <v>5852</v>
      </c>
      <c r="AB765" s="4">
        <v>30818</v>
      </c>
      <c r="AC765" s="4">
        <v>8040</v>
      </c>
      <c r="AD765" s="4">
        <v>8040</v>
      </c>
      <c r="AE765" s="4">
        <v>30484</v>
      </c>
      <c r="AF765" s="4">
        <v>13500</v>
      </c>
    </row>
    <row r="766" spans="1:32">
      <c r="A766" s="2" t="s">
        <v>1661</v>
      </c>
      <c r="B766" s="3">
        <v>46195</v>
      </c>
      <c r="C766" s="36" t="s">
        <v>1459</v>
      </c>
      <c r="D766" s="2">
        <f>MONTH(ProductionData[[#This Row],[Month]])</f>
        <v>6</v>
      </c>
      <c r="E766" s="2" t="s">
        <v>116</v>
      </c>
      <c r="F766" s="2" t="s">
        <v>80</v>
      </c>
      <c r="G766" s="2" t="s">
        <v>81</v>
      </c>
      <c r="H766" s="2" t="s">
        <v>82</v>
      </c>
      <c r="I766" s="2" t="s">
        <v>83</v>
      </c>
      <c r="J766" s="2" t="s">
        <v>166</v>
      </c>
      <c r="K766" s="2" t="s">
        <v>167</v>
      </c>
      <c r="L766" s="2" t="s">
        <v>1662</v>
      </c>
      <c r="M766" s="2" t="s">
        <v>102</v>
      </c>
      <c r="N766" s="2" t="s">
        <v>96</v>
      </c>
      <c r="O766" s="2">
        <v>18</v>
      </c>
      <c r="P766" s="2">
        <v>17</v>
      </c>
      <c r="Q766" s="4">
        <v>8680</v>
      </c>
      <c r="R766" s="4">
        <v>7750</v>
      </c>
      <c r="S766" s="4">
        <v>151</v>
      </c>
      <c r="T766" s="19">
        <f>(ProductionData[[#This Row],[Rejected_Qty]])/ProductionData[[#This Row],[Produced_Qty]]</f>
        <v>1.9483870967741936E-2</v>
      </c>
      <c r="U766" s="19">
        <f>ProductionData[[#This Row],[Produced_Qty]]/ProductionData[[#This Row],[Planned_Qty]]</f>
        <v>0.8928571428571429</v>
      </c>
      <c r="V766" s="2" t="s">
        <v>89</v>
      </c>
      <c r="W766" s="11">
        <v>47</v>
      </c>
      <c r="X766" s="13">
        <f>W766/60</f>
        <v>0.78333333333333333</v>
      </c>
      <c r="Y766" s="2" t="s">
        <v>110</v>
      </c>
      <c r="Z766" s="2">
        <v>17</v>
      </c>
      <c r="AA766" s="2">
        <f>ProductionData[[#This Row],[Rejected_Qty]]*ProductionData[[#This Row],[Unit_Cost_INR]]</f>
        <v>2567</v>
      </c>
      <c r="AB766" s="4">
        <v>30762</v>
      </c>
      <c r="AC766" s="4">
        <v>7950</v>
      </c>
      <c r="AD766" s="4">
        <v>7950</v>
      </c>
      <c r="AE766" s="4">
        <v>30411</v>
      </c>
      <c r="AF766" s="4">
        <v>13500</v>
      </c>
    </row>
    <row r="767" spans="1:32">
      <c r="A767" s="2" t="s">
        <v>1663</v>
      </c>
      <c r="B767" s="3">
        <v>46187</v>
      </c>
      <c r="C767" s="36" t="s">
        <v>1459</v>
      </c>
      <c r="D767" s="2">
        <f>MONTH(ProductionData[[#This Row],[Month]])</f>
        <v>6</v>
      </c>
      <c r="E767" s="2" t="s">
        <v>186</v>
      </c>
      <c r="F767" s="2" t="s">
        <v>66</v>
      </c>
      <c r="G767" s="2" t="s">
        <v>67</v>
      </c>
      <c r="H767" s="2" t="s">
        <v>68</v>
      </c>
      <c r="I767" s="2" t="s">
        <v>69</v>
      </c>
      <c r="J767" s="2" t="s">
        <v>70</v>
      </c>
      <c r="K767" s="2" t="s">
        <v>71</v>
      </c>
      <c r="L767" s="2" t="s">
        <v>1664</v>
      </c>
      <c r="M767" s="2" t="s">
        <v>73</v>
      </c>
      <c r="N767" s="2" t="s">
        <v>88</v>
      </c>
      <c r="O767" s="2">
        <v>16</v>
      </c>
      <c r="P767" s="2">
        <v>15</v>
      </c>
      <c r="Q767" s="4">
        <v>5000</v>
      </c>
      <c r="R767" s="4">
        <v>4680</v>
      </c>
      <c r="S767" s="4">
        <v>130</v>
      </c>
      <c r="T767" s="19">
        <f>(ProductionData[[#This Row],[Rejected_Qty]])/ProductionData[[#This Row],[Produced_Qty]]</f>
        <v>2.7777777777777776E-2</v>
      </c>
      <c r="U767" s="19">
        <f>ProductionData[[#This Row],[Produced_Qty]]/ProductionData[[#This Row],[Planned_Qty]]</f>
        <v>0.93600000000000005</v>
      </c>
      <c r="V767" s="2" t="s">
        <v>75</v>
      </c>
      <c r="W767" s="11">
        <v>0</v>
      </c>
      <c r="X767" s="13">
        <f>W767/60</f>
        <v>0</v>
      </c>
      <c r="Y767" s="2" t="s">
        <v>90</v>
      </c>
      <c r="Z767" s="2">
        <v>46</v>
      </c>
      <c r="AA767" s="2">
        <f>ProductionData[[#This Row],[Rejected_Qty]]*ProductionData[[#This Row],[Unit_Cost_INR]]</f>
        <v>5980</v>
      </c>
      <c r="AB767" s="4">
        <v>30622</v>
      </c>
      <c r="AC767" s="4">
        <v>4800</v>
      </c>
      <c r="AD767" s="4">
        <v>4800</v>
      </c>
      <c r="AE767" s="4">
        <v>30372</v>
      </c>
      <c r="AF767" s="4">
        <v>10500</v>
      </c>
    </row>
    <row r="768" spans="1:32">
      <c r="A768" s="2" t="s">
        <v>1665</v>
      </c>
      <c r="B768" s="3">
        <v>46176</v>
      </c>
      <c r="C768" s="36" t="s">
        <v>1459</v>
      </c>
      <c r="D768" s="2">
        <f>MONTH(ProductionData[[#This Row],[Month]])</f>
        <v>6</v>
      </c>
      <c r="E768" s="2" t="s">
        <v>79</v>
      </c>
      <c r="F768" s="2" t="s">
        <v>80</v>
      </c>
      <c r="G768" s="2" t="s">
        <v>174</v>
      </c>
      <c r="H768" s="2" t="s">
        <v>175</v>
      </c>
      <c r="I768" s="2" t="s">
        <v>176</v>
      </c>
      <c r="J768" s="2" t="s">
        <v>177</v>
      </c>
      <c r="K768" s="2" t="s">
        <v>178</v>
      </c>
      <c r="L768" s="2" t="s">
        <v>1666</v>
      </c>
      <c r="M768" s="2" t="s">
        <v>102</v>
      </c>
      <c r="N768" s="2" t="s">
        <v>96</v>
      </c>
      <c r="O768" s="2">
        <v>10</v>
      </c>
      <c r="P768" s="2">
        <v>9</v>
      </c>
      <c r="Q768" s="4">
        <v>8360</v>
      </c>
      <c r="R768" s="4">
        <v>8080</v>
      </c>
      <c r="S768" s="4">
        <v>228</v>
      </c>
      <c r="T768" s="19">
        <f>(ProductionData[[#This Row],[Rejected_Qty]])/ProductionData[[#This Row],[Produced_Qty]]</f>
        <v>2.8217821782178219E-2</v>
      </c>
      <c r="U768" s="19">
        <f>ProductionData[[#This Row],[Produced_Qty]]/ProductionData[[#This Row],[Planned_Qty]]</f>
        <v>0.96650717703349287</v>
      </c>
      <c r="V768" s="2" t="s">
        <v>113</v>
      </c>
      <c r="W768" s="11">
        <v>0</v>
      </c>
      <c r="X768" s="13">
        <f>W768/60</f>
        <v>0</v>
      </c>
      <c r="Y768" s="2" t="s">
        <v>90</v>
      </c>
      <c r="Z768" s="2">
        <v>24</v>
      </c>
      <c r="AA768" s="2">
        <f>ProductionData[[#This Row],[Rejected_Qty]]*ProductionData[[#This Row],[Unit_Cost_INR]]</f>
        <v>5472</v>
      </c>
      <c r="AB768" s="4">
        <v>29539</v>
      </c>
      <c r="AC768" s="4">
        <v>7090</v>
      </c>
      <c r="AD768" s="4">
        <v>7090</v>
      </c>
      <c r="AE768" s="4">
        <v>30301</v>
      </c>
      <c r="AF768" s="4">
        <v>12000</v>
      </c>
    </row>
    <row r="769" spans="1:32">
      <c r="A769" s="2" t="s">
        <v>1667</v>
      </c>
      <c r="B769" s="3">
        <v>46200</v>
      </c>
      <c r="C769" s="36" t="s">
        <v>1459</v>
      </c>
      <c r="D769" s="2">
        <f>MONTH(ProductionData[[#This Row],[Month]])</f>
        <v>6</v>
      </c>
      <c r="E769" s="2" t="s">
        <v>65</v>
      </c>
      <c r="F769" s="2" t="s">
        <v>80</v>
      </c>
      <c r="G769" s="2" t="s">
        <v>174</v>
      </c>
      <c r="H769" s="2" t="s">
        <v>175</v>
      </c>
      <c r="I769" s="2" t="s">
        <v>176</v>
      </c>
      <c r="J769" s="2" t="s">
        <v>177</v>
      </c>
      <c r="K769" s="2" t="s">
        <v>178</v>
      </c>
      <c r="L769" s="2" t="s">
        <v>1668</v>
      </c>
      <c r="M769" s="2" t="s">
        <v>87</v>
      </c>
      <c r="N769" s="2" t="s">
        <v>96</v>
      </c>
      <c r="O769" s="2">
        <v>10</v>
      </c>
      <c r="P769" s="2">
        <v>9</v>
      </c>
      <c r="Q769" s="4">
        <v>7980</v>
      </c>
      <c r="R769" s="4">
        <v>7140</v>
      </c>
      <c r="S769" s="4">
        <v>283</v>
      </c>
      <c r="T769" s="19">
        <f>(ProductionData[[#This Row],[Rejected_Qty]])/ProductionData[[#This Row],[Produced_Qty]]</f>
        <v>3.9635854341736693E-2</v>
      </c>
      <c r="U769" s="19">
        <f>ProductionData[[#This Row],[Produced_Qty]]/ProductionData[[#This Row],[Planned_Qty]]</f>
        <v>0.89473684210526316</v>
      </c>
      <c r="V769" s="2" t="s">
        <v>103</v>
      </c>
      <c r="W769" s="11">
        <v>0</v>
      </c>
      <c r="X769" s="13">
        <f>W769/60</f>
        <v>0</v>
      </c>
      <c r="Y769" s="2" t="s">
        <v>90</v>
      </c>
      <c r="Z769" s="2">
        <v>24</v>
      </c>
      <c r="AA769" s="2">
        <f>ProductionData[[#This Row],[Rejected_Qty]]*ProductionData[[#This Row],[Unit_Cost_INR]]</f>
        <v>6792</v>
      </c>
      <c r="AB769" s="4">
        <v>31695</v>
      </c>
      <c r="AC769" s="4">
        <v>8260</v>
      </c>
      <c r="AD769" s="4">
        <v>8260</v>
      </c>
      <c r="AE769" s="4">
        <v>30292</v>
      </c>
      <c r="AF769" s="4">
        <v>12000</v>
      </c>
    </row>
    <row r="770" spans="1:32">
      <c r="A770" s="2" t="s">
        <v>1669</v>
      </c>
      <c r="B770" s="3">
        <v>46187</v>
      </c>
      <c r="C770" s="36" t="s">
        <v>1459</v>
      </c>
      <c r="D770" s="2">
        <f>MONTH(ProductionData[[#This Row],[Month]])</f>
        <v>6</v>
      </c>
      <c r="E770" s="2" t="s">
        <v>186</v>
      </c>
      <c r="F770" s="2" t="s">
        <v>66</v>
      </c>
      <c r="G770" s="2" t="s">
        <v>81</v>
      </c>
      <c r="H770" s="2" t="s">
        <v>82</v>
      </c>
      <c r="I770" s="2" t="s">
        <v>83</v>
      </c>
      <c r="J770" s="2" t="s">
        <v>166</v>
      </c>
      <c r="K770" s="2" t="s">
        <v>167</v>
      </c>
      <c r="L770" s="2" t="s">
        <v>1670</v>
      </c>
      <c r="M770" s="2" t="s">
        <v>99</v>
      </c>
      <c r="N770" s="2" t="s">
        <v>88</v>
      </c>
      <c r="O770" s="2">
        <v>18</v>
      </c>
      <c r="P770" s="2">
        <v>15</v>
      </c>
      <c r="Q770" s="4">
        <v>5980</v>
      </c>
      <c r="R770" s="4">
        <v>5160</v>
      </c>
      <c r="S770" s="4">
        <v>173</v>
      </c>
      <c r="T770" s="19">
        <f>(ProductionData[[#This Row],[Rejected_Qty]])/ProductionData[[#This Row],[Produced_Qty]]</f>
        <v>3.3527131782945738E-2</v>
      </c>
      <c r="U770" s="19">
        <f>ProductionData[[#This Row],[Produced_Qty]]/ProductionData[[#This Row],[Planned_Qty]]</f>
        <v>0.86287625418060199</v>
      </c>
      <c r="V770" s="2" t="s">
        <v>89</v>
      </c>
      <c r="W770" s="11">
        <v>0</v>
      </c>
      <c r="X770" s="13">
        <f>W770/60</f>
        <v>0</v>
      </c>
      <c r="Y770" s="2" t="s">
        <v>90</v>
      </c>
      <c r="Z770" s="2">
        <v>17</v>
      </c>
      <c r="AA770" s="2">
        <f>ProductionData[[#This Row],[Rejected_Qty]]*ProductionData[[#This Row],[Unit_Cost_INR]]</f>
        <v>2941</v>
      </c>
      <c r="AB770" s="4">
        <v>30952</v>
      </c>
      <c r="AC770" s="4">
        <v>5650</v>
      </c>
      <c r="AD770" s="4">
        <v>5650</v>
      </c>
      <c r="AE770" s="4">
        <v>30289</v>
      </c>
      <c r="AF770" s="4">
        <v>13500</v>
      </c>
    </row>
    <row r="771" spans="1:32">
      <c r="A771" s="2" t="s">
        <v>1671</v>
      </c>
      <c r="B771" s="3">
        <v>46175</v>
      </c>
      <c r="C771" s="36" t="s">
        <v>1459</v>
      </c>
      <c r="D771" s="2">
        <f>MONTH(ProductionData[[#This Row],[Month]])</f>
        <v>6</v>
      </c>
      <c r="E771" s="2" t="s">
        <v>92</v>
      </c>
      <c r="F771" s="2" t="s">
        <v>93</v>
      </c>
      <c r="G771" s="2" t="s">
        <v>174</v>
      </c>
      <c r="H771" s="2" t="s">
        <v>175</v>
      </c>
      <c r="I771" s="2" t="s">
        <v>176</v>
      </c>
      <c r="J771" s="2" t="s">
        <v>177</v>
      </c>
      <c r="K771" s="2" t="s">
        <v>178</v>
      </c>
      <c r="L771" s="2" t="s">
        <v>1672</v>
      </c>
      <c r="M771" s="2" t="s">
        <v>133</v>
      </c>
      <c r="N771" s="2" t="s">
        <v>96</v>
      </c>
      <c r="O771" s="2">
        <v>10</v>
      </c>
      <c r="P771" s="2">
        <v>9</v>
      </c>
      <c r="Q771" s="4">
        <v>7280</v>
      </c>
      <c r="R771" s="4">
        <v>6990</v>
      </c>
      <c r="S771" s="4">
        <v>128</v>
      </c>
      <c r="T771" s="19">
        <f>(ProductionData[[#This Row],[Rejected_Qty]])/ProductionData[[#This Row],[Produced_Qty]]</f>
        <v>1.8311874105865523E-2</v>
      </c>
      <c r="U771" s="19">
        <f>ProductionData[[#This Row],[Produced_Qty]]/ProductionData[[#This Row],[Planned_Qty]]</f>
        <v>0.9601648351648352</v>
      </c>
      <c r="V771" s="2" t="s">
        <v>109</v>
      </c>
      <c r="W771" s="11">
        <v>0</v>
      </c>
      <c r="X771" s="13">
        <f>W771/60</f>
        <v>0</v>
      </c>
      <c r="Y771" s="2" t="s">
        <v>90</v>
      </c>
      <c r="Z771" s="2">
        <v>24</v>
      </c>
      <c r="AA771" s="2">
        <f>ProductionData[[#This Row],[Rejected_Qty]]*ProductionData[[#This Row],[Unit_Cost_INR]]</f>
        <v>3072</v>
      </c>
      <c r="AB771" s="4">
        <v>28944</v>
      </c>
      <c r="AC771" s="4">
        <v>5530</v>
      </c>
      <c r="AD771" s="4">
        <v>5530</v>
      </c>
      <c r="AE771" s="4">
        <v>30276</v>
      </c>
      <c r="AF771" s="4">
        <v>12000</v>
      </c>
    </row>
    <row r="772" spans="1:32">
      <c r="A772" s="2" t="s">
        <v>1673</v>
      </c>
      <c r="B772" s="3">
        <v>46191</v>
      </c>
      <c r="C772" s="36" t="s">
        <v>1459</v>
      </c>
      <c r="D772" s="2">
        <f>MONTH(ProductionData[[#This Row],[Month]])</f>
        <v>6</v>
      </c>
      <c r="E772" s="2" t="s">
        <v>107</v>
      </c>
      <c r="F772" s="2" t="s">
        <v>80</v>
      </c>
      <c r="G772" s="2" t="s">
        <v>81</v>
      </c>
      <c r="H772" s="2" t="s">
        <v>82</v>
      </c>
      <c r="I772" s="2" t="s">
        <v>83</v>
      </c>
      <c r="J772" s="2" t="s">
        <v>166</v>
      </c>
      <c r="K772" s="2" t="s">
        <v>167</v>
      </c>
      <c r="L772" s="2" t="s">
        <v>1674</v>
      </c>
      <c r="M772" s="2" t="s">
        <v>87</v>
      </c>
      <c r="N772" s="2" t="s">
        <v>88</v>
      </c>
      <c r="O772" s="2">
        <v>18</v>
      </c>
      <c r="P772" s="2">
        <v>15</v>
      </c>
      <c r="Q772" s="4">
        <v>8370</v>
      </c>
      <c r="R772" s="4">
        <v>7720</v>
      </c>
      <c r="S772" s="4">
        <v>170</v>
      </c>
      <c r="T772" s="19">
        <f>(ProductionData[[#This Row],[Rejected_Qty]])/ProductionData[[#This Row],[Produced_Qty]]</f>
        <v>2.2020725388601035E-2</v>
      </c>
      <c r="U772" s="19">
        <f>ProductionData[[#This Row],[Produced_Qty]]/ProductionData[[#This Row],[Planned_Qty]]</f>
        <v>0.92234169653524489</v>
      </c>
      <c r="V772" s="2" t="s">
        <v>109</v>
      </c>
      <c r="W772" s="11">
        <v>25</v>
      </c>
      <c r="X772" s="13">
        <f>W772/60</f>
        <v>0.41666666666666669</v>
      </c>
      <c r="Y772" s="2" t="s">
        <v>76</v>
      </c>
      <c r="Z772" s="2">
        <v>17</v>
      </c>
      <c r="AA772" s="2">
        <f>ProductionData[[#This Row],[Rejected_Qty]]*ProductionData[[#This Row],[Unit_Cost_INR]]</f>
        <v>2890</v>
      </c>
      <c r="AB772" s="4">
        <v>30052</v>
      </c>
      <c r="AC772" s="4">
        <v>7350</v>
      </c>
      <c r="AD772" s="4">
        <v>7350</v>
      </c>
      <c r="AE772" s="4">
        <v>30252</v>
      </c>
      <c r="AF772" s="4">
        <v>13500</v>
      </c>
    </row>
    <row r="773" spans="1:32">
      <c r="A773" s="2" t="s">
        <v>1675</v>
      </c>
      <c r="B773" s="3">
        <v>46193</v>
      </c>
      <c r="C773" s="36" t="s">
        <v>1459</v>
      </c>
      <c r="D773" s="2">
        <f>MONTH(ProductionData[[#This Row],[Month]])</f>
        <v>6</v>
      </c>
      <c r="E773" s="2" t="s">
        <v>65</v>
      </c>
      <c r="F773" s="2" t="s">
        <v>93</v>
      </c>
      <c r="G773" s="2" t="s">
        <v>81</v>
      </c>
      <c r="H773" s="2" t="s">
        <v>82</v>
      </c>
      <c r="I773" s="2" t="s">
        <v>83</v>
      </c>
      <c r="J773" s="2" t="s">
        <v>166</v>
      </c>
      <c r="K773" s="2" t="s">
        <v>167</v>
      </c>
      <c r="L773" s="2" t="s">
        <v>1676</v>
      </c>
      <c r="M773" s="2" t="s">
        <v>133</v>
      </c>
      <c r="N773" s="2" t="s">
        <v>96</v>
      </c>
      <c r="O773" s="2">
        <v>18</v>
      </c>
      <c r="P773" s="2">
        <v>16</v>
      </c>
      <c r="Q773" s="4">
        <v>8350</v>
      </c>
      <c r="R773" s="4">
        <v>7830</v>
      </c>
      <c r="S773" s="4">
        <v>145</v>
      </c>
      <c r="T773" s="19">
        <f>(ProductionData[[#This Row],[Rejected_Qty]])/ProductionData[[#This Row],[Produced_Qty]]</f>
        <v>1.8518518518518517E-2</v>
      </c>
      <c r="U773" s="19">
        <f>ProductionData[[#This Row],[Produced_Qty]]/ProductionData[[#This Row],[Planned_Qty]]</f>
        <v>0.93772455089820361</v>
      </c>
      <c r="V773" s="2" t="s">
        <v>109</v>
      </c>
      <c r="W773" s="11">
        <v>0</v>
      </c>
      <c r="X773" s="13">
        <f>W773/60</f>
        <v>0</v>
      </c>
      <c r="Y773" s="2" t="s">
        <v>90</v>
      </c>
      <c r="Z773" s="2">
        <v>17</v>
      </c>
      <c r="AA773" s="2">
        <f>ProductionData[[#This Row],[Rejected_Qty]]*ProductionData[[#This Row],[Unit_Cost_INR]]</f>
        <v>2465</v>
      </c>
      <c r="AB773" s="4">
        <v>29723</v>
      </c>
      <c r="AC773" s="4">
        <v>7240</v>
      </c>
      <c r="AD773" s="4">
        <v>7240</v>
      </c>
      <c r="AE773" s="4">
        <v>30168</v>
      </c>
      <c r="AF773" s="4">
        <v>13500</v>
      </c>
    </row>
    <row r="774" spans="1:32">
      <c r="A774" s="2" t="s">
        <v>1677</v>
      </c>
      <c r="B774" s="3">
        <v>46199</v>
      </c>
      <c r="C774" s="36" t="s">
        <v>1459</v>
      </c>
      <c r="D774" s="2">
        <f>MONTH(ProductionData[[#This Row],[Month]])</f>
        <v>6</v>
      </c>
      <c r="E774" s="2" t="s">
        <v>125</v>
      </c>
      <c r="F774" s="2" t="s">
        <v>80</v>
      </c>
      <c r="G774" s="2" t="s">
        <v>81</v>
      </c>
      <c r="H774" s="2" t="s">
        <v>82</v>
      </c>
      <c r="I774" s="2" t="s">
        <v>83</v>
      </c>
      <c r="J774" s="2" t="s">
        <v>166</v>
      </c>
      <c r="K774" s="2" t="s">
        <v>167</v>
      </c>
      <c r="L774" s="2" t="s">
        <v>1678</v>
      </c>
      <c r="M774" s="2" t="s">
        <v>87</v>
      </c>
      <c r="N774" s="2" t="s">
        <v>96</v>
      </c>
      <c r="O774" s="2">
        <v>18</v>
      </c>
      <c r="P774" s="2">
        <v>18</v>
      </c>
      <c r="Q774" s="4">
        <v>9650</v>
      </c>
      <c r="R774" s="4">
        <v>8920</v>
      </c>
      <c r="S774" s="4">
        <v>248</v>
      </c>
      <c r="T774" s="19">
        <f>(ProductionData[[#This Row],[Rejected_Qty]])/ProductionData[[#This Row],[Produced_Qty]]</f>
        <v>2.780269058295964E-2</v>
      </c>
      <c r="U774" s="19">
        <f>ProductionData[[#This Row],[Produced_Qty]]/ProductionData[[#This Row],[Planned_Qty]]</f>
        <v>0.92435233160621766</v>
      </c>
      <c r="V774" s="2" t="s">
        <v>113</v>
      </c>
      <c r="W774" s="11">
        <v>0</v>
      </c>
      <c r="X774" s="13">
        <f>W774/60</f>
        <v>0</v>
      </c>
      <c r="Y774" s="2" t="s">
        <v>90</v>
      </c>
      <c r="Z774" s="2">
        <v>17</v>
      </c>
      <c r="AA774" s="2">
        <f>ProductionData[[#This Row],[Rejected_Qty]]*ProductionData[[#This Row],[Unit_Cost_INR]]</f>
        <v>4216</v>
      </c>
      <c r="AB774" s="4">
        <v>30589</v>
      </c>
      <c r="AC774" s="4">
        <v>9100</v>
      </c>
      <c r="AD774" s="4">
        <v>9100</v>
      </c>
      <c r="AE774" s="4">
        <v>30161</v>
      </c>
      <c r="AF774" s="4">
        <v>13500</v>
      </c>
    </row>
    <row r="775" spans="1:32">
      <c r="A775" s="2" t="s">
        <v>1679</v>
      </c>
      <c r="B775" s="3">
        <v>46200</v>
      </c>
      <c r="C775" s="36" t="s">
        <v>1459</v>
      </c>
      <c r="D775" s="2">
        <f>MONTH(ProductionData[[#This Row],[Month]])</f>
        <v>6</v>
      </c>
      <c r="E775" s="2" t="s">
        <v>65</v>
      </c>
      <c r="F775" s="2" t="s">
        <v>93</v>
      </c>
      <c r="G775" s="2" t="s">
        <v>81</v>
      </c>
      <c r="H775" s="2" t="s">
        <v>82</v>
      </c>
      <c r="I775" s="2" t="s">
        <v>83</v>
      </c>
      <c r="J775" s="2" t="s">
        <v>166</v>
      </c>
      <c r="K775" s="2" t="s">
        <v>167</v>
      </c>
      <c r="L775" s="2" t="s">
        <v>1680</v>
      </c>
      <c r="M775" s="2" t="s">
        <v>95</v>
      </c>
      <c r="N775" s="2" t="s">
        <v>88</v>
      </c>
      <c r="O775" s="2">
        <v>18</v>
      </c>
      <c r="P775" s="2">
        <v>18</v>
      </c>
      <c r="Q775" s="4">
        <v>9090</v>
      </c>
      <c r="R775" s="4">
        <v>8910</v>
      </c>
      <c r="S775" s="4">
        <v>166</v>
      </c>
      <c r="T775" s="19">
        <f>(ProductionData[[#This Row],[Rejected_Qty]])/ProductionData[[#This Row],[Produced_Qty]]</f>
        <v>1.8630751964085299E-2</v>
      </c>
      <c r="U775" s="19">
        <f>ProductionData[[#This Row],[Produced_Qty]]/ProductionData[[#This Row],[Planned_Qty]]</f>
        <v>0.98019801980198018</v>
      </c>
      <c r="V775" s="2" t="s">
        <v>89</v>
      </c>
      <c r="W775" s="11">
        <v>0</v>
      </c>
      <c r="X775" s="13">
        <f>W775/60</f>
        <v>0</v>
      </c>
      <c r="Y775" s="2" t="s">
        <v>90</v>
      </c>
      <c r="Z775" s="2">
        <v>17</v>
      </c>
      <c r="AA775" s="2">
        <f>ProductionData[[#This Row],[Rejected_Qty]]*ProductionData[[#This Row],[Unit_Cost_INR]]</f>
        <v>2822</v>
      </c>
      <c r="AB775" s="4">
        <v>30161</v>
      </c>
      <c r="AC775" s="4">
        <v>8770</v>
      </c>
      <c r="AD775" s="4">
        <v>8770</v>
      </c>
      <c r="AE775" s="4">
        <v>30135</v>
      </c>
      <c r="AF775" s="4">
        <v>13500</v>
      </c>
    </row>
    <row r="776" spans="1:32">
      <c r="A776" s="2" t="s">
        <v>1681</v>
      </c>
      <c r="B776" s="3">
        <v>46196</v>
      </c>
      <c r="C776" s="36" t="s">
        <v>1459</v>
      </c>
      <c r="D776" s="2">
        <f>MONTH(ProductionData[[#This Row],[Month]])</f>
        <v>6</v>
      </c>
      <c r="E776" s="2" t="s">
        <v>92</v>
      </c>
      <c r="F776" s="2" t="s">
        <v>66</v>
      </c>
      <c r="G776" s="2" t="s">
        <v>81</v>
      </c>
      <c r="H776" s="2" t="s">
        <v>82</v>
      </c>
      <c r="I776" s="2" t="s">
        <v>83</v>
      </c>
      <c r="J776" s="2" t="s">
        <v>166</v>
      </c>
      <c r="K776" s="2" t="s">
        <v>167</v>
      </c>
      <c r="L776" s="2" t="s">
        <v>1682</v>
      </c>
      <c r="M776" s="2" t="s">
        <v>99</v>
      </c>
      <c r="N776" s="2" t="s">
        <v>88</v>
      </c>
      <c r="O776" s="2">
        <v>18</v>
      </c>
      <c r="P776" s="2">
        <v>18</v>
      </c>
      <c r="Q776" s="4">
        <v>8960</v>
      </c>
      <c r="R776" s="4">
        <v>8670</v>
      </c>
      <c r="S776" s="4">
        <v>214</v>
      </c>
      <c r="T776" s="19">
        <f>(ProductionData[[#This Row],[Rejected_Qty]])/ProductionData[[#This Row],[Produced_Qty]]</f>
        <v>2.4682814302191464E-2</v>
      </c>
      <c r="U776" s="19">
        <f>ProductionData[[#This Row],[Produced_Qty]]/ProductionData[[#This Row],[Planned_Qty]]</f>
        <v>0.9676339285714286</v>
      </c>
      <c r="V776" s="2" t="s">
        <v>75</v>
      </c>
      <c r="W776" s="11">
        <v>0</v>
      </c>
      <c r="X776" s="13">
        <f>W776/60</f>
        <v>0</v>
      </c>
      <c r="Y776" s="2" t="s">
        <v>90</v>
      </c>
      <c r="Z776" s="2">
        <v>17</v>
      </c>
      <c r="AA776" s="2">
        <f>ProductionData[[#This Row],[Rejected_Qty]]*ProductionData[[#This Row],[Unit_Cost_INR]]</f>
        <v>3638</v>
      </c>
      <c r="AB776" s="4">
        <v>29397</v>
      </c>
      <c r="AC776" s="4">
        <v>7720</v>
      </c>
      <c r="AD776" s="4">
        <v>7720</v>
      </c>
      <c r="AE776" s="4">
        <v>30133</v>
      </c>
      <c r="AF776" s="4">
        <v>13500</v>
      </c>
    </row>
    <row r="777" spans="1:32">
      <c r="A777" s="2" t="s">
        <v>1683</v>
      </c>
      <c r="B777" s="3">
        <v>46196</v>
      </c>
      <c r="C777" s="36" t="s">
        <v>1459</v>
      </c>
      <c r="D777" s="2">
        <f>MONTH(ProductionData[[#This Row],[Month]])</f>
        <v>6</v>
      </c>
      <c r="E777" s="2" t="s">
        <v>92</v>
      </c>
      <c r="F777" s="2" t="s">
        <v>66</v>
      </c>
      <c r="G777" s="2" t="s">
        <v>174</v>
      </c>
      <c r="H777" s="2" t="s">
        <v>175</v>
      </c>
      <c r="I777" s="2" t="s">
        <v>176</v>
      </c>
      <c r="J777" s="2" t="s">
        <v>443</v>
      </c>
      <c r="K777" s="2" t="s">
        <v>444</v>
      </c>
      <c r="L777" s="2" t="s">
        <v>1684</v>
      </c>
      <c r="M777" s="2" t="s">
        <v>99</v>
      </c>
      <c r="N777" s="2" t="s">
        <v>88</v>
      </c>
      <c r="O777" s="2">
        <v>10</v>
      </c>
      <c r="P777" s="2">
        <v>10</v>
      </c>
      <c r="Q777" s="4">
        <v>5300</v>
      </c>
      <c r="R777" s="4">
        <v>5140</v>
      </c>
      <c r="S777" s="4">
        <v>190</v>
      </c>
      <c r="T777" s="19">
        <f>(ProductionData[[#This Row],[Rejected_Qty]])/ProductionData[[#This Row],[Produced_Qty]]</f>
        <v>3.6964980544747082E-2</v>
      </c>
      <c r="U777" s="19">
        <f>ProductionData[[#This Row],[Produced_Qty]]/ProductionData[[#This Row],[Planned_Qty]]</f>
        <v>0.96981132075471699</v>
      </c>
      <c r="V777" s="2" t="s">
        <v>113</v>
      </c>
      <c r="W777" s="11">
        <v>32</v>
      </c>
      <c r="X777" s="13">
        <f>W777/60</f>
        <v>0.53333333333333333</v>
      </c>
      <c r="Y777" s="2" t="s">
        <v>110</v>
      </c>
      <c r="Z777" s="2">
        <v>33</v>
      </c>
      <c r="AA777" s="2">
        <f>ProductionData[[#This Row],[Rejected_Qty]]*ProductionData[[#This Row],[Unit_Cost_INR]]</f>
        <v>6270</v>
      </c>
      <c r="AB777" s="4">
        <v>29931</v>
      </c>
      <c r="AC777" s="4">
        <v>4790</v>
      </c>
      <c r="AD777" s="4">
        <v>4790</v>
      </c>
      <c r="AE777" s="4">
        <v>30091</v>
      </c>
      <c r="AF777" s="4">
        <v>9750</v>
      </c>
    </row>
    <row r="778" spans="1:32">
      <c r="A778" s="2" t="s">
        <v>1685</v>
      </c>
      <c r="B778" s="3">
        <v>46203</v>
      </c>
      <c r="C778" s="36" t="s">
        <v>1459</v>
      </c>
      <c r="D778" s="2">
        <f>MONTH(ProductionData[[#This Row],[Month]])</f>
        <v>6</v>
      </c>
      <c r="E778" s="2" t="s">
        <v>92</v>
      </c>
      <c r="F778" s="2" t="s">
        <v>93</v>
      </c>
      <c r="G778" s="2" t="s">
        <v>81</v>
      </c>
      <c r="H778" s="2" t="s">
        <v>82</v>
      </c>
      <c r="I778" s="2" t="s">
        <v>83</v>
      </c>
      <c r="J778" s="2" t="s">
        <v>166</v>
      </c>
      <c r="K778" s="2" t="s">
        <v>167</v>
      </c>
      <c r="L778" s="2" t="s">
        <v>1686</v>
      </c>
      <c r="M778" s="2" t="s">
        <v>95</v>
      </c>
      <c r="N778" s="2" t="s">
        <v>88</v>
      </c>
      <c r="O778" s="2">
        <v>18</v>
      </c>
      <c r="P778" s="2">
        <v>17</v>
      </c>
      <c r="Q778" s="4">
        <v>8540</v>
      </c>
      <c r="R778" s="4">
        <v>8410</v>
      </c>
      <c r="S778" s="4">
        <v>254</v>
      </c>
      <c r="T778" s="19">
        <f>(ProductionData[[#This Row],[Rejected_Qty]])/ProductionData[[#This Row],[Produced_Qty]]</f>
        <v>3.0202140309155766E-2</v>
      </c>
      <c r="U778" s="19">
        <f>ProductionData[[#This Row],[Produced_Qty]]/ProductionData[[#This Row],[Planned_Qty]]</f>
        <v>0.98477751756440279</v>
      </c>
      <c r="V778" s="2" t="s">
        <v>75</v>
      </c>
      <c r="W778" s="11">
        <v>29</v>
      </c>
      <c r="X778" s="13">
        <f>W778/60</f>
        <v>0.48333333333333334</v>
      </c>
      <c r="Y778" s="2" t="s">
        <v>76</v>
      </c>
      <c r="Z778" s="2">
        <v>17</v>
      </c>
      <c r="AA778" s="2">
        <f>ProductionData[[#This Row],[Rejected_Qty]]*ProductionData[[#This Row],[Unit_Cost_INR]]</f>
        <v>4318</v>
      </c>
      <c r="AB778" s="4">
        <v>29647</v>
      </c>
      <c r="AC778" s="4">
        <v>7750</v>
      </c>
      <c r="AD778" s="4">
        <v>7750</v>
      </c>
      <c r="AE778" s="4">
        <v>30053</v>
      </c>
      <c r="AF778" s="4">
        <v>13500</v>
      </c>
    </row>
    <row r="779" spans="1:32">
      <c r="A779" s="2" t="s">
        <v>1687</v>
      </c>
      <c r="B779" s="3">
        <v>46189</v>
      </c>
      <c r="C779" s="36" t="s">
        <v>1459</v>
      </c>
      <c r="D779" s="2">
        <f>MONTH(ProductionData[[#This Row],[Month]])</f>
        <v>6</v>
      </c>
      <c r="E779" s="2" t="s">
        <v>92</v>
      </c>
      <c r="F779" s="2" t="s">
        <v>66</v>
      </c>
      <c r="G779" s="2" t="s">
        <v>81</v>
      </c>
      <c r="H779" s="2" t="s">
        <v>82</v>
      </c>
      <c r="I779" s="2" t="s">
        <v>83</v>
      </c>
      <c r="J779" s="2" t="s">
        <v>166</v>
      </c>
      <c r="K779" s="2" t="s">
        <v>167</v>
      </c>
      <c r="L779" s="2" t="s">
        <v>1688</v>
      </c>
      <c r="M779" s="2" t="s">
        <v>99</v>
      </c>
      <c r="N779" s="2" t="s">
        <v>96</v>
      </c>
      <c r="O779" s="2">
        <v>18</v>
      </c>
      <c r="P779" s="2">
        <v>17</v>
      </c>
      <c r="Q779" s="4">
        <v>9060</v>
      </c>
      <c r="R779" s="4">
        <v>8590</v>
      </c>
      <c r="S779" s="4">
        <v>155</v>
      </c>
      <c r="T779" s="19">
        <f>(ProductionData[[#This Row],[Rejected_Qty]])/ProductionData[[#This Row],[Produced_Qty]]</f>
        <v>1.8044237485448197E-2</v>
      </c>
      <c r="U779" s="19">
        <f>ProductionData[[#This Row],[Produced_Qty]]/ProductionData[[#This Row],[Planned_Qty]]</f>
        <v>0.94812362030905073</v>
      </c>
      <c r="V779" s="2" t="s">
        <v>89</v>
      </c>
      <c r="W779" s="11">
        <v>0</v>
      </c>
      <c r="X779" s="13">
        <f>W779/60</f>
        <v>0</v>
      </c>
      <c r="Y779" s="2" t="s">
        <v>90</v>
      </c>
      <c r="Z779" s="2">
        <v>17</v>
      </c>
      <c r="AA779" s="2">
        <f>ProductionData[[#This Row],[Rejected_Qty]]*ProductionData[[#This Row],[Unit_Cost_INR]]</f>
        <v>2635</v>
      </c>
      <c r="AB779" s="4">
        <v>29757</v>
      </c>
      <c r="AC779" s="4">
        <v>8140</v>
      </c>
      <c r="AD779" s="4">
        <v>8140</v>
      </c>
      <c r="AE779" s="4">
        <v>30052</v>
      </c>
      <c r="AF779" s="4">
        <v>13500</v>
      </c>
    </row>
    <row r="780" spans="1:32">
      <c r="A780" s="2" t="s">
        <v>1689</v>
      </c>
      <c r="B780" s="3">
        <v>46194</v>
      </c>
      <c r="C780" s="36" t="s">
        <v>1459</v>
      </c>
      <c r="D780" s="2">
        <f>MONTH(ProductionData[[#This Row],[Month]])</f>
        <v>6</v>
      </c>
      <c r="E780" s="2" t="s">
        <v>186</v>
      </c>
      <c r="F780" s="2" t="s">
        <v>66</v>
      </c>
      <c r="G780" s="2" t="s">
        <v>81</v>
      </c>
      <c r="H780" s="2" t="s">
        <v>82</v>
      </c>
      <c r="I780" s="2" t="s">
        <v>83</v>
      </c>
      <c r="J780" s="2" t="s">
        <v>166</v>
      </c>
      <c r="K780" s="2" t="s">
        <v>167</v>
      </c>
      <c r="L780" s="2" t="s">
        <v>1690</v>
      </c>
      <c r="M780" s="2" t="s">
        <v>73</v>
      </c>
      <c r="N780" s="2" t="s">
        <v>88</v>
      </c>
      <c r="O780" s="2">
        <v>18</v>
      </c>
      <c r="P780" s="2">
        <v>18</v>
      </c>
      <c r="Q780" s="4">
        <v>5910</v>
      </c>
      <c r="R780" s="4">
        <v>5570</v>
      </c>
      <c r="S780" s="4">
        <v>119</v>
      </c>
      <c r="T780" s="19">
        <f>(ProductionData[[#This Row],[Rejected_Qty]])/ProductionData[[#This Row],[Produced_Qty]]</f>
        <v>2.1364452423698384E-2</v>
      </c>
      <c r="U780" s="19">
        <f>ProductionData[[#This Row],[Produced_Qty]]/ProductionData[[#This Row],[Planned_Qty]]</f>
        <v>0.94247038917089676</v>
      </c>
      <c r="V780" s="2" t="s">
        <v>113</v>
      </c>
      <c r="W780" s="11">
        <v>28</v>
      </c>
      <c r="X780" s="13">
        <f>W780/60</f>
        <v>0.46666666666666667</v>
      </c>
      <c r="Y780" s="2" t="s">
        <v>76</v>
      </c>
      <c r="Z780" s="2">
        <v>17</v>
      </c>
      <c r="AA780" s="2">
        <f>ProductionData[[#This Row],[Rejected_Qty]]*ProductionData[[#This Row],[Unit_Cost_INR]]</f>
        <v>2023</v>
      </c>
      <c r="AB780" s="4">
        <v>30168</v>
      </c>
      <c r="AC780" s="4">
        <v>5610</v>
      </c>
      <c r="AD780" s="4">
        <v>5610</v>
      </c>
      <c r="AE780" s="4">
        <v>30009</v>
      </c>
      <c r="AF780" s="4">
        <v>13500</v>
      </c>
    </row>
    <row r="781" spans="1:32">
      <c r="A781" s="2" t="s">
        <v>1691</v>
      </c>
      <c r="B781" s="3">
        <v>46202</v>
      </c>
      <c r="C781" s="36" t="s">
        <v>1459</v>
      </c>
      <c r="D781" s="2">
        <f>MONTH(ProductionData[[#This Row],[Month]])</f>
        <v>6</v>
      </c>
      <c r="E781" s="2" t="s">
        <v>116</v>
      </c>
      <c r="F781" s="2" t="s">
        <v>80</v>
      </c>
      <c r="G781" s="2" t="s">
        <v>81</v>
      </c>
      <c r="H781" s="2" t="s">
        <v>82</v>
      </c>
      <c r="I781" s="2" t="s">
        <v>83</v>
      </c>
      <c r="J781" s="2" t="s">
        <v>166</v>
      </c>
      <c r="K781" s="2" t="s">
        <v>167</v>
      </c>
      <c r="L781" s="2" t="s">
        <v>1692</v>
      </c>
      <c r="M781" s="2" t="s">
        <v>87</v>
      </c>
      <c r="N781" s="2" t="s">
        <v>88</v>
      </c>
      <c r="O781" s="2">
        <v>18</v>
      </c>
      <c r="P781" s="2">
        <v>17</v>
      </c>
      <c r="Q781" s="4">
        <v>8820</v>
      </c>
      <c r="R781" s="4">
        <v>8580</v>
      </c>
      <c r="S781" s="4">
        <v>210</v>
      </c>
      <c r="T781" s="19">
        <f>(ProductionData[[#This Row],[Rejected_Qty]])/ProductionData[[#This Row],[Produced_Qty]]</f>
        <v>2.4475524475524476E-2</v>
      </c>
      <c r="U781" s="19">
        <f>ProductionData[[#This Row],[Produced_Qty]]/ProductionData[[#This Row],[Planned_Qty]]</f>
        <v>0.97278911564625847</v>
      </c>
      <c r="V781" s="2" t="s">
        <v>89</v>
      </c>
      <c r="W781" s="11">
        <v>0</v>
      </c>
      <c r="X781" s="13">
        <f>W781/60</f>
        <v>0</v>
      </c>
      <c r="Y781" s="2" t="s">
        <v>90</v>
      </c>
      <c r="Z781" s="2">
        <v>17</v>
      </c>
      <c r="AA781" s="2">
        <f>ProductionData[[#This Row],[Rejected_Qty]]*ProductionData[[#This Row],[Unit_Cost_INR]]</f>
        <v>3570</v>
      </c>
      <c r="AB781" s="4">
        <v>30135</v>
      </c>
      <c r="AC781" s="4">
        <v>8530</v>
      </c>
      <c r="AD781" s="4">
        <v>8530</v>
      </c>
      <c r="AE781" s="4">
        <v>29975</v>
      </c>
      <c r="AF781" s="4">
        <v>13500</v>
      </c>
    </row>
    <row r="782" spans="1:32">
      <c r="A782" s="2" t="s">
        <v>1693</v>
      </c>
      <c r="B782" s="3">
        <v>46195</v>
      </c>
      <c r="C782" s="36" t="s">
        <v>1459</v>
      </c>
      <c r="D782" s="2">
        <f>MONTH(ProductionData[[#This Row],[Month]])</f>
        <v>6</v>
      </c>
      <c r="E782" s="2" t="s">
        <v>116</v>
      </c>
      <c r="F782" s="2" t="s">
        <v>93</v>
      </c>
      <c r="G782" s="2" t="s">
        <v>174</v>
      </c>
      <c r="H782" s="2" t="s">
        <v>175</v>
      </c>
      <c r="I782" s="2" t="s">
        <v>176</v>
      </c>
      <c r="J782" s="2" t="s">
        <v>443</v>
      </c>
      <c r="K782" s="2" t="s">
        <v>444</v>
      </c>
      <c r="L782" s="2" t="s">
        <v>1694</v>
      </c>
      <c r="M782" s="2" t="s">
        <v>133</v>
      </c>
      <c r="N782" s="2" t="s">
        <v>96</v>
      </c>
      <c r="O782" s="2">
        <v>10</v>
      </c>
      <c r="P782" s="2">
        <v>9</v>
      </c>
      <c r="Q782" s="4">
        <v>4970</v>
      </c>
      <c r="R782" s="4">
        <v>4800</v>
      </c>
      <c r="S782" s="4">
        <v>181</v>
      </c>
      <c r="T782" s="19">
        <f>(ProductionData[[#This Row],[Rejected_Qty]])/ProductionData[[#This Row],[Produced_Qty]]</f>
        <v>3.7708333333333337E-2</v>
      </c>
      <c r="U782" s="19">
        <f>ProductionData[[#This Row],[Produced_Qty]]/ProductionData[[#This Row],[Planned_Qty]]</f>
        <v>0.96579476861167002</v>
      </c>
      <c r="V782" s="2" t="s">
        <v>109</v>
      </c>
      <c r="W782" s="11">
        <v>0</v>
      </c>
      <c r="X782" s="13">
        <f>W782/60</f>
        <v>0</v>
      </c>
      <c r="Y782" s="2" t="s">
        <v>90</v>
      </c>
      <c r="Z782" s="2">
        <v>33</v>
      </c>
      <c r="AA782" s="2">
        <f>ProductionData[[#This Row],[Rejected_Qty]]*ProductionData[[#This Row],[Unit_Cost_INR]]</f>
        <v>5973</v>
      </c>
      <c r="AB782" s="4">
        <v>29272</v>
      </c>
      <c r="AC782" s="4">
        <v>3960</v>
      </c>
      <c r="AD782" s="4">
        <v>3960</v>
      </c>
      <c r="AE782" s="4">
        <v>29931</v>
      </c>
      <c r="AF782" s="4">
        <v>9750</v>
      </c>
    </row>
    <row r="783" spans="1:32">
      <c r="A783" s="2" t="s">
        <v>1695</v>
      </c>
      <c r="B783" s="3">
        <v>46190</v>
      </c>
      <c r="C783" s="36" t="s">
        <v>1459</v>
      </c>
      <c r="D783" s="2">
        <f>MONTH(ProductionData[[#This Row],[Month]])</f>
        <v>6</v>
      </c>
      <c r="E783" s="2" t="s">
        <v>79</v>
      </c>
      <c r="F783" s="2" t="s">
        <v>80</v>
      </c>
      <c r="G783" s="2" t="s">
        <v>195</v>
      </c>
      <c r="H783" s="2" t="s">
        <v>196</v>
      </c>
      <c r="I783" s="2" t="s">
        <v>197</v>
      </c>
      <c r="J783" s="2" t="s">
        <v>198</v>
      </c>
      <c r="K783" s="2" t="s">
        <v>199</v>
      </c>
      <c r="L783" s="2" t="s">
        <v>1696</v>
      </c>
      <c r="M783" s="2" t="s">
        <v>102</v>
      </c>
      <c r="N783" s="2" t="s">
        <v>96</v>
      </c>
      <c r="O783" s="2">
        <v>14</v>
      </c>
      <c r="P783" s="2">
        <v>14</v>
      </c>
      <c r="Q783" s="4">
        <v>9250</v>
      </c>
      <c r="R783" s="4">
        <v>9230</v>
      </c>
      <c r="S783" s="4">
        <v>365</v>
      </c>
      <c r="T783" s="19">
        <f>(ProductionData[[#This Row],[Rejected_Qty]])/ProductionData[[#This Row],[Produced_Qty]]</f>
        <v>3.954496208017335E-2</v>
      </c>
      <c r="U783" s="19">
        <f>ProductionData[[#This Row],[Produced_Qty]]/ProductionData[[#This Row],[Planned_Qty]]</f>
        <v>0.99783783783783786</v>
      </c>
      <c r="V783" s="2" t="s">
        <v>103</v>
      </c>
      <c r="W783" s="11">
        <v>0</v>
      </c>
      <c r="X783" s="13">
        <f>W783/60</f>
        <v>0</v>
      </c>
      <c r="Y783" s="2" t="s">
        <v>90</v>
      </c>
      <c r="Z783" s="2">
        <v>38</v>
      </c>
      <c r="AA783" s="2">
        <f>ProductionData[[#This Row],[Rejected_Qty]]*ProductionData[[#This Row],[Unit_Cost_INR]]</f>
        <v>13870</v>
      </c>
      <c r="AB783" s="4">
        <v>28539</v>
      </c>
      <c r="AC783" s="4">
        <v>7500</v>
      </c>
      <c r="AD783" s="4">
        <v>7500</v>
      </c>
      <c r="AE783" s="4">
        <v>29904</v>
      </c>
      <c r="AF783" s="4">
        <v>13500</v>
      </c>
    </row>
    <row r="784" spans="1:32">
      <c r="A784" s="2" t="s">
        <v>1697</v>
      </c>
      <c r="B784" s="3">
        <v>46200</v>
      </c>
      <c r="C784" s="36" t="s">
        <v>1459</v>
      </c>
      <c r="D784" s="2">
        <f>MONTH(ProductionData[[#This Row],[Month]])</f>
        <v>6</v>
      </c>
      <c r="E784" s="2" t="s">
        <v>65</v>
      </c>
      <c r="F784" s="2" t="s">
        <v>93</v>
      </c>
      <c r="G784" s="2" t="s">
        <v>174</v>
      </c>
      <c r="H784" s="2" t="s">
        <v>175</v>
      </c>
      <c r="I784" s="2" t="s">
        <v>176</v>
      </c>
      <c r="J784" s="2" t="s">
        <v>177</v>
      </c>
      <c r="K784" s="2" t="s">
        <v>178</v>
      </c>
      <c r="L784" s="2" t="s">
        <v>1698</v>
      </c>
      <c r="M784" s="2" t="s">
        <v>133</v>
      </c>
      <c r="N784" s="2" t="s">
        <v>88</v>
      </c>
      <c r="O784" s="2">
        <v>10</v>
      </c>
      <c r="P784" s="2">
        <v>7</v>
      </c>
      <c r="Q784" s="4">
        <v>7380</v>
      </c>
      <c r="R784" s="4">
        <v>6160</v>
      </c>
      <c r="S784" s="4">
        <v>105</v>
      </c>
      <c r="T784" s="19">
        <f>(ProductionData[[#This Row],[Rejected_Qty]])/ProductionData[[#This Row],[Produced_Qty]]</f>
        <v>1.7045454545454544E-2</v>
      </c>
      <c r="U784" s="19">
        <f>ProductionData[[#This Row],[Produced_Qty]]/ProductionData[[#This Row],[Planned_Qty]]</f>
        <v>0.83468834688346882</v>
      </c>
      <c r="V784" s="2" t="s">
        <v>109</v>
      </c>
      <c r="W784" s="11">
        <v>0</v>
      </c>
      <c r="X784" s="13">
        <f>W784/60</f>
        <v>0</v>
      </c>
      <c r="Y784" s="2" t="s">
        <v>90</v>
      </c>
      <c r="Z784" s="2">
        <v>24</v>
      </c>
      <c r="AA784" s="2">
        <f>ProductionData[[#This Row],[Rejected_Qty]]*ProductionData[[#This Row],[Unit_Cost_INR]]</f>
        <v>2520</v>
      </c>
      <c r="AB784" s="4">
        <v>30292</v>
      </c>
      <c r="AC784" s="4">
        <v>6450</v>
      </c>
      <c r="AD784" s="4">
        <v>6450</v>
      </c>
      <c r="AE784" s="4">
        <v>29897</v>
      </c>
      <c r="AF784" s="4">
        <v>12000</v>
      </c>
    </row>
    <row r="785" spans="1:32">
      <c r="A785" s="2" t="s">
        <v>1699</v>
      </c>
      <c r="B785" s="3">
        <v>46192</v>
      </c>
      <c r="C785" s="36" t="s">
        <v>1459</v>
      </c>
      <c r="D785" s="2">
        <f>MONTH(ProductionData[[#This Row],[Month]])</f>
        <v>6</v>
      </c>
      <c r="E785" s="2" t="s">
        <v>125</v>
      </c>
      <c r="F785" s="2" t="s">
        <v>80</v>
      </c>
      <c r="G785" s="2" t="s">
        <v>81</v>
      </c>
      <c r="H785" s="2" t="s">
        <v>82</v>
      </c>
      <c r="I785" s="2" t="s">
        <v>83</v>
      </c>
      <c r="J785" s="2" t="s">
        <v>166</v>
      </c>
      <c r="K785" s="2" t="s">
        <v>167</v>
      </c>
      <c r="L785" s="2" t="s">
        <v>1700</v>
      </c>
      <c r="M785" s="2" t="s">
        <v>102</v>
      </c>
      <c r="N785" s="2" t="s">
        <v>96</v>
      </c>
      <c r="O785" s="2">
        <v>18</v>
      </c>
      <c r="P785" s="2">
        <v>16</v>
      </c>
      <c r="Q785" s="4">
        <v>8470</v>
      </c>
      <c r="R785" s="4">
        <v>7910</v>
      </c>
      <c r="S785" s="4">
        <v>210</v>
      </c>
      <c r="T785" s="19">
        <f>(ProductionData[[#This Row],[Rejected_Qty]])/ProductionData[[#This Row],[Produced_Qty]]</f>
        <v>2.6548672566371681E-2</v>
      </c>
      <c r="U785" s="19">
        <f>ProductionData[[#This Row],[Produced_Qty]]/ProductionData[[#This Row],[Planned_Qty]]</f>
        <v>0.93388429752066116</v>
      </c>
      <c r="V785" s="2" t="s">
        <v>109</v>
      </c>
      <c r="W785" s="11">
        <v>0</v>
      </c>
      <c r="X785" s="13">
        <f>W785/60</f>
        <v>0</v>
      </c>
      <c r="Y785" s="2" t="s">
        <v>90</v>
      </c>
      <c r="Z785" s="2">
        <v>17</v>
      </c>
      <c r="AA785" s="2">
        <f>ProductionData[[#This Row],[Rejected_Qty]]*ProductionData[[#This Row],[Unit_Cost_INR]]</f>
        <v>3570</v>
      </c>
      <c r="AB785" s="4">
        <v>30252</v>
      </c>
      <c r="AC785" s="4">
        <v>8160</v>
      </c>
      <c r="AD785" s="4">
        <v>8160</v>
      </c>
      <c r="AE785" s="4">
        <v>29792</v>
      </c>
      <c r="AF785" s="4">
        <v>13500</v>
      </c>
    </row>
    <row r="786" spans="1:32">
      <c r="A786" s="2" t="s">
        <v>1701</v>
      </c>
      <c r="B786" s="3">
        <v>46176</v>
      </c>
      <c r="C786" s="36" t="s">
        <v>1459</v>
      </c>
      <c r="D786" s="2">
        <f>MONTH(ProductionData[[#This Row],[Month]])</f>
        <v>6</v>
      </c>
      <c r="E786" s="2" t="s">
        <v>79</v>
      </c>
      <c r="F786" s="2" t="s">
        <v>80</v>
      </c>
      <c r="G786" s="2" t="s">
        <v>81</v>
      </c>
      <c r="H786" s="2" t="s">
        <v>82</v>
      </c>
      <c r="I786" s="2" t="s">
        <v>83</v>
      </c>
      <c r="J786" s="2" t="s">
        <v>166</v>
      </c>
      <c r="K786" s="2" t="s">
        <v>167</v>
      </c>
      <c r="L786" s="2" t="s">
        <v>1702</v>
      </c>
      <c r="M786" s="2" t="s">
        <v>87</v>
      </c>
      <c r="N786" s="2" t="s">
        <v>96</v>
      </c>
      <c r="O786" s="2">
        <v>18</v>
      </c>
      <c r="P786" s="2">
        <v>17</v>
      </c>
      <c r="Q786" s="4">
        <v>9160</v>
      </c>
      <c r="R786" s="4">
        <v>8480</v>
      </c>
      <c r="S786" s="4">
        <v>355</v>
      </c>
      <c r="T786" s="19">
        <f>(ProductionData[[#This Row],[Rejected_Qty]])/ProductionData[[#This Row],[Produced_Qty]]</f>
        <v>4.1863207547169809E-2</v>
      </c>
      <c r="U786" s="19">
        <f>ProductionData[[#This Row],[Produced_Qty]]/ProductionData[[#This Row],[Planned_Qty]]</f>
        <v>0.92576419213973804</v>
      </c>
      <c r="V786" s="2" t="s">
        <v>75</v>
      </c>
      <c r="W786" s="11">
        <v>0</v>
      </c>
      <c r="X786" s="13">
        <f>W786/60</f>
        <v>0</v>
      </c>
      <c r="Y786" s="2" t="s">
        <v>90</v>
      </c>
      <c r="Z786" s="2">
        <v>17</v>
      </c>
      <c r="AA786" s="2">
        <f>ProductionData[[#This Row],[Rejected_Qty]]*ProductionData[[#This Row],[Unit_Cost_INR]]</f>
        <v>6035</v>
      </c>
      <c r="AB786" s="4">
        <v>29185</v>
      </c>
      <c r="AC786" s="4">
        <v>7530</v>
      </c>
      <c r="AD786" s="4">
        <v>7530</v>
      </c>
      <c r="AE786" s="4">
        <v>29780</v>
      </c>
      <c r="AF786" s="4">
        <v>13500</v>
      </c>
    </row>
    <row r="787" spans="1:32">
      <c r="A787" s="2" t="s">
        <v>1703</v>
      </c>
      <c r="B787" s="3">
        <v>46188</v>
      </c>
      <c r="C787" s="36" t="s">
        <v>1459</v>
      </c>
      <c r="D787" s="2">
        <f>MONTH(ProductionData[[#This Row],[Month]])</f>
        <v>6</v>
      </c>
      <c r="E787" s="2" t="s">
        <v>116</v>
      </c>
      <c r="F787" s="2" t="s">
        <v>93</v>
      </c>
      <c r="G787" s="2" t="s">
        <v>81</v>
      </c>
      <c r="H787" s="2" t="s">
        <v>82</v>
      </c>
      <c r="I787" s="2" t="s">
        <v>83</v>
      </c>
      <c r="J787" s="2" t="s">
        <v>166</v>
      </c>
      <c r="K787" s="2" t="s">
        <v>167</v>
      </c>
      <c r="L787" s="2" t="s">
        <v>1704</v>
      </c>
      <c r="M787" s="2" t="s">
        <v>133</v>
      </c>
      <c r="N787" s="2" t="s">
        <v>96</v>
      </c>
      <c r="O787" s="2">
        <v>18</v>
      </c>
      <c r="P787" s="2">
        <v>15</v>
      </c>
      <c r="Q787" s="4">
        <v>8480</v>
      </c>
      <c r="R787" s="4">
        <v>7650</v>
      </c>
      <c r="S787" s="4">
        <v>232</v>
      </c>
      <c r="T787" s="19">
        <f>(ProductionData[[#This Row],[Rejected_Qty]])/ProductionData[[#This Row],[Produced_Qty]]</f>
        <v>3.0326797385620916E-2</v>
      </c>
      <c r="U787" s="19">
        <f>ProductionData[[#This Row],[Produced_Qty]]/ProductionData[[#This Row],[Planned_Qty]]</f>
        <v>0.902122641509434</v>
      </c>
      <c r="V787" s="2" t="s">
        <v>109</v>
      </c>
      <c r="W787" s="11">
        <v>0</v>
      </c>
      <c r="X787" s="13">
        <f>W787/60</f>
        <v>0</v>
      </c>
      <c r="Y787" s="2" t="s">
        <v>90</v>
      </c>
      <c r="Z787" s="2">
        <v>17</v>
      </c>
      <c r="AA787" s="2">
        <f>ProductionData[[#This Row],[Rejected_Qty]]*ProductionData[[#This Row],[Unit_Cost_INR]]</f>
        <v>3944</v>
      </c>
      <c r="AB787" s="4">
        <v>30289</v>
      </c>
      <c r="AC787" s="4">
        <v>7950</v>
      </c>
      <c r="AD787" s="4">
        <v>7950</v>
      </c>
      <c r="AE787" s="4">
        <v>29757</v>
      </c>
      <c r="AF787" s="4">
        <v>13500</v>
      </c>
    </row>
    <row r="788" spans="1:32">
      <c r="A788" s="2" t="s">
        <v>1705</v>
      </c>
      <c r="B788" s="3">
        <v>46193</v>
      </c>
      <c r="C788" s="36" t="s">
        <v>1459</v>
      </c>
      <c r="D788" s="2">
        <f>MONTH(ProductionData[[#This Row],[Month]])</f>
        <v>6</v>
      </c>
      <c r="E788" s="2" t="s">
        <v>65</v>
      </c>
      <c r="F788" s="2" t="s">
        <v>66</v>
      </c>
      <c r="G788" s="2" t="s">
        <v>81</v>
      </c>
      <c r="H788" s="2" t="s">
        <v>82</v>
      </c>
      <c r="I788" s="2" t="s">
        <v>83</v>
      </c>
      <c r="J788" s="2" t="s">
        <v>166</v>
      </c>
      <c r="K788" s="2" t="s">
        <v>167</v>
      </c>
      <c r="L788" s="2" t="s">
        <v>1706</v>
      </c>
      <c r="M788" s="2" t="s">
        <v>99</v>
      </c>
      <c r="N788" s="2" t="s">
        <v>96</v>
      </c>
      <c r="O788" s="2">
        <v>18</v>
      </c>
      <c r="P788" s="2">
        <v>17</v>
      </c>
      <c r="Q788" s="4">
        <v>9400</v>
      </c>
      <c r="R788" s="4">
        <v>9010</v>
      </c>
      <c r="S788" s="4">
        <v>223</v>
      </c>
      <c r="T788" s="19">
        <f>(ProductionData[[#This Row],[Rejected_Qty]])/ProductionData[[#This Row],[Produced_Qty]]</f>
        <v>2.4750277469478357E-2</v>
      </c>
      <c r="U788" s="19">
        <f>ProductionData[[#This Row],[Produced_Qty]]/ProductionData[[#This Row],[Planned_Qty]]</f>
        <v>0.95851063829787231</v>
      </c>
      <c r="V788" s="2" t="s">
        <v>103</v>
      </c>
      <c r="W788" s="11">
        <v>0</v>
      </c>
      <c r="X788" s="13">
        <f>W788/60</f>
        <v>0</v>
      </c>
      <c r="Y788" s="2" t="s">
        <v>90</v>
      </c>
      <c r="Z788" s="2">
        <v>17</v>
      </c>
      <c r="AA788" s="2">
        <f>ProductionData[[#This Row],[Rejected_Qty]]*ProductionData[[#This Row],[Unit_Cost_INR]]</f>
        <v>3791</v>
      </c>
      <c r="AB788" s="4">
        <v>28716</v>
      </c>
      <c r="AC788" s="4">
        <v>7780</v>
      </c>
      <c r="AD788" s="4">
        <v>7780</v>
      </c>
      <c r="AE788" s="4">
        <v>29723</v>
      </c>
      <c r="AF788" s="4">
        <v>13500</v>
      </c>
    </row>
    <row r="789" spans="1:32">
      <c r="A789" s="2" t="s">
        <v>1707</v>
      </c>
      <c r="B789" s="3">
        <v>46202</v>
      </c>
      <c r="C789" s="36" t="s">
        <v>1459</v>
      </c>
      <c r="D789" s="2">
        <f>MONTH(ProductionData[[#This Row],[Month]])</f>
        <v>6</v>
      </c>
      <c r="E789" s="2" t="s">
        <v>116</v>
      </c>
      <c r="F789" s="2" t="s">
        <v>93</v>
      </c>
      <c r="G789" s="2" t="s">
        <v>81</v>
      </c>
      <c r="H789" s="2" t="s">
        <v>82</v>
      </c>
      <c r="I789" s="2" t="s">
        <v>83</v>
      </c>
      <c r="J789" s="2" t="s">
        <v>166</v>
      </c>
      <c r="K789" s="2" t="s">
        <v>167</v>
      </c>
      <c r="L789" s="2" t="s">
        <v>1708</v>
      </c>
      <c r="M789" s="2" t="s">
        <v>95</v>
      </c>
      <c r="N789" s="2" t="s">
        <v>88</v>
      </c>
      <c r="O789" s="2">
        <v>18</v>
      </c>
      <c r="P789" s="2">
        <v>16</v>
      </c>
      <c r="Q789" s="4">
        <v>8670</v>
      </c>
      <c r="R789" s="4">
        <v>8050</v>
      </c>
      <c r="S789" s="4">
        <v>228</v>
      </c>
      <c r="T789" s="19">
        <f>(ProductionData[[#This Row],[Rejected_Qty]])/ProductionData[[#This Row],[Produced_Qty]]</f>
        <v>2.8322981366459627E-2</v>
      </c>
      <c r="U789" s="19">
        <f>ProductionData[[#This Row],[Produced_Qty]]/ProductionData[[#This Row],[Planned_Qty]]</f>
        <v>0.92848904267589394</v>
      </c>
      <c r="V789" s="2" t="s">
        <v>113</v>
      </c>
      <c r="W789" s="11">
        <v>0</v>
      </c>
      <c r="X789" s="13">
        <f>W789/60</f>
        <v>0</v>
      </c>
      <c r="Y789" s="2" t="s">
        <v>90</v>
      </c>
      <c r="Z789" s="2">
        <v>17</v>
      </c>
      <c r="AA789" s="2">
        <f>ProductionData[[#This Row],[Rejected_Qty]]*ProductionData[[#This Row],[Unit_Cost_INR]]</f>
        <v>3876</v>
      </c>
      <c r="AB789" s="4">
        <v>29975</v>
      </c>
      <c r="AC789" s="4">
        <v>8150</v>
      </c>
      <c r="AD789" s="4">
        <v>8150</v>
      </c>
      <c r="AE789" s="4">
        <v>29647</v>
      </c>
      <c r="AF789" s="4">
        <v>13500</v>
      </c>
    </row>
    <row r="790" spans="1:32">
      <c r="A790" s="2" t="s">
        <v>1709</v>
      </c>
      <c r="B790" s="3">
        <v>46176</v>
      </c>
      <c r="C790" s="36" t="s">
        <v>1459</v>
      </c>
      <c r="D790" s="2">
        <f>MONTH(ProductionData[[#This Row],[Month]])</f>
        <v>6</v>
      </c>
      <c r="E790" s="2" t="s">
        <v>79</v>
      </c>
      <c r="F790" s="2" t="s">
        <v>66</v>
      </c>
      <c r="G790" s="2" t="s">
        <v>174</v>
      </c>
      <c r="H790" s="2" t="s">
        <v>175</v>
      </c>
      <c r="I790" s="2" t="s">
        <v>176</v>
      </c>
      <c r="J790" s="2" t="s">
        <v>177</v>
      </c>
      <c r="K790" s="2" t="s">
        <v>178</v>
      </c>
      <c r="L790" s="2" t="s">
        <v>1710</v>
      </c>
      <c r="M790" s="2" t="s">
        <v>73</v>
      </c>
      <c r="N790" s="2" t="s">
        <v>96</v>
      </c>
      <c r="O790" s="2">
        <v>10</v>
      </c>
      <c r="P790" s="2">
        <v>9</v>
      </c>
      <c r="Q790" s="4">
        <v>8430</v>
      </c>
      <c r="R790" s="4">
        <v>7790</v>
      </c>
      <c r="S790" s="4">
        <v>247</v>
      </c>
      <c r="T790" s="19">
        <f>(ProductionData[[#This Row],[Rejected_Qty]])/ProductionData[[#This Row],[Produced_Qty]]</f>
        <v>3.1707317073170732E-2</v>
      </c>
      <c r="U790" s="19">
        <f>ProductionData[[#This Row],[Produced_Qty]]/ProductionData[[#This Row],[Planned_Qty]]</f>
        <v>0.92408066429418745</v>
      </c>
      <c r="V790" s="2" t="s">
        <v>109</v>
      </c>
      <c r="W790" s="11">
        <v>0</v>
      </c>
      <c r="X790" s="13">
        <f>W790/60</f>
        <v>0</v>
      </c>
      <c r="Y790" s="2" t="s">
        <v>90</v>
      </c>
      <c r="Z790" s="2">
        <v>24</v>
      </c>
      <c r="AA790" s="2">
        <f>ProductionData[[#This Row],[Rejected_Qty]]*ProductionData[[#This Row],[Unit_Cost_INR]]</f>
        <v>5928</v>
      </c>
      <c r="AB790" s="4">
        <v>30276</v>
      </c>
      <c r="AC790" s="4">
        <v>8280</v>
      </c>
      <c r="AD790" s="4">
        <v>8280</v>
      </c>
      <c r="AE790" s="4">
        <v>29539</v>
      </c>
      <c r="AF790" s="4">
        <v>12000</v>
      </c>
    </row>
    <row r="791" spans="1:32">
      <c r="A791" s="2" t="s">
        <v>1711</v>
      </c>
      <c r="B791" s="3">
        <v>46185</v>
      </c>
      <c r="C791" s="36" t="s">
        <v>1459</v>
      </c>
      <c r="D791" s="2">
        <f>MONTH(ProductionData[[#This Row],[Month]])</f>
        <v>6</v>
      </c>
      <c r="E791" s="2" t="s">
        <v>125</v>
      </c>
      <c r="F791" s="2" t="s">
        <v>66</v>
      </c>
      <c r="G791" s="2" t="s">
        <v>67</v>
      </c>
      <c r="H791" s="2" t="s">
        <v>68</v>
      </c>
      <c r="I791" s="2" t="s">
        <v>69</v>
      </c>
      <c r="J791" s="2" t="s">
        <v>70</v>
      </c>
      <c r="K791" s="2" t="s">
        <v>71</v>
      </c>
      <c r="L791" s="2" t="s">
        <v>1712</v>
      </c>
      <c r="M791" s="2" t="s">
        <v>73</v>
      </c>
      <c r="N791" s="2" t="s">
        <v>96</v>
      </c>
      <c r="O791" s="2">
        <v>16</v>
      </c>
      <c r="P791" s="2">
        <v>16</v>
      </c>
      <c r="Q791" s="4">
        <v>7020</v>
      </c>
      <c r="R791" s="4">
        <v>6880</v>
      </c>
      <c r="S791" s="4">
        <v>229</v>
      </c>
      <c r="T791" s="19">
        <f>(ProductionData[[#This Row],[Rejected_Qty]])/ProductionData[[#This Row],[Produced_Qty]]</f>
        <v>3.3284883720930233E-2</v>
      </c>
      <c r="U791" s="19">
        <f>ProductionData[[#This Row],[Produced_Qty]]/ProductionData[[#This Row],[Planned_Qty]]</f>
        <v>0.98005698005698005</v>
      </c>
      <c r="V791" s="2" t="s">
        <v>103</v>
      </c>
      <c r="W791" s="11">
        <v>0</v>
      </c>
      <c r="X791" s="13">
        <f>W791/60</f>
        <v>0</v>
      </c>
      <c r="Y791" s="2" t="s">
        <v>90</v>
      </c>
      <c r="Z791" s="2">
        <v>46</v>
      </c>
      <c r="AA791" s="2">
        <f>ProductionData[[#This Row],[Rejected_Qty]]*ProductionData[[#This Row],[Unit_Cost_INR]]</f>
        <v>10534</v>
      </c>
      <c r="AB791" s="4">
        <v>29177</v>
      </c>
      <c r="AC791" s="4">
        <v>6300</v>
      </c>
      <c r="AD791" s="4">
        <v>6300</v>
      </c>
      <c r="AE791" s="4">
        <v>29528</v>
      </c>
      <c r="AF791" s="4">
        <v>10500</v>
      </c>
    </row>
    <row r="792" spans="1:32">
      <c r="A792" s="2" t="s">
        <v>1713</v>
      </c>
      <c r="B792" s="3">
        <v>46203</v>
      </c>
      <c r="C792" s="36" t="s">
        <v>1459</v>
      </c>
      <c r="D792" s="2">
        <f>MONTH(ProductionData[[#This Row],[Month]])</f>
        <v>6</v>
      </c>
      <c r="E792" s="2" t="s">
        <v>92</v>
      </c>
      <c r="F792" s="2" t="s">
        <v>93</v>
      </c>
      <c r="G792" s="2" t="s">
        <v>174</v>
      </c>
      <c r="H792" s="2" t="s">
        <v>175</v>
      </c>
      <c r="I792" s="2" t="s">
        <v>176</v>
      </c>
      <c r="J792" s="2" t="s">
        <v>177</v>
      </c>
      <c r="K792" s="2" t="s">
        <v>178</v>
      </c>
      <c r="L792" s="2" t="s">
        <v>1714</v>
      </c>
      <c r="M792" s="2" t="s">
        <v>133</v>
      </c>
      <c r="N792" s="2" t="s">
        <v>88</v>
      </c>
      <c r="O792" s="2">
        <v>10</v>
      </c>
      <c r="P792" s="2">
        <v>10</v>
      </c>
      <c r="Q792" s="4">
        <v>7820</v>
      </c>
      <c r="R792" s="4">
        <v>7740</v>
      </c>
      <c r="S792" s="4">
        <v>225</v>
      </c>
      <c r="T792" s="19">
        <f>(ProductionData[[#This Row],[Rejected_Qty]])/ProductionData[[#This Row],[Produced_Qty]]</f>
        <v>2.9069767441860465E-2</v>
      </c>
      <c r="U792" s="19">
        <f>ProductionData[[#This Row],[Produced_Qty]]/ProductionData[[#This Row],[Planned_Qty]]</f>
        <v>0.98976982097186705</v>
      </c>
      <c r="V792" s="2" t="s">
        <v>109</v>
      </c>
      <c r="W792" s="11">
        <v>46</v>
      </c>
      <c r="X792" s="13">
        <f>W792/60</f>
        <v>0.76666666666666672</v>
      </c>
      <c r="Y792" s="2" t="s">
        <v>110</v>
      </c>
      <c r="Z792" s="2">
        <v>24</v>
      </c>
      <c r="AA792" s="2">
        <f>ProductionData[[#This Row],[Rejected_Qty]]*ProductionData[[#This Row],[Unit_Cost_INR]]</f>
        <v>5400</v>
      </c>
      <c r="AB792" s="4">
        <v>29897</v>
      </c>
      <c r="AC792" s="4">
        <v>7910</v>
      </c>
      <c r="AD792" s="4">
        <v>7910</v>
      </c>
      <c r="AE792" s="4">
        <v>29502</v>
      </c>
      <c r="AF792" s="4">
        <v>12000</v>
      </c>
    </row>
    <row r="793" spans="1:32">
      <c r="A793" s="2" t="s">
        <v>1715</v>
      </c>
      <c r="B793" s="3">
        <v>46195</v>
      </c>
      <c r="C793" s="36" t="s">
        <v>1459</v>
      </c>
      <c r="D793" s="2">
        <f>MONTH(ProductionData[[#This Row],[Month]])</f>
        <v>6</v>
      </c>
      <c r="E793" s="2" t="s">
        <v>116</v>
      </c>
      <c r="F793" s="2" t="s">
        <v>93</v>
      </c>
      <c r="G793" s="2" t="s">
        <v>81</v>
      </c>
      <c r="H793" s="2" t="s">
        <v>82</v>
      </c>
      <c r="I793" s="2" t="s">
        <v>83</v>
      </c>
      <c r="J793" s="2" t="s">
        <v>166</v>
      </c>
      <c r="K793" s="2" t="s">
        <v>167</v>
      </c>
      <c r="L793" s="2" t="s">
        <v>1716</v>
      </c>
      <c r="M793" s="2" t="s">
        <v>133</v>
      </c>
      <c r="N793" s="2" t="s">
        <v>88</v>
      </c>
      <c r="O793" s="2">
        <v>18</v>
      </c>
      <c r="P793" s="2">
        <v>15</v>
      </c>
      <c r="Q793" s="4">
        <v>9230</v>
      </c>
      <c r="R793" s="4">
        <v>8310</v>
      </c>
      <c r="S793" s="4">
        <v>304</v>
      </c>
      <c r="T793" s="19">
        <f>(ProductionData[[#This Row],[Rejected_Qty]])/ProductionData[[#This Row],[Produced_Qty]]</f>
        <v>3.6582430806257518E-2</v>
      </c>
      <c r="U793" s="19">
        <f>ProductionData[[#This Row],[Produced_Qty]]/ProductionData[[#This Row],[Planned_Qty]]</f>
        <v>0.90032502708559048</v>
      </c>
      <c r="V793" s="2" t="s">
        <v>103</v>
      </c>
      <c r="W793" s="11">
        <v>0</v>
      </c>
      <c r="X793" s="13">
        <f>W793/60</f>
        <v>0</v>
      </c>
      <c r="Y793" s="2" t="s">
        <v>90</v>
      </c>
      <c r="Z793" s="2">
        <v>17</v>
      </c>
      <c r="AA793" s="2">
        <f>ProductionData[[#This Row],[Rejected_Qty]]*ProductionData[[#This Row],[Unit_Cost_INR]]</f>
        <v>5168</v>
      </c>
      <c r="AB793" s="4">
        <v>30411</v>
      </c>
      <c r="AC793" s="4">
        <v>9020</v>
      </c>
      <c r="AD793" s="4">
        <v>9020</v>
      </c>
      <c r="AE793" s="4">
        <v>29397</v>
      </c>
      <c r="AF793" s="4">
        <v>13500</v>
      </c>
    </row>
    <row r="794" spans="1:32">
      <c r="A794" s="2" t="s">
        <v>1717</v>
      </c>
      <c r="B794" s="3">
        <v>46194</v>
      </c>
      <c r="C794" s="36" t="s">
        <v>1459</v>
      </c>
      <c r="D794" s="2">
        <f>MONTH(ProductionData[[#This Row],[Month]])</f>
        <v>6</v>
      </c>
      <c r="E794" s="2" t="s">
        <v>186</v>
      </c>
      <c r="F794" s="2" t="s">
        <v>80</v>
      </c>
      <c r="G794" s="2" t="s">
        <v>81</v>
      </c>
      <c r="H794" s="2" t="s">
        <v>82</v>
      </c>
      <c r="I794" s="2" t="s">
        <v>83</v>
      </c>
      <c r="J794" s="2" t="s">
        <v>166</v>
      </c>
      <c r="K794" s="2" t="s">
        <v>167</v>
      </c>
      <c r="L794" s="2" t="s">
        <v>1718</v>
      </c>
      <c r="M794" s="2" t="s">
        <v>102</v>
      </c>
      <c r="N794" s="2" t="s">
        <v>96</v>
      </c>
      <c r="O794" s="2">
        <v>18</v>
      </c>
      <c r="P794" s="2">
        <v>16</v>
      </c>
      <c r="Q794" s="4">
        <v>6060</v>
      </c>
      <c r="R794" s="4">
        <v>5570</v>
      </c>
      <c r="S794" s="4">
        <v>208</v>
      </c>
      <c r="T794" s="19">
        <f>(ProductionData[[#This Row],[Rejected_Qty]])/ProductionData[[#This Row],[Produced_Qty]]</f>
        <v>3.734290843806104E-2</v>
      </c>
      <c r="U794" s="19">
        <f>ProductionData[[#This Row],[Produced_Qty]]/ProductionData[[#This Row],[Planned_Qty]]</f>
        <v>0.91914191419141911</v>
      </c>
      <c r="V794" s="2" t="s">
        <v>103</v>
      </c>
      <c r="W794" s="11">
        <v>38</v>
      </c>
      <c r="X794" s="13">
        <f>W794/60</f>
        <v>0.6333333333333333</v>
      </c>
      <c r="Y794" s="2" t="s">
        <v>110</v>
      </c>
      <c r="Z794" s="2">
        <v>17</v>
      </c>
      <c r="AA794" s="2">
        <f>ProductionData[[#This Row],[Rejected_Qty]]*ProductionData[[#This Row],[Unit_Cost_INR]]</f>
        <v>3536</v>
      </c>
      <c r="AB794" s="4">
        <v>30009</v>
      </c>
      <c r="AC794" s="4">
        <v>6040</v>
      </c>
      <c r="AD794" s="4">
        <v>6040</v>
      </c>
      <c r="AE794" s="4">
        <v>29331</v>
      </c>
      <c r="AF794" s="4">
        <v>13500</v>
      </c>
    </row>
    <row r="795" spans="1:32">
      <c r="A795" s="2" t="s">
        <v>1719</v>
      </c>
      <c r="B795" s="3">
        <v>46195</v>
      </c>
      <c r="C795" s="36" t="s">
        <v>1459</v>
      </c>
      <c r="D795" s="2">
        <f>MONTH(ProductionData[[#This Row],[Month]])</f>
        <v>6</v>
      </c>
      <c r="E795" s="2" t="s">
        <v>116</v>
      </c>
      <c r="F795" s="2" t="s">
        <v>80</v>
      </c>
      <c r="G795" s="2" t="s">
        <v>174</v>
      </c>
      <c r="H795" s="2" t="s">
        <v>175</v>
      </c>
      <c r="I795" s="2" t="s">
        <v>176</v>
      </c>
      <c r="J795" s="2" t="s">
        <v>443</v>
      </c>
      <c r="K795" s="2" t="s">
        <v>444</v>
      </c>
      <c r="L795" s="2" t="s">
        <v>1720</v>
      </c>
      <c r="M795" s="2" t="s">
        <v>102</v>
      </c>
      <c r="N795" s="2" t="s">
        <v>88</v>
      </c>
      <c r="O795" s="2">
        <v>10</v>
      </c>
      <c r="P795" s="2">
        <v>9</v>
      </c>
      <c r="Q795" s="4">
        <v>6180</v>
      </c>
      <c r="R795" s="4">
        <v>6110</v>
      </c>
      <c r="S795" s="4">
        <v>91</v>
      </c>
      <c r="T795" s="19">
        <f>(ProductionData[[#This Row],[Rejected_Qty]])/ProductionData[[#This Row],[Produced_Qty]]</f>
        <v>1.4893617021276596E-2</v>
      </c>
      <c r="U795" s="19">
        <f>ProductionData[[#This Row],[Produced_Qty]]/ProductionData[[#This Row],[Planned_Qty]]</f>
        <v>0.98867313915857602</v>
      </c>
      <c r="V795" s="2" t="s">
        <v>109</v>
      </c>
      <c r="W795" s="11">
        <v>0</v>
      </c>
      <c r="X795" s="13">
        <f>W795/60</f>
        <v>0</v>
      </c>
      <c r="Y795" s="2" t="s">
        <v>90</v>
      </c>
      <c r="Z795" s="2">
        <v>33</v>
      </c>
      <c r="AA795" s="2">
        <f>ProductionData[[#This Row],[Rejected_Qty]]*ProductionData[[#This Row],[Unit_Cost_INR]]</f>
        <v>3003</v>
      </c>
      <c r="AB795" s="4">
        <v>28613</v>
      </c>
      <c r="AC795" s="4">
        <v>5360</v>
      </c>
      <c r="AD795" s="4">
        <v>5360</v>
      </c>
      <c r="AE795" s="4">
        <v>29272</v>
      </c>
      <c r="AF795" s="4">
        <v>9750</v>
      </c>
    </row>
    <row r="796" spans="1:32">
      <c r="A796" s="2" t="s">
        <v>1721</v>
      </c>
      <c r="B796" s="3">
        <v>46175</v>
      </c>
      <c r="C796" s="36" t="s">
        <v>1459</v>
      </c>
      <c r="D796" s="2">
        <f>MONTH(ProductionData[[#This Row],[Month]])</f>
        <v>6</v>
      </c>
      <c r="E796" s="2" t="s">
        <v>92</v>
      </c>
      <c r="F796" s="2" t="s">
        <v>93</v>
      </c>
      <c r="G796" s="2" t="s">
        <v>81</v>
      </c>
      <c r="H796" s="2" t="s">
        <v>82</v>
      </c>
      <c r="I796" s="2" t="s">
        <v>83</v>
      </c>
      <c r="J796" s="2" t="s">
        <v>166</v>
      </c>
      <c r="K796" s="2" t="s">
        <v>167</v>
      </c>
      <c r="L796" s="2" t="s">
        <v>1722</v>
      </c>
      <c r="M796" s="2" t="s">
        <v>133</v>
      </c>
      <c r="N796" s="2" t="s">
        <v>88</v>
      </c>
      <c r="O796" s="2">
        <v>18</v>
      </c>
      <c r="P796" s="2">
        <v>16</v>
      </c>
      <c r="Q796" s="4">
        <v>7900</v>
      </c>
      <c r="R796" s="4">
        <v>7360</v>
      </c>
      <c r="S796" s="4">
        <v>215</v>
      </c>
      <c r="T796" s="19">
        <f>(ProductionData[[#This Row],[Rejected_Qty]])/ProductionData[[#This Row],[Produced_Qty]]</f>
        <v>2.9211956521739132E-2</v>
      </c>
      <c r="U796" s="19">
        <f>ProductionData[[#This Row],[Produced_Qty]]/ProductionData[[#This Row],[Planned_Qty]]</f>
        <v>0.93164556962025313</v>
      </c>
      <c r="V796" s="2" t="s">
        <v>103</v>
      </c>
      <c r="W796" s="11">
        <v>0</v>
      </c>
      <c r="X796" s="13">
        <f>W796/60</f>
        <v>0</v>
      </c>
      <c r="Y796" s="2" t="s">
        <v>90</v>
      </c>
      <c r="Z796" s="2">
        <v>17</v>
      </c>
      <c r="AA796" s="2">
        <f>ProductionData[[#This Row],[Rejected_Qty]]*ProductionData[[#This Row],[Unit_Cost_INR]]</f>
        <v>3655</v>
      </c>
      <c r="AB796" s="4">
        <v>29690</v>
      </c>
      <c r="AC796" s="4">
        <v>7650</v>
      </c>
      <c r="AD796" s="4">
        <v>7650</v>
      </c>
      <c r="AE796" s="4">
        <v>29185</v>
      </c>
      <c r="AF796" s="4">
        <v>13500</v>
      </c>
    </row>
    <row r="797" spans="1:32">
      <c r="A797" s="2" t="s">
        <v>1723</v>
      </c>
      <c r="B797" s="3">
        <v>46184</v>
      </c>
      <c r="C797" s="36" t="s">
        <v>1459</v>
      </c>
      <c r="D797" s="2">
        <f>MONTH(ProductionData[[#This Row],[Month]])</f>
        <v>6</v>
      </c>
      <c r="E797" s="2" t="s">
        <v>107</v>
      </c>
      <c r="F797" s="2" t="s">
        <v>80</v>
      </c>
      <c r="G797" s="2" t="s">
        <v>67</v>
      </c>
      <c r="H797" s="2" t="s">
        <v>68</v>
      </c>
      <c r="I797" s="2" t="s">
        <v>69</v>
      </c>
      <c r="J797" s="2" t="s">
        <v>70</v>
      </c>
      <c r="K797" s="2" t="s">
        <v>71</v>
      </c>
      <c r="L797" s="2" t="s">
        <v>1724</v>
      </c>
      <c r="M797" s="2" t="s">
        <v>102</v>
      </c>
      <c r="N797" s="2" t="s">
        <v>96</v>
      </c>
      <c r="O797" s="2">
        <v>16</v>
      </c>
      <c r="P797" s="2">
        <v>14</v>
      </c>
      <c r="Q797" s="4">
        <v>7200</v>
      </c>
      <c r="R797" s="4">
        <v>6670</v>
      </c>
      <c r="S797" s="4">
        <v>88</v>
      </c>
      <c r="T797" s="19">
        <f>(ProductionData[[#This Row],[Rejected_Qty]])/ProductionData[[#This Row],[Produced_Qty]]</f>
        <v>1.3193403298350824E-2</v>
      </c>
      <c r="U797" s="19">
        <f>ProductionData[[#This Row],[Produced_Qty]]/ProductionData[[#This Row],[Planned_Qty]]</f>
        <v>0.92638888888888893</v>
      </c>
      <c r="V797" s="2" t="s">
        <v>75</v>
      </c>
      <c r="W797" s="11">
        <v>0</v>
      </c>
      <c r="X797" s="13">
        <f>W797/60</f>
        <v>0</v>
      </c>
      <c r="Y797" s="2" t="s">
        <v>90</v>
      </c>
      <c r="Z797" s="2">
        <v>46</v>
      </c>
      <c r="AA797" s="2">
        <f>ProductionData[[#This Row],[Rejected_Qty]]*ProductionData[[#This Row],[Unit_Cost_INR]]</f>
        <v>4048</v>
      </c>
      <c r="AB797" s="4">
        <v>28535</v>
      </c>
      <c r="AC797" s="4">
        <v>5940</v>
      </c>
      <c r="AD797" s="4">
        <v>5940</v>
      </c>
      <c r="AE797" s="4">
        <v>29177</v>
      </c>
      <c r="AF797" s="4">
        <v>10500</v>
      </c>
    </row>
    <row r="798" spans="1:32">
      <c r="A798" s="2" t="s">
        <v>1725</v>
      </c>
      <c r="B798" s="3">
        <v>46175</v>
      </c>
      <c r="C798" s="36" t="s">
        <v>1459</v>
      </c>
      <c r="D798" s="2">
        <f>MONTH(ProductionData[[#This Row],[Month]])</f>
        <v>6</v>
      </c>
      <c r="E798" s="2" t="s">
        <v>92</v>
      </c>
      <c r="F798" s="2" t="s">
        <v>80</v>
      </c>
      <c r="G798" s="2" t="s">
        <v>174</v>
      </c>
      <c r="H798" s="2" t="s">
        <v>175</v>
      </c>
      <c r="I798" s="2" t="s">
        <v>176</v>
      </c>
      <c r="J798" s="2" t="s">
        <v>177</v>
      </c>
      <c r="K798" s="2" t="s">
        <v>178</v>
      </c>
      <c r="L798" s="2" t="s">
        <v>1726</v>
      </c>
      <c r="M798" s="2" t="s">
        <v>87</v>
      </c>
      <c r="N798" s="2" t="s">
        <v>96</v>
      </c>
      <c r="O798" s="2">
        <v>10</v>
      </c>
      <c r="P798" s="2">
        <v>8</v>
      </c>
      <c r="Q798" s="4">
        <v>7800</v>
      </c>
      <c r="R798" s="4">
        <v>7100</v>
      </c>
      <c r="S798" s="4">
        <v>214</v>
      </c>
      <c r="T798" s="19">
        <f>(ProductionData[[#This Row],[Rejected_Qty]])/ProductionData[[#This Row],[Produced_Qty]]</f>
        <v>3.0140845070422535E-2</v>
      </c>
      <c r="U798" s="19">
        <f>ProductionData[[#This Row],[Produced_Qty]]/ProductionData[[#This Row],[Planned_Qty]]</f>
        <v>0.91025641025641024</v>
      </c>
      <c r="V798" s="2" t="s">
        <v>89</v>
      </c>
      <c r="W798" s="11">
        <v>0</v>
      </c>
      <c r="X798" s="13">
        <f>W798/60</f>
        <v>0</v>
      </c>
      <c r="Y798" s="2" t="s">
        <v>90</v>
      </c>
      <c r="Z798" s="2">
        <v>24</v>
      </c>
      <c r="AA798" s="2">
        <f>ProductionData[[#This Row],[Rejected_Qty]]*ProductionData[[#This Row],[Unit_Cost_INR]]</f>
        <v>5136</v>
      </c>
      <c r="AB798" s="4">
        <v>28848</v>
      </c>
      <c r="AC798" s="4">
        <v>6790</v>
      </c>
      <c r="AD798" s="4">
        <v>6790</v>
      </c>
      <c r="AE798" s="4">
        <v>28944</v>
      </c>
      <c r="AF798" s="4">
        <v>12000</v>
      </c>
    </row>
    <row r="799" spans="1:32">
      <c r="A799" s="2" t="s">
        <v>1727</v>
      </c>
      <c r="B799" s="3">
        <v>46175</v>
      </c>
      <c r="C799" s="36" t="s">
        <v>1459</v>
      </c>
      <c r="D799" s="2">
        <f>MONTH(ProductionData[[#This Row],[Month]])</f>
        <v>6</v>
      </c>
      <c r="E799" s="2" t="s">
        <v>92</v>
      </c>
      <c r="F799" s="2" t="s">
        <v>66</v>
      </c>
      <c r="G799" s="2" t="s">
        <v>174</v>
      </c>
      <c r="H799" s="2" t="s">
        <v>175</v>
      </c>
      <c r="I799" s="2" t="s">
        <v>176</v>
      </c>
      <c r="J799" s="2" t="s">
        <v>177</v>
      </c>
      <c r="K799" s="2" t="s">
        <v>178</v>
      </c>
      <c r="L799" s="2" t="s">
        <v>1728</v>
      </c>
      <c r="M799" s="2" t="s">
        <v>99</v>
      </c>
      <c r="N799" s="2" t="s">
        <v>88</v>
      </c>
      <c r="O799" s="2">
        <v>10</v>
      </c>
      <c r="P799" s="2">
        <v>10</v>
      </c>
      <c r="Q799" s="4">
        <v>8550</v>
      </c>
      <c r="R799" s="4">
        <v>8430</v>
      </c>
      <c r="S799" s="4">
        <v>150</v>
      </c>
      <c r="T799" s="19">
        <f>(ProductionData[[#This Row],[Rejected_Qty]])/ProductionData[[#This Row],[Produced_Qty]]</f>
        <v>1.7793594306049824E-2</v>
      </c>
      <c r="U799" s="19">
        <f>ProductionData[[#This Row],[Produced_Qty]]/ProductionData[[#This Row],[Planned_Qty]]</f>
        <v>0.98596491228070171</v>
      </c>
      <c r="V799" s="2" t="s">
        <v>89</v>
      </c>
      <c r="W799" s="11">
        <v>10</v>
      </c>
      <c r="X799" s="13">
        <f>W799/60</f>
        <v>0.16666666666666666</v>
      </c>
      <c r="Y799" s="2" t="s">
        <v>110</v>
      </c>
      <c r="Z799" s="2">
        <v>24</v>
      </c>
      <c r="AA799" s="2">
        <f>ProductionData[[#This Row],[Rejected_Qty]]*ProductionData[[#This Row],[Unit_Cost_INR]]</f>
        <v>3600</v>
      </c>
      <c r="AB799" s="4">
        <v>28308</v>
      </c>
      <c r="AC799" s="4">
        <v>7740</v>
      </c>
      <c r="AD799" s="4">
        <v>7740</v>
      </c>
      <c r="AE799" s="4">
        <v>28848</v>
      </c>
      <c r="AF799" s="4">
        <v>12000</v>
      </c>
    </row>
    <row r="800" spans="1:32">
      <c r="A800" s="2" t="s">
        <v>1729</v>
      </c>
      <c r="B800" s="3">
        <v>46192</v>
      </c>
      <c r="C800" s="36" t="s">
        <v>1459</v>
      </c>
      <c r="D800" s="2">
        <f>MONTH(ProductionData[[#This Row],[Month]])</f>
        <v>6</v>
      </c>
      <c r="E800" s="2" t="s">
        <v>125</v>
      </c>
      <c r="F800" s="2" t="s">
        <v>93</v>
      </c>
      <c r="G800" s="2" t="s">
        <v>81</v>
      </c>
      <c r="H800" s="2" t="s">
        <v>82</v>
      </c>
      <c r="I800" s="2" t="s">
        <v>83</v>
      </c>
      <c r="J800" s="2" t="s">
        <v>166</v>
      </c>
      <c r="K800" s="2" t="s">
        <v>167</v>
      </c>
      <c r="L800" s="2" t="s">
        <v>1730</v>
      </c>
      <c r="M800" s="2" t="s">
        <v>95</v>
      </c>
      <c r="N800" s="2" t="s">
        <v>96</v>
      </c>
      <c r="O800" s="2">
        <v>18</v>
      </c>
      <c r="P800" s="2">
        <v>15</v>
      </c>
      <c r="Q800" s="4">
        <v>8150</v>
      </c>
      <c r="R800" s="4">
        <v>7060</v>
      </c>
      <c r="S800" s="4">
        <v>176</v>
      </c>
      <c r="T800" s="19">
        <f>(ProductionData[[#This Row],[Rejected_Qty]])/ProductionData[[#This Row],[Produced_Qty]]</f>
        <v>2.4929178470254956E-2</v>
      </c>
      <c r="U800" s="19">
        <f>ProductionData[[#This Row],[Produced_Qty]]/ProductionData[[#This Row],[Planned_Qty]]</f>
        <v>0.86625766871165644</v>
      </c>
      <c r="V800" s="2" t="s">
        <v>109</v>
      </c>
      <c r="W800" s="11">
        <v>0</v>
      </c>
      <c r="X800" s="13">
        <f>W800/60</f>
        <v>0</v>
      </c>
      <c r="Y800" s="2" t="s">
        <v>90</v>
      </c>
      <c r="Z800" s="2">
        <v>17</v>
      </c>
      <c r="AA800" s="2">
        <f>ProductionData[[#This Row],[Rejected_Qty]]*ProductionData[[#This Row],[Unit_Cost_INR]]</f>
        <v>2992</v>
      </c>
      <c r="AB800" s="4">
        <v>29792</v>
      </c>
      <c r="AC800" s="4">
        <v>7960</v>
      </c>
      <c r="AD800" s="4">
        <v>7960</v>
      </c>
      <c r="AE800" s="4">
        <v>28716</v>
      </c>
      <c r="AF800" s="4">
        <v>13500</v>
      </c>
    </row>
    <row r="801" spans="1:32">
      <c r="A801" s="2" t="s">
        <v>1731</v>
      </c>
      <c r="B801" s="3">
        <v>46176</v>
      </c>
      <c r="C801" s="36" t="s">
        <v>1459</v>
      </c>
      <c r="D801" s="2">
        <f>MONTH(ProductionData[[#This Row],[Month]])</f>
        <v>6</v>
      </c>
      <c r="E801" s="2" t="s">
        <v>79</v>
      </c>
      <c r="F801" s="2" t="s">
        <v>66</v>
      </c>
      <c r="G801" s="2" t="s">
        <v>67</v>
      </c>
      <c r="H801" s="2" t="s">
        <v>68</v>
      </c>
      <c r="I801" s="2" t="s">
        <v>69</v>
      </c>
      <c r="J801" s="2" t="s">
        <v>70</v>
      </c>
      <c r="K801" s="2" t="s">
        <v>71</v>
      </c>
      <c r="L801" s="2" t="s">
        <v>1732</v>
      </c>
      <c r="M801" s="2" t="s">
        <v>99</v>
      </c>
      <c r="N801" s="2" t="s">
        <v>96</v>
      </c>
      <c r="O801" s="2">
        <v>16</v>
      </c>
      <c r="P801" s="2">
        <v>16</v>
      </c>
      <c r="Q801" s="4">
        <v>7440</v>
      </c>
      <c r="R801" s="4">
        <v>7420</v>
      </c>
      <c r="S801" s="4">
        <v>134</v>
      </c>
      <c r="T801" s="19">
        <f>(ProductionData[[#This Row],[Rejected_Qty]])/ProductionData[[#This Row],[Produced_Qty]]</f>
        <v>1.8059299191374664E-2</v>
      </c>
      <c r="U801" s="19">
        <f>ProductionData[[#This Row],[Produced_Qty]]/ProductionData[[#This Row],[Planned_Qty]]</f>
        <v>0.99731182795698925</v>
      </c>
      <c r="V801" s="2" t="s">
        <v>89</v>
      </c>
      <c r="W801" s="11">
        <v>60</v>
      </c>
      <c r="X801" s="13">
        <f>W801/60</f>
        <v>1</v>
      </c>
      <c r="Y801" s="2" t="s">
        <v>76</v>
      </c>
      <c r="Z801" s="2">
        <v>46</v>
      </c>
      <c r="AA801" s="2">
        <f>ProductionData[[#This Row],[Rejected_Qty]]*ProductionData[[#This Row],[Unit_Cost_INR]]</f>
        <v>6164</v>
      </c>
      <c r="AB801" s="4">
        <v>28257</v>
      </c>
      <c r="AC801" s="4">
        <v>6880</v>
      </c>
      <c r="AD801" s="4">
        <v>6880</v>
      </c>
      <c r="AE801" s="4">
        <v>28663</v>
      </c>
      <c r="AF801" s="4">
        <v>10500</v>
      </c>
    </row>
    <row r="802" spans="1:32">
      <c r="A802" s="2" t="s">
        <v>1733</v>
      </c>
      <c r="B802" s="3">
        <v>46192</v>
      </c>
      <c r="C802" s="36" t="s">
        <v>1459</v>
      </c>
      <c r="D802" s="2">
        <f>MONTH(ProductionData[[#This Row],[Month]])</f>
        <v>6</v>
      </c>
      <c r="E802" s="2" t="s">
        <v>125</v>
      </c>
      <c r="F802" s="2" t="s">
        <v>93</v>
      </c>
      <c r="G802" s="2" t="s">
        <v>174</v>
      </c>
      <c r="H802" s="2" t="s">
        <v>175</v>
      </c>
      <c r="I802" s="2" t="s">
        <v>176</v>
      </c>
      <c r="J802" s="2" t="s">
        <v>443</v>
      </c>
      <c r="K802" s="2" t="s">
        <v>444</v>
      </c>
      <c r="L802" s="2" t="s">
        <v>1734</v>
      </c>
      <c r="M802" s="2" t="s">
        <v>95</v>
      </c>
      <c r="N802" s="2" t="s">
        <v>88</v>
      </c>
      <c r="O802" s="2">
        <v>10</v>
      </c>
      <c r="P802" s="2">
        <v>10</v>
      </c>
      <c r="Q802" s="4">
        <v>6020</v>
      </c>
      <c r="R802" s="4">
        <v>5650</v>
      </c>
      <c r="S802" s="4">
        <v>149</v>
      </c>
      <c r="T802" s="19">
        <f>(ProductionData[[#This Row],[Rejected_Qty]])/ProductionData[[#This Row],[Produced_Qty]]</f>
        <v>2.6371681415929205E-2</v>
      </c>
      <c r="U802" s="19">
        <f>ProductionData[[#This Row],[Produced_Qty]]/ProductionData[[#This Row],[Planned_Qty]]</f>
        <v>0.93853820598006643</v>
      </c>
      <c r="V802" s="2" t="s">
        <v>109</v>
      </c>
      <c r="W802" s="11">
        <v>0</v>
      </c>
      <c r="X802" s="13">
        <f>W802/60</f>
        <v>0</v>
      </c>
      <c r="Y802" s="2" t="s">
        <v>90</v>
      </c>
      <c r="Z802" s="2">
        <v>33</v>
      </c>
      <c r="AA802" s="2">
        <f>ProductionData[[#This Row],[Rejected_Qty]]*ProductionData[[#This Row],[Unit_Cost_INR]]</f>
        <v>4917</v>
      </c>
      <c r="AB802" s="4">
        <v>28072</v>
      </c>
      <c r="AC802" s="4">
        <v>4960</v>
      </c>
      <c r="AD802" s="4">
        <v>4960</v>
      </c>
      <c r="AE802" s="4">
        <v>28613</v>
      </c>
      <c r="AF802" s="4">
        <v>9750</v>
      </c>
    </row>
    <row r="803" spans="1:32">
      <c r="A803" s="2" t="s">
        <v>1735</v>
      </c>
      <c r="B803" s="3">
        <v>46189</v>
      </c>
      <c r="C803" s="36" t="s">
        <v>1459</v>
      </c>
      <c r="D803" s="2">
        <f>MONTH(ProductionData[[#This Row],[Month]])</f>
        <v>6</v>
      </c>
      <c r="E803" s="2" t="s">
        <v>92</v>
      </c>
      <c r="F803" s="2" t="s">
        <v>93</v>
      </c>
      <c r="G803" s="2" t="s">
        <v>195</v>
      </c>
      <c r="H803" s="2" t="s">
        <v>196</v>
      </c>
      <c r="I803" s="2" t="s">
        <v>197</v>
      </c>
      <c r="J803" s="2" t="s">
        <v>198</v>
      </c>
      <c r="K803" s="2" t="s">
        <v>199</v>
      </c>
      <c r="L803" s="2" t="s">
        <v>1736</v>
      </c>
      <c r="M803" s="2" t="s">
        <v>133</v>
      </c>
      <c r="N803" s="2" t="s">
        <v>88</v>
      </c>
      <c r="O803" s="2">
        <v>14</v>
      </c>
      <c r="P803" s="2">
        <v>12</v>
      </c>
      <c r="Q803" s="4">
        <v>8630</v>
      </c>
      <c r="R803" s="4">
        <v>7990</v>
      </c>
      <c r="S803" s="4">
        <v>213</v>
      </c>
      <c r="T803" s="19">
        <f>(ProductionData[[#This Row],[Rejected_Qty]])/ProductionData[[#This Row],[Produced_Qty]]</f>
        <v>2.6658322903629537E-2</v>
      </c>
      <c r="U803" s="19">
        <f>ProductionData[[#This Row],[Produced_Qty]]/ProductionData[[#This Row],[Planned_Qty]]</f>
        <v>0.9258400926998841</v>
      </c>
      <c r="V803" s="2" t="s">
        <v>75</v>
      </c>
      <c r="W803" s="11">
        <v>0</v>
      </c>
      <c r="X803" s="13">
        <f>W803/60</f>
        <v>0</v>
      </c>
      <c r="Y803" s="2" t="s">
        <v>90</v>
      </c>
      <c r="Z803" s="2">
        <v>38</v>
      </c>
      <c r="AA803" s="2">
        <f>ProductionData[[#This Row],[Rejected_Qty]]*ProductionData[[#This Row],[Unit_Cost_INR]]</f>
        <v>8094</v>
      </c>
      <c r="AB803" s="4">
        <v>28362</v>
      </c>
      <c r="AC803" s="4">
        <v>7600</v>
      </c>
      <c r="AD803" s="4">
        <v>7600</v>
      </c>
      <c r="AE803" s="4">
        <v>28539</v>
      </c>
      <c r="AF803" s="4">
        <v>13500</v>
      </c>
    </row>
    <row r="804" spans="1:32">
      <c r="A804" s="2" t="s">
        <v>1737</v>
      </c>
      <c r="B804" s="3">
        <v>46184</v>
      </c>
      <c r="C804" s="36" t="s">
        <v>1459</v>
      </c>
      <c r="D804" s="2">
        <f>MONTH(ProductionData[[#This Row],[Month]])</f>
        <v>6</v>
      </c>
      <c r="E804" s="2" t="s">
        <v>107</v>
      </c>
      <c r="F804" s="2" t="s">
        <v>66</v>
      </c>
      <c r="G804" s="2" t="s">
        <v>67</v>
      </c>
      <c r="H804" s="2" t="s">
        <v>68</v>
      </c>
      <c r="I804" s="2" t="s">
        <v>69</v>
      </c>
      <c r="J804" s="2" t="s">
        <v>70</v>
      </c>
      <c r="K804" s="2" t="s">
        <v>71</v>
      </c>
      <c r="L804" s="2" t="s">
        <v>1738</v>
      </c>
      <c r="M804" s="2" t="s">
        <v>73</v>
      </c>
      <c r="N804" s="2" t="s">
        <v>88</v>
      </c>
      <c r="O804" s="2">
        <v>16</v>
      </c>
      <c r="P804" s="2">
        <v>15</v>
      </c>
      <c r="Q804" s="4">
        <v>7330</v>
      </c>
      <c r="R804" s="4">
        <v>6970</v>
      </c>
      <c r="S804" s="4">
        <v>120</v>
      </c>
      <c r="T804" s="19">
        <f>(ProductionData[[#This Row],[Rejected_Qty]])/ProductionData[[#This Row],[Produced_Qty]]</f>
        <v>1.721664275466284E-2</v>
      </c>
      <c r="U804" s="19">
        <f>ProductionData[[#This Row],[Produced_Qty]]/ProductionData[[#This Row],[Planned_Qty]]</f>
        <v>0.9508867667121419</v>
      </c>
      <c r="V804" s="2" t="s">
        <v>89</v>
      </c>
      <c r="W804" s="11">
        <v>64</v>
      </c>
      <c r="X804" s="13">
        <f>W804/60</f>
        <v>1.0666666666666667</v>
      </c>
      <c r="Y804" s="2" t="s">
        <v>76</v>
      </c>
      <c r="Z804" s="2">
        <v>46</v>
      </c>
      <c r="AA804" s="2">
        <f>ProductionData[[#This Row],[Rejected_Qty]]*ProductionData[[#This Row],[Unit_Cost_INR]]</f>
        <v>5520</v>
      </c>
      <c r="AB804" s="4">
        <v>27915</v>
      </c>
      <c r="AC804" s="4">
        <v>6230</v>
      </c>
      <c r="AD804" s="4">
        <v>6230</v>
      </c>
      <c r="AE804" s="4">
        <v>28535</v>
      </c>
      <c r="AF804" s="4">
        <v>10500</v>
      </c>
    </row>
    <row r="805" spans="1:32">
      <c r="A805" s="2" t="s">
        <v>1739</v>
      </c>
      <c r="B805" s="3">
        <v>46185</v>
      </c>
      <c r="C805" s="36" t="s">
        <v>1459</v>
      </c>
      <c r="D805" s="2">
        <f>MONTH(ProductionData[[#This Row],[Month]])</f>
        <v>6</v>
      </c>
      <c r="E805" s="2" t="s">
        <v>125</v>
      </c>
      <c r="F805" s="2" t="s">
        <v>66</v>
      </c>
      <c r="G805" s="2" t="s">
        <v>174</v>
      </c>
      <c r="H805" s="2" t="s">
        <v>175</v>
      </c>
      <c r="I805" s="2" t="s">
        <v>176</v>
      </c>
      <c r="J805" s="2" t="s">
        <v>443</v>
      </c>
      <c r="K805" s="2" t="s">
        <v>444</v>
      </c>
      <c r="L805" s="2" t="s">
        <v>1740</v>
      </c>
      <c r="M805" s="2" t="s">
        <v>73</v>
      </c>
      <c r="N805" s="2" t="s">
        <v>96</v>
      </c>
      <c r="O805" s="2">
        <v>10</v>
      </c>
      <c r="P805" s="2">
        <v>10</v>
      </c>
      <c r="Q805" s="4">
        <v>6310</v>
      </c>
      <c r="R805" s="4">
        <v>6180</v>
      </c>
      <c r="S805" s="4">
        <v>132</v>
      </c>
      <c r="T805" s="19">
        <f>(ProductionData[[#This Row],[Rejected_Qty]])/ProductionData[[#This Row],[Produced_Qty]]</f>
        <v>2.1359223300970873E-2</v>
      </c>
      <c r="U805" s="19">
        <f>ProductionData[[#This Row],[Produced_Qty]]/ProductionData[[#This Row],[Planned_Qty]]</f>
        <v>0.97939778129952459</v>
      </c>
      <c r="V805" s="2" t="s">
        <v>109</v>
      </c>
      <c r="W805" s="11">
        <v>70</v>
      </c>
      <c r="X805" s="13">
        <f>W805/60</f>
        <v>1.1666666666666667</v>
      </c>
      <c r="Y805" s="2" t="s">
        <v>182</v>
      </c>
      <c r="Z805" s="2">
        <v>33</v>
      </c>
      <c r="AA805" s="2">
        <f>ProductionData[[#This Row],[Rejected_Qty]]*ProductionData[[#This Row],[Unit_Cost_INR]]</f>
        <v>4356</v>
      </c>
      <c r="AB805" s="4">
        <v>28103</v>
      </c>
      <c r="AC805" s="4">
        <v>5650</v>
      </c>
      <c r="AD805" s="4">
        <v>5650</v>
      </c>
      <c r="AE805" s="4">
        <v>28501</v>
      </c>
      <c r="AF805" s="4">
        <v>9750</v>
      </c>
    </row>
    <row r="806" spans="1:32">
      <c r="A806" s="2" t="s">
        <v>1741</v>
      </c>
      <c r="B806" s="3">
        <v>46174</v>
      </c>
      <c r="C806" s="36" t="s">
        <v>1459</v>
      </c>
      <c r="D806" s="2">
        <f>MONTH(ProductionData[[#This Row],[Month]])</f>
        <v>6</v>
      </c>
      <c r="E806" s="2" t="s">
        <v>116</v>
      </c>
      <c r="F806" s="2" t="s">
        <v>66</v>
      </c>
      <c r="G806" s="2" t="s">
        <v>67</v>
      </c>
      <c r="H806" s="2" t="s">
        <v>68</v>
      </c>
      <c r="I806" s="2" t="s">
        <v>69</v>
      </c>
      <c r="J806" s="2" t="s">
        <v>70</v>
      </c>
      <c r="K806" s="2" t="s">
        <v>71</v>
      </c>
      <c r="L806" s="2" t="s">
        <v>1742</v>
      </c>
      <c r="M806" s="2" t="s">
        <v>73</v>
      </c>
      <c r="N806" s="2" t="s">
        <v>96</v>
      </c>
      <c r="O806" s="2">
        <v>16</v>
      </c>
      <c r="P806" s="2">
        <v>15</v>
      </c>
      <c r="Q806" s="4">
        <v>6860</v>
      </c>
      <c r="R806" s="4">
        <v>6360</v>
      </c>
      <c r="S806" s="4">
        <v>180</v>
      </c>
      <c r="T806" s="19">
        <f>(ProductionData[[#This Row],[Rejected_Qty]])/ProductionData[[#This Row],[Produced_Qty]]</f>
        <v>2.8301886792452831E-2</v>
      </c>
      <c r="U806" s="19">
        <f>ProductionData[[#This Row],[Produced_Qty]]/ProductionData[[#This Row],[Planned_Qty]]</f>
        <v>0.92711370262390669</v>
      </c>
      <c r="V806" s="2" t="s">
        <v>113</v>
      </c>
      <c r="W806" s="11">
        <v>0</v>
      </c>
      <c r="X806" s="13">
        <f>W806/60</f>
        <v>0</v>
      </c>
      <c r="Y806" s="2" t="s">
        <v>90</v>
      </c>
      <c r="Z806" s="2">
        <v>46</v>
      </c>
      <c r="AA806" s="2">
        <f>ProductionData[[#This Row],[Rejected_Qty]]*ProductionData[[#This Row],[Unit_Cost_INR]]</f>
        <v>8280</v>
      </c>
      <c r="AB806" s="4">
        <v>28529</v>
      </c>
      <c r="AC806" s="4">
        <v>6220</v>
      </c>
      <c r="AD806" s="4">
        <v>6220</v>
      </c>
      <c r="AE806" s="4">
        <v>28489</v>
      </c>
      <c r="AF806" s="4">
        <v>10500</v>
      </c>
    </row>
    <row r="807" spans="1:32">
      <c r="A807" s="2" t="s">
        <v>1743</v>
      </c>
      <c r="B807" s="3">
        <v>46182</v>
      </c>
      <c r="C807" s="36" t="s">
        <v>1459</v>
      </c>
      <c r="D807" s="2">
        <f>MONTH(ProductionData[[#This Row],[Month]])</f>
        <v>6</v>
      </c>
      <c r="E807" s="2" t="s">
        <v>92</v>
      </c>
      <c r="F807" s="2" t="s">
        <v>66</v>
      </c>
      <c r="G807" s="2" t="s">
        <v>174</v>
      </c>
      <c r="H807" s="2" t="s">
        <v>175</v>
      </c>
      <c r="I807" s="2" t="s">
        <v>176</v>
      </c>
      <c r="J807" s="2" t="s">
        <v>443</v>
      </c>
      <c r="K807" s="2" t="s">
        <v>444</v>
      </c>
      <c r="L807" s="2" t="s">
        <v>1744</v>
      </c>
      <c r="M807" s="2" t="s">
        <v>99</v>
      </c>
      <c r="N807" s="2" t="s">
        <v>88</v>
      </c>
      <c r="O807" s="2">
        <v>10</v>
      </c>
      <c r="P807" s="2">
        <v>10</v>
      </c>
      <c r="Q807" s="4">
        <v>6240</v>
      </c>
      <c r="R807" s="4">
        <v>5880</v>
      </c>
      <c r="S807" s="4">
        <v>102</v>
      </c>
      <c r="T807" s="19">
        <f>(ProductionData[[#This Row],[Rejected_Qty]])/ProductionData[[#This Row],[Produced_Qty]]</f>
        <v>1.7346938775510204E-2</v>
      </c>
      <c r="U807" s="19">
        <f>ProductionData[[#This Row],[Produced_Qty]]/ProductionData[[#This Row],[Planned_Qty]]</f>
        <v>0.94230769230769229</v>
      </c>
      <c r="V807" s="2" t="s">
        <v>75</v>
      </c>
      <c r="W807" s="11">
        <v>59</v>
      </c>
      <c r="X807" s="13">
        <f>W807/60</f>
        <v>0.98333333333333328</v>
      </c>
      <c r="Y807" s="2" t="s">
        <v>110</v>
      </c>
      <c r="Z807" s="2">
        <v>33</v>
      </c>
      <c r="AA807" s="2">
        <f>ProductionData[[#This Row],[Rejected_Qty]]*ProductionData[[#This Row],[Unit_Cost_INR]]</f>
        <v>3366</v>
      </c>
      <c r="AB807" s="4">
        <v>28160</v>
      </c>
      <c r="AC807" s="4">
        <v>5450</v>
      </c>
      <c r="AD807" s="4">
        <v>5450</v>
      </c>
      <c r="AE807" s="4">
        <v>28488</v>
      </c>
      <c r="AF807" s="4">
        <v>9750</v>
      </c>
    </row>
    <row r="808" spans="1:32">
      <c r="A808" s="2" t="s">
        <v>1745</v>
      </c>
      <c r="B808" s="3">
        <v>46179</v>
      </c>
      <c r="C808" s="36" t="s">
        <v>1459</v>
      </c>
      <c r="D808" s="2">
        <f>MONTH(ProductionData[[#This Row],[Month]])</f>
        <v>6</v>
      </c>
      <c r="E808" s="2" t="s">
        <v>65</v>
      </c>
      <c r="F808" s="2" t="s">
        <v>66</v>
      </c>
      <c r="G808" s="2" t="s">
        <v>67</v>
      </c>
      <c r="H808" s="2" t="s">
        <v>68</v>
      </c>
      <c r="I808" s="2" t="s">
        <v>69</v>
      </c>
      <c r="J808" s="2" t="s">
        <v>70</v>
      </c>
      <c r="K808" s="2" t="s">
        <v>71</v>
      </c>
      <c r="L808" s="2" t="s">
        <v>1746</v>
      </c>
      <c r="M808" s="2" t="s">
        <v>99</v>
      </c>
      <c r="N808" s="2" t="s">
        <v>96</v>
      </c>
      <c r="O808" s="2">
        <v>16</v>
      </c>
      <c r="P808" s="2">
        <v>15</v>
      </c>
      <c r="Q808" s="4">
        <v>7400</v>
      </c>
      <c r="R808" s="4">
        <v>6880</v>
      </c>
      <c r="S808" s="4">
        <v>167</v>
      </c>
      <c r="T808" s="19">
        <f>(ProductionData[[#This Row],[Rejected_Qty]])/ProductionData[[#This Row],[Produced_Qty]]</f>
        <v>2.4273255813953488E-2</v>
      </c>
      <c r="U808" s="19">
        <f>ProductionData[[#This Row],[Produced_Qty]]/ProductionData[[#This Row],[Planned_Qty]]</f>
        <v>0.92972972972972978</v>
      </c>
      <c r="V808" s="2" t="s">
        <v>75</v>
      </c>
      <c r="W808" s="11">
        <v>0</v>
      </c>
      <c r="X808" s="13">
        <f>W808/60</f>
        <v>0</v>
      </c>
      <c r="Y808" s="2" t="s">
        <v>90</v>
      </c>
      <c r="Z808" s="2">
        <v>46</v>
      </c>
      <c r="AA808" s="2">
        <f>ProductionData[[#This Row],[Rejected_Qty]]*ProductionData[[#This Row],[Unit_Cost_INR]]</f>
        <v>7682</v>
      </c>
      <c r="AB808" s="4">
        <v>28663</v>
      </c>
      <c r="AC808" s="4">
        <v>6890</v>
      </c>
      <c r="AD808" s="4">
        <v>6890</v>
      </c>
      <c r="AE808" s="4">
        <v>28486</v>
      </c>
      <c r="AF808" s="4">
        <v>10500</v>
      </c>
    </row>
    <row r="809" spans="1:32">
      <c r="A809" s="2" t="s">
        <v>1747</v>
      </c>
      <c r="B809" s="3">
        <v>46188</v>
      </c>
      <c r="C809" s="36" t="s">
        <v>1459</v>
      </c>
      <c r="D809" s="2">
        <f>MONTH(ProductionData[[#This Row],[Month]])</f>
        <v>6</v>
      </c>
      <c r="E809" s="2" t="s">
        <v>116</v>
      </c>
      <c r="F809" s="2" t="s">
        <v>80</v>
      </c>
      <c r="G809" s="2" t="s">
        <v>195</v>
      </c>
      <c r="H809" s="2" t="s">
        <v>196</v>
      </c>
      <c r="I809" s="2" t="s">
        <v>197</v>
      </c>
      <c r="J809" s="2" t="s">
        <v>198</v>
      </c>
      <c r="K809" s="2" t="s">
        <v>199</v>
      </c>
      <c r="L809" s="2" t="s">
        <v>1748</v>
      </c>
      <c r="M809" s="2" t="s">
        <v>102</v>
      </c>
      <c r="N809" s="2" t="s">
        <v>96</v>
      </c>
      <c r="O809" s="2">
        <v>14</v>
      </c>
      <c r="P809" s="2">
        <v>12</v>
      </c>
      <c r="Q809" s="4">
        <v>9610</v>
      </c>
      <c r="R809" s="4">
        <v>8970</v>
      </c>
      <c r="S809" s="4">
        <v>192</v>
      </c>
      <c r="T809" s="19">
        <f>(ProductionData[[#This Row],[Rejected_Qty]])/ProductionData[[#This Row],[Produced_Qty]]</f>
        <v>2.1404682274247491E-2</v>
      </c>
      <c r="U809" s="19">
        <f>ProductionData[[#This Row],[Produced_Qty]]/ProductionData[[#This Row],[Planned_Qty]]</f>
        <v>0.93340270551508842</v>
      </c>
      <c r="V809" s="2" t="s">
        <v>89</v>
      </c>
      <c r="W809" s="11">
        <v>30</v>
      </c>
      <c r="X809" s="13">
        <f>W809/60</f>
        <v>0.5</v>
      </c>
      <c r="Y809" s="2" t="s">
        <v>259</v>
      </c>
      <c r="Z809" s="2">
        <v>38</v>
      </c>
      <c r="AA809" s="2">
        <f>ProductionData[[#This Row],[Rejected_Qty]]*ProductionData[[#This Row],[Unit_Cost_INR]]</f>
        <v>7296</v>
      </c>
      <c r="AB809" s="4">
        <v>27084</v>
      </c>
      <c r="AC809" s="4">
        <v>7500</v>
      </c>
      <c r="AD809" s="4">
        <v>7500</v>
      </c>
      <c r="AE809" s="4">
        <v>28362</v>
      </c>
      <c r="AF809" s="4">
        <v>13500</v>
      </c>
    </row>
    <row r="810" spans="1:32">
      <c r="A810" s="2" t="s">
        <v>1749</v>
      </c>
      <c r="B810" s="3">
        <v>46174</v>
      </c>
      <c r="C810" s="36" t="s">
        <v>1459</v>
      </c>
      <c r="D810" s="2">
        <f>MONTH(ProductionData[[#This Row],[Month]])</f>
        <v>6</v>
      </c>
      <c r="E810" s="2" t="s">
        <v>116</v>
      </c>
      <c r="F810" s="2" t="s">
        <v>66</v>
      </c>
      <c r="G810" s="2" t="s">
        <v>174</v>
      </c>
      <c r="H810" s="2" t="s">
        <v>175</v>
      </c>
      <c r="I810" s="2" t="s">
        <v>176</v>
      </c>
      <c r="J810" s="2" t="s">
        <v>177</v>
      </c>
      <c r="K810" s="2" t="s">
        <v>178</v>
      </c>
      <c r="L810" s="2" t="s">
        <v>1750</v>
      </c>
      <c r="M810" s="2" t="s">
        <v>99</v>
      </c>
      <c r="N810" s="2" t="s">
        <v>96</v>
      </c>
      <c r="O810" s="2">
        <v>10</v>
      </c>
      <c r="P810" s="2">
        <v>10</v>
      </c>
      <c r="Q810" s="4">
        <v>7920</v>
      </c>
      <c r="R810" s="4">
        <v>7290</v>
      </c>
      <c r="S810" s="4">
        <v>224</v>
      </c>
      <c r="T810" s="19">
        <f>(ProductionData[[#This Row],[Rejected_Qty]])/ProductionData[[#This Row],[Produced_Qty]]</f>
        <v>3.0727023319615913E-2</v>
      </c>
      <c r="U810" s="19">
        <f>ProductionData[[#This Row],[Produced_Qty]]/ProductionData[[#This Row],[Planned_Qty]]</f>
        <v>0.92045454545454541</v>
      </c>
      <c r="V810" s="2" t="s">
        <v>109</v>
      </c>
      <c r="W810" s="11">
        <v>46</v>
      </c>
      <c r="X810" s="13">
        <f>W810/60</f>
        <v>0.76666666666666672</v>
      </c>
      <c r="Y810" s="2" t="s">
        <v>136</v>
      </c>
      <c r="Z810" s="2">
        <v>24</v>
      </c>
      <c r="AA810" s="2">
        <f>ProductionData[[#This Row],[Rejected_Qty]]*ProductionData[[#This Row],[Unit_Cost_INR]]</f>
        <v>5376</v>
      </c>
      <c r="AB810" s="4">
        <v>28902</v>
      </c>
      <c r="AC810" s="4">
        <v>7660</v>
      </c>
      <c r="AD810" s="4">
        <v>7660</v>
      </c>
      <c r="AE810" s="4">
        <v>28308</v>
      </c>
      <c r="AF810" s="4">
        <v>12000</v>
      </c>
    </row>
    <row r="811" spans="1:32">
      <c r="A811" s="2" t="s">
        <v>1751</v>
      </c>
      <c r="B811" s="3">
        <v>46184</v>
      </c>
      <c r="C811" s="36" t="s">
        <v>1459</v>
      </c>
      <c r="D811" s="2">
        <f>MONTH(ProductionData[[#This Row],[Month]])</f>
        <v>6</v>
      </c>
      <c r="E811" s="2" t="s">
        <v>107</v>
      </c>
      <c r="F811" s="2" t="s">
        <v>66</v>
      </c>
      <c r="G811" s="2" t="s">
        <v>174</v>
      </c>
      <c r="H811" s="2" t="s">
        <v>175</v>
      </c>
      <c r="I811" s="2" t="s">
        <v>176</v>
      </c>
      <c r="J811" s="2" t="s">
        <v>443</v>
      </c>
      <c r="K811" s="2" t="s">
        <v>444</v>
      </c>
      <c r="L811" s="2" t="s">
        <v>1752</v>
      </c>
      <c r="M811" s="2" t="s">
        <v>99</v>
      </c>
      <c r="N811" s="2" t="s">
        <v>96</v>
      </c>
      <c r="O811" s="2">
        <v>10</v>
      </c>
      <c r="P811" s="2">
        <v>10</v>
      </c>
      <c r="Q811" s="4">
        <v>6280</v>
      </c>
      <c r="R811" s="4">
        <v>5810</v>
      </c>
      <c r="S811" s="4">
        <v>137</v>
      </c>
      <c r="T811" s="19">
        <f>(ProductionData[[#This Row],[Rejected_Qty]])/ProductionData[[#This Row],[Produced_Qty]]</f>
        <v>2.3580034423407916E-2</v>
      </c>
      <c r="U811" s="19">
        <f>ProductionData[[#This Row],[Produced_Qty]]/ProductionData[[#This Row],[Planned_Qty]]</f>
        <v>0.92515923566878977</v>
      </c>
      <c r="V811" s="2" t="s">
        <v>75</v>
      </c>
      <c r="W811" s="11">
        <v>0</v>
      </c>
      <c r="X811" s="13">
        <f>W811/60</f>
        <v>0</v>
      </c>
      <c r="Y811" s="2" t="s">
        <v>90</v>
      </c>
      <c r="Z811" s="2">
        <v>33</v>
      </c>
      <c r="AA811" s="2">
        <f>ProductionData[[#This Row],[Rejected_Qty]]*ProductionData[[#This Row],[Unit_Cost_INR]]</f>
        <v>4521</v>
      </c>
      <c r="AB811" s="4">
        <v>28172</v>
      </c>
      <c r="AC811" s="4">
        <v>5560</v>
      </c>
      <c r="AD811" s="4">
        <v>5560</v>
      </c>
      <c r="AE811" s="4">
        <v>28285</v>
      </c>
      <c r="AF811" s="4">
        <v>9750</v>
      </c>
    </row>
    <row r="812" spans="1:32">
      <c r="A812" s="2" t="s">
        <v>1753</v>
      </c>
      <c r="B812" s="3">
        <v>46175</v>
      </c>
      <c r="C812" s="36" t="s">
        <v>1459</v>
      </c>
      <c r="D812" s="2">
        <f>MONTH(ProductionData[[#This Row],[Month]])</f>
        <v>6</v>
      </c>
      <c r="E812" s="2" t="s">
        <v>92</v>
      </c>
      <c r="F812" s="2" t="s">
        <v>66</v>
      </c>
      <c r="G812" s="2" t="s">
        <v>67</v>
      </c>
      <c r="H812" s="2" t="s">
        <v>68</v>
      </c>
      <c r="I812" s="2" t="s">
        <v>69</v>
      </c>
      <c r="J812" s="2" t="s">
        <v>70</v>
      </c>
      <c r="K812" s="2" t="s">
        <v>71</v>
      </c>
      <c r="L812" s="2" t="s">
        <v>1754</v>
      </c>
      <c r="M812" s="2" t="s">
        <v>99</v>
      </c>
      <c r="N812" s="2" t="s">
        <v>96</v>
      </c>
      <c r="O812" s="2">
        <v>16</v>
      </c>
      <c r="P812" s="2">
        <v>16</v>
      </c>
      <c r="Q812" s="4">
        <v>7050</v>
      </c>
      <c r="R812" s="4">
        <v>6400</v>
      </c>
      <c r="S812" s="4">
        <v>52</v>
      </c>
      <c r="T812" s="19">
        <f>(ProductionData[[#This Row],[Rejected_Qty]])/ProductionData[[#This Row],[Produced_Qty]]</f>
        <v>8.1250000000000003E-3</v>
      </c>
      <c r="U812" s="19">
        <f>ProductionData[[#This Row],[Produced_Qty]]/ProductionData[[#This Row],[Planned_Qty]]</f>
        <v>0.90780141843971629</v>
      </c>
      <c r="V812" s="2" t="s">
        <v>113</v>
      </c>
      <c r="W812" s="11">
        <v>33</v>
      </c>
      <c r="X812" s="13">
        <f>W812/60</f>
        <v>0.55000000000000004</v>
      </c>
      <c r="Y812" s="2" t="s">
        <v>136</v>
      </c>
      <c r="Z812" s="2">
        <v>46</v>
      </c>
      <c r="AA812" s="2">
        <f>ProductionData[[#This Row],[Rejected_Qty]]*ProductionData[[#This Row],[Unit_Cost_INR]]</f>
        <v>2392</v>
      </c>
      <c r="AB812" s="4">
        <v>28489</v>
      </c>
      <c r="AC812" s="4">
        <v>6580</v>
      </c>
      <c r="AD812" s="4">
        <v>6580</v>
      </c>
      <c r="AE812" s="4">
        <v>28257</v>
      </c>
      <c r="AF812" s="4">
        <v>10500</v>
      </c>
    </row>
    <row r="813" spans="1:32">
      <c r="A813" s="2" t="s">
        <v>1755</v>
      </c>
      <c r="B813" s="3">
        <v>46181</v>
      </c>
      <c r="C813" s="36" t="s">
        <v>1459</v>
      </c>
      <c r="D813" s="2">
        <f>MONTH(ProductionData[[#This Row],[Month]])</f>
        <v>6</v>
      </c>
      <c r="E813" s="2" t="s">
        <v>116</v>
      </c>
      <c r="F813" s="2" t="s">
        <v>93</v>
      </c>
      <c r="G813" s="2" t="s">
        <v>67</v>
      </c>
      <c r="H813" s="2" t="s">
        <v>68</v>
      </c>
      <c r="I813" s="2" t="s">
        <v>69</v>
      </c>
      <c r="J813" s="2" t="s">
        <v>70</v>
      </c>
      <c r="K813" s="2" t="s">
        <v>71</v>
      </c>
      <c r="L813" s="2" t="s">
        <v>1756</v>
      </c>
      <c r="M813" s="2" t="s">
        <v>95</v>
      </c>
      <c r="N813" s="2" t="s">
        <v>96</v>
      </c>
      <c r="O813" s="2">
        <v>16</v>
      </c>
      <c r="P813" s="2">
        <v>15</v>
      </c>
      <c r="Q813" s="4">
        <v>6730</v>
      </c>
      <c r="R813" s="4">
        <v>6270</v>
      </c>
      <c r="S813" s="4">
        <v>108</v>
      </c>
      <c r="T813" s="19">
        <f>(ProductionData[[#This Row],[Rejected_Qty]])/ProductionData[[#This Row],[Produced_Qty]]</f>
        <v>1.7224880382775119E-2</v>
      </c>
      <c r="U813" s="19">
        <f>ProductionData[[#This Row],[Produced_Qty]]/ProductionData[[#This Row],[Planned_Qty]]</f>
        <v>0.93164933135215455</v>
      </c>
      <c r="V813" s="2" t="s">
        <v>113</v>
      </c>
      <c r="W813" s="11">
        <v>38</v>
      </c>
      <c r="X813" s="13">
        <f>W813/60</f>
        <v>0.6333333333333333</v>
      </c>
      <c r="Y813" s="2" t="s">
        <v>182</v>
      </c>
      <c r="Z813" s="2">
        <v>46</v>
      </c>
      <c r="AA813" s="2">
        <f>ProductionData[[#This Row],[Rejected_Qty]]*ProductionData[[#This Row],[Unit_Cost_INR]]</f>
        <v>4968</v>
      </c>
      <c r="AB813" s="4">
        <v>28486</v>
      </c>
      <c r="AC813" s="4">
        <v>6400</v>
      </c>
      <c r="AD813" s="4">
        <v>6400</v>
      </c>
      <c r="AE813" s="4">
        <v>28248</v>
      </c>
      <c r="AF813" s="4">
        <v>10500</v>
      </c>
    </row>
    <row r="814" spans="1:32">
      <c r="A814" s="2" t="s">
        <v>1757</v>
      </c>
      <c r="B814" s="3">
        <v>46183</v>
      </c>
      <c r="C814" s="36" t="s">
        <v>1459</v>
      </c>
      <c r="D814" s="2">
        <f>MONTH(ProductionData[[#This Row],[Month]])</f>
        <v>6</v>
      </c>
      <c r="E814" s="2" t="s">
        <v>79</v>
      </c>
      <c r="F814" s="2" t="s">
        <v>80</v>
      </c>
      <c r="G814" s="2" t="s">
        <v>174</v>
      </c>
      <c r="H814" s="2" t="s">
        <v>175</v>
      </c>
      <c r="I814" s="2" t="s">
        <v>176</v>
      </c>
      <c r="J814" s="2" t="s">
        <v>443</v>
      </c>
      <c r="K814" s="2" t="s">
        <v>444</v>
      </c>
      <c r="L814" s="2" t="s">
        <v>1758</v>
      </c>
      <c r="M814" s="2" t="s">
        <v>87</v>
      </c>
      <c r="N814" s="2" t="s">
        <v>88</v>
      </c>
      <c r="O814" s="2">
        <v>10</v>
      </c>
      <c r="P814" s="2">
        <v>9</v>
      </c>
      <c r="Q814" s="4">
        <v>6450</v>
      </c>
      <c r="R814" s="4">
        <v>6270</v>
      </c>
      <c r="S814" s="4">
        <v>187</v>
      </c>
      <c r="T814" s="19">
        <f>(ProductionData[[#This Row],[Rejected_Qty]])/ProductionData[[#This Row],[Produced_Qty]]</f>
        <v>2.9824561403508771E-2</v>
      </c>
      <c r="U814" s="19">
        <f>ProductionData[[#This Row],[Produced_Qty]]/ProductionData[[#This Row],[Planned_Qty]]</f>
        <v>0.97209302325581393</v>
      </c>
      <c r="V814" s="2" t="s">
        <v>89</v>
      </c>
      <c r="W814" s="11">
        <v>30</v>
      </c>
      <c r="X814" s="13">
        <f>W814/60</f>
        <v>0.5</v>
      </c>
      <c r="Y814" s="2" t="s">
        <v>182</v>
      </c>
      <c r="Z814" s="2">
        <v>33</v>
      </c>
      <c r="AA814" s="2">
        <f>ProductionData[[#This Row],[Rejected_Qty]]*ProductionData[[#This Row],[Unit_Cost_INR]]</f>
        <v>6171</v>
      </c>
      <c r="AB814" s="4">
        <v>28079</v>
      </c>
      <c r="AC814" s="4">
        <v>5990</v>
      </c>
      <c r="AD814" s="4">
        <v>5990</v>
      </c>
      <c r="AE814" s="4">
        <v>28172</v>
      </c>
      <c r="AF814" s="4">
        <v>9750</v>
      </c>
    </row>
    <row r="815" spans="1:32">
      <c r="A815" s="2" t="s">
        <v>1759</v>
      </c>
      <c r="B815" s="3">
        <v>46181</v>
      </c>
      <c r="C815" s="36" t="s">
        <v>1459</v>
      </c>
      <c r="D815" s="2">
        <f>MONTH(ProductionData[[#This Row],[Month]])</f>
        <v>6</v>
      </c>
      <c r="E815" s="2" t="s">
        <v>116</v>
      </c>
      <c r="F815" s="2" t="s">
        <v>66</v>
      </c>
      <c r="G815" s="2" t="s">
        <v>174</v>
      </c>
      <c r="H815" s="2" t="s">
        <v>175</v>
      </c>
      <c r="I815" s="2" t="s">
        <v>176</v>
      </c>
      <c r="J815" s="2" t="s">
        <v>443</v>
      </c>
      <c r="K815" s="2" t="s">
        <v>444</v>
      </c>
      <c r="L815" s="2" t="s">
        <v>1760</v>
      </c>
      <c r="M815" s="2" t="s">
        <v>73</v>
      </c>
      <c r="N815" s="2" t="s">
        <v>88</v>
      </c>
      <c r="O815" s="2">
        <v>10</v>
      </c>
      <c r="P815" s="2">
        <v>10</v>
      </c>
      <c r="Q815" s="4">
        <v>6990</v>
      </c>
      <c r="R815" s="4">
        <v>6910</v>
      </c>
      <c r="S815" s="4">
        <v>151</v>
      </c>
      <c r="T815" s="19">
        <f>(ProductionData[[#This Row],[Rejected_Qty]])/ProductionData[[#This Row],[Produced_Qty]]</f>
        <v>2.1852387843704777E-2</v>
      </c>
      <c r="U815" s="19">
        <f>ProductionData[[#This Row],[Produced_Qty]]/ProductionData[[#This Row],[Planned_Qty]]</f>
        <v>0.98855507868383408</v>
      </c>
      <c r="V815" s="2" t="s">
        <v>109</v>
      </c>
      <c r="W815" s="11">
        <v>72</v>
      </c>
      <c r="X815" s="13">
        <f>W815/60</f>
        <v>1.2</v>
      </c>
      <c r="Y815" s="2" t="s">
        <v>136</v>
      </c>
      <c r="Z815" s="2">
        <v>33</v>
      </c>
      <c r="AA815" s="2">
        <f>ProductionData[[#This Row],[Rejected_Qty]]*ProductionData[[#This Row],[Unit_Cost_INR]]</f>
        <v>4983</v>
      </c>
      <c r="AB815" s="4">
        <v>27651</v>
      </c>
      <c r="AC815" s="4">
        <v>6250</v>
      </c>
      <c r="AD815" s="4">
        <v>6250</v>
      </c>
      <c r="AE815" s="4">
        <v>28160</v>
      </c>
      <c r="AF815" s="4">
        <v>9750</v>
      </c>
    </row>
    <row r="816" spans="1:32">
      <c r="A816" s="2" t="s">
        <v>1761</v>
      </c>
      <c r="B816" s="3">
        <v>46184</v>
      </c>
      <c r="C816" s="36" t="s">
        <v>1459</v>
      </c>
      <c r="D816" s="2">
        <f>MONTH(ProductionData[[#This Row],[Month]])</f>
        <v>6</v>
      </c>
      <c r="E816" s="2" t="s">
        <v>107</v>
      </c>
      <c r="F816" s="2" t="s">
        <v>80</v>
      </c>
      <c r="G816" s="2" t="s">
        <v>174</v>
      </c>
      <c r="H816" s="2" t="s">
        <v>175</v>
      </c>
      <c r="I816" s="2" t="s">
        <v>176</v>
      </c>
      <c r="J816" s="2" t="s">
        <v>443</v>
      </c>
      <c r="K816" s="2" t="s">
        <v>444</v>
      </c>
      <c r="L816" s="2" t="s">
        <v>1762</v>
      </c>
      <c r="M816" s="2" t="s">
        <v>102</v>
      </c>
      <c r="N816" s="2" t="s">
        <v>96</v>
      </c>
      <c r="O816" s="2">
        <v>10</v>
      </c>
      <c r="P816" s="2">
        <v>8</v>
      </c>
      <c r="Q816" s="4">
        <v>6780</v>
      </c>
      <c r="R816" s="4">
        <v>5870</v>
      </c>
      <c r="S816" s="4">
        <v>102</v>
      </c>
      <c r="T816" s="19">
        <f>(ProductionData[[#This Row],[Rejected_Qty]])/ProductionData[[#This Row],[Produced_Qty]]</f>
        <v>1.737649063032368E-2</v>
      </c>
      <c r="U816" s="19">
        <f>ProductionData[[#This Row],[Produced_Qty]]/ProductionData[[#This Row],[Planned_Qty]]</f>
        <v>0.86578171091445433</v>
      </c>
      <c r="V816" s="2" t="s">
        <v>89</v>
      </c>
      <c r="W816" s="11">
        <v>16</v>
      </c>
      <c r="X816" s="13">
        <f>W816/60</f>
        <v>0.26666666666666666</v>
      </c>
      <c r="Y816" s="2" t="s">
        <v>110</v>
      </c>
      <c r="Z816" s="2">
        <v>33</v>
      </c>
      <c r="AA816" s="2">
        <f>ProductionData[[#This Row],[Rejected_Qty]]*ProductionData[[#This Row],[Unit_Cost_INR]]</f>
        <v>3366</v>
      </c>
      <c r="AB816" s="4">
        <v>28285</v>
      </c>
      <c r="AC816" s="4">
        <v>5950</v>
      </c>
      <c r="AD816" s="4">
        <v>5950</v>
      </c>
      <c r="AE816" s="4">
        <v>28103</v>
      </c>
      <c r="AF816" s="4">
        <v>9750</v>
      </c>
    </row>
    <row r="817" spans="1:32">
      <c r="A817" s="2" t="s">
        <v>1763</v>
      </c>
      <c r="B817" s="3">
        <v>46182</v>
      </c>
      <c r="C817" s="36" t="s">
        <v>1459</v>
      </c>
      <c r="D817" s="2">
        <f>MONTH(ProductionData[[#This Row],[Month]])</f>
        <v>6</v>
      </c>
      <c r="E817" s="2" t="s">
        <v>92</v>
      </c>
      <c r="F817" s="2" t="s">
        <v>93</v>
      </c>
      <c r="G817" s="2" t="s">
        <v>174</v>
      </c>
      <c r="H817" s="2" t="s">
        <v>175</v>
      </c>
      <c r="I817" s="2" t="s">
        <v>176</v>
      </c>
      <c r="J817" s="2" t="s">
        <v>443</v>
      </c>
      <c r="K817" s="2" t="s">
        <v>444</v>
      </c>
      <c r="L817" s="2" t="s">
        <v>1764</v>
      </c>
      <c r="M817" s="2" t="s">
        <v>95</v>
      </c>
      <c r="N817" s="2" t="s">
        <v>96</v>
      </c>
      <c r="O817" s="2">
        <v>10</v>
      </c>
      <c r="P817" s="2">
        <v>9</v>
      </c>
      <c r="Q817" s="4">
        <v>6480</v>
      </c>
      <c r="R817" s="4">
        <v>6330</v>
      </c>
      <c r="S817" s="4">
        <v>199</v>
      </c>
      <c r="T817" s="19">
        <f>(ProductionData[[#This Row],[Rejected_Qty]])/ProductionData[[#This Row],[Produced_Qty]]</f>
        <v>3.1437598736176936E-2</v>
      </c>
      <c r="U817" s="19">
        <f>ProductionData[[#This Row],[Produced_Qty]]/ProductionData[[#This Row],[Planned_Qty]]</f>
        <v>0.97685185185185186</v>
      </c>
      <c r="V817" s="2" t="s">
        <v>109</v>
      </c>
      <c r="W817" s="11">
        <v>33</v>
      </c>
      <c r="X817" s="13">
        <f>W817/60</f>
        <v>0.55000000000000004</v>
      </c>
      <c r="Y817" s="2" t="s">
        <v>182</v>
      </c>
      <c r="Z817" s="2">
        <v>33</v>
      </c>
      <c r="AA817" s="2">
        <f>ProductionData[[#This Row],[Rejected_Qty]]*ProductionData[[#This Row],[Unit_Cost_INR]]</f>
        <v>6567</v>
      </c>
      <c r="AB817" s="4">
        <v>28488</v>
      </c>
      <c r="AC817" s="4">
        <v>6540</v>
      </c>
      <c r="AD817" s="4">
        <v>6540</v>
      </c>
      <c r="AE817" s="4">
        <v>28079</v>
      </c>
      <c r="AF817" s="4">
        <v>9750</v>
      </c>
    </row>
    <row r="818" spans="1:32">
      <c r="A818" s="2" t="s">
        <v>1765</v>
      </c>
      <c r="B818" s="3">
        <v>46203</v>
      </c>
      <c r="C818" s="36" t="s">
        <v>1459</v>
      </c>
      <c r="D818" s="2">
        <f>MONTH(ProductionData[[#This Row],[Month]])</f>
        <v>6</v>
      </c>
      <c r="E818" s="2" t="s">
        <v>92</v>
      </c>
      <c r="F818" s="2" t="s">
        <v>80</v>
      </c>
      <c r="G818" s="2" t="s">
        <v>195</v>
      </c>
      <c r="H818" s="2" t="s">
        <v>196</v>
      </c>
      <c r="I818" s="2" t="s">
        <v>197</v>
      </c>
      <c r="J818" s="2" t="s">
        <v>269</v>
      </c>
      <c r="K818" s="2" t="s">
        <v>270</v>
      </c>
      <c r="L818" s="2" t="s">
        <v>1766</v>
      </c>
      <c r="M818" s="2" t="s">
        <v>102</v>
      </c>
      <c r="N818" s="2" t="s">
        <v>88</v>
      </c>
      <c r="O818" s="2">
        <v>14</v>
      </c>
      <c r="P818" s="2">
        <v>14</v>
      </c>
      <c r="Q818" s="4">
        <v>8240</v>
      </c>
      <c r="R818" s="4">
        <v>7980</v>
      </c>
      <c r="S818" s="4">
        <v>206</v>
      </c>
      <c r="T818" s="19">
        <f>(ProductionData[[#This Row],[Rejected_Qty]])/ProductionData[[#This Row],[Produced_Qty]]</f>
        <v>2.581453634085213E-2</v>
      </c>
      <c r="U818" s="19">
        <f>ProductionData[[#This Row],[Produced_Qty]]/ProductionData[[#This Row],[Planned_Qty]]</f>
        <v>0.96844660194174759</v>
      </c>
      <c r="V818" s="2" t="s">
        <v>75</v>
      </c>
      <c r="W818" s="11">
        <v>45</v>
      </c>
      <c r="X818" s="13">
        <f>W818/60</f>
        <v>0.75</v>
      </c>
      <c r="Y818" s="2" t="s">
        <v>182</v>
      </c>
      <c r="Z818" s="2">
        <v>42</v>
      </c>
      <c r="AA818" s="2">
        <f>ProductionData[[#This Row],[Rejected_Qty]]*ProductionData[[#This Row],[Unit_Cost_INR]]</f>
        <v>8652</v>
      </c>
      <c r="AB818" s="4">
        <v>27015</v>
      </c>
      <c r="AC818" s="4">
        <v>6710</v>
      </c>
      <c r="AD818" s="4">
        <v>6710</v>
      </c>
      <c r="AE818" s="4">
        <v>28079</v>
      </c>
      <c r="AF818" s="4">
        <v>12000</v>
      </c>
    </row>
    <row r="819" spans="1:32">
      <c r="A819" s="2" t="s">
        <v>1767</v>
      </c>
      <c r="B819" s="3">
        <v>46191</v>
      </c>
      <c r="C819" s="36" t="s">
        <v>1459</v>
      </c>
      <c r="D819" s="2">
        <f>MONTH(ProductionData[[#This Row],[Month]])</f>
        <v>6</v>
      </c>
      <c r="E819" s="2" t="s">
        <v>107</v>
      </c>
      <c r="F819" s="2" t="s">
        <v>93</v>
      </c>
      <c r="G819" s="2" t="s">
        <v>174</v>
      </c>
      <c r="H819" s="2" t="s">
        <v>175</v>
      </c>
      <c r="I819" s="2" t="s">
        <v>176</v>
      </c>
      <c r="J819" s="2" t="s">
        <v>443</v>
      </c>
      <c r="K819" s="2" t="s">
        <v>444</v>
      </c>
      <c r="L819" s="2" t="s">
        <v>1768</v>
      </c>
      <c r="M819" s="2" t="s">
        <v>133</v>
      </c>
      <c r="N819" s="2" t="s">
        <v>88</v>
      </c>
      <c r="O819" s="2">
        <v>10</v>
      </c>
      <c r="P819" s="2">
        <v>10</v>
      </c>
      <c r="Q819" s="4">
        <v>6130</v>
      </c>
      <c r="R819" s="4">
        <v>5840</v>
      </c>
      <c r="S819" s="4">
        <v>174</v>
      </c>
      <c r="T819" s="19">
        <f>(ProductionData[[#This Row],[Rejected_Qty]])/ProductionData[[#This Row],[Produced_Qty]]</f>
        <v>2.9794520547945205E-2</v>
      </c>
      <c r="U819" s="19">
        <f>ProductionData[[#This Row],[Produced_Qty]]/ProductionData[[#This Row],[Planned_Qty]]</f>
        <v>0.95269168026101136</v>
      </c>
      <c r="V819" s="2" t="s">
        <v>109</v>
      </c>
      <c r="W819" s="11">
        <v>0</v>
      </c>
      <c r="X819" s="13">
        <f>W819/60</f>
        <v>0</v>
      </c>
      <c r="Y819" s="2" t="s">
        <v>90</v>
      </c>
      <c r="Z819" s="2">
        <v>33</v>
      </c>
      <c r="AA819" s="2">
        <f>ProductionData[[#This Row],[Rejected_Qty]]*ProductionData[[#This Row],[Unit_Cost_INR]]</f>
        <v>5742</v>
      </c>
      <c r="AB819" s="4">
        <v>27866</v>
      </c>
      <c r="AC819" s="4">
        <v>5460</v>
      </c>
      <c r="AD819" s="4">
        <v>5460</v>
      </c>
      <c r="AE819" s="4">
        <v>28072</v>
      </c>
      <c r="AF819" s="4">
        <v>9750</v>
      </c>
    </row>
    <row r="820" spans="1:32">
      <c r="A820" s="2" t="s">
        <v>1769</v>
      </c>
      <c r="B820" s="3">
        <v>46182</v>
      </c>
      <c r="C820" s="36" t="s">
        <v>1459</v>
      </c>
      <c r="D820" s="2">
        <f>MONTH(ProductionData[[#This Row],[Month]])</f>
        <v>6</v>
      </c>
      <c r="E820" s="2" t="s">
        <v>92</v>
      </c>
      <c r="F820" s="2" t="s">
        <v>93</v>
      </c>
      <c r="G820" s="2" t="s">
        <v>67</v>
      </c>
      <c r="H820" s="2" t="s">
        <v>68</v>
      </c>
      <c r="I820" s="2" t="s">
        <v>69</v>
      </c>
      <c r="J820" s="2" t="s">
        <v>70</v>
      </c>
      <c r="K820" s="2" t="s">
        <v>71</v>
      </c>
      <c r="L820" s="2" t="s">
        <v>1770</v>
      </c>
      <c r="M820" s="2" t="s">
        <v>95</v>
      </c>
      <c r="N820" s="2" t="s">
        <v>88</v>
      </c>
      <c r="O820" s="2">
        <v>16</v>
      </c>
      <c r="P820" s="2">
        <v>14</v>
      </c>
      <c r="Q820" s="4">
        <v>7130</v>
      </c>
      <c r="R820" s="4">
        <v>6340</v>
      </c>
      <c r="S820" s="4">
        <v>164</v>
      </c>
      <c r="T820" s="19">
        <f>(ProductionData[[#This Row],[Rejected_Qty]])/ProductionData[[#This Row],[Produced_Qty]]</f>
        <v>2.5867507886435333E-2</v>
      </c>
      <c r="U820" s="19">
        <f>ProductionData[[#This Row],[Produced_Qty]]/ProductionData[[#This Row],[Planned_Qty]]</f>
        <v>0.8892005610098177</v>
      </c>
      <c r="V820" s="2" t="s">
        <v>103</v>
      </c>
      <c r="W820" s="11">
        <v>29</v>
      </c>
      <c r="X820" s="13">
        <f>W820/60</f>
        <v>0.48333333333333334</v>
      </c>
      <c r="Y820" s="2" t="s">
        <v>76</v>
      </c>
      <c r="Z820" s="2">
        <v>46</v>
      </c>
      <c r="AA820" s="2">
        <f>ProductionData[[#This Row],[Rejected_Qty]]*ProductionData[[#This Row],[Unit_Cost_INR]]</f>
        <v>7544</v>
      </c>
      <c r="AB820" s="4">
        <v>27249</v>
      </c>
      <c r="AC820" s="4">
        <v>5510</v>
      </c>
      <c r="AD820" s="4">
        <v>5510</v>
      </c>
      <c r="AE820" s="4">
        <v>27915</v>
      </c>
      <c r="AF820" s="4">
        <v>10500</v>
      </c>
    </row>
    <row r="821" spans="1:32">
      <c r="A821" s="2" t="s">
        <v>1771</v>
      </c>
      <c r="B821" s="3">
        <v>46190</v>
      </c>
      <c r="C821" s="36" t="s">
        <v>1459</v>
      </c>
      <c r="D821" s="2">
        <f>MONTH(ProductionData[[#This Row],[Month]])</f>
        <v>6</v>
      </c>
      <c r="E821" s="2" t="s">
        <v>79</v>
      </c>
      <c r="F821" s="2" t="s">
        <v>93</v>
      </c>
      <c r="G821" s="2" t="s">
        <v>174</v>
      </c>
      <c r="H821" s="2" t="s">
        <v>175</v>
      </c>
      <c r="I821" s="2" t="s">
        <v>176</v>
      </c>
      <c r="J821" s="2" t="s">
        <v>443</v>
      </c>
      <c r="K821" s="2" t="s">
        <v>444</v>
      </c>
      <c r="L821" s="2" t="s">
        <v>1772</v>
      </c>
      <c r="M821" s="2" t="s">
        <v>95</v>
      </c>
      <c r="N821" s="2" t="s">
        <v>96</v>
      </c>
      <c r="O821" s="2">
        <v>10</v>
      </c>
      <c r="P821" s="2">
        <v>10</v>
      </c>
      <c r="Q821" s="4">
        <v>5710</v>
      </c>
      <c r="R821" s="4">
        <v>5520</v>
      </c>
      <c r="S821" s="4">
        <v>190</v>
      </c>
      <c r="T821" s="19">
        <f>(ProductionData[[#This Row],[Rejected_Qty]])/ProductionData[[#This Row],[Produced_Qty]]</f>
        <v>3.4420289855072464E-2</v>
      </c>
      <c r="U821" s="19">
        <f>ProductionData[[#This Row],[Produced_Qty]]/ProductionData[[#This Row],[Planned_Qty]]</f>
        <v>0.96672504378283708</v>
      </c>
      <c r="V821" s="2" t="s">
        <v>103</v>
      </c>
      <c r="W821" s="11">
        <v>28</v>
      </c>
      <c r="X821" s="13">
        <f>W821/60</f>
        <v>0.46666666666666667</v>
      </c>
      <c r="Y821" s="2" t="s">
        <v>76</v>
      </c>
      <c r="Z821" s="2">
        <v>33</v>
      </c>
      <c r="AA821" s="2">
        <f>ProductionData[[#This Row],[Rejected_Qty]]*ProductionData[[#This Row],[Unit_Cost_INR]]</f>
        <v>6270</v>
      </c>
      <c r="AB821" s="4">
        <v>27496</v>
      </c>
      <c r="AC821" s="4">
        <v>4960</v>
      </c>
      <c r="AD821" s="4">
        <v>4960</v>
      </c>
      <c r="AE821" s="4">
        <v>27866</v>
      </c>
      <c r="AF821" s="4">
        <v>9750</v>
      </c>
    </row>
    <row r="822" spans="1:32">
      <c r="A822" s="2" t="s">
        <v>1773</v>
      </c>
      <c r="B822" s="3">
        <v>46186</v>
      </c>
      <c r="C822" s="36" t="s">
        <v>1459</v>
      </c>
      <c r="D822" s="2">
        <f>MONTH(ProductionData[[#This Row],[Month]])</f>
        <v>6</v>
      </c>
      <c r="E822" s="2" t="s">
        <v>65</v>
      </c>
      <c r="F822" s="2" t="s">
        <v>93</v>
      </c>
      <c r="G822" s="2" t="s">
        <v>174</v>
      </c>
      <c r="H822" s="2" t="s">
        <v>175</v>
      </c>
      <c r="I822" s="2" t="s">
        <v>176</v>
      </c>
      <c r="J822" s="2" t="s">
        <v>443</v>
      </c>
      <c r="K822" s="2" t="s">
        <v>444</v>
      </c>
      <c r="L822" s="2" t="s">
        <v>1774</v>
      </c>
      <c r="M822" s="2" t="s">
        <v>95</v>
      </c>
      <c r="N822" s="2" t="s">
        <v>88</v>
      </c>
      <c r="O822" s="2">
        <v>10</v>
      </c>
      <c r="P822" s="2">
        <v>9</v>
      </c>
      <c r="Q822" s="4">
        <v>5740</v>
      </c>
      <c r="R822" s="4">
        <v>5100</v>
      </c>
      <c r="S822" s="4">
        <v>86</v>
      </c>
      <c r="T822" s="19">
        <f>(ProductionData[[#This Row],[Rejected_Qty]])/ProductionData[[#This Row],[Produced_Qty]]</f>
        <v>1.6862745098039214E-2</v>
      </c>
      <c r="U822" s="19">
        <f>ProductionData[[#This Row],[Produced_Qty]]/ProductionData[[#This Row],[Planned_Qty]]</f>
        <v>0.88850174216027877</v>
      </c>
      <c r="V822" s="2" t="s">
        <v>89</v>
      </c>
      <c r="W822" s="11">
        <v>0</v>
      </c>
      <c r="X822" s="13">
        <f>W822/60</f>
        <v>0</v>
      </c>
      <c r="Y822" s="2" t="s">
        <v>90</v>
      </c>
      <c r="Z822" s="2">
        <v>33</v>
      </c>
      <c r="AA822" s="2">
        <f>ProductionData[[#This Row],[Rejected_Qty]]*ProductionData[[#This Row],[Unit_Cost_INR]]</f>
        <v>2838</v>
      </c>
      <c r="AB822" s="4">
        <v>27686</v>
      </c>
      <c r="AC822" s="4">
        <v>4880</v>
      </c>
      <c r="AD822" s="4">
        <v>4880</v>
      </c>
      <c r="AE822" s="4">
        <v>27820</v>
      </c>
      <c r="AF822" s="4">
        <v>9750</v>
      </c>
    </row>
    <row r="823" spans="1:32">
      <c r="A823" s="2" t="s">
        <v>1775</v>
      </c>
      <c r="B823" s="3">
        <v>46178</v>
      </c>
      <c r="C823" s="36" t="s">
        <v>1459</v>
      </c>
      <c r="D823" s="2">
        <f>MONTH(ProductionData[[#This Row],[Month]])</f>
        <v>6</v>
      </c>
      <c r="E823" s="2" t="s">
        <v>125</v>
      </c>
      <c r="F823" s="2" t="s">
        <v>66</v>
      </c>
      <c r="G823" s="2" t="s">
        <v>174</v>
      </c>
      <c r="H823" s="2" t="s">
        <v>175</v>
      </c>
      <c r="I823" s="2" t="s">
        <v>176</v>
      </c>
      <c r="J823" s="2" t="s">
        <v>443</v>
      </c>
      <c r="K823" s="2" t="s">
        <v>444</v>
      </c>
      <c r="L823" s="2" t="s">
        <v>1776</v>
      </c>
      <c r="M823" s="2" t="s">
        <v>99</v>
      </c>
      <c r="N823" s="2" t="s">
        <v>88</v>
      </c>
      <c r="O823" s="2">
        <v>10</v>
      </c>
      <c r="P823" s="2">
        <v>10</v>
      </c>
      <c r="Q823" s="4">
        <v>6620</v>
      </c>
      <c r="R823" s="4">
        <v>6490</v>
      </c>
      <c r="S823" s="4">
        <v>169</v>
      </c>
      <c r="T823" s="19">
        <f>(ProductionData[[#This Row],[Rejected_Qty]])/ProductionData[[#This Row],[Produced_Qty]]</f>
        <v>2.6040061633281972E-2</v>
      </c>
      <c r="U823" s="19">
        <f>ProductionData[[#This Row],[Produced_Qty]]/ProductionData[[#This Row],[Planned_Qty]]</f>
        <v>0.98036253776435045</v>
      </c>
      <c r="V823" s="2" t="s">
        <v>113</v>
      </c>
      <c r="W823" s="11">
        <v>46</v>
      </c>
      <c r="X823" s="13">
        <f>W823/60</f>
        <v>0.76666666666666672</v>
      </c>
      <c r="Y823" s="2" t="s">
        <v>136</v>
      </c>
      <c r="Z823" s="2">
        <v>33</v>
      </c>
      <c r="AA823" s="2">
        <f>ProductionData[[#This Row],[Rejected_Qty]]*ProductionData[[#This Row],[Unit_Cost_INR]]</f>
        <v>5577</v>
      </c>
      <c r="AB823" s="4">
        <v>27794</v>
      </c>
      <c r="AC823" s="4">
        <v>6310</v>
      </c>
      <c r="AD823" s="4">
        <v>6310</v>
      </c>
      <c r="AE823" s="4">
        <v>27805</v>
      </c>
      <c r="AF823" s="4">
        <v>9750</v>
      </c>
    </row>
    <row r="824" spans="1:32">
      <c r="A824" s="2" t="s">
        <v>1777</v>
      </c>
      <c r="B824" s="3">
        <v>46176</v>
      </c>
      <c r="C824" s="36" t="s">
        <v>1459</v>
      </c>
      <c r="D824" s="2">
        <f>MONTH(ProductionData[[#This Row],[Month]])</f>
        <v>6</v>
      </c>
      <c r="E824" s="2" t="s">
        <v>79</v>
      </c>
      <c r="F824" s="2" t="s">
        <v>93</v>
      </c>
      <c r="G824" s="2" t="s">
        <v>174</v>
      </c>
      <c r="H824" s="2" t="s">
        <v>175</v>
      </c>
      <c r="I824" s="2" t="s">
        <v>176</v>
      </c>
      <c r="J824" s="2" t="s">
        <v>443</v>
      </c>
      <c r="K824" s="2" t="s">
        <v>444</v>
      </c>
      <c r="L824" s="2" t="s">
        <v>1778</v>
      </c>
      <c r="M824" s="2" t="s">
        <v>133</v>
      </c>
      <c r="N824" s="2" t="s">
        <v>88</v>
      </c>
      <c r="O824" s="2">
        <v>10</v>
      </c>
      <c r="P824" s="2">
        <v>9</v>
      </c>
      <c r="Q824" s="4">
        <v>6160</v>
      </c>
      <c r="R824" s="4">
        <v>5970</v>
      </c>
      <c r="S824" s="4">
        <v>195</v>
      </c>
      <c r="T824" s="19">
        <f>(ProductionData[[#This Row],[Rejected_Qty]])/ProductionData[[#This Row],[Produced_Qty]]</f>
        <v>3.2663316582914576E-2</v>
      </c>
      <c r="U824" s="19">
        <f>ProductionData[[#This Row],[Produced_Qty]]/ProductionData[[#This Row],[Planned_Qty]]</f>
        <v>0.9691558441558441</v>
      </c>
      <c r="V824" s="2" t="s">
        <v>89</v>
      </c>
      <c r="W824" s="11">
        <v>0</v>
      </c>
      <c r="X824" s="13">
        <f>W824/60</f>
        <v>0</v>
      </c>
      <c r="Y824" s="2" t="s">
        <v>90</v>
      </c>
      <c r="Z824" s="2">
        <v>33</v>
      </c>
      <c r="AA824" s="2">
        <f>ProductionData[[#This Row],[Rejected_Qty]]*ProductionData[[#This Row],[Unit_Cost_INR]]</f>
        <v>6435</v>
      </c>
      <c r="AB824" s="4">
        <v>26649</v>
      </c>
      <c r="AC824" s="4">
        <v>4630</v>
      </c>
      <c r="AD824" s="4">
        <v>4630</v>
      </c>
      <c r="AE824" s="4">
        <v>27794</v>
      </c>
      <c r="AF824" s="4">
        <v>9750</v>
      </c>
    </row>
    <row r="825" spans="1:32">
      <c r="A825" s="2" t="s">
        <v>1779</v>
      </c>
      <c r="B825" s="3">
        <v>46185</v>
      </c>
      <c r="C825" s="36" t="s">
        <v>1459</v>
      </c>
      <c r="D825" s="2">
        <f>MONTH(ProductionData[[#This Row],[Month]])</f>
        <v>6</v>
      </c>
      <c r="E825" s="2" t="s">
        <v>125</v>
      </c>
      <c r="F825" s="2" t="s">
        <v>93</v>
      </c>
      <c r="G825" s="2" t="s">
        <v>174</v>
      </c>
      <c r="H825" s="2" t="s">
        <v>175</v>
      </c>
      <c r="I825" s="2" t="s">
        <v>176</v>
      </c>
      <c r="J825" s="2" t="s">
        <v>443</v>
      </c>
      <c r="K825" s="2" t="s">
        <v>444</v>
      </c>
      <c r="L825" s="2" t="s">
        <v>1780</v>
      </c>
      <c r="M825" s="2" t="s">
        <v>133</v>
      </c>
      <c r="N825" s="2" t="s">
        <v>96</v>
      </c>
      <c r="O825" s="2">
        <v>10</v>
      </c>
      <c r="P825" s="2">
        <v>8</v>
      </c>
      <c r="Q825" s="4">
        <v>5910</v>
      </c>
      <c r="R825" s="4">
        <v>5030</v>
      </c>
      <c r="S825" s="4">
        <v>165</v>
      </c>
      <c r="T825" s="19">
        <f>(ProductionData[[#This Row],[Rejected_Qty]])/ProductionData[[#This Row],[Produced_Qty]]</f>
        <v>3.2803180914512925E-2</v>
      </c>
      <c r="U825" s="19">
        <f>ProductionData[[#This Row],[Produced_Qty]]/ProductionData[[#This Row],[Planned_Qty]]</f>
        <v>0.8510998307952623</v>
      </c>
      <c r="V825" s="2" t="s">
        <v>75</v>
      </c>
      <c r="W825" s="11">
        <v>52</v>
      </c>
      <c r="X825" s="13">
        <f>W825/60</f>
        <v>0.8666666666666667</v>
      </c>
      <c r="Y825" s="2" t="s">
        <v>259</v>
      </c>
      <c r="Z825" s="2">
        <v>33</v>
      </c>
      <c r="AA825" s="2">
        <f>ProductionData[[#This Row],[Rejected_Qty]]*ProductionData[[#This Row],[Unit_Cost_INR]]</f>
        <v>5445</v>
      </c>
      <c r="AB825" s="4">
        <v>28501</v>
      </c>
      <c r="AC825" s="4">
        <v>5680</v>
      </c>
      <c r="AD825" s="4">
        <v>5680</v>
      </c>
      <c r="AE825" s="4">
        <v>27686</v>
      </c>
      <c r="AF825" s="4">
        <v>9750</v>
      </c>
    </row>
    <row r="826" spans="1:32">
      <c r="A826" s="2" t="s">
        <v>1781</v>
      </c>
      <c r="B826" s="3">
        <v>46179</v>
      </c>
      <c r="C826" s="36" t="s">
        <v>1459</v>
      </c>
      <c r="D826" s="2">
        <f>MONTH(ProductionData[[#This Row],[Month]])</f>
        <v>6</v>
      </c>
      <c r="E826" s="2" t="s">
        <v>65</v>
      </c>
      <c r="F826" s="2" t="s">
        <v>80</v>
      </c>
      <c r="G826" s="2" t="s">
        <v>174</v>
      </c>
      <c r="H826" s="2" t="s">
        <v>175</v>
      </c>
      <c r="I826" s="2" t="s">
        <v>176</v>
      </c>
      <c r="J826" s="2" t="s">
        <v>443</v>
      </c>
      <c r="K826" s="2" t="s">
        <v>444</v>
      </c>
      <c r="L826" s="2" t="s">
        <v>1782</v>
      </c>
      <c r="M826" s="2" t="s">
        <v>87</v>
      </c>
      <c r="N826" s="2" t="s">
        <v>88</v>
      </c>
      <c r="O826" s="2">
        <v>10</v>
      </c>
      <c r="P826" s="2">
        <v>10</v>
      </c>
      <c r="Q826" s="4">
        <v>6050</v>
      </c>
      <c r="R826" s="4">
        <v>6000</v>
      </c>
      <c r="S826" s="4">
        <v>119</v>
      </c>
      <c r="T826" s="19">
        <f>(ProductionData[[#This Row],[Rejected_Qty]])/ProductionData[[#This Row],[Produced_Qty]]</f>
        <v>1.9833333333333335E-2</v>
      </c>
      <c r="U826" s="19">
        <f>ProductionData[[#This Row],[Produced_Qty]]/ProductionData[[#This Row],[Planned_Qty]]</f>
        <v>0.99173553719008267</v>
      </c>
      <c r="V826" s="2" t="s">
        <v>103</v>
      </c>
      <c r="W826" s="11">
        <v>0</v>
      </c>
      <c r="X826" s="13">
        <f>W826/60</f>
        <v>0</v>
      </c>
      <c r="Y826" s="2" t="s">
        <v>90</v>
      </c>
      <c r="Z826" s="2">
        <v>33</v>
      </c>
      <c r="AA826" s="2">
        <f>ProductionData[[#This Row],[Rejected_Qty]]*ProductionData[[#This Row],[Unit_Cost_INR]]</f>
        <v>3927</v>
      </c>
      <c r="AB826" s="4">
        <v>27380</v>
      </c>
      <c r="AC826" s="4">
        <v>5610</v>
      </c>
      <c r="AD826" s="4">
        <v>5610</v>
      </c>
      <c r="AE826" s="4">
        <v>27651</v>
      </c>
      <c r="AF826" s="4">
        <v>9750</v>
      </c>
    </row>
    <row r="827" spans="1:32">
      <c r="A827" s="2" t="s">
        <v>1783</v>
      </c>
      <c r="B827" s="3">
        <v>46187</v>
      </c>
      <c r="C827" s="36" t="s">
        <v>1459</v>
      </c>
      <c r="D827" s="2">
        <f>MONTH(ProductionData[[#This Row],[Month]])</f>
        <v>6</v>
      </c>
      <c r="E827" s="2" t="s">
        <v>186</v>
      </c>
      <c r="F827" s="2" t="s">
        <v>80</v>
      </c>
      <c r="G827" s="2" t="s">
        <v>174</v>
      </c>
      <c r="H827" s="2" t="s">
        <v>175</v>
      </c>
      <c r="I827" s="2" t="s">
        <v>176</v>
      </c>
      <c r="J827" s="2" t="s">
        <v>443</v>
      </c>
      <c r="K827" s="2" t="s">
        <v>444</v>
      </c>
      <c r="L827" s="2" t="s">
        <v>1784</v>
      </c>
      <c r="M827" s="2" t="s">
        <v>87</v>
      </c>
      <c r="N827" s="2" t="s">
        <v>96</v>
      </c>
      <c r="O827" s="2">
        <v>10</v>
      </c>
      <c r="P827" s="2">
        <v>8</v>
      </c>
      <c r="Q827" s="4">
        <v>4720</v>
      </c>
      <c r="R827" s="4">
        <v>4290</v>
      </c>
      <c r="S827" s="4">
        <v>134</v>
      </c>
      <c r="T827" s="19">
        <f>(ProductionData[[#This Row],[Rejected_Qty]])/ProductionData[[#This Row],[Produced_Qty]]</f>
        <v>3.1235431235431235E-2</v>
      </c>
      <c r="U827" s="19">
        <f>ProductionData[[#This Row],[Produced_Qty]]/ProductionData[[#This Row],[Planned_Qty]]</f>
        <v>0.90889830508474578</v>
      </c>
      <c r="V827" s="2" t="s">
        <v>113</v>
      </c>
      <c r="W827" s="11">
        <v>33</v>
      </c>
      <c r="X827" s="13">
        <f>W827/60</f>
        <v>0.55000000000000004</v>
      </c>
      <c r="Y827" s="2" t="s">
        <v>136</v>
      </c>
      <c r="Z827" s="2">
        <v>33</v>
      </c>
      <c r="AA827" s="2">
        <f>ProductionData[[#This Row],[Rejected_Qty]]*ProductionData[[#This Row],[Unit_Cost_INR]]</f>
        <v>4422</v>
      </c>
      <c r="AB827" s="4">
        <v>27820</v>
      </c>
      <c r="AC827" s="4">
        <v>4480</v>
      </c>
      <c r="AD827" s="4">
        <v>4480</v>
      </c>
      <c r="AE827" s="4">
        <v>27496</v>
      </c>
      <c r="AF827" s="4">
        <v>9750</v>
      </c>
    </row>
    <row r="828" spans="1:32">
      <c r="A828" s="2" t="s">
        <v>1785</v>
      </c>
      <c r="B828" s="3">
        <v>46178</v>
      </c>
      <c r="C828" s="36" t="s">
        <v>1459</v>
      </c>
      <c r="D828" s="2">
        <f>MONTH(ProductionData[[#This Row],[Month]])</f>
        <v>6</v>
      </c>
      <c r="E828" s="2" t="s">
        <v>125</v>
      </c>
      <c r="F828" s="2" t="s">
        <v>80</v>
      </c>
      <c r="G828" s="2" t="s">
        <v>174</v>
      </c>
      <c r="H828" s="2" t="s">
        <v>175</v>
      </c>
      <c r="I828" s="2" t="s">
        <v>176</v>
      </c>
      <c r="J828" s="2" t="s">
        <v>443</v>
      </c>
      <c r="K828" s="2" t="s">
        <v>444</v>
      </c>
      <c r="L828" s="2" t="s">
        <v>1786</v>
      </c>
      <c r="M828" s="2" t="s">
        <v>87</v>
      </c>
      <c r="N828" s="2" t="s">
        <v>88</v>
      </c>
      <c r="O828" s="2">
        <v>10</v>
      </c>
      <c r="P828" s="2">
        <v>9</v>
      </c>
      <c r="Q828" s="4">
        <v>6070</v>
      </c>
      <c r="R828" s="4">
        <v>5240</v>
      </c>
      <c r="S828" s="4">
        <v>135</v>
      </c>
      <c r="T828" s="19">
        <f>(ProductionData[[#This Row],[Rejected_Qty]])/ProductionData[[#This Row],[Produced_Qty]]</f>
        <v>2.5763358778625955E-2</v>
      </c>
      <c r="U828" s="19">
        <f>ProductionData[[#This Row],[Produced_Qty]]/ProductionData[[#This Row],[Planned_Qty]]</f>
        <v>0.86326194398682043</v>
      </c>
      <c r="V828" s="2" t="s">
        <v>75</v>
      </c>
      <c r="W828" s="11">
        <v>0</v>
      </c>
      <c r="X828" s="13">
        <f>W828/60</f>
        <v>0</v>
      </c>
      <c r="Y828" s="2" t="s">
        <v>90</v>
      </c>
      <c r="Z828" s="2">
        <v>33</v>
      </c>
      <c r="AA828" s="2">
        <f>ProductionData[[#This Row],[Rejected_Qty]]*ProductionData[[#This Row],[Unit_Cost_INR]]</f>
        <v>4455</v>
      </c>
      <c r="AB828" s="4">
        <v>27805</v>
      </c>
      <c r="AC828" s="4">
        <v>5530</v>
      </c>
      <c r="AD828" s="4">
        <v>5530</v>
      </c>
      <c r="AE828" s="4">
        <v>27380</v>
      </c>
      <c r="AF828" s="4">
        <v>9750</v>
      </c>
    </row>
    <row r="829" spans="1:32">
      <c r="A829" s="2" t="s">
        <v>1787</v>
      </c>
      <c r="B829" s="3">
        <v>46182</v>
      </c>
      <c r="C829" s="36" t="s">
        <v>1459</v>
      </c>
      <c r="D829" s="2">
        <f>MONTH(ProductionData[[#This Row],[Month]])</f>
        <v>6</v>
      </c>
      <c r="E829" s="2" t="s">
        <v>92</v>
      </c>
      <c r="F829" s="2" t="s">
        <v>80</v>
      </c>
      <c r="G829" s="2" t="s">
        <v>67</v>
      </c>
      <c r="H829" s="2" t="s">
        <v>68</v>
      </c>
      <c r="I829" s="2" t="s">
        <v>69</v>
      </c>
      <c r="J829" s="2" t="s">
        <v>70</v>
      </c>
      <c r="K829" s="2" t="s">
        <v>71</v>
      </c>
      <c r="L829" s="2" t="s">
        <v>1788</v>
      </c>
      <c r="M829" s="2" t="s">
        <v>102</v>
      </c>
      <c r="N829" s="2" t="s">
        <v>96</v>
      </c>
      <c r="O829" s="2">
        <v>16</v>
      </c>
      <c r="P829" s="2">
        <v>15</v>
      </c>
      <c r="Q829" s="4">
        <v>7440</v>
      </c>
      <c r="R829" s="4">
        <v>6570</v>
      </c>
      <c r="S829" s="4">
        <v>169</v>
      </c>
      <c r="T829" s="19">
        <f>(ProductionData[[#This Row],[Rejected_Qty]])/ProductionData[[#This Row],[Produced_Qty]]</f>
        <v>2.5722983257229833E-2</v>
      </c>
      <c r="U829" s="19">
        <f>ProductionData[[#This Row],[Produced_Qty]]/ProductionData[[#This Row],[Planned_Qty]]</f>
        <v>0.88306451612903225</v>
      </c>
      <c r="V829" s="2" t="s">
        <v>103</v>
      </c>
      <c r="W829" s="11">
        <v>40</v>
      </c>
      <c r="X829" s="13">
        <f>W829/60</f>
        <v>0.66666666666666663</v>
      </c>
      <c r="Y829" s="2" t="s">
        <v>114</v>
      </c>
      <c r="Z829" s="2">
        <v>46</v>
      </c>
      <c r="AA829" s="2">
        <f>ProductionData[[#This Row],[Rejected_Qty]]*ProductionData[[#This Row],[Unit_Cost_INR]]</f>
        <v>7774</v>
      </c>
      <c r="AB829" s="4">
        <v>28248</v>
      </c>
      <c r="AC829" s="4">
        <v>7400</v>
      </c>
      <c r="AD829" s="4">
        <v>7400</v>
      </c>
      <c r="AE829" s="4">
        <v>27249</v>
      </c>
      <c r="AF829" s="4">
        <v>10500</v>
      </c>
    </row>
    <row r="830" spans="1:32">
      <c r="A830" s="2" t="s">
        <v>1789</v>
      </c>
      <c r="B830" s="3">
        <v>46188</v>
      </c>
      <c r="C830" s="36" t="s">
        <v>1459</v>
      </c>
      <c r="D830" s="2">
        <f>MONTH(ProductionData[[#This Row],[Month]])</f>
        <v>6</v>
      </c>
      <c r="E830" s="2" t="s">
        <v>116</v>
      </c>
      <c r="F830" s="2" t="s">
        <v>66</v>
      </c>
      <c r="G830" s="2" t="s">
        <v>195</v>
      </c>
      <c r="H830" s="2" t="s">
        <v>196</v>
      </c>
      <c r="I830" s="2" t="s">
        <v>197</v>
      </c>
      <c r="J830" s="2" t="s">
        <v>198</v>
      </c>
      <c r="K830" s="2" t="s">
        <v>199</v>
      </c>
      <c r="L830" s="2" t="s">
        <v>1790</v>
      </c>
      <c r="M830" s="2" t="s">
        <v>99</v>
      </c>
      <c r="N830" s="2" t="s">
        <v>96</v>
      </c>
      <c r="O830" s="2">
        <v>14</v>
      </c>
      <c r="P830" s="2">
        <v>14</v>
      </c>
      <c r="Q830" s="4">
        <v>8730</v>
      </c>
      <c r="R830" s="4">
        <v>8860</v>
      </c>
      <c r="S830" s="4">
        <v>255</v>
      </c>
      <c r="T830" s="19">
        <f>(ProductionData[[#This Row],[Rejected_Qty]])/ProductionData[[#This Row],[Produced_Qty]]</f>
        <v>2.8781038374717832E-2</v>
      </c>
      <c r="U830" s="19">
        <f>ProductionData[[#This Row],[Produced_Qty]]/ProductionData[[#This Row],[Planned_Qty]]</f>
        <v>1.0148911798396334</v>
      </c>
      <c r="V830" s="2" t="s">
        <v>75</v>
      </c>
      <c r="W830" s="11">
        <v>0</v>
      </c>
      <c r="X830" s="13">
        <f>W830/60</f>
        <v>0</v>
      </c>
      <c r="Y830" s="2" t="s">
        <v>90</v>
      </c>
      <c r="Z830" s="2">
        <v>38</v>
      </c>
      <c r="AA830" s="2">
        <f>ProductionData[[#This Row],[Rejected_Qty]]*ProductionData[[#This Row],[Unit_Cost_INR]]</f>
        <v>9690</v>
      </c>
      <c r="AB830" s="4">
        <v>25619</v>
      </c>
      <c r="AC830" s="4">
        <v>7140</v>
      </c>
      <c r="AD830" s="4">
        <v>7140</v>
      </c>
      <c r="AE830" s="4">
        <v>27084</v>
      </c>
      <c r="AF830" s="4">
        <v>13500</v>
      </c>
    </row>
    <row r="831" spans="1:32">
      <c r="A831" s="2" t="s">
        <v>1791</v>
      </c>
      <c r="B831" s="3">
        <v>46203</v>
      </c>
      <c r="C831" s="36" t="s">
        <v>1459</v>
      </c>
      <c r="D831" s="2">
        <f>MONTH(ProductionData[[#This Row],[Month]])</f>
        <v>6</v>
      </c>
      <c r="E831" s="2" t="s">
        <v>92</v>
      </c>
      <c r="F831" s="2" t="s">
        <v>66</v>
      </c>
      <c r="G831" s="2" t="s">
        <v>195</v>
      </c>
      <c r="H831" s="2" t="s">
        <v>196</v>
      </c>
      <c r="I831" s="2" t="s">
        <v>197</v>
      </c>
      <c r="J831" s="2" t="s">
        <v>269</v>
      </c>
      <c r="K831" s="2" t="s">
        <v>270</v>
      </c>
      <c r="L831" s="2" t="s">
        <v>1792</v>
      </c>
      <c r="M831" s="2" t="s">
        <v>73</v>
      </c>
      <c r="N831" s="2" t="s">
        <v>88</v>
      </c>
      <c r="O831" s="2">
        <v>14</v>
      </c>
      <c r="P831" s="2">
        <v>13</v>
      </c>
      <c r="Q831" s="4">
        <v>7440</v>
      </c>
      <c r="R831" s="4">
        <v>7010</v>
      </c>
      <c r="S831" s="4">
        <v>204</v>
      </c>
      <c r="T831" s="19">
        <f>(ProductionData[[#This Row],[Rejected_Qty]])/ProductionData[[#This Row],[Produced_Qty]]</f>
        <v>2.9101283880171185E-2</v>
      </c>
      <c r="U831" s="19">
        <f>ProductionData[[#This Row],[Produced_Qty]]/ProductionData[[#This Row],[Planned_Qty]]</f>
        <v>0.94220430107526887</v>
      </c>
      <c r="V831" s="2" t="s">
        <v>75</v>
      </c>
      <c r="W831" s="11">
        <v>0</v>
      </c>
      <c r="X831" s="13">
        <f>W831/60</f>
        <v>0</v>
      </c>
      <c r="Y831" s="2" t="s">
        <v>90</v>
      </c>
      <c r="Z831" s="2">
        <v>42</v>
      </c>
      <c r="AA831" s="2">
        <f>ProductionData[[#This Row],[Rejected_Qty]]*ProductionData[[#This Row],[Unit_Cost_INR]]</f>
        <v>8568</v>
      </c>
      <c r="AB831" s="4">
        <v>26419</v>
      </c>
      <c r="AC831" s="4">
        <v>6210</v>
      </c>
      <c r="AD831" s="4">
        <v>6210</v>
      </c>
      <c r="AE831" s="4">
        <v>27015</v>
      </c>
      <c r="AF831" s="4">
        <v>12000</v>
      </c>
    </row>
    <row r="832" spans="1:32">
      <c r="A832" s="2" t="s">
        <v>1793</v>
      </c>
      <c r="B832" s="3">
        <v>46203</v>
      </c>
      <c r="C832" s="36" t="s">
        <v>1459</v>
      </c>
      <c r="D832" s="2">
        <f>MONTH(ProductionData[[#This Row],[Month]])</f>
        <v>6</v>
      </c>
      <c r="E832" s="2" t="s">
        <v>92</v>
      </c>
      <c r="F832" s="2" t="s">
        <v>93</v>
      </c>
      <c r="G832" s="2" t="s">
        <v>195</v>
      </c>
      <c r="H832" s="2" t="s">
        <v>196</v>
      </c>
      <c r="I832" s="2" t="s">
        <v>197</v>
      </c>
      <c r="J832" s="2" t="s">
        <v>269</v>
      </c>
      <c r="K832" s="2" t="s">
        <v>270</v>
      </c>
      <c r="L832" s="2" t="s">
        <v>1794</v>
      </c>
      <c r="M832" s="2" t="s">
        <v>133</v>
      </c>
      <c r="N832" s="2" t="s">
        <v>96</v>
      </c>
      <c r="O832" s="2">
        <v>14</v>
      </c>
      <c r="P832" s="2">
        <v>11</v>
      </c>
      <c r="Q832" s="4">
        <v>7340</v>
      </c>
      <c r="R832" s="4">
        <v>6460</v>
      </c>
      <c r="S832" s="4">
        <v>252</v>
      </c>
      <c r="T832" s="19">
        <f>(ProductionData[[#This Row],[Rejected_Qty]])/ProductionData[[#This Row],[Produced_Qty]]</f>
        <v>3.9009287925696592E-2</v>
      </c>
      <c r="U832" s="19">
        <f>ProductionData[[#This Row],[Produced_Qty]]/ProductionData[[#This Row],[Planned_Qty]]</f>
        <v>0.88010899182561309</v>
      </c>
      <c r="V832" s="2" t="s">
        <v>75</v>
      </c>
      <c r="W832" s="11">
        <v>10</v>
      </c>
      <c r="X832" s="13">
        <f>W832/60</f>
        <v>0.16666666666666666</v>
      </c>
      <c r="Y832" s="2" t="s">
        <v>110</v>
      </c>
      <c r="Z832" s="2">
        <v>42</v>
      </c>
      <c r="AA832" s="2">
        <f>ProductionData[[#This Row],[Rejected_Qty]]*ProductionData[[#This Row],[Unit_Cost_INR]]</f>
        <v>10584</v>
      </c>
      <c r="AB832" s="4">
        <v>28079</v>
      </c>
      <c r="AC832" s="4">
        <v>7350</v>
      </c>
      <c r="AD832" s="4">
        <v>7350</v>
      </c>
      <c r="AE832" s="4">
        <v>26937</v>
      </c>
      <c r="AF832" s="4">
        <v>12000</v>
      </c>
    </row>
    <row r="833" spans="1:32">
      <c r="A833" s="2" t="s">
        <v>1795</v>
      </c>
      <c r="B833" s="3">
        <v>46174</v>
      </c>
      <c r="C833" s="36" t="s">
        <v>1459</v>
      </c>
      <c r="D833" s="2">
        <f>MONTH(ProductionData[[#This Row],[Month]])</f>
        <v>6</v>
      </c>
      <c r="E833" s="2" t="s">
        <v>116</v>
      </c>
      <c r="F833" s="2" t="s">
        <v>80</v>
      </c>
      <c r="G833" s="2" t="s">
        <v>174</v>
      </c>
      <c r="H833" s="2" t="s">
        <v>175</v>
      </c>
      <c r="I833" s="2" t="s">
        <v>176</v>
      </c>
      <c r="J833" s="2" t="s">
        <v>443</v>
      </c>
      <c r="K833" s="2" t="s">
        <v>444</v>
      </c>
      <c r="L833" s="2" t="s">
        <v>1796</v>
      </c>
      <c r="M833" s="2" t="s">
        <v>87</v>
      </c>
      <c r="N833" s="2" t="s">
        <v>96</v>
      </c>
      <c r="O833" s="2">
        <v>10</v>
      </c>
      <c r="P833" s="2">
        <v>10</v>
      </c>
      <c r="Q833" s="4">
        <v>6500</v>
      </c>
      <c r="R833" s="4">
        <v>6040</v>
      </c>
      <c r="S833" s="4">
        <v>224</v>
      </c>
      <c r="T833" s="19">
        <f>(ProductionData[[#This Row],[Rejected_Qty]])/ProductionData[[#This Row],[Produced_Qty]]</f>
        <v>3.7086092715231792E-2</v>
      </c>
      <c r="U833" s="19">
        <f>ProductionData[[#This Row],[Produced_Qty]]/ProductionData[[#This Row],[Planned_Qty]]</f>
        <v>0.92923076923076919</v>
      </c>
      <c r="V833" s="2" t="s">
        <v>75</v>
      </c>
      <c r="W833" s="11">
        <v>0</v>
      </c>
      <c r="X833" s="13">
        <f>W833/60</f>
        <v>0</v>
      </c>
      <c r="Y833" s="2" t="s">
        <v>90</v>
      </c>
      <c r="Z833" s="2">
        <v>33</v>
      </c>
      <c r="AA833" s="2">
        <f>ProductionData[[#This Row],[Rejected_Qty]]*ProductionData[[#This Row],[Unit_Cost_INR]]</f>
        <v>7392</v>
      </c>
      <c r="AB833" s="4">
        <v>26353</v>
      </c>
      <c r="AC833" s="4">
        <v>5520</v>
      </c>
      <c r="AD833" s="4">
        <v>5520</v>
      </c>
      <c r="AE833" s="4">
        <v>26649</v>
      </c>
      <c r="AF833" s="4">
        <v>9750</v>
      </c>
    </row>
    <row r="834" spans="1:32">
      <c r="A834" s="2" t="s">
        <v>1797</v>
      </c>
      <c r="B834" s="3">
        <v>46202</v>
      </c>
      <c r="C834" s="36" t="s">
        <v>1459</v>
      </c>
      <c r="D834" s="2">
        <f>MONTH(ProductionData[[#This Row],[Month]])</f>
        <v>6</v>
      </c>
      <c r="E834" s="2" t="s">
        <v>116</v>
      </c>
      <c r="F834" s="2" t="s">
        <v>93</v>
      </c>
      <c r="G834" s="2" t="s">
        <v>195</v>
      </c>
      <c r="H834" s="2" t="s">
        <v>196</v>
      </c>
      <c r="I834" s="2" t="s">
        <v>197</v>
      </c>
      <c r="J834" s="2" t="s">
        <v>269</v>
      </c>
      <c r="K834" s="2" t="s">
        <v>270</v>
      </c>
      <c r="L834" s="2" t="s">
        <v>1798</v>
      </c>
      <c r="M834" s="2" t="s">
        <v>133</v>
      </c>
      <c r="N834" s="2" t="s">
        <v>96</v>
      </c>
      <c r="O834" s="2">
        <v>14</v>
      </c>
      <c r="P834" s="2">
        <v>14</v>
      </c>
      <c r="Q834" s="4">
        <v>7530</v>
      </c>
      <c r="R834" s="4">
        <v>7450</v>
      </c>
      <c r="S834" s="4">
        <v>374</v>
      </c>
      <c r="T834" s="19">
        <f>(ProductionData[[#This Row],[Rejected_Qty]])/ProductionData[[#This Row],[Produced_Qty]]</f>
        <v>5.0201342281879197E-2</v>
      </c>
      <c r="U834" s="19">
        <f>ProductionData[[#This Row],[Produced_Qty]]/ProductionData[[#This Row],[Planned_Qty]]</f>
        <v>0.98937583001328022</v>
      </c>
      <c r="V834" s="2" t="s">
        <v>103</v>
      </c>
      <c r="W834" s="11">
        <v>0</v>
      </c>
      <c r="X834" s="13">
        <f>W834/60</f>
        <v>0</v>
      </c>
      <c r="Y834" s="2" t="s">
        <v>90</v>
      </c>
      <c r="Z834" s="2">
        <v>42</v>
      </c>
      <c r="AA834" s="2">
        <f>ProductionData[[#This Row],[Rejected_Qty]]*ProductionData[[#This Row],[Unit_Cost_INR]]</f>
        <v>15708</v>
      </c>
      <c r="AB834" s="4">
        <v>26173</v>
      </c>
      <c r="AC834" s="4">
        <v>6830</v>
      </c>
      <c r="AD834" s="4">
        <v>6830</v>
      </c>
      <c r="AE834" s="4">
        <v>26419</v>
      </c>
      <c r="AF834" s="4">
        <v>12000</v>
      </c>
    </row>
    <row r="835" spans="1:32">
      <c r="A835" s="2" t="s">
        <v>1799</v>
      </c>
      <c r="B835" s="3">
        <v>46200</v>
      </c>
      <c r="C835" s="36" t="s">
        <v>1459</v>
      </c>
      <c r="D835" s="2">
        <f>MONTH(ProductionData[[#This Row],[Month]])</f>
        <v>6</v>
      </c>
      <c r="E835" s="2" t="s">
        <v>65</v>
      </c>
      <c r="F835" s="2" t="s">
        <v>93</v>
      </c>
      <c r="G835" s="2" t="s">
        <v>195</v>
      </c>
      <c r="H835" s="2" t="s">
        <v>196</v>
      </c>
      <c r="I835" s="2" t="s">
        <v>197</v>
      </c>
      <c r="J835" s="2" t="s">
        <v>269</v>
      </c>
      <c r="K835" s="2" t="s">
        <v>270</v>
      </c>
      <c r="L835" s="2" t="s">
        <v>1800</v>
      </c>
      <c r="M835" s="2" t="s">
        <v>133</v>
      </c>
      <c r="N835" s="2" t="s">
        <v>88</v>
      </c>
      <c r="O835" s="2">
        <v>14</v>
      </c>
      <c r="P835" s="2">
        <v>11</v>
      </c>
      <c r="Q835" s="4">
        <v>7660</v>
      </c>
      <c r="R835" s="4">
        <v>6930</v>
      </c>
      <c r="S835" s="4">
        <v>153</v>
      </c>
      <c r="T835" s="19">
        <f>(ProductionData[[#This Row],[Rejected_Qty]])/ProductionData[[#This Row],[Produced_Qty]]</f>
        <v>2.2077922077922078E-2</v>
      </c>
      <c r="U835" s="19">
        <f>ProductionData[[#This Row],[Produced_Qty]]/ProductionData[[#This Row],[Planned_Qty]]</f>
        <v>0.90469973890339428</v>
      </c>
      <c r="V835" s="2" t="s">
        <v>75</v>
      </c>
      <c r="W835" s="11">
        <v>0</v>
      </c>
      <c r="X835" s="13">
        <f>W835/60</f>
        <v>0</v>
      </c>
      <c r="Y835" s="2" t="s">
        <v>90</v>
      </c>
      <c r="Z835" s="2">
        <v>42</v>
      </c>
      <c r="AA835" s="2">
        <f>ProductionData[[#This Row],[Rejected_Qty]]*ProductionData[[#This Row],[Unit_Cost_INR]]</f>
        <v>6426</v>
      </c>
      <c r="AB835" s="4">
        <v>26026</v>
      </c>
      <c r="AC835" s="4">
        <v>6630</v>
      </c>
      <c r="AD835" s="4">
        <v>6630</v>
      </c>
      <c r="AE835" s="4">
        <v>26173</v>
      </c>
      <c r="AF835" s="4">
        <v>12000</v>
      </c>
    </row>
    <row r="836" spans="1:32">
      <c r="A836" s="2" t="s">
        <v>1801</v>
      </c>
      <c r="B836" s="3">
        <v>46196</v>
      </c>
      <c r="C836" s="36" t="s">
        <v>1459</v>
      </c>
      <c r="D836" s="2">
        <f>MONTH(ProductionData[[#This Row],[Month]])</f>
        <v>6</v>
      </c>
      <c r="E836" s="2" t="s">
        <v>92</v>
      </c>
      <c r="F836" s="2" t="s">
        <v>80</v>
      </c>
      <c r="G836" s="2" t="s">
        <v>195</v>
      </c>
      <c r="H836" s="2" t="s">
        <v>196</v>
      </c>
      <c r="I836" s="2" t="s">
        <v>197</v>
      </c>
      <c r="J836" s="2" t="s">
        <v>269</v>
      </c>
      <c r="K836" s="2" t="s">
        <v>270</v>
      </c>
      <c r="L836" s="2" t="s">
        <v>1802</v>
      </c>
      <c r="M836" s="2" t="s">
        <v>87</v>
      </c>
      <c r="N836" s="2" t="s">
        <v>88</v>
      </c>
      <c r="O836" s="2">
        <v>14</v>
      </c>
      <c r="P836" s="2">
        <v>12</v>
      </c>
      <c r="Q836" s="4">
        <v>7710</v>
      </c>
      <c r="R836" s="4">
        <v>6930</v>
      </c>
      <c r="S836" s="4">
        <v>115</v>
      </c>
      <c r="T836" s="19">
        <f>(ProductionData[[#This Row],[Rejected_Qty]])/ProductionData[[#This Row],[Produced_Qty]]</f>
        <v>1.6594516594516596E-2</v>
      </c>
      <c r="U836" s="19">
        <f>ProductionData[[#This Row],[Produced_Qty]]/ProductionData[[#This Row],[Planned_Qty]]</f>
        <v>0.89883268482490275</v>
      </c>
      <c r="V836" s="2" t="s">
        <v>103</v>
      </c>
      <c r="W836" s="11">
        <v>71</v>
      </c>
      <c r="X836" s="13">
        <f>W836/60</f>
        <v>1.1833333333333333</v>
      </c>
      <c r="Y836" s="2" t="s">
        <v>136</v>
      </c>
      <c r="Z836" s="2">
        <v>42</v>
      </c>
      <c r="AA836" s="2">
        <f>ProductionData[[#This Row],[Rejected_Qty]]*ProductionData[[#This Row],[Unit_Cost_INR]]</f>
        <v>4830</v>
      </c>
      <c r="AB836" s="4">
        <v>25886</v>
      </c>
      <c r="AC836" s="4">
        <v>6550</v>
      </c>
      <c r="AD836" s="4">
        <v>6550</v>
      </c>
      <c r="AE836" s="4">
        <v>26151</v>
      </c>
      <c r="AF836" s="4">
        <v>12000</v>
      </c>
    </row>
    <row r="837" spans="1:32">
      <c r="A837" s="2" t="s">
        <v>1803</v>
      </c>
      <c r="B837" s="3">
        <v>46200</v>
      </c>
      <c r="C837" s="36" t="s">
        <v>1459</v>
      </c>
      <c r="D837" s="2">
        <f>MONTH(ProductionData[[#This Row],[Month]])</f>
        <v>6</v>
      </c>
      <c r="E837" s="2" t="s">
        <v>65</v>
      </c>
      <c r="F837" s="2" t="s">
        <v>80</v>
      </c>
      <c r="G837" s="2" t="s">
        <v>195</v>
      </c>
      <c r="H837" s="2" t="s">
        <v>196</v>
      </c>
      <c r="I837" s="2" t="s">
        <v>197</v>
      </c>
      <c r="J837" s="2" t="s">
        <v>269</v>
      </c>
      <c r="K837" s="2" t="s">
        <v>270</v>
      </c>
      <c r="L837" s="2" t="s">
        <v>1804</v>
      </c>
      <c r="M837" s="2" t="s">
        <v>102</v>
      </c>
      <c r="N837" s="2" t="s">
        <v>88</v>
      </c>
      <c r="O837" s="2">
        <v>14</v>
      </c>
      <c r="P837" s="2">
        <v>13</v>
      </c>
      <c r="Q837" s="4">
        <v>8030</v>
      </c>
      <c r="R837" s="4">
        <v>7900</v>
      </c>
      <c r="S837" s="4">
        <v>201</v>
      </c>
      <c r="T837" s="19">
        <f>(ProductionData[[#This Row],[Rejected_Qty]])/ProductionData[[#This Row],[Produced_Qty]]</f>
        <v>2.5443037974683544E-2</v>
      </c>
      <c r="U837" s="19">
        <f>ProductionData[[#This Row],[Produced_Qty]]/ProductionData[[#This Row],[Planned_Qty]]</f>
        <v>0.98381070983810714</v>
      </c>
      <c r="V837" s="2" t="s">
        <v>75</v>
      </c>
      <c r="W837" s="11">
        <v>12</v>
      </c>
      <c r="X837" s="13">
        <f>W837/60</f>
        <v>0.2</v>
      </c>
      <c r="Y837" s="2" t="s">
        <v>110</v>
      </c>
      <c r="Z837" s="2">
        <v>42</v>
      </c>
      <c r="AA837" s="2">
        <f>ProductionData[[#This Row],[Rejected_Qty]]*ProductionData[[#This Row],[Unit_Cost_INR]]</f>
        <v>8442</v>
      </c>
      <c r="AB837" s="4">
        <v>24767</v>
      </c>
      <c r="AC837" s="4">
        <v>6440</v>
      </c>
      <c r="AD837" s="4">
        <v>6440</v>
      </c>
      <c r="AE837" s="4">
        <v>26026</v>
      </c>
      <c r="AF837" s="4">
        <v>12000</v>
      </c>
    </row>
    <row r="838" spans="1:32">
      <c r="A838" s="2" t="s">
        <v>1805</v>
      </c>
      <c r="B838" s="3">
        <v>46195</v>
      </c>
      <c r="C838" s="36" t="s">
        <v>1459</v>
      </c>
      <c r="D838" s="2">
        <f>MONTH(ProductionData[[#This Row],[Month]])</f>
        <v>6</v>
      </c>
      <c r="E838" s="2" t="s">
        <v>116</v>
      </c>
      <c r="F838" s="2" t="s">
        <v>93</v>
      </c>
      <c r="G838" s="2" t="s">
        <v>195</v>
      </c>
      <c r="H838" s="2" t="s">
        <v>196</v>
      </c>
      <c r="I838" s="2" t="s">
        <v>197</v>
      </c>
      <c r="J838" s="2" t="s">
        <v>269</v>
      </c>
      <c r="K838" s="2" t="s">
        <v>270</v>
      </c>
      <c r="L838" s="2" t="s">
        <v>1806</v>
      </c>
      <c r="M838" s="2" t="s">
        <v>95</v>
      </c>
      <c r="N838" s="2" t="s">
        <v>96</v>
      </c>
      <c r="O838" s="2">
        <v>14</v>
      </c>
      <c r="P838" s="2">
        <v>11</v>
      </c>
      <c r="Q838" s="4">
        <v>7500</v>
      </c>
      <c r="R838" s="4">
        <v>6380</v>
      </c>
      <c r="S838" s="4">
        <v>188</v>
      </c>
      <c r="T838" s="19">
        <f>(ProductionData[[#This Row],[Rejected_Qty]])/ProductionData[[#This Row],[Produced_Qty]]</f>
        <v>2.9467084639498431E-2</v>
      </c>
      <c r="U838" s="19">
        <f>ProductionData[[#This Row],[Produced_Qty]]/ProductionData[[#This Row],[Planned_Qty]]</f>
        <v>0.85066666666666668</v>
      </c>
      <c r="V838" s="2" t="s">
        <v>75</v>
      </c>
      <c r="W838" s="11">
        <v>0</v>
      </c>
      <c r="X838" s="13">
        <f>W838/60</f>
        <v>0</v>
      </c>
      <c r="Y838" s="2" t="s">
        <v>90</v>
      </c>
      <c r="Z838" s="2">
        <v>42</v>
      </c>
      <c r="AA838" s="2">
        <f>ProductionData[[#This Row],[Rejected_Qty]]*ProductionData[[#This Row],[Unit_Cost_INR]]</f>
        <v>7896</v>
      </c>
      <c r="AB838" s="4">
        <v>25474</v>
      </c>
      <c r="AC838" s="4">
        <v>5780</v>
      </c>
      <c r="AD838" s="4">
        <v>5780</v>
      </c>
      <c r="AE838" s="4">
        <v>25886</v>
      </c>
      <c r="AF838" s="4">
        <v>12000</v>
      </c>
    </row>
    <row r="839" spans="1:32">
      <c r="A839" s="2" t="s">
        <v>1807</v>
      </c>
      <c r="B839" s="3">
        <v>46186</v>
      </c>
      <c r="C839" s="36" t="s">
        <v>1459</v>
      </c>
      <c r="D839" s="2">
        <f>MONTH(ProductionData[[#This Row],[Month]])</f>
        <v>6</v>
      </c>
      <c r="E839" s="2" t="s">
        <v>65</v>
      </c>
      <c r="F839" s="2" t="s">
        <v>93</v>
      </c>
      <c r="G839" s="2" t="s">
        <v>195</v>
      </c>
      <c r="H839" s="2" t="s">
        <v>196</v>
      </c>
      <c r="I839" s="2" t="s">
        <v>197</v>
      </c>
      <c r="J839" s="2" t="s">
        <v>198</v>
      </c>
      <c r="K839" s="2" t="s">
        <v>199</v>
      </c>
      <c r="L839" s="2" t="s">
        <v>1808</v>
      </c>
      <c r="M839" s="2" t="s">
        <v>133</v>
      </c>
      <c r="N839" s="2" t="s">
        <v>88</v>
      </c>
      <c r="O839" s="2">
        <v>14</v>
      </c>
      <c r="P839" s="2">
        <v>12</v>
      </c>
      <c r="Q839" s="4">
        <v>7960</v>
      </c>
      <c r="R839" s="4">
        <v>7500</v>
      </c>
      <c r="S839" s="4">
        <v>84</v>
      </c>
      <c r="T839" s="19">
        <f>(ProductionData[[#This Row],[Rejected_Qty]])/ProductionData[[#This Row],[Produced_Qty]]</f>
        <v>1.12E-2</v>
      </c>
      <c r="U839" s="19">
        <f>ProductionData[[#This Row],[Produced_Qty]]/ProductionData[[#This Row],[Planned_Qty]]</f>
        <v>0.94221105527638194</v>
      </c>
      <c r="V839" s="2" t="s">
        <v>113</v>
      </c>
      <c r="W839" s="11">
        <v>0</v>
      </c>
      <c r="X839" s="13">
        <f>W839/60</f>
        <v>0</v>
      </c>
      <c r="Y839" s="2" t="s">
        <v>90</v>
      </c>
      <c r="Z839" s="2">
        <v>38</v>
      </c>
      <c r="AA839" s="2">
        <f>ProductionData[[#This Row],[Rejected_Qty]]*ProductionData[[#This Row],[Unit_Cost_INR]]</f>
        <v>3192</v>
      </c>
      <c r="AB839" s="4">
        <v>25413</v>
      </c>
      <c r="AC839" s="4">
        <v>7210</v>
      </c>
      <c r="AD839" s="4">
        <v>7210</v>
      </c>
      <c r="AE839" s="4">
        <v>25619</v>
      </c>
      <c r="AF839" s="4">
        <v>13500</v>
      </c>
    </row>
    <row r="840" spans="1:32">
      <c r="A840" s="2" t="s">
        <v>1809</v>
      </c>
      <c r="B840" s="3">
        <v>46195</v>
      </c>
      <c r="C840" s="36" t="s">
        <v>1459</v>
      </c>
      <c r="D840" s="2">
        <f>MONTH(ProductionData[[#This Row],[Month]])</f>
        <v>6</v>
      </c>
      <c r="E840" s="2" t="s">
        <v>116</v>
      </c>
      <c r="F840" s="2" t="s">
        <v>80</v>
      </c>
      <c r="G840" s="2" t="s">
        <v>195</v>
      </c>
      <c r="H840" s="2" t="s">
        <v>196</v>
      </c>
      <c r="I840" s="2" t="s">
        <v>197</v>
      </c>
      <c r="J840" s="2" t="s">
        <v>269</v>
      </c>
      <c r="K840" s="2" t="s">
        <v>270</v>
      </c>
      <c r="L840" s="2" t="s">
        <v>1810</v>
      </c>
      <c r="M840" s="2" t="s">
        <v>102</v>
      </c>
      <c r="N840" s="2" t="s">
        <v>88</v>
      </c>
      <c r="O840" s="2">
        <v>14</v>
      </c>
      <c r="P840" s="2">
        <v>14</v>
      </c>
      <c r="Q840" s="4">
        <v>7600</v>
      </c>
      <c r="R840" s="4">
        <v>7570</v>
      </c>
      <c r="S840" s="4">
        <v>175</v>
      </c>
      <c r="T840" s="19">
        <f>(ProductionData[[#This Row],[Rejected_Qty]])/ProductionData[[#This Row],[Produced_Qty]]</f>
        <v>2.3117569352708058E-2</v>
      </c>
      <c r="U840" s="19">
        <f>ProductionData[[#This Row],[Produced_Qty]]/ProductionData[[#This Row],[Planned_Qty]]</f>
        <v>0.99605263157894741</v>
      </c>
      <c r="V840" s="2" t="s">
        <v>109</v>
      </c>
      <c r="W840" s="11">
        <v>48</v>
      </c>
      <c r="X840" s="13">
        <f>W840/60</f>
        <v>0.8</v>
      </c>
      <c r="Y840" s="2" t="s">
        <v>76</v>
      </c>
      <c r="Z840" s="2">
        <v>42</v>
      </c>
      <c r="AA840" s="2">
        <f>ProductionData[[#This Row],[Rejected_Qty]]*ProductionData[[#This Row],[Unit_Cost_INR]]</f>
        <v>7350</v>
      </c>
      <c r="AB840" s="4">
        <v>24969</v>
      </c>
      <c r="AC840" s="4">
        <v>6890</v>
      </c>
      <c r="AD840" s="4">
        <v>6890</v>
      </c>
      <c r="AE840" s="4">
        <v>25474</v>
      </c>
      <c r="AF840" s="4">
        <v>12000</v>
      </c>
    </row>
    <row r="841" spans="1:32">
      <c r="A841" s="2" t="s">
        <v>1811</v>
      </c>
      <c r="B841" s="3">
        <v>46174</v>
      </c>
      <c r="C841" s="36" t="s">
        <v>1459</v>
      </c>
      <c r="D841" s="2">
        <f>MONTH(ProductionData[[#This Row],[Month]])</f>
        <v>6</v>
      </c>
      <c r="E841" s="2" t="s">
        <v>116</v>
      </c>
      <c r="F841" s="2" t="s">
        <v>66</v>
      </c>
      <c r="G841" s="2" t="s">
        <v>195</v>
      </c>
      <c r="H841" s="2" t="s">
        <v>196</v>
      </c>
      <c r="I841" s="2" t="s">
        <v>197</v>
      </c>
      <c r="J841" s="2" t="s">
        <v>198</v>
      </c>
      <c r="K841" s="2" t="s">
        <v>199</v>
      </c>
      <c r="L841" s="2" t="s">
        <v>1812</v>
      </c>
      <c r="M841" s="2" t="s">
        <v>73</v>
      </c>
      <c r="N841" s="2" t="s">
        <v>88</v>
      </c>
      <c r="O841" s="2">
        <v>14</v>
      </c>
      <c r="P841" s="2">
        <v>13</v>
      </c>
      <c r="Q841" s="4">
        <v>9700</v>
      </c>
      <c r="R841" s="4">
        <v>8750</v>
      </c>
      <c r="S841" s="4">
        <v>201</v>
      </c>
      <c r="T841" s="19">
        <f>(ProductionData[[#This Row],[Rejected_Qty]])/ProductionData[[#This Row],[Produced_Qty]]</f>
        <v>2.297142857142857E-2</v>
      </c>
      <c r="U841" s="19">
        <f>ProductionData[[#This Row],[Produced_Qty]]/ProductionData[[#This Row],[Planned_Qty]]</f>
        <v>0.90206185567010311</v>
      </c>
      <c r="V841" s="2" t="s">
        <v>113</v>
      </c>
      <c r="W841" s="11">
        <v>0</v>
      </c>
      <c r="X841" s="13">
        <f>W841/60</f>
        <v>0</v>
      </c>
      <c r="Y841" s="2" t="s">
        <v>90</v>
      </c>
      <c r="Z841" s="2">
        <v>38</v>
      </c>
      <c r="AA841" s="2">
        <f>ProductionData[[#This Row],[Rejected_Qty]]*ProductionData[[#This Row],[Unit_Cost_INR]]</f>
        <v>7638</v>
      </c>
      <c r="AB841" s="4">
        <v>24439</v>
      </c>
      <c r="AC841" s="4">
        <v>7540</v>
      </c>
      <c r="AD841" s="4">
        <v>7540</v>
      </c>
      <c r="AE841" s="4">
        <v>25448</v>
      </c>
      <c r="AF841" s="4">
        <v>13500</v>
      </c>
    </row>
    <row r="842" spans="1:32">
      <c r="A842" s="2" t="s">
        <v>1813</v>
      </c>
      <c r="B842" s="3">
        <v>46186</v>
      </c>
      <c r="C842" s="36" t="s">
        <v>1459</v>
      </c>
      <c r="D842" s="2">
        <f>MONTH(ProductionData[[#This Row],[Month]])</f>
        <v>6</v>
      </c>
      <c r="E842" s="2" t="s">
        <v>65</v>
      </c>
      <c r="F842" s="2" t="s">
        <v>66</v>
      </c>
      <c r="G842" s="2" t="s">
        <v>195</v>
      </c>
      <c r="H842" s="2" t="s">
        <v>196</v>
      </c>
      <c r="I842" s="2" t="s">
        <v>197</v>
      </c>
      <c r="J842" s="2" t="s">
        <v>198</v>
      </c>
      <c r="K842" s="2" t="s">
        <v>199</v>
      </c>
      <c r="L842" s="2" t="s">
        <v>1814</v>
      </c>
      <c r="M842" s="2" t="s">
        <v>99</v>
      </c>
      <c r="N842" s="2" t="s">
        <v>88</v>
      </c>
      <c r="O842" s="2">
        <v>14</v>
      </c>
      <c r="P842" s="2">
        <v>12</v>
      </c>
      <c r="Q842" s="4">
        <v>9080</v>
      </c>
      <c r="R842" s="4">
        <v>8420</v>
      </c>
      <c r="S842" s="4">
        <v>174</v>
      </c>
      <c r="T842" s="19">
        <f>(ProductionData[[#This Row],[Rejected_Qty]])/ProductionData[[#This Row],[Produced_Qty]]</f>
        <v>2.0665083135391924E-2</v>
      </c>
      <c r="U842" s="19">
        <f>ProductionData[[#This Row],[Produced_Qty]]/ProductionData[[#This Row],[Planned_Qty]]</f>
        <v>0.92731277533039647</v>
      </c>
      <c r="V842" s="2" t="s">
        <v>113</v>
      </c>
      <c r="W842" s="11">
        <v>0</v>
      </c>
      <c r="X842" s="13">
        <f>W842/60</f>
        <v>0</v>
      </c>
      <c r="Y842" s="2" t="s">
        <v>90</v>
      </c>
      <c r="Z842" s="2">
        <v>38</v>
      </c>
      <c r="AA842" s="2">
        <f>ProductionData[[#This Row],[Rejected_Qty]]*ProductionData[[#This Row],[Unit_Cost_INR]]</f>
        <v>6612</v>
      </c>
      <c r="AB842" s="4">
        <v>25387</v>
      </c>
      <c r="AC842" s="4">
        <v>8220</v>
      </c>
      <c r="AD842" s="4">
        <v>8220</v>
      </c>
      <c r="AE842" s="4">
        <v>25413</v>
      </c>
      <c r="AF842" s="4">
        <v>13500</v>
      </c>
    </row>
    <row r="843" spans="1:32">
      <c r="A843" s="2" t="s">
        <v>1815</v>
      </c>
      <c r="B843" s="3">
        <v>46185</v>
      </c>
      <c r="C843" s="36" t="s">
        <v>1459</v>
      </c>
      <c r="D843" s="2">
        <f>MONTH(ProductionData[[#This Row],[Month]])</f>
        <v>6</v>
      </c>
      <c r="E843" s="2" t="s">
        <v>125</v>
      </c>
      <c r="F843" s="2" t="s">
        <v>93</v>
      </c>
      <c r="G843" s="2" t="s">
        <v>195</v>
      </c>
      <c r="H843" s="2" t="s">
        <v>196</v>
      </c>
      <c r="I843" s="2" t="s">
        <v>197</v>
      </c>
      <c r="J843" s="2" t="s">
        <v>198</v>
      </c>
      <c r="K843" s="2" t="s">
        <v>199</v>
      </c>
      <c r="L843" s="2" t="s">
        <v>1816</v>
      </c>
      <c r="M843" s="2" t="s">
        <v>133</v>
      </c>
      <c r="N843" s="2" t="s">
        <v>96</v>
      </c>
      <c r="O843" s="2">
        <v>14</v>
      </c>
      <c r="P843" s="2">
        <v>14</v>
      </c>
      <c r="Q843" s="4">
        <v>8840</v>
      </c>
      <c r="R843" s="4">
        <v>8640</v>
      </c>
      <c r="S843" s="4">
        <v>187</v>
      </c>
      <c r="T843" s="19">
        <f>(ProductionData[[#This Row],[Rejected_Qty]])/ProductionData[[#This Row],[Produced_Qty]]</f>
        <v>2.1643518518518517E-2</v>
      </c>
      <c r="U843" s="19">
        <f>ProductionData[[#This Row],[Produced_Qty]]/ProductionData[[#This Row],[Planned_Qty]]</f>
        <v>0.9773755656108597</v>
      </c>
      <c r="V843" s="2" t="s">
        <v>75</v>
      </c>
      <c r="W843" s="11">
        <v>0</v>
      </c>
      <c r="X843" s="13">
        <f>W843/60</f>
        <v>0</v>
      </c>
      <c r="Y843" s="2" t="s">
        <v>90</v>
      </c>
      <c r="Z843" s="2">
        <v>38</v>
      </c>
      <c r="AA843" s="2">
        <f>ProductionData[[#This Row],[Rejected_Qty]]*ProductionData[[#This Row],[Unit_Cost_INR]]</f>
        <v>7106</v>
      </c>
      <c r="AB843" s="4">
        <v>25364</v>
      </c>
      <c r="AC843" s="4">
        <v>8430</v>
      </c>
      <c r="AD843" s="4">
        <v>8430</v>
      </c>
      <c r="AE843" s="4">
        <v>25387</v>
      </c>
      <c r="AF843" s="4">
        <v>13500</v>
      </c>
    </row>
    <row r="844" spans="1:32">
      <c r="A844" s="2" t="s">
        <v>1817</v>
      </c>
      <c r="B844" s="3">
        <v>46185</v>
      </c>
      <c r="C844" s="36" t="s">
        <v>1459</v>
      </c>
      <c r="D844" s="2">
        <f>MONTH(ProductionData[[#This Row],[Month]])</f>
        <v>6</v>
      </c>
      <c r="E844" s="2" t="s">
        <v>125</v>
      </c>
      <c r="F844" s="2" t="s">
        <v>80</v>
      </c>
      <c r="G844" s="2" t="s">
        <v>195</v>
      </c>
      <c r="H844" s="2" t="s">
        <v>196</v>
      </c>
      <c r="I844" s="2" t="s">
        <v>197</v>
      </c>
      <c r="J844" s="2" t="s">
        <v>198</v>
      </c>
      <c r="K844" s="2" t="s">
        <v>199</v>
      </c>
      <c r="L844" s="2" t="s">
        <v>1818</v>
      </c>
      <c r="M844" s="2" t="s">
        <v>102</v>
      </c>
      <c r="N844" s="2" t="s">
        <v>88</v>
      </c>
      <c r="O844" s="2">
        <v>14</v>
      </c>
      <c r="P844" s="2">
        <v>14</v>
      </c>
      <c r="Q844" s="4">
        <v>8680</v>
      </c>
      <c r="R844" s="4">
        <v>8780</v>
      </c>
      <c r="S844" s="4">
        <v>279</v>
      </c>
      <c r="T844" s="19">
        <f>(ProductionData[[#This Row],[Rejected_Qty]])/ProductionData[[#This Row],[Produced_Qty]]</f>
        <v>3.1776765375854214E-2</v>
      </c>
      <c r="U844" s="19">
        <f>ProductionData[[#This Row],[Produced_Qty]]/ProductionData[[#This Row],[Planned_Qty]]</f>
        <v>1.0115207373271888</v>
      </c>
      <c r="V844" s="2" t="s">
        <v>109</v>
      </c>
      <c r="W844" s="11">
        <v>0</v>
      </c>
      <c r="X844" s="13">
        <f>W844/60</f>
        <v>0</v>
      </c>
      <c r="Y844" s="2" t="s">
        <v>90</v>
      </c>
      <c r="Z844" s="2">
        <v>38</v>
      </c>
      <c r="AA844" s="2">
        <f>ProductionData[[#This Row],[Rejected_Qty]]*ProductionData[[#This Row],[Unit_Cost_INR]]</f>
        <v>10602</v>
      </c>
      <c r="AB844" s="4">
        <v>25253</v>
      </c>
      <c r="AC844" s="4">
        <v>8390</v>
      </c>
      <c r="AD844" s="4">
        <v>8390</v>
      </c>
      <c r="AE844" s="4">
        <v>25364</v>
      </c>
      <c r="AF844" s="4">
        <v>13500</v>
      </c>
    </row>
    <row r="845" spans="1:32">
      <c r="A845" s="2" t="s">
        <v>1819</v>
      </c>
      <c r="B845" s="3">
        <v>46174</v>
      </c>
      <c r="C845" s="36" t="s">
        <v>1459</v>
      </c>
      <c r="D845" s="2">
        <f>MONTH(ProductionData[[#This Row],[Month]])</f>
        <v>6</v>
      </c>
      <c r="E845" s="2" t="s">
        <v>116</v>
      </c>
      <c r="F845" s="2" t="s">
        <v>80</v>
      </c>
      <c r="G845" s="2" t="s">
        <v>195</v>
      </c>
      <c r="H845" s="2" t="s">
        <v>196</v>
      </c>
      <c r="I845" s="2" t="s">
        <v>197</v>
      </c>
      <c r="J845" s="2" t="s">
        <v>198</v>
      </c>
      <c r="K845" s="2" t="s">
        <v>199</v>
      </c>
      <c r="L845" s="2" t="s">
        <v>1820</v>
      </c>
      <c r="M845" s="2" t="s">
        <v>102</v>
      </c>
      <c r="N845" s="2" t="s">
        <v>88</v>
      </c>
      <c r="O845" s="2">
        <v>14</v>
      </c>
      <c r="P845" s="2">
        <v>14</v>
      </c>
      <c r="Q845" s="4">
        <v>9560</v>
      </c>
      <c r="R845" s="4">
        <v>9380</v>
      </c>
      <c r="S845" s="4">
        <v>140</v>
      </c>
      <c r="T845" s="19">
        <f>(ProductionData[[#This Row],[Rejected_Qty]])/ProductionData[[#This Row],[Produced_Qty]]</f>
        <v>1.4925373134328358E-2</v>
      </c>
      <c r="U845" s="19">
        <f>ProductionData[[#This Row],[Produced_Qty]]/ProductionData[[#This Row],[Planned_Qty]]</f>
        <v>0.98117154811715479</v>
      </c>
      <c r="V845" s="2" t="s">
        <v>89</v>
      </c>
      <c r="W845" s="11">
        <v>0</v>
      </c>
      <c r="X845" s="13">
        <f>W845/60</f>
        <v>0</v>
      </c>
      <c r="Y845" s="2" t="s">
        <v>90</v>
      </c>
      <c r="Z845" s="2">
        <v>38</v>
      </c>
      <c r="AA845" s="2">
        <f>ProductionData[[#This Row],[Rejected_Qty]]*ProductionData[[#This Row],[Unit_Cost_INR]]</f>
        <v>5320</v>
      </c>
      <c r="AB845" s="4">
        <v>25448</v>
      </c>
      <c r="AC845" s="4">
        <v>9400</v>
      </c>
      <c r="AD845" s="4">
        <v>9400</v>
      </c>
      <c r="AE845" s="4">
        <v>25288</v>
      </c>
      <c r="AF845" s="4">
        <v>13500</v>
      </c>
    </row>
    <row r="846" spans="1:32">
      <c r="A846" s="2" t="s">
        <v>1821</v>
      </c>
      <c r="B846" s="3">
        <v>46185</v>
      </c>
      <c r="C846" s="36" t="s">
        <v>1459</v>
      </c>
      <c r="D846" s="2">
        <f>MONTH(ProductionData[[#This Row],[Month]])</f>
        <v>6</v>
      </c>
      <c r="E846" s="2" t="s">
        <v>125</v>
      </c>
      <c r="F846" s="2" t="s">
        <v>66</v>
      </c>
      <c r="G846" s="2" t="s">
        <v>195</v>
      </c>
      <c r="H846" s="2" t="s">
        <v>196</v>
      </c>
      <c r="I846" s="2" t="s">
        <v>197</v>
      </c>
      <c r="J846" s="2" t="s">
        <v>198</v>
      </c>
      <c r="K846" s="2" t="s">
        <v>199</v>
      </c>
      <c r="L846" s="2" t="s">
        <v>1822</v>
      </c>
      <c r="M846" s="2" t="s">
        <v>99</v>
      </c>
      <c r="N846" s="2" t="s">
        <v>96</v>
      </c>
      <c r="O846" s="2">
        <v>14</v>
      </c>
      <c r="P846" s="2">
        <v>14</v>
      </c>
      <c r="Q846" s="4">
        <v>8560</v>
      </c>
      <c r="R846" s="4">
        <v>8440</v>
      </c>
      <c r="S846" s="4">
        <v>198</v>
      </c>
      <c r="T846" s="19">
        <f>(ProductionData[[#This Row],[Rejected_Qty]])/ProductionData[[#This Row],[Produced_Qty]]</f>
        <v>2.3459715639810426E-2</v>
      </c>
      <c r="U846" s="19">
        <f>ProductionData[[#This Row],[Produced_Qty]]/ProductionData[[#This Row],[Planned_Qty]]</f>
        <v>0.98598130841121501</v>
      </c>
      <c r="V846" s="2" t="s">
        <v>75</v>
      </c>
      <c r="W846" s="11">
        <v>0</v>
      </c>
      <c r="X846" s="13">
        <f>W846/60</f>
        <v>0</v>
      </c>
      <c r="Y846" s="2" t="s">
        <v>90</v>
      </c>
      <c r="Z846" s="2">
        <v>38</v>
      </c>
      <c r="AA846" s="2">
        <f>ProductionData[[#This Row],[Rejected_Qty]]*ProductionData[[#This Row],[Unit_Cost_INR]]</f>
        <v>7524</v>
      </c>
      <c r="AB846" s="4">
        <v>23961</v>
      </c>
      <c r="AC846" s="4">
        <v>6950</v>
      </c>
      <c r="AD846" s="4">
        <v>6950</v>
      </c>
      <c r="AE846" s="4">
        <v>25253</v>
      </c>
      <c r="AF846" s="4">
        <v>13500</v>
      </c>
    </row>
    <row r="847" spans="1:32">
      <c r="A847" s="2" t="s">
        <v>1823</v>
      </c>
      <c r="B847" s="3">
        <v>46175</v>
      </c>
      <c r="C847" s="36" t="s">
        <v>1459</v>
      </c>
      <c r="D847" s="2">
        <f>MONTH(ProductionData[[#This Row],[Month]])</f>
        <v>6</v>
      </c>
      <c r="E847" s="2" t="s">
        <v>92</v>
      </c>
      <c r="F847" s="2" t="s">
        <v>93</v>
      </c>
      <c r="G847" s="2" t="s">
        <v>195</v>
      </c>
      <c r="H847" s="2" t="s">
        <v>196</v>
      </c>
      <c r="I847" s="2" t="s">
        <v>197</v>
      </c>
      <c r="J847" s="2" t="s">
        <v>198</v>
      </c>
      <c r="K847" s="2" t="s">
        <v>199</v>
      </c>
      <c r="L847" s="2" t="s">
        <v>1824</v>
      </c>
      <c r="M847" s="2" t="s">
        <v>95</v>
      </c>
      <c r="N847" s="2" t="s">
        <v>88</v>
      </c>
      <c r="O847" s="2">
        <v>14</v>
      </c>
      <c r="P847" s="2">
        <v>13</v>
      </c>
      <c r="Q847" s="4">
        <v>8700</v>
      </c>
      <c r="R847" s="4">
        <v>8190</v>
      </c>
      <c r="S847" s="4">
        <v>209</v>
      </c>
      <c r="T847" s="19">
        <f>(ProductionData[[#This Row],[Rejected_Qty]])/ProductionData[[#This Row],[Produced_Qty]]</f>
        <v>2.5518925518925518E-2</v>
      </c>
      <c r="U847" s="19">
        <f>ProductionData[[#This Row],[Produced_Qty]]/ProductionData[[#This Row],[Planned_Qty]]</f>
        <v>0.94137931034482758</v>
      </c>
      <c r="V847" s="2" t="s">
        <v>103</v>
      </c>
      <c r="W847" s="11">
        <v>0</v>
      </c>
      <c r="X847" s="13">
        <f>W847/60</f>
        <v>0</v>
      </c>
      <c r="Y847" s="2" t="s">
        <v>90</v>
      </c>
      <c r="Z847" s="2">
        <v>38</v>
      </c>
      <c r="AA847" s="2">
        <f>ProductionData[[#This Row],[Rejected_Qty]]*ProductionData[[#This Row],[Unit_Cost_INR]]</f>
        <v>7942</v>
      </c>
      <c r="AB847" s="4">
        <v>25288</v>
      </c>
      <c r="AC847" s="4">
        <v>8080</v>
      </c>
      <c r="AD847" s="4">
        <v>8080</v>
      </c>
      <c r="AE847" s="4">
        <v>25189</v>
      </c>
      <c r="AF847" s="4">
        <v>13500</v>
      </c>
    </row>
    <row r="848" spans="1:32">
      <c r="A848" s="2" t="s">
        <v>1825</v>
      </c>
      <c r="B848" s="3">
        <v>46196</v>
      </c>
      <c r="C848" s="36" t="s">
        <v>1459</v>
      </c>
      <c r="D848" s="2">
        <f>MONTH(ProductionData[[#This Row],[Month]])</f>
        <v>6</v>
      </c>
      <c r="E848" s="2" t="s">
        <v>92</v>
      </c>
      <c r="F848" s="2" t="s">
        <v>93</v>
      </c>
      <c r="G848" s="2" t="s">
        <v>195</v>
      </c>
      <c r="H848" s="2" t="s">
        <v>196</v>
      </c>
      <c r="I848" s="2" t="s">
        <v>197</v>
      </c>
      <c r="J848" s="2" t="s">
        <v>269</v>
      </c>
      <c r="K848" s="2" t="s">
        <v>270</v>
      </c>
      <c r="L848" s="2" t="s">
        <v>1826</v>
      </c>
      <c r="M848" s="2" t="s">
        <v>133</v>
      </c>
      <c r="N848" s="2" t="s">
        <v>88</v>
      </c>
      <c r="O848" s="2">
        <v>14</v>
      </c>
      <c r="P848" s="2">
        <v>10</v>
      </c>
      <c r="Q848" s="4">
        <v>7640</v>
      </c>
      <c r="R848" s="4">
        <v>6100</v>
      </c>
      <c r="S848" s="4">
        <v>168</v>
      </c>
      <c r="T848" s="19">
        <f>(ProductionData[[#This Row],[Rejected_Qty]])/ProductionData[[#This Row],[Produced_Qty]]</f>
        <v>2.7540983606557379E-2</v>
      </c>
      <c r="U848" s="19">
        <f>ProductionData[[#This Row],[Produced_Qty]]/ProductionData[[#This Row],[Planned_Qty]]</f>
        <v>0.79842931937172779</v>
      </c>
      <c r="V848" s="2" t="s">
        <v>103</v>
      </c>
      <c r="W848" s="11">
        <v>0</v>
      </c>
      <c r="X848" s="13">
        <f>W848/60</f>
        <v>0</v>
      </c>
      <c r="Y848" s="2" t="s">
        <v>90</v>
      </c>
      <c r="Z848" s="2">
        <v>42</v>
      </c>
      <c r="AA848" s="2">
        <f>ProductionData[[#This Row],[Rejected_Qty]]*ProductionData[[#This Row],[Unit_Cost_INR]]</f>
        <v>7056</v>
      </c>
      <c r="AB848" s="4">
        <v>26151</v>
      </c>
      <c r="AC848" s="4">
        <v>6990</v>
      </c>
      <c r="AD848" s="4">
        <v>6990</v>
      </c>
      <c r="AE848" s="4">
        <v>25093</v>
      </c>
      <c r="AF848" s="4">
        <v>12000</v>
      </c>
    </row>
    <row r="849" spans="1:32">
      <c r="A849" s="2" t="s">
        <v>1827</v>
      </c>
      <c r="B849" s="3">
        <v>46177</v>
      </c>
      <c r="C849" s="36" t="s">
        <v>1459</v>
      </c>
      <c r="D849" s="2">
        <f>MONTH(ProductionData[[#This Row],[Month]])</f>
        <v>6</v>
      </c>
      <c r="E849" s="2" t="s">
        <v>107</v>
      </c>
      <c r="F849" s="2" t="s">
        <v>80</v>
      </c>
      <c r="G849" s="2" t="s">
        <v>195</v>
      </c>
      <c r="H849" s="2" t="s">
        <v>196</v>
      </c>
      <c r="I849" s="2" t="s">
        <v>197</v>
      </c>
      <c r="J849" s="2" t="s">
        <v>198</v>
      </c>
      <c r="K849" s="2" t="s">
        <v>199</v>
      </c>
      <c r="L849" s="2" t="s">
        <v>1828</v>
      </c>
      <c r="M849" s="2" t="s">
        <v>102</v>
      </c>
      <c r="N849" s="2" t="s">
        <v>96</v>
      </c>
      <c r="O849" s="2">
        <v>14</v>
      </c>
      <c r="P849" s="2">
        <v>13</v>
      </c>
      <c r="Q849" s="4">
        <v>9540</v>
      </c>
      <c r="R849" s="4">
        <v>9080</v>
      </c>
      <c r="S849" s="4">
        <v>138</v>
      </c>
      <c r="T849" s="19">
        <f>(ProductionData[[#This Row],[Rejected_Qty]])/ProductionData[[#This Row],[Produced_Qty]]</f>
        <v>1.5198237885462556E-2</v>
      </c>
      <c r="U849" s="19">
        <f>ProductionData[[#This Row],[Produced_Qty]]/ProductionData[[#This Row],[Planned_Qty]]</f>
        <v>0.95178197064989523</v>
      </c>
      <c r="V849" s="2" t="s">
        <v>109</v>
      </c>
      <c r="W849" s="11">
        <v>0</v>
      </c>
      <c r="X849" s="13">
        <f>W849/60</f>
        <v>0</v>
      </c>
      <c r="Y849" s="2" t="s">
        <v>90</v>
      </c>
      <c r="Z849" s="2">
        <v>38</v>
      </c>
      <c r="AA849" s="2">
        <f>ProductionData[[#This Row],[Rejected_Qty]]*ProductionData[[#This Row],[Unit_Cost_INR]]</f>
        <v>5244</v>
      </c>
      <c r="AB849" s="4">
        <v>24946</v>
      </c>
      <c r="AC849" s="4">
        <v>8860</v>
      </c>
      <c r="AD849" s="4">
        <v>8860</v>
      </c>
      <c r="AE849" s="4">
        <v>25028</v>
      </c>
      <c r="AF849" s="4">
        <v>13500</v>
      </c>
    </row>
    <row r="850" spans="1:32">
      <c r="A850" s="2" t="s">
        <v>1829</v>
      </c>
      <c r="B850" s="3">
        <v>46193</v>
      </c>
      <c r="C850" s="36" t="s">
        <v>1459</v>
      </c>
      <c r="D850" s="2">
        <f>MONTH(ProductionData[[#This Row],[Month]])</f>
        <v>6</v>
      </c>
      <c r="E850" s="2" t="s">
        <v>65</v>
      </c>
      <c r="F850" s="2" t="s">
        <v>80</v>
      </c>
      <c r="G850" s="2" t="s">
        <v>195</v>
      </c>
      <c r="H850" s="2" t="s">
        <v>196</v>
      </c>
      <c r="I850" s="2" t="s">
        <v>197</v>
      </c>
      <c r="J850" s="2" t="s">
        <v>269</v>
      </c>
      <c r="K850" s="2" t="s">
        <v>270</v>
      </c>
      <c r="L850" s="2" t="s">
        <v>1830</v>
      </c>
      <c r="M850" s="2" t="s">
        <v>87</v>
      </c>
      <c r="N850" s="2" t="s">
        <v>96</v>
      </c>
      <c r="O850" s="2">
        <v>14</v>
      </c>
      <c r="P850" s="2">
        <v>12</v>
      </c>
      <c r="Q850" s="4">
        <v>7420</v>
      </c>
      <c r="R850" s="4">
        <v>6820</v>
      </c>
      <c r="S850" s="4">
        <v>192</v>
      </c>
      <c r="T850" s="19">
        <f>(ProductionData[[#This Row],[Rejected_Qty]])/ProductionData[[#This Row],[Produced_Qty]]</f>
        <v>2.8152492668621701E-2</v>
      </c>
      <c r="U850" s="19">
        <f>ProductionData[[#This Row],[Produced_Qty]]/ProductionData[[#This Row],[Planned_Qty]]</f>
        <v>0.91913746630727766</v>
      </c>
      <c r="V850" s="2" t="s">
        <v>89</v>
      </c>
      <c r="W850" s="11">
        <v>0</v>
      </c>
      <c r="X850" s="13">
        <f>W850/60</f>
        <v>0</v>
      </c>
      <c r="Y850" s="2" t="s">
        <v>90</v>
      </c>
      <c r="Z850" s="2">
        <v>42</v>
      </c>
      <c r="AA850" s="2">
        <f>ProductionData[[#This Row],[Rejected_Qty]]*ProductionData[[#This Row],[Unit_Cost_INR]]</f>
        <v>8064</v>
      </c>
      <c r="AB850" s="4">
        <v>24781</v>
      </c>
      <c r="AC850" s="4">
        <v>6440</v>
      </c>
      <c r="AD850" s="4">
        <v>6440</v>
      </c>
      <c r="AE850" s="4">
        <v>24969</v>
      </c>
      <c r="AF850" s="4">
        <v>12000</v>
      </c>
    </row>
    <row r="851" spans="1:32">
      <c r="A851" s="2" t="s">
        <v>1831</v>
      </c>
      <c r="B851" s="3">
        <v>46176</v>
      </c>
      <c r="C851" s="36" t="s">
        <v>1459</v>
      </c>
      <c r="D851" s="2">
        <f>MONTH(ProductionData[[#This Row],[Month]])</f>
        <v>6</v>
      </c>
      <c r="E851" s="2" t="s">
        <v>79</v>
      </c>
      <c r="F851" s="2" t="s">
        <v>93</v>
      </c>
      <c r="G851" s="2" t="s">
        <v>195</v>
      </c>
      <c r="H851" s="2" t="s">
        <v>196</v>
      </c>
      <c r="I851" s="2" t="s">
        <v>197</v>
      </c>
      <c r="J851" s="2" t="s">
        <v>198</v>
      </c>
      <c r="K851" s="2" t="s">
        <v>199</v>
      </c>
      <c r="L851" s="2" t="s">
        <v>1832</v>
      </c>
      <c r="M851" s="2" t="s">
        <v>133</v>
      </c>
      <c r="N851" s="2" t="s">
        <v>88</v>
      </c>
      <c r="O851" s="2">
        <v>14</v>
      </c>
      <c r="P851" s="2">
        <v>13</v>
      </c>
      <c r="Q851" s="4">
        <v>7990</v>
      </c>
      <c r="R851" s="4">
        <v>7540</v>
      </c>
      <c r="S851" s="4">
        <v>173</v>
      </c>
      <c r="T851" s="19">
        <f>(ProductionData[[#This Row],[Rejected_Qty]])/ProductionData[[#This Row],[Produced_Qty]]</f>
        <v>2.2944297082228116E-2</v>
      </c>
      <c r="U851" s="19">
        <f>ProductionData[[#This Row],[Produced_Qty]]/ProductionData[[#This Row],[Planned_Qty]]</f>
        <v>0.94367959949937419</v>
      </c>
      <c r="V851" s="2" t="s">
        <v>109</v>
      </c>
      <c r="W851" s="11">
        <v>0</v>
      </c>
      <c r="X851" s="13">
        <f>W851/60</f>
        <v>0</v>
      </c>
      <c r="Y851" s="2" t="s">
        <v>90</v>
      </c>
      <c r="Z851" s="2">
        <v>38</v>
      </c>
      <c r="AA851" s="2">
        <f>ProductionData[[#This Row],[Rejected_Qty]]*ProductionData[[#This Row],[Unit_Cost_INR]]</f>
        <v>6574</v>
      </c>
      <c r="AB851" s="4">
        <v>25189</v>
      </c>
      <c r="AC851" s="4">
        <v>7610</v>
      </c>
      <c r="AD851" s="4">
        <v>7610</v>
      </c>
      <c r="AE851" s="4">
        <v>24946</v>
      </c>
      <c r="AF851" s="4">
        <v>13500</v>
      </c>
    </row>
    <row r="852" spans="1:32">
      <c r="A852" s="2" t="s">
        <v>1833</v>
      </c>
      <c r="B852" s="3">
        <v>46179</v>
      </c>
      <c r="C852" s="36" t="s">
        <v>1459</v>
      </c>
      <c r="D852" s="2">
        <f>MONTH(ProductionData[[#This Row],[Month]])</f>
        <v>6</v>
      </c>
      <c r="E852" s="2" t="s">
        <v>65</v>
      </c>
      <c r="F852" s="2" t="s">
        <v>80</v>
      </c>
      <c r="G852" s="2" t="s">
        <v>195</v>
      </c>
      <c r="H852" s="2" t="s">
        <v>196</v>
      </c>
      <c r="I852" s="2" t="s">
        <v>197</v>
      </c>
      <c r="J852" s="2" t="s">
        <v>198</v>
      </c>
      <c r="K852" s="2" t="s">
        <v>199</v>
      </c>
      <c r="L852" s="2" t="s">
        <v>1834</v>
      </c>
      <c r="M852" s="2" t="s">
        <v>102</v>
      </c>
      <c r="N852" s="2" t="s">
        <v>96</v>
      </c>
      <c r="O852" s="2">
        <v>14</v>
      </c>
      <c r="P852" s="2">
        <v>14</v>
      </c>
      <c r="Q852" s="4">
        <v>9230</v>
      </c>
      <c r="R852" s="4">
        <v>8930</v>
      </c>
      <c r="S852" s="4">
        <v>208</v>
      </c>
      <c r="T852" s="19">
        <f>(ProductionData[[#This Row],[Rejected_Qty]])/ProductionData[[#This Row],[Produced_Qty]]</f>
        <v>2.3292273236282194E-2</v>
      </c>
      <c r="U852" s="19">
        <f>ProductionData[[#This Row],[Produced_Qty]]/ProductionData[[#This Row],[Planned_Qty]]</f>
        <v>0.96749729144095342</v>
      </c>
      <c r="V852" s="2" t="s">
        <v>89</v>
      </c>
      <c r="W852" s="11">
        <v>10</v>
      </c>
      <c r="X852" s="13">
        <f>W852/60</f>
        <v>0.16666666666666666</v>
      </c>
      <c r="Y852" s="2" t="s">
        <v>182</v>
      </c>
      <c r="Z852" s="2">
        <v>38</v>
      </c>
      <c r="AA852" s="2">
        <f>ProductionData[[#This Row],[Rejected_Qty]]*ProductionData[[#This Row],[Unit_Cost_INR]]</f>
        <v>7904</v>
      </c>
      <c r="AB852" s="4">
        <v>24572</v>
      </c>
      <c r="AC852" s="4">
        <v>8360</v>
      </c>
      <c r="AD852" s="4">
        <v>8360</v>
      </c>
      <c r="AE852" s="4">
        <v>24934</v>
      </c>
      <c r="AF852" s="4">
        <v>13500</v>
      </c>
    </row>
    <row r="853" spans="1:32">
      <c r="A853" s="2" t="s">
        <v>1835</v>
      </c>
      <c r="B853" s="3">
        <v>46191</v>
      </c>
      <c r="C853" s="36" t="s">
        <v>1459</v>
      </c>
      <c r="D853" s="2">
        <f>MONTH(ProductionData[[#This Row],[Month]])</f>
        <v>6</v>
      </c>
      <c r="E853" s="2" t="s">
        <v>107</v>
      </c>
      <c r="F853" s="2" t="s">
        <v>93</v>
      </c>
      <c r="G853" s="2" t="s">
        <v>195</v>
      </c>
      <c r="H853" s="2" t="s">
        <v>196</v>
      </c>
      <c r="I853" s="2" t="s">
        <v>197</v>
      </c>
      <c r="J853" s="2" t="s">
        <v>269</v>
      </c>
      <c r="K853" s="2" t="s">
        <v>270</v>
      </c>
      <c r="L853" s="2" t="s">
        <v>1836</v>
      </c>
      <c r="M853" s="2" t="s">
        <v>133</v>
      </c>
      <c r="N853" s="2" t="s">
        <v>96</v>
      </c>
      <c r="O853" s="2">
        <v>14</v>
      </c>
      <c r="P853" s="2">
        <v>12</v>
      </c>
      <c r="Q853" s="4">
        <v>7930</v>
      </c>
      <c r="R853" s="4">
        <v>7540</v>
      </c>
      <c r="S853" s="4">
        <v>134</v>
      </c>
      <c r="T853" s="19">
        <f>(ProductionData[[#This Row],[Rejected_Qty]])/ProductionData[[#This Row],[Produced_Qty]]</f>
        <v>1.7771883289124667E-2</v>
      </c>
      <c r="U853" s="19">
        <f>ProductionData[[#This Row],[Produced_Qty]]/ProductionData[[#This Row],[Planned_Qty]]</f>
        <v>0.95081967213114749</v>
      </c>
      <c r="V853" s="2" t="s">
        <v>113</v>
      </c>
      <c r="W853" s="11">
        <v>0</v>
      </c>
      <c r="X853" s="13">
        <f>W853/60</f>
        <v>0</v>
      </c>
      <c r="Y853" s="2" t="s">
        <v>90</v>
      </c>
      <c r="Z853" s="2">
        <v>42</v>
      </c>
      <c r="AA853" s="2">
        <f>ProductionData[[#This Row],[Rejected_Qty]]*ProductionData[[#This Row],[Unit_Cost_INR]]</f>
        <v>5628</v>
      </c>
      <c r="AB853" s="4">
        <v>23515</v>
      </c>
      <c r="AC853" s="4">
        <v>6140</v>
      </c>
      <c r="AD853" s="4">
        <v>6140</v>
      </c>
      <c r="AE853" s="4">
        <v>24781</v>
      </c>
      <c r="AF853" s="4">
        <v>12000</v>
      </c>
    </row>
    <row r="854" spans="1:32">
      <c r="A854" s="2" t="s">
        <v>1837</v>
      </c>
      <c r="B854" s="3">
        <v>46199</v>
      </c>
      <c r="C854" s="36" t="s">
        <v>1459</v>
      </c>
      <c r="D854" s="2">
        <f>MONTH(ProductionData[[#This Row],[Month]])</f>
        <v>6</v>
      </c>
      <c r="E854" s="2" t="s">
        <v>125</v>
      </c>
      <c r="F854" s="2" t="s">
        <v>93</v>
      </c>
      <c r="G854" s="2" t="s">
        <v>195</v>
      </c>
      <c r="H854" s="2" t="s">
        <v>196</v>
      </c>
      <c r="I854" s="2" t="s">
        <v>197</v>
      </c>
      <c r="J854" s="2" t="s">
        <v>269</v>
      </c>
      <c r="K854" s="2" t="s">
        <v>270</v>
      </c>
      <c r="L854" s="2" t="s">
        <v>1838</v>
      </c>
      <c r="M854" s="2" t="s">
        <v>133</v>
      </c>
      <c r="N854" s="2" t="s">
        <v>96</v>
      </c>
      <c r="O854" s="2">
        <v>14</v>
      </c>
      <c r="P854" s="2">
        <v>13</v>
      </c>
      <c r="Q854" s="4">
        <v>7860</v>
      </c>
      <c r="R854" s="4">
        <v>7410</v>
      </c>
      <c r="S854" s="4">
        <v>276</v>
      </c>
      <c r="T854" s="19">
        <f>(ProductionData[[#This Row],[Rejected_Qty]])/ProductionData[[#This Row],[Produced_Qty]]</f>
        <v>3.724696356275304E-2</v>
      </c>
      <c r="U854" s="19">
        <f>ProductionData[[#This Row],[Produced_Qty]]/ProductionData[[#This Row],[Planned_Qty]]</f>
        <v>0.9427480916030534</v>
      </c>
      <c r="V854" s="2" t="s">
        <v>109</v>
      </c>
      <c r="W854" s="11">
        <v>0</v>
      </c>
      <c r="X854" s="13">
        <f>W854/60</f>
        <v>0</v>
      </c>
      <c r="Y854" s="2" t="s">
        <v>90</v>
      </c>
      <c r="Z854" s="2">
        <v>42</v>
      </c>
      <c r="AA854" s="2">
        <f>ProductionData[[#This Row],[Rejected_Qty]]*ProductionData[[#This Row],[Unit_Cost_INR]]</f>
        <v>11592</v>
      </c>
      <c r="AB854" s="4">
        <v>25093</v>
      </c>
      <c r="AC854" s="4">
        <v>7460</v>
      </c>
      <c r="AD854" s="4">
        <v>7460</v>
      </c>
      <c r="AE854" s="4">
        <v>24767</v>
      </c>
      <c r="AF854" s="4">
        <v>12000</v>
      </c>
    </row>
    <row r="855" spans="1:32">
      <c r="A855" s="2" t="s">
        <v>1839</v>
      </c>
      <c r="B855" s="3">
        <v>46178</v>
      </c>
      <c r="C855" s="36" t="s">
        <v>1459</v>
      </c>
      <c r="D855" s="2">
        <f>MONTH(ProductionData[[#This Row],[Month]])</f>
        <v>6</v>
      </c>
      <c r="E855" s="2" t="s">
        <v>125</v>
      </c>
      <c r="F855" s="2" t="s">
        <v>66</v>
      </c>
      <c r="G855" s="2" t="s">
        <v>195</v>
      </c>
      <c r="H855" s="2" t="s">
        <v>196</v>
      </c>
      <c r="I855" s="2" t="s">
        <v>197</v>
      </c>
      <c r="J855" s="2" t="s">
        <v>198</v>
      </c>
      <c r="K855" s="2" t="s">
        <v>199</v>
      </c>
      <c r="L855" s="2" t="s">
        <v>1840</v>
      </c>
      <c r="M855" s="2" t="s">
        <v>99</v>
      </c>
      <c r="N855" s="2" t="s">
        <v>96</v>
      </c>
      <c r="O855" s="2">
        <v>14</v>
      </c>
      <c r="P855" s="2">
        <v>12</v>
      </c>
      <c r="Q855" s="4">
        <v>9180</v>
      </c>
      <c r="R855" s="4">
        <v>8110</v>
      </c>
      <c r="S855" s="4">
        <v>225</v>
      </c>
      <c r="T855" s="19">
        <f>(ProductionData[[#This Row],[Rejected_Qty]])/ProductionData[[#This Row],[Produced_Qty]]</f>
        <v>2.7743526510480888E-2</v>
      </c>
      <c r="U855" s="19">
        <f>ProductionData[[#This Row],[Produced_Qty]]/ProductionData[[#This Row],[Planned_Qty]]</f>
        <v>0.88344226579520702</v>
      </c>
      <c r="V855" s="2" t="s">
        <v>89</v>
      </c>
      <c r="W855" s="11">
        <v>0</v>
      </c>
      <c r="X855" s="13">
        <f>W855/60</f>
        <v>0</v>
      </c>
      <c r="Y855" s="2" t="s">
        <v>90</v>
      </c>
      <c r="Z855" s="2">
        <v>38</v>
      </c>
      <c r="AA855" s="2">
        <f>ProductionData[[#This Row],[Rejected_Qty]]*ProductionData[[#This Row],[Unit_Cost_INR]]</f>
        <v>8550</v>
      </c>
      <c r="AB855" s="4">
        <v>25028</v>
      </c>
      <c r="AC855" s="4">
        <v>8260</v>
      </c>
      <c r="AD855" s="4">
        <v>8260</v>
      </c>
      <c r="AE855" s="4">
        <v>24653</v>
      </c>
      <c r="AF855" s="4">
        <v>13500</v>
      </c>
    </row>
    <row r="856" spans="1:32">
      <c r="A856" s="2" t="s">
        <v>1841</v>
      </c>
      <c r="B856" s="3">
        <v>46179</v>
      </c>
      <c r="C856" s="36" t="s">
        <v>1459</v>
      </c>
      <c r="D856" s="2">
        <f>MONTH(ProductionData[[#This Row],[Month]])</f>
        <v>6</v>
      </c>
      <c r="E856" s="2" t="s">
        <v>65</v>
      </c>
      <c r="F856" s="2" t="s">
        <v>66</v>
      </c>
      <c r="G856" s="2" t="s">
        <v>195</v>
      </c>
      <c r="H856" s="2" t="s">
        <v>196</v>
      </c>
      <c r="I856" s="2" t="s">
        <v>197</v>
      </c>
      <c r="J856" s="2" t="s">
        <v>198</v>
      </c>
      <c r="K856" s="2" t="s">
        <v>199</v>
      </c>
      <c r="L856" s="2" t="s">
        <v>1842</v>
      </c>
      <c r="M856" s="2" t="s">
        <v>99</v>
      </c>
      <c r="N856" s="2" t="s">
        <v>96</v>
      </c>
      <c r="O856" s="2">
        <v>14</v>
      </c>
      <c r="P856" s="2">
        <v>13</v>
      </c>
      <c r="Q856" s="4">
        <v>9080</v>
      </c>
      <c r="R856" s="4">
        <v>8290</v>
      </c>
      <c r="S856" s="4">
        <v>171</v>
      </c>
      <c r="T856" s="19">
        <f>(ProductionData[[#This Row],[Rejected_Qty]])/ProductionData[[#This Row],[Produced_Qty]]</f>
        <v>2.0627261761158023E-2</v>
      </c>
      <c r="U856" s="19">
        <f>ProductionData[[#This Row],[Produced_Qty]]/ProductionData[[#This Row],[Planned_Qty]]</f>
        <v>0.91299559471365643</v>
      </c>
      <c r="V856" s="2" t="s">
        <v>103</v>
      </c>
      <c r="W856" s="11">
        <v>0</v>
      </c>
      <c r="X856" s="13">
        <f>W856/60</f>
        <v>0</v>
      </c>
      <c r="Y856" s="2" t="s">
        <v>90</v>
      </c>
      <c r="Z856" s="2">
        <v>38</v>
      </c>
      <c r="AA856" s="2">
        <f>ProductionData[[#This Row],[Rejected_Qty]]*ProductionData[[#This Row],[Unit_Cost_INR]]</f>
        <v>6498</v>
      </c>
      <c r="AB856" s="4">
        <v>24653</v>
      </c>
      <c r="AC856" s="4">
        <v>8200</v>
      </c>
      <c r="AD856" s="4">
        <v>8200</v>
      </c>
      <c r="AE856" s="4">
        <v>24572</v>
      </c>
      <c r="AF856" s="4">
        <v>13500</v>
      </c>
    </row>
    <row r="857" spans="1:32">
      <c r="A857" s="2" t="s">
        <v>1843</v>
      </c>
      <c r="B857" s="3">
        <v>46181</v>
      </c>
      <c r="C857" s="36" t="s">
        <v>1459</v>
      </c>
      <c r="D857" s="2">
        <f>MONTH(ProductionData[[#This Row],[Month]])</f>
        <v>6</v>
      </c>
      <c r="E857" s="2" t="s">
        <v>116</v>
      </c>
      <c r="F857" s="2" t="s">
        <v>66</v>
      </c>
      <c r="G857" s="2" t="s">
        <v>195</v>
      </c>
      <c r="H857" s="2" t="s">
        <v>196</v>
      </c>
      <c r="I857" s="2" t="s">
        <v>197</v>
      </c>
      <c r="J857" s="2" t="s">
        <v>198</v>
      </c>
      <c r="K857" s="2" t="s">
        <v>199</v>
      </c>
      <c r="L857" s="2" t="s">
        <v>1844</v>
      </c>
      <c r="M857" s="2" t="s">
        <v>73</v>
      </c>
      <c r="N857" s="2" t="s">
        <v>88</v>
      </c>
      <c r="O857" s="2">
        <v>14</v>
      </c>
      <c r="P857" s="2">
        <v>14</v>
      </c>
      <c r="Q857" s="4">
        <v>8460</v>
      </c>
      <c r="R857" s="4">
        <v>8300</v>
      </c>
      <c r="S857" s="4">
        <v>155</v>
      </c>
      <c r="T857" s="19">
        <f>(ProductionData[[#This Row],[Rejected_Qty]])/ProductionData[[#This Row],[Produced_Qty]]</f>
        <v>1.8674698795180723E-2</v>
      </c>
      <c r="U857" s="19">
        <f>ProductionData[[#This Row],[Produced_Qty]]/ProductionData[[#This Row],[Planned_Qty]]</f>
        <v>0.98108747044917255</v>
      </c>
      <c r="V857" s="2" t="s">
        <v>113</v>
      </c>
      <c r="W857" s="11">
        <v>0</v>
      </c>
      <c r="X857" s="13">
        <f>W857/60</f>
        <v>0</v>
      </c>
      <c r="Y857" s="2" t="s">
        <v>90</v>
      </c>
      <c r="Z857" s="2">
        <v>38</v>
      </c>
      <c r="AA857" s="2">
        <f>ProductionData[[#This Row],[Rejected_Qty]]*ProductionData[[#This Row],[Unit_Cost_INR]]</f>
        <v>5890</v>
      </c>
      <c r="AB857" s="4">
        <v>23808</v>
      </c>
      <c r="AC857" s="4">
        <v>7450</v>
      </c>
      <c r="AD857" s="4">
        <v>7450</v>
      </c>
      <c r="AE857" s="4">
        <v>24503</v>
      </c>
      <c r="AF857" s="4">
        <v>13500</v>
      </c>
    </row>
    <row r="858" spans="1:32">
      <c r="A858" s="2" t="s">
        <v>1845</v>
      </c>
      <c r="B858" s="3">
        <v>46183</v>
      </c>
      <c r="C858" s="36" t="s">
        <v>1459</v>
      </c>
      <c r="D858" s="2">
        <f>MONTH(ProductionData[[#This Row],[Month]])</f>
        <v>6</v>
      </c>
      <c r="E858" s="2" t="s">
        <v>79</v>
      </c>
      <c r="F858" s="2" t="s">
        <v>80</v>
      </c>
      <c r="G858" s="2" t="s">
        <v>195</v>
      </c>
      <c r="H858" s="2" t="s">
        <v>196</v>
      </c>
      <c r="I858" s="2" t="s">
        <v>197</v>
      </c>
      <c r="J858" s="2" t="s">
        <v>198</v>
      </c>
      <c r="K858" s="2" t="s">
        <v>199</v>
      </c>
      <c r="L858" s="2" t="s">
        <v>1846</v>
      </c>
      <c r="M858" s="2" t="s">
        <v>87</v>
      </c>
      <c r="N858" s="2" t="s">
        <v>96</v>
      </c>
      <c r="O858" s="2">
        <v>14</v>
      </c>
      <c r="P858" s="2">
        <v>13</v>
      </c>
      <c r="Q858" s="4">
        <v>8680</v>
      </c>
      <c r="R858" s="4">
        <v>7980</v>
      </c>
      <c r="S858" s="4">
        <v>178</v>
      </c>
      <c r="T858" s="19">
        <f>(ProductionData[[#This Row],[Rejected_Qty]])/ProductionData[[#This Row],[Produced_Qty]]</f>
        <v>2.2305764411027568E-2</v>
      </c>
      <c r="U858" s="19">
        <f>ProductionData[[#This Row],[Produced_Qty]]/ProductionData[[#This Row],[Planned_Qty]]</f>
        <v>0.91935483870967738</v>
      </c>
      <c r="V858" s="2" t="s">
        <v>103</v>
      </c>
      <c r="W858" s="11">
        <v>0</v>
      </c>
      <c r="X858" s="13">
        <f>W858/60</f>
        <v>0</v>
      </c>
      <c r="Y858" s="2" t="s">
        <v>90</v>
      </c>
      <c r="Z858" s="2">
        <v>38</v>
      </c>
      <c r="AA858" s="2">
        <f>ProductionData[[#This Row],[Rejected_Qty]]*ProductionData[[#This Row],[Unit_Cost_INR]]</f>
        <v>6764</v>
      </c>
      <c r="AB858" s="4">
        <v>24503</v>
      </c>
      <c r="AC858" s="4">
        <v>7950</v>
      </c>
      <c r="AD858" s="4">
        <v>7950</v>
      </c>
      <c r="AE858" s="4">
        <v>24355</v>
      </c>
      <c r="AF858" s="4">
        <v>13500</v>
      </c>
    </row>
    <row r="859" spans="1:32">
      <c r="A859" s="2" t="s">
        <v>1847</v>
      </c>
      <c r="B859" s="3">
        <v>46181</v>
      </c>
      <c r="C859" s="36" t="s">
        <v>1459</v>
      </c>
      <c r="D859" s="2">
        <f>MONTH(ProductionData[[#This Row],[Month]])</f>
        <v>6</v>
      </c>
      <c r="E859" s="2" t="s">
        <v>116</v>
      </c>
      <c r="F859" s="2" t="s">
        <v>80</v>
      </c>
      <c r="G859" s="2" t="s">
        <v>195</v>
      </c>
      <c r="H859" s="2" t="s">
        <v>196</v>
      </c>
      <c r="I859" s="2" t="s">
        <v>197</v>
      </c>
      <c r="J859" s="2" t="s">
        <v>269</v>
      </c>
      <c r="K859" s="2" t="s">
        <v>270</v>
      </c>
      <c r="L859" s="2" t="s">
        <v>1848</v>
      </c>
      <c r="M859" s="2" t="s">
        <v>102</v>
      </c>
      <c r="N859" s="2" t="s">
        <v>96</v>
      </c>
      <c r="O859" s="2">
        <v>14</v>
      </c>
      <c r="P859" s="2">
        <v>14</v>
      </c>
      <c r="Q859" s="4">
        <v>8460</v>
      </c>
      <c r="R859" s="4">
        <v>8150</v>
      </c>
      <c r="S859" s="4">
        <v>236</v>
      </c>
      <c r="T859" s="19">
        <f>(ProductionData[[#This Row],[Rejected_Qty]])/ProductionData[[#This Row],[Produced_Qty]]</f>
        <v>2.8957055214723925E-2</v>
      </c>
      <c r="U859" s="19">
        <f>ProductionData[[#This Row],[Produced_Qty]]/ProductionData[[#This Row],[Planned_Qty]]</f>
        <v>0.96335697399527187</v>
      </c>
      <c r="V859" s="2" t="s">
        <v>103</v>
      </c>
      <c r="W859" s="11">
        <v>0</v>
      </c>
      <c r="X859" s="13">
        <f>W859/60</f>
        <v>0</v>
      </c>
      <c r="Y859" s="2" t="s">
        <v>90</v>
      </c>
      <c r="Z859" s="2">
        <v>42</v>
      </c>
      <c r="AA859" s="2">
        <f>ProductionData[[#This Row],[Rejected_Qty]]*ProductionData[[#This Row],[Unit_Cost_INR]]</f>
        <v>9912</v>
      </c>
      <c r="AB859" s="4">
        <v>23416</v>
      </c>
      <c r="AC859" s="4">
        <v>7030</v>
      </c>
      <c r="AD859" s="4">
        <v>7030</v>
      </c>
      <c r="AE859" s="4">
        <v>24300</v>
      </c>
      <c r="AF859" s="4">
        <v>12000</v>
      </c>
    </row>
    <row r="860" spans="1:32">
      <c r="A860" s="2" t="s">
        <v>1849</v>
      </c>
      <c r="B860" s="3">
        <v>46200</v>
      </c>
      <c r="C860" s="36" t="s">
        <v>1459</v>
      </c>
      <c r="D860" s="2">
        <f>MONTH(ProductionData[[#This Row],[Month]])</f>
        <v>6</v>
      </c>
      <c r="E860" s="2" t="s">
        <v>65</v>
      </c>
      <c r="F860" s="2" t="s">
        <v>80</v>
      </c>
      <c r="G860" s="2" t="s">
        <v>67</v>
      </c>
      <c r="H860" s="2" t="s">
        <v>68</v>
      </c>
      <c r="I860" s="2" t="s">
        <v>69</v>
      </c>
      <c r="J860" s="2" t="s">
        <v>403</v>
      </c>
      <c r="K860" s="2" t="s">
        <v>404</v>
      </c>
      <c r="L860" s="2" t="s">
        <v>1850</v>
      </c>
      <c r="M860" s="2" t="s">
        <v>87</v>
      </c>
      <c r="N860" s="2" t="s">
        <v>96</v>
      </c>
      <c r="O860" s="2">
        <v>16</v>
      </c>
      <c r="P860" s="2">
        <v>15</v>
      </c>
      <c r="Q860" s="4">
        <v>6440</v>
      </c>
      <c r="R860" s="4">
        <v>5920</v>
      </c>
      <c r="S860" s="4">
        <v>185</v>
      </c>
      <c r="T860" s="19">
        <f>(ProductionData[[#This Row],[Rejected_Qty]])/ProductionData[[#This Row],[Produced_Qty]]</f>
        <v>3.125E-2</v>
      </c>
      <c r="U860" s="19">
        <f>ProductionData[[#This Row],[Produced_Qty]]/ProductionData[[#This Row],[Planned_Qty]]</f>
        <v>0.91925465838509313</v>
      </c>
      <c r="V860" s="2" t="s">
        <v>113</v>
      </c>
      <c r="W860" s="11">
        <v>0</v>
      </c>
      <c r="X860" s="13">
        <f>W860/60</f>
        <v>0</v>
      </c>
      <c r="Y860" s="2" t="s">
        <v>90</v>
      </c>
      <c r="Z860" s="2">
        <v>58</v>
      </c>
      <c r="AA860" s="2">
        <f>ProductionData[[#This Row],[Rejected_Qty]]*ProductionData[[#This Row],[Unit_Cost_INR]]</f>
        <v>10730</v>
      </c>
      <c r="AB860" s="4">
        <v>23611</v>
      </c>
      <c r="AC860" s="4">
        <v>5280</v>
      </c>
      <c r="AD860" s="4">
        <v>5280</v>
      </c>
      <c r="AE860" s="4">
        <v>24066</v>
      </c>
      <c r="AF860" s="4">
        <v>9000</v>
      </c>
    </row>
    <row r="861" spans="1:32">
      <c r="A861" s="2" t="s">
        <v>1851</v>
      </c>
      <c r="B861" s="3">
        <v>46181</v>
      </c>
      <c r="C861" s="36" t="s">
        <v>1459</v>
      </c>
      <c r="D861" s="2">
        <f>MONTH(ProductionData[[#This Row],[Month]])</f>
        <v>6</v>
      </c>
      <c r="E861" s="2" t="s">
        <v>116</v>
      </c>
      <c r="F861" s="2" t="s">
        <v>93</v>
      </c>
      <c r="G861" s="2" t="s">
        <v>195</v>
      </c>
      <c r="H861" s="2" t="s">
        <v>196</v>
      </c>
      <c r="I861" s="2" t="s">
        <v>197</v>
      </c>
      <c r="J861" s="2" t="s">
        <v>269</v>
      </c>
      <c r="K861" s="2" t="s">
        <v>270</v>
      </c>
      <c r="L861" s="2" t="s">
        <v>1852</v>
      </c>
      <c r="M861" s="2" t="s">
        <v>95</v>
      </c>
      <c r="N861" s="2" t="s">
        <v>88</v>
      </c>
      <c r="O861" s="2">
        <v>14</v>
      </c>
      <c r="P861" s="2">
        <v>11</v>
      </c>
      <c r="Q861" s="4">
        <v>7840</v>
      </c>
      <c r="R861" s="4">
        <v>6560</v>
      </c>
      <c r="S861" s="4">
        <v>152</v>
      </c>
      <c r="T861" s="19">
        <f>(ProductionData[[#This Row],[Rejected_Qty]])/ProductionData[[#This Row],[Produced_Qty]]</f>
        <v>2.3170731707317073E-2</v>
      </c>
      <c r="U861" s="19">
        <f>ProductionData[[#This Row],[Produced_Qty]]/ProductionData[[#This Row],[Planned_Qty]]</f>
        <v>0.83673469387755106</v>
      </c>
      <c r="V861" s="2" t="s">
        <v>75</v>
      </c>
      <c r="W861" s="11">
        <v>0</v>
      </c>
      <c r="X861" s="13">
        <f>W861/60</f>
        <v>0</v>
      </c>
      <c r="Y861" s="2" t="s">
        <v>90</v>
      </c>
      <c r="Z861" s="2">
        <v>42</v>
      </c>
      <c r="AA861" s="2">
        <f>ProductionData[[#This Row],[Rejected_Qty]]*ProductionData[[#This Row],[Unit_Cost_INR]]</f>
        <v>6384</v>
      </c>
      <c r="AB861" s="4">
        <v>24300</v>
      </c>
      <c r="AC861" s="4">
        <v>6690</v>
      </c>
      <c r="AD861" s="4">
        <v>6690</v>
      </c>
      <c r="AE861" s="4">
        <v>24018</v>
      </c>
      <c r="AF861" s="4">
        <v>12000</v>
      </c>
    </row>
    <row r="862" spans="1:32">
      <c r="A862" s="2" t="s">
        <v>1853</v>
      </c>
      <c r="B862" s="3">
        <v>46202</v>
      </c>
      <c r="C862" s="36" t="s">
        <v>1459</v>
      </c>
      <c r="D862" s="2">
        <f>MONTH(ProductionData[[#This Row],[Month]])</f>
        <v>6</v>
      </c>
      <c r="E862" s="2" t="s">
        <v>116</v>
      </c>
      <c r="F862" s="2" t="s">
        <v>66</v>
      </c>
      <c r="G862" s="2" t="s">
        <v>67</v>
      </c>
      <c r="H862" s="2" t="s">
        <v>68</v>
      </c>
      <c r="I862" s="2" t="s">
        <v>69</v>
      </c>
      <c r="J862" s="2" t="s">
        <v>403</v>
      </c>
      <c r="K862" s="2" t="s">
        <v>404</v>
      </c>
      <c r="L862" s="2" t="s">
        <v>1854</v>
      </c>
      <c r="M862" s="2" t="s">
        <v>99</v>
      </c>
      <c r="N862" s="2" t="s">
        <v>88</v>
      </c>
      <c r="O862" s="2">
        <v>16</v>
      </c>
      <c r="P862" s="2">
        <v>15</v>
      </c>
      <c r="Q862" s="4">
        <v>5910</v>
      </c>
      <c r="R862" s="4">
        <v>5500</v>
      </c>
      <c r="S862" s="4">
        <v>154</v>
      </c>
      <c r="T862" s="19">
        <f>(ProductionData[[#This Row],[Rejected_Qty]])/ProductionData[[#This Row],[Produced_Qty]]</f>
        <v>2.8000000000000001E-2</v>
      </c>
      <c r="U862" s="19">
        <f>ProductionData[[#This Row],[Produced_Qty]]/ProductionData[[#This Row],[Planned_Qty]]</f>
        <v>0.93062605752961081</v>
      </c>
      <c r="V862" s="2" t="s">
        <v>113</v>
      </c>
      <c r="W862" s="11">
        <v>52</v>
      </c>
      <c r="X862" s="13">
        <f>W862/60</f>
        <v>0.8666666666666667</v>
      </c>
      <c r="Y862" s="2" t="s">
        <v>136</v>
      </c>
      <c r="Z862" s="2">
        <v>58</v>
      </c>
      <c r="AA862" s="2">
        <f>ProductionData[[#This Row],[Rejected_Qty]]*ProductionData[[#This Row],[Unit_Cost_INR]]</f>
        <v>8932</v>
      </c>
      <c r="AB862" s="4">
        <v>23819</v>
      </c>
      <c r="AC862" s="4">
        <v>5160</v>
      </c>
      <c r="AD862" s="4">
        <v>5160</v>
      </c>
      <c r="AE862" s="4">
        <v>24005</v>
      </c>
      <c r="AF862" s="4">
        <v>9000</v>
      </c>
    </row>
    <row r="863" spans="1:32">
      <c r="A863" s="2" t="s">
        <v>1855</v>
      </c>
      <c r="B863" s="3">
        <v>46183</v>
      </c>
      <c r="C863" s="36" t="s">
        <v>1459</v>
      </c>
      <c r="D863" s="2">
        <f>MONTH(ProductionData[[#This Row],[Month]])</f>
        <v>6</v>
      </c>
      <c r="E863" s="2" t="s">
        <v>79</v>
      </c>
      <c r="F863" s="2" t="s">
        <v>93</v>
      </c>
      <c r="G863" s="2" t="s">
        <v>195</v>
      </c>
      <c r="H863" s="2" t="s">
        <v>196</v>
      </c>
      <c r="I863" s="2" t="s">
        <v>197</v>
      </c>
      <c r="J863" s="2" t="s">
        <v>198</v>
      </c>
      <c r="K863" s="2" t="s">
        <v>199</v>
      </c>
      <c r="L863" s="2" t="s">
        <v>1856</v>
      </c>
      <c r="M863" s="2" t="s">
        <v>133</v>
      </c>
      <c r="N863" s="2" t="s">
        <v>88</v>
      </c>
      <c r="O863" s="2">
        <v>14</v>
      </c>
      <c r="P863" s="2">
        <v>13</v>
      </c>
      <c r="Q863" s="4">
        <v>8240</v>
      </c>
      <c r="R863" s="4">
        <v>7890</v>
      </c>
      <c r="S863" s="4">
        <v>264</v>
      </c>
      <c r="T863" s="19">
        <f>(ProductionData[[#This Row],[Rejected_Qty]])/ProductionData[[#This Row],[Produced_Qty]]</f>
        <v>3.3460076045627375E-2</v>
      </c>
      <c r="U863" s="19">
        <f>ProductionData[[#This Row],[Produced_Qty]]/ProductionData[[#This Row],[Planned_Qty]]</f>
        <v>0.95752427184466016</v>
      </c>
      <c r="V863" s="2" t="s">
        <v>109</v>
      </c>
      <c r="W863" s="11">
        <v>0</v>
      </c>
      <c r="X863" s="13">
        <f>W863/60</f>
        <v>0</v>
      </c>
      <c r="Y863" s="2" t="s">
        <v>90</v>
      </c>
      <c r="Z863" s="2">
        <v>38</v>
      </c>
      <c r="AA863" s="2">
        <f>ProductionData[[#This Row],[Rejected_Qty]]*ProductionData[[#This Row],[Unit_Cost_INR]]</f>
        <v>10032</v>
      </c>
      <c r="AB863" s="4">
        <v>24355</v>
      </c>
      <c r="AC863" s="4">
        <v>8020</v>
      </c>
      <c r="AD863" s="4">
        <v>8020</v>
      </c>
      <c r="AE863" s="4">
        <v>23961</v>
      </c>
      <c r="AF863" s="4">
        <v>13500</v>
      </c>
    </row>
    <row r="864" spans="1:32">
      <c r="A864" s="2" t="s">
        <v>1857</v>
      </c>
      <c r="B864" s="3">
        <v>46201</v>
      </c>
      <c r="C864" s="36" t="s">
        <v>1459</v>
      </c>
      <c r="D864" s="2">
        <f>MONTH(ProductionData[[#This Row],[Month]])</f>
        <v>6</v>
      </c>
      <c r="E864" s="2" t="s">
        <v>186</v>
      </c>
      <c r="F864" s="2" t="s">
        <v>80</v>
      </c>
      <c r="G864" s="2" t="s">
        <v>67</v>
      </c>
      <c r="H864" s="2" t="s">
        <v>68</v>
      </c>
      <c r="I864" s="2" t="s">
        <v>69</v>
      </c>
      <c r="J864" s="2" t="s">
        <v>403</v>
      </c>
      <c r="K864" s="2" t="s">
        <v>404</v>
      </c>
      <c r="L864" s="2" t="s">
        <v>1858</v>
      </c>
      <c r="M864" s="2" t="s">
        <v>102</v>
      </c>
      <c r="N864" s="2" t="s">
        <v>96</v>
      </c>
      <c r="O864" s="2">
        <v>16</v>
      </c>
      <c r="P864" s="2">
        <v>12</v>
      </c>
      <c r="Q864" s="4">
        <v>3980</v>
      </c>
      <c r="R864" s="4">
        <v>3390</v>
      </c>
      <c r="S864" s="4">
        <v>67</v>
      </c>
      <c r="T864" s="19">
        <f>(ProductionData[[#This Row],[Rejected_Qty]])/ProductionData[[#This Row],[Produced_Qty]]</f>
        <v>1.9764011799410029E-2</v>
      </c>
      <c r="U864" s="19">
        <f>ProductionData[[#This Row],[Produced_Qty]]/ProductionData[[#This Row],[Planned_Qty]]</f>
        <v>0.85175879396984921</v>
      </c>
      <c r="V864" s="2" t="s">
        <v>89</v>
      </c>
      <c r="W864" s="11">
        <v>0</v>
      </c>
      <c r="X864" s="13">
        <f>W864/60</f>
        <v>0</v>
      </c>
      <c r="Y864" s="2" t="s">
        <v>90</v>
      </c>
      <c r="Z864" s="2">
        <v>58</v>
      </c>
      <c r="AA864" s="2">
        <f>ProductionData[[#This Row],[Rejected_Qty]]*ProductionData[[#This Row],[Unit_Cost_INR]]</f>
        <v>3886</v>
      </c>
      <c r="AB864" s="4">
        <v>24066</v>
      </c>
      <c r="AC864" s="4">
        <v>3570</v>
      </c>
      <c r="AD864" s="4">
        <v>3570</v>
      </c>
      <c r="AE864" s="4">
        <v>23819</v>
      </c>
      <c r="AF864" s="4">
        <v>9000</v>
      </c>
    </row>
    <row r="865" spans="1:32">
      <c r="A865" s="2" t="s">
        <v>1859</v>
      </c>
      <c r="B865" s="3">
        <v>46180</v>
      </c>
      <c r="C865" s="36" t="s">
        <v>1459</v>
      </c>
      <c r="D865" s="2">
        <f>MONTH(ProductionData[[#This Row],[Month]])</f>
        <v>6</v>
      </c>
      <c r="E865" s="2" t="s">
        <v>186</v>
      </c>
      <c r="F865" s="2" t="s">
        <v>66</v>
      </c>
      <c r="G865" s="2" t="s">
        <v>195</v>
      </c>
      <c r="H865" s="2" t="s">
        <v>196</v>
      </c>
      <c r="I865" s="2" t="s">
        <v>197</v>
      </c>
      <c r="J865" s="2" t="s">
        <v>198</v>
      </c>
      <c r="K865" s="2" t="s">
        <v>199</v>
      </c>
      <c r="L865" s="2" t="s">
        <v>1860</v>
      </c>
      <c r="M865" s="2" t="s">
        <v>99</v>
      </c>
      <c r="N865" s="2" t="s">
        <v>96</v>
      </c>
      <c r="O865" s="2">
        <v>14</v>
      </c>
      <c r="P865" s="2">
        <v>13</v>
      </c>
      <c r="Q865" s="4">
        <v>5910</v>
      </c>
      <c r="R865" s="4">
        <v>5580</v>
      </c>
      <c r="S865" s="4">
        <v>160</v>
      </c>
      <c r="T865" s="19">
        <f>(ProductionData[[#This Row],[Rejected_Qty]])/ProductionData[[#This Row],[Produced_Qty]]</f>
        <v>2.8673835125448029E-2</v>
      </c>
      <c r="U865" s="19">
        <f>ProductionData[[#This Row],[Produced_Qty]]/ProductionData[[#This Row],[Planned_Qty]]</f>
        <v>0.9441624365482234</v>
      </c>
      <c r="V865" s="2" t="s">
        <v>75</v>
      </c>
      <c r="W865" s="11">
        <v>60</v>
      </c>
      <c r="X865" s="13">
        <f>W865/60</f>
        <v>1</v>
      </c>
      <c r="Y865" s="2" t="s">
        <v>182</v>
      </c>
      <c r="Z865" s="2">
        <v>38</v>
      </c>
      <c r="AA865" s="2">
        <f>ProductionData[[#This Row],[Rejected_Qty]]*ProductionData[[#This Row],[Unit_Cost_INR]]</f>
        <v>6080</v>
      </c>
      <c r="AB865" s="4">
        <v>23708</v>
      </c>
      <c r="AC865" s="4">
        <v>5320</v>
      </c>
      <c r="AD865" s="4">
        <v>5320</v>
      </c>
      <c r="AE865" s="4">
        <v>23808</v>
      </c>
      <c r="AF865" s="4">
        <v>13500</v>
      </c>
    </row>
    <row r="866" spans="1:32">
      <c r="A866" s="2" t="s">
        <v>1861</v>
      </c>
      <c r="B866" s="3">
        <v>46179</v>
      </c>
      <c r="C866" s="36" t="s">
        <v>1459</v>
      </c>
      <c r="D866" s="2">
        <f>MONTH(ProductionData[[#This Row],[Month]])</f>
        <v>6</v>
      </c>
      <c r="E866" s="2" t="s">
        <v>65</v>
      </c>
      <c r="F866" s="2" t="s">
        <v>93</v>
      </c>
      <c r="G866" s="2" t="s">
        <v>195</v>
      </c>
      <c r="H866" s="2" t="s">
        <v>196</v>
      </c>
      <c r="I866" s="2" t="s">
        <v>197</v>
      </c>
      <c r="J866" s="2" t="s">
        <v>198</v>
      </c>
      <c r="K866" s="2" t="s">
        <v>199</v>
      </c>
      <c r="L866" s="2" t="s">
        <v>1862</v>
      </c>
      <c r="M866" s="2" t="s">
        <v>95</v>
      </c>
      <c r="N866" s="2" t="s">
        <v>88</v>
      </c>
      <c r="O866" s="2">
        <v>14</v>
      </c>
      <c r="P866" s="2">
        <v>14</v>
      </c>
      <c r="Q866" s="4">
        <v>9170</v>
      </c>
      <c r="R866" s="4">
        <v>8450</v>
      </c>
      <c r="S866" s="4">
        <v>196</v>
      </c>
      <c r="T866" s="19">
        <f>(ProductionData[[#This Row],[Rejected_Qty]])/ProductionData[[#This Row],[Produced_Qty]]</f>
        <v>2.319526627218935E-2</v>
      </c>
      <c r="U866" s="19">
        <f>ProductionData[[#This Row],[Produced_Qty]]/ProductionData[[#This Row],[Planned_Qty]]</f>
        <v>0.92148309705561615</v>
      </c>
      <c r="V866" s="2" t="s">
        <v>75</v>
      </c>
      <c r="W866" s="11">
        <v>16</v>
      </c>
      <c r="X866" s="13">
        <f>W866/60</f>
        <v>0.26666666666666666</v>
      </c>
      <c r="Y866" s="2" t="s">
        <v>76</v>
      </c>
      <c r="Z866" s="2">
        <v>38</v>
      </c>
      <c r="AA866" s="2">
        <f>ProductionData[[#This Row],[Rejected_Qty]]*ProductionData[[#This Row],[Unit_Cost_INR]]</f>
        <v>7448</v>
      </c>
      <c r="AB866" s="4">
        <v>24934</v>
      </c>
      <c r="AC866" s="4">
        <v>9480</v>
      </c>
      <c r="AD866" s="4">
        <v>9480</v>
      </c>
      <c r="AE866" s="4">
        <v>23708</v>
      </c>
      <c r="AF866" s="4">
        <v>13500</v>
      </c>
    </row>
    <row r="867" spans="1:32">
      <c r="A867" s="2" t="s">
        <v>1863</v>
      </c>
      <c r="B867" s="3">
        <v>46182</v>
      </c>
      <c r="C867" s="36" t="s">
        <v>1459</v>
      </c>
      <c r="D867" s="2">
        <f>MONTH(ProductionData[[#This Row],[Month]])</f>
        <v>6</v>
      </c>
      <c r="E867" s="2" t="s">
        <v>92</v>
      </c>
      <c r="F867" s="2" t="s">
        <v>66</v>
      </c>
      <c r="G867" s="2" t="s">
        <v>195</v>
      </c>
      <c r="H867" s="2" t="s">
        <v>196</v>
      </c>
      <c r="I867" s="2" t="s">
        <v>197</v>
      </c>
      <c r="J867" s="2" t="s">
        <v>269</v>
      </c>
      <c r="K867" s="2" t="s">
        <v>270</v>
      </c>
      <c r="L867" s="2" t="s">
        <v>1864</v>
      </c>
      <c r="M867" s="2" t="s">
        <v>73</v>
      </c>
      <c r="N867" s="2" t="s">
        <v>88</v>
      </c>
      <c r="O867" s="2">
        <v>14</v>
      </c>
      <c r="P867" s="2">
        <v>14</v>
      </c>
      <c r="Q867" s="4">
        <v>7540</v>
      </c>
      <c r="R867" s="4">
        <v>7270</v>
      </c>
      <c r="S867" s="4">
        <v>130</v>
      </c>
      <c r="T867" s="19">
        <f>(ProductionData[[#This Row],[Rejected_Qty]])/ProductionData[[#This Row],[Produced_Qty]]</f>
        <v>1.7881705639614855E-2</v>
      </c>
      <c r="U867" s="19">
        <f>ProductionData[[#This Row],[Produced_Qty]]/ProductionData[[#This Row],[Planned_Qty]]</f>
        <v>0.96419098143236071</v>
      </c>
      <c r="V867" s="2" t="s">
        <v>89</v>
      </c>
      <c r="W867" s="11">
        <v>63</v>
      </c>
      <c r="X867" s="13">
        <f>W867/60</f>
        <v>1.05</v>
      </c>
      <c r="Y867" s="2" t="s">
        <v>182</v>
      </c>
      <c r="Z867" s="2">
        <v>42</v>
      </c>
      <c r="AA867" s="2">
        <f>ProductionData[[#This Row],[Rejected_Qty]]*ProductionData[[#This Row],[Unit_Cost_INR]]</f>
        <v>5460</v>
      </c>
      <c r="AB867" s="4">
        <v>24018</v>
      </c>
      <c r="AC867" s="4">
        <v>7470</v>
      </c>
      <c r="AD867" s="4">
        <v>7470</v>
      </c>
      <c r="AE867" s="4">
        <v>23688</v>
      </c>
      <c r="AF867" s="4">
        <v>12000</v>
      </c>
    </row>
    <row r="868" spans="1:32">
      <c r="A868" s="2" t="s">
        <v>1865</v>
      </c>
      <c r="B868" s="3">
        <v>46199</v>
      </c>
      <c r="C868" s="36" t="s">
        <v>1459</v>
      </c>
      <c r="D868" s="2">
        <f>MONTH(ProductionData[[#This Row],[Month]])</f>
        <v>6</v>
      </c>
      <c r="E868" s="2" t="s">
        <v>125</v>
      </c>
      <c r="F868" s="2" t="s">
        <v>80</v>
      </c>
      <c r="G868" s="2" t="s">
        <v>67</v>
      </c>
      <c r="H868" s="2" t="s">
        <v>68</v>
      </c>
      <c r="I868" s="2" t="s">
        <v>69</v>
      </c>
      <c r="J868" s="2" t="s">
        <v>403</v>
      </c>
      <c r="K868" s="2" t="s">
        <v>404</v>
      </c>
      <c r="L868" s="2" t="s">
        <v>1866</v>
      </c>
      <c r="M868" s="2" t="s">
        <v>87</v>
      </c>
      <c r="N868" s="2" t="s">
        <v>88</v>
      </c>
      <c r="O868" s="2">
        <v>16</v>
      </c>
      <c r="P868" s="2">
        <v>16</v>
      </c>
      <c r="Q868" s="4">
        <v>5530</v>
      </c>
      <c r="R868" s="4">
        <v>5280</v>
      </c>
      <c r="S868" s="4">
        <v>193</v>
      </c>
      <c r="T868" s="19">
        <f>(ProductionData[[#This Row],[Rejected_Qty]])/ProductionData[[#This Row],[Produced_Qty]]</f>
        <v>3.6553030303030302E-2</v>
      </c>
      <c r="U868" s="19">
        <f>ProductionData[[#This Row],[Produced_Qty]]/ProductionData[[#This Row],[Planned_Qty]]</f>
        <v>0.9547920433996383</v>
      </c>
      <c r="V868" s="2" t="s">
        <v>113</v>
      </c>
      <c r="W868" s="11">
        <v>0</v>
      </c>
      <c r="X868" s="13">
        <f>W868/60</f>
        <v>0</v>
      </c>
      <c r="Y868" s="2" t="s">
        <v>90</v>
      </c>
      <c r="Z868" s="2">
        <v>58</v>
      </c>
      <c r="AA868" s="2">
        <f>ProductionData[[#This Row],[Rejected_Qty]]*ProductionData[[#This Row],[Unit_Cost_INR]]</f>
        <v>11194</v>
      </c>
      <c r="AB868" s="4">
        <v>23364</v>
      </c>
      <c r="AC868" s="4">
        <v>4840</v>
      </c>
      <c r="AD868" s="4">
        <v>4840</v>
      </c>
      <c r="AE868" s="4">
        <v>23611</v>
      </c>
      <c r="AF868" s="4">
        <v>9000</v>
      </c>
    </row>
    <row r="869" spans="1:32">
      <c r="A869" s="2" t="s">
        <v>1867</v>
      </c>
      <c r="B869" s="3">
        <v>46191</v>
      </c>
      <c r="C869" s="36" t="s">
        <v>1459</v>
      </c>
      <c r="D869" s="2">
        <f>MONTH(ProductionData[[#This Row],[Month]])</f>
        <v>6</v>
      </c>
      <c r="E869" s="2" t="s">
        <v>107</v>
      </c>
      <c r="F869" s="2" t="s">
        <v>80</v>
      </c>
      <c r="G869" s="2" t="s">
        <v>195</v>
      </c>
      <c r="H869" s="2" t="s">
        <v>196</v>
      </c>
      <c r="I869" s="2" t="s">
        <v>197</v>
      </c>
      <c r="J869" s="2" t="s">
        <v>269</v>
      </c>
      <c r="K869" s="2" t="s">
        <v>270</v>
      </c>
      <c r="L869" s="2" t="s">
        <v>1868</v>
      </c>
      <c r="M869" s="2" t="s">
        <v>87</v>
      </c>
      <c r="N869" s="2" t="s">
        <v>88</v>
      </c>
      <c r="O869" s="2">
        <v>14</v>
      </c>
      <c r="P869" s="2">
        <v>14</v>
      </c>
      <c r="Q869" s="4">
        <v>8550</v>
      </c>
      <c r="R869" s="4">
        <v>7910</v>
      </c>
      <c r="S869" s="4">
        <v>196</v>
      </c>
      <c r="T869" s="19">
        <f>(ProductionData[[#This Row],[Rejected_Qty]])/ProductionData[[#This Row],[Produced_Qty]]</f>
        <v>2.4778761061946902E-2</v>
      </c>
      <c r="U869" s="19">
        <f>ProductionData[[#This Row],[Produced_Qty]]/ProductionData[[#This Row],[Planned_Qty]]</f>
        <v>0.92514619883040938</v>
      </c>
      <c r="V869" s="2" t="s">
        <v>75</v>
      </c>
      <c r="W869" s="11">
        <v>0</v>
      </c>
      <c r="X869" s="13">
        <f>W869/60</f>
        <v>0</v>
      </c>
      <c r="Y869" s="2" t="s">
        <v>90</v>
      </c>
      <c r="Z869" s="2">
        <v>42</v>
      </c>
      <c r="AA869" s="2">
        <f>ProductionData[[#This Row],[Rejected_Qty]]*ProductionData[[#This Row],[Unit_Cost_INR]]</f>
        <v>8232</v>
      </c>
      <c r="AB869" s="4">
        <v>23341</v>
      </c>
      <c r="AC869" s="4">
        <v>7540</v>
      </c>
      <c r="AD869" s="4">
        <v>7540</v>
      </c>
      <c r="AE869" s="4">
        <v>23515</v>
      </c>
      <c r="AF869" s="4">
        <v>12000</v>
      </c>
    </row>
    <row r="870" spans="1:32">
      <c r="A870" s="2" t="s">
        <v>1869</v>
      </c>
      <c r="B870" s="3">
        <v>46182</v>
      </c>
      <c r="C870" s="36" t="s">
        <v>1459</v>
      </c>
      <c r="D870" s="2">
        <f>MONTH(ProductionData[[#This Row],[Month]])</f>
        <v>6</v>
      </c>
      <c r="E870" s="2" t="s">
        <v>92</v>
      </c>
      <c r="F870" s="2" t="s">
        <v>80</v>
      </c>
      <c r="G870" s="2" t="s">
        <v>195</v>
      </c>
      <c r="H870" s="2" t="s">
        <v>196</v>
      </c>
      <c r="I870" s="2" t="s">
        <v>197</v>
      </c>
      <c r="J870" s="2" t="s">
        <v>269</v>
      </c>
      <c r="K870" s="2" t="s">
        <v>270</v>
      </c>
      <c r="L870" s="2" t="s">
        <v>1870</v>
      </c>
      <c r="M870" s="2" t="s">
        <v>102</v>
      </c>
      <c r="N870" s="2" t="s">
        <v>88</v>
      </c>
      <c r="O870" s="2">
        <v>14</v>
      </c>
      <c r="P870" s="2">
        <v>14</v>
      </c>
      <c r="Q870" s="4">
        <v>7600</v>
      </c>
      <c r="R870" s="4">
        <v>7160</v>
      </c>
      <c r="S870" s="4">
        <v>189</v>
      </c>
      <c r="T870" s="19">
        <f>(ProductionData[[#This Row],[Rejected_Qty]])/ProductionData[[#This Row],[Produced_Qty]]</f>
        <v>2.6396648044692737E-2</v>
      </c>
      <c r="U870" s="19">
        <f>ProductionData[[#This Row],[Produced_Qty]]/ProductionData[[#This Row],[Planned_Qty]]</f>
        <v>0.94210526315789478</v>
      </c>
      <c r="V870" s="2" t="s">
        <v>109</v>
      </c>
      <c r="W870" s="11">
        <v>0</v>
      </c>
      <c r="X870" s="13">
        <f>W870/60</f>
        <v>0</v>
      </c>
      <c r="Y870" s="2" t="s">
        <v>90</v>
      </c>
      <c r="Z870" s="2">
        <v>42</v>
      </c>
      <c r="AA870" s="2">
        <f>ProductionData[[#This Row],[Rejected_Qty]]*ProductionData[[#This Row],[Unit_Cost_INR]]</f>
        <v>7938</v>
      </c>
      <c r="AB870" s="4">
        <v>23688</v>
      </c>
      <c r="AC870" s="4">
        <v>7180</v>
      </c>
      <c r="AD870" s="4">
        <v>7180</v>
      </c>
      <c r="AE870" s="4">
        <v>23479</v>
      </c>
      <c r="AF870" s="4">
        <v>12000</v>
      </c>
    </row>
    <row r="871" spans="1:32">
      <c r="A871" s="2" t="s">
        <v>1871</v>
      </c>
      <c r="B871" s="3">
        <v>46178</v>
      </c>
      <c r="C871" s="36" t="s">
        <v>1459</v>
      </c>
      <c r="D871" s="2">
        <f>MONTH(ProductionData[[#This Row],[Month]])</f>
        <v>6</v>
      </c>
      <c r="E871" s="2" t="s">
        <v>125</v>
      </c>
      <c r="F871" s="2" t="s">
        <v>80</v>
      </c>
      <c r="G871" s="2" t="s">
        <v>195</v>
      </c>
      <c r="H871" s="2" t="s">
        <v>196</v>
      </c>
      <c r="I871" s="2" t="s">
        <v>197</v>
      </c>
      <c r="J871" s="2" t="s">
        <v>269</v>
      </c>
      <c r="K871" s="2" t="s">
        <v>270</v>
      </c>
      <c r="L871" s="2" t="s">
        <v>1872</v>
      </c>
      <c r="M871" s="2" t="s">
        <v>87</v>
      </c>
      <c r="N871" s="2" t="s">
        <v>88</v>
      </c>
      <c r="O871" s="2">
        <v>14</v>
      </c>
      <c r="P871" s="2">
        <v>14</v>
      </c>
      <c r="Q871" s="4">
        <v>7660</v>
      </c>
      <c r="R871" s="4">
        <v>7570</v>
      </c>
      <c r="S871" s="4">
        <v>148</v>
      </c>
      <c r="T871" s="19">
        <f>(ProductionData[[#This Row],[Rejected_Qty]])/ProductionData[[#This Row],[Produced_Qty]]</f>
        <v>1.9550858652575959E-2</v>
      </c>
      <c r="U871" s="19">
        <f>ProductionData[[#This Row],[Produced_Qty]]/ProductionData[[#This Row],[Planned_Qty]]</f>
        <v>0.98825065274151436</v>
      </c>
      <c r="V871" s="2" t="s">
        <v>89</v>
      </c>
      <c r="W871" s="11">
        <v>17</v>
      </c>
      <c r="X871" s="13">
        <f>W871/60</f>
        <v>0.28333333333333333</v>
      </c>
      <c r="Y871" s="2" t="s">
        <v>114</v>
      </c>
      <c r="Z871" s="2">
        <v>42</v>
      </c>
      <c r="AA871" s="2">
        <f>ProductionData[[#This Row],[Rejected_Qty]]*ProductionData[[#This Row],[Unit_Cost_INR]]</f>
        <v>6216</v>
      </c>
      <c r="AB871" s="4">
        <v>22487</v>
      </c>
      <c r="AC871" s="4">
        <v>6490</v>
      </c>
      <c r="AD871" s="4">
        <v>6490</v>
      </c>
      <c r="AE871" s="4">
        <v>23419</v>
      </c>
      <c r="AF871" s="4">
        <v>12000</v>
      </c>
    </row>
    <row r="872" spans="1:32">
      <c r="A872" s="2" t="s">
        <v>1873</v>
      </c>
      <c r="B872" s="3">
        <v>46180</v>
      </c>
      <c r="C872" s="36" t="s">
        <v>1459</v>
      </c>
      <c r="D872" s="2">
        <f>MONTH(ProductionData[[#This Row],[Month]])</f>
        <v>6</v>
      </c>
      <c r="E872" s="2" t="s">
        <v>186</v>
      </c>
      <c r="F872" s="2" t="s">
        <v>80</v>
      </c>
      <c r="G872" s="2" t="s">
        <v>195</v>
      </c>
      <c r="H872" s="2" t="s">
        <v>196</v>
      </c>
      <c r="I872" s="2" t="s">
        <v>197</v>
      </c>
      <c r="J872" s="2" t="s">
        <v>269</v>
      </c>
      <c r="K872" s="2" t="s">
        <v>270</v>
      </c>
      <c r="L872" s="2" t="s">
        <v>1874</v>
      </c>
      <c r="M872" s="2" t="s">
        <v>102</v>
      </c>
      <c r="N872" s="2" t="s">
        <v>96</v>
      </c>
      <c r="O872" s="2">
        <v>14</v>
      </c>
      <c r="P872" s="2">
        <v>13</v>
      </c>
      <c r="Q872" s="4">
        <v>5540</v>
      </c>
      <c r="R872" s="4">
        <v>5040</v>
      </c>
      <c r="S872" s="4">
        <v>158</v>
      </c>
      <c r="T872" s="19">
        <f>(ProductionData[[#This Row],[Rejected_Qty]])/ProductionData[[#This Row],[Produced_Qty]]</f>
        <v>3.1349206349206349E-2</v>
      </c>
      <c r="U872" s="19">
        <f>ProductionData[[#This Row],[Produced_Qty]]/ProductionData[[#This Row],[Planned_Qty]]</f>
        <v>0.90974729241877261</v>
      </c>
      <c r="V872" s="2" t="s">
        <v>113</v>
      </c>
      <c r="W872" s="11">
        <v>64</v>
      </c>
      <c r="X872" s="13">
        <f>W872/60</f>
        <v>1.0666666666666667</v>
      </c>
      <c r="Y872" s="2" t="s">
        <v>136</v>
      </c>
      <c r="Z872" s="2">
        <v>42</v>
      </c>
      <c r="AA872" s="2">
        <f>ProductionData[[#This Row],[Rejected_Qty]]*ProductionData[[#This Row],[Unit_Cost_INR]]</f>
        <v>6636</v>
      </c>
      <c r="AB872" s="4">
        <v>23094</v>
      </c>
      <c r="AC872" s="4">
        <v>4560</v>
      </c>
      <c r="AD872" s="4">
        <v>4560</v>
      </c>
      <c r="AE872" s="4">
        <v>23416</v>
      </c>
      <c r="AF872" s="4">
        <v>12000</v>
      </c>
    </row>
    <row r="873" spans="1:32">
      <c r="A873" s="2" t="s">
        <v>1875</v>
      </c>
      <c r="B873" s="3">
        <v>46197</v>
      </c>
      <c r="C873" s="36" t="s">
        <v>1459</v>
      </c>
      <c r="D873" s="2">
        <f>MONTH(ProductionData[[#This Row],[Month]])</f>
        <v>6</v>
      </c>
      <c r="E873" s="2" t="s">
        <v>79</v>
      </c>
      <c r="F873" s="2" t="s">
        <v>66</v>
      </c>
      <c r="G873" s="2" t="s">
        <v>67</v>
      </c>
      <c r="H873" s="2" t="s">
        <v>68</v>
      </c>
      <c r="I873" s="2" t="s">
        <v>69</v>
      </c>
      <c r="J873" s="2" t="s">
        <v>403</v>
      </c>
      <c r="K873" s="2" t="s">
        <v>404</v>
      </c>
      <c r="L873" s="2" t="s">
        <v>1876</v>
      </c>
      <c r="M873" s="2" t="s">
        <v>73</v>
      </c>
      <c r="N873" s="2" t="s">
        <v>96</v>
      </c>
      <c r="O873" s="2">
        <v>16</v>
      </c>
      <c r="P873" s="2">
        <v>15</v>
      </c>
      <c r="Q873" s="4">
        <v>6010</v>
      </c>
      <c r="R873" s="4">
        <v>5620</v>
      </c>
      <c r="S873" s="4">
        <v>132</v>
      </c>
      <c r="T873" s="19">
        <f>(ProductionData[[#This Row],[Rejected_Qty]])/ProductionData[[#This Row],[Produced_Qty]]</f>
        <v>2.3487544483985764E-2</v>
      </c>
      <c r="U873" s="19">
        <f>ProductionData[[#This Row],[Produced_Qty]]/ProductionData[[#This Row],[Planned_Qty]]</f>
        <v>0.93510815307820294</v>
      </c>
      <c r="V873" s="2" t="s">
        <v>75</v>
      </c>
      <c r="W873" s="11">
        <v>28</v>
      </c>
      <c r="X873" s="13">
        <f>W873/60</f>
        <v>0.46666666666666667</v>
      </c>
      <c r="Y873" s="2" t="s">
        <v>136</v>
      </c>
      <c r="Z873" s="2">
        <v>58</v>
      </c>
      <c r="AA873" s="2">
        <f>ProductionData[[#This Row],[Rejected_Qty]]*ProductionData[[#This Row],[Unit_Cost_INR]]</f>
        <v>7656</v>
      </c>
      <c r="AB873" s="4">
        <v>23306</v>
      </c>
      <c r="AC873" s="4">
        <v>5430</v>
      </c>
      <c r="AD873" s="4">
        <v>5430</v>
      </c>
      <c r="AE873" s="4">
        <v>23364</v>
      </c>
      <c r="AF873" s="4">
        <v>9000</v>
      </c>
    </row>
    <row r="874" spans="1:32">
      <c r="A874" s="2" t="s">
        <v>1877</v>
      </c>
      <c r="B874" s="3">
        <v>46191</v>
      </c>
      <c r="C874" s="36" t="s">
        <v>1459</v>
      </c>
      <c r="D874" s="2">
        <f>MONTH(ProductionData[[#This Row],[Month]])</f>
        <v>6</v>
      </c>
      <c r="E874" s="2" t="s">
        <v>107</v>
      </c>
      <c r="F874" s="2" t="s">
        <v>66</v>
      </c>
      <c r="G874" s="2" t="s">
        <v>195</v>
      </c>
      <c r="H874" s="2" t="s">
        <v>196</v>
      </c>
      <c r="I874" s="2" t="s">
        <v>197</v>
      </c>
      <c r="J874" s="2" t="s">
        <v>269</v>
      </c>
      <c r="K874" s="2" t="s">
        <v>270</v>
      </c>
      <c r="L874" s="2" t="s">
        <v>1878</v>
      </c>
      <c r="M874" s="2" t="s">
        <v>99</v>
      </c>
      <c r="N874" s="2" t="s">
        <v>96</v>
      </c>
      <c r="O874" s="2">
        <v>14</v>
      </c>
      <c r="P874" s="2">
        <v>13</v>
      </c>
      <c r="Q874" s="4">
        <v>8610</v>
      </c>
      <c r="R874" s="4">
        <v>8280</v>
      </c>
      <c r="S874" s="4">
        <v>288</v>
      </c>
      <c r="T874" s="19">
        <f>(ProductionData[[#This Row],[Rejected_Qty]])/ProductionData[[#This Row],[Produced_Qty]]</f>
        <v>3.4782608695652174E-2</v>
      </c>
      <c r="U874" s="19">
        <f>ProductionData[[#This Row],[Produced_Qty]]/ProductionData[[#This Row],[Planned_Qty]]</f>
        <v>0.9616724738675958</v>
      </c>
      <c r="V874" s="2" t="s">
        <v>109</v>
      </c>
      <c r="W874" s="11">
        <v>37</v>
      </c>
      <c r="X874" s="13">
        <f>W874/60</f>
        <v>0.6166666666666667</v>
      </c>
      <c r="Y874" s="2" t="s">
        <v>110</v>
      </c>
      <c r="Z874" s="2">
        <v>42</v>
      </c>
      <c r="AA874" s="2">
        <f>ProductionData[[#This Row],[Rejected_Qty]]*ProductionData[[#This Row],[Unit_Cost_INR]]</f>
        <v>12096</v>
      </c>
      <c r="AB874" s="4">
        <v>23299</v>
      </c>
      <c r="AC874" s="4">
        <v>7950</v>
      </c>
      <c r="AD874" s="4">
        <v>7950</v>
      </c>
      <c r="AE874" s="4">
        <v>23341</v>
      </c>
      <c r="AF874" s="4">
        <v>12000</v>
      </c>
    </row>
    <row r="875" spans="1:32">
      <c r="A875" s="2" t="s">
        <v>1879</v>
      </c>
      <c r="B875" s="3">
        <v>46196</v>
      </c>
      <c r="C875" s="36" t="s">
        <v>1459</v>
      </c>
      <c r="D875" s="2">
        <f>MONTH(ProductionData[[#This Row],[Month]])</f>
        <v>6</v>
      </c>
      <c r="E875" s="2" t="s">
        <v>92</v>
      </c>
      <c r="F875" s="2" t="s">
        <v>93</v>
      </c>
      <c r="G875" s="2" t="s">
        <v>67</v>
      </c>
      <c r="H875" s="2" t="s">
        <v>68</v>
      </c>
      <c r="I875" s="2" t="s">
        <v>69</v>
      </c>
      <c r="J875" s="2" t="s">
        <v>403</v>
      </c>
      <c r="K875" s="2" t="s">
        <v>404</v>
      </c>
      <c r="L875" s="2" t="s">
        <v>1880</v>
      </c>
      <c r="M875" s="2" t="s">
        <v>133</v>
      </c>
      <c r="N875" s="2" t="s">
        <v>88</v>
      </c>
      <c r="O875" s="2">
        <v>16</v>
      </c>
      <c r="P875" s="2">
        <v>15</v>
      </c>
      <c r="Q875" s="4">
        <v>6160</v>
      </c>
      <c r="R875" s="4">
        <v>5860</v>
      </c>
      <c r="S875" s="4">
        <v>153</v>
      </c>
      <c r="T875" s="19">
        <f>(ProductionData[[#This Row],[Rejected_Qty]])/ProductionData[[#This Row],[Produced_Qty]]</f>
        <v>2.6109215017064848E-2</v>
      </c>
      <c r="U875" s="19">
        <f>ProductionData[[#This Row],[Produced_Qty]]/ProductionData[[#This Row],[Planned_Qty]]</f>
        <v>0.95129870129870131</v>
      </c>
      <c r="V875" s="2" t="s">
        <v>113</v>
      </c>
      <c r="W875" s="11">
        <v>0</v>
      </c>
      <c r="X875" s="13">
        <f>W875/60</f>
        <v>0</v>
      </c>
      <c r="Y875" s="2" t="s">
        <v>90</v>
      </c>
      <c r="Z875" s="2">
        <v>58</v>
      </c>
      <c r="AA875" s="2">
        <f>ProductionData[[#This Row],[Rejected_Qty]]*ProductionData[[#This Row],[Unit_Cost_INR]]</f>
        <v>8874</v>
      </c>
      <c r="AB875" s="4">
        <v>23289</v>
      </c>
      <c r="AC875" s="4">
        <v>5690</v>
      </c>
      <c r="AD875" s="4">
        <v>5690</v>
      </c>
      <c r="AE875" s="4">
        <v>23306</v>
      </c>
      <c r="AF875" s="4">
        <v>9000</v>
      </c>
    </row>
    <row r="876" spans="1:32">
      <c r="A876" s="2" t="s">
        <v>1881</v>
      </c>
      <c r="B876" s="3">
        <v>46189</v>
      </c>
      <c r="C876" s="36" t="s">
        <v>1459</v>
      </c>
      <c r="D876" s="2">
        <f>MONTH(ProductionData[[#This Row],[Month]])</f>
        <v>6</v>
      </c>
      <c r="E876" s="2" t="s">
        <v>92</v>
      </c>
      <c r="F876" s="2" t="s">
        <v>80</v>
      </c>
      <c r="G876" s="2" t="s">
        <v>195</v>
      </c>
      <c r="H876" s="2" t="s">
        <v>196</v>
      </c>
      <c r="I876" s="2" t="s">
        <v>197</v>
      </c>
      <c r="J876" s="2" t="s">
        <v>269</v>
      </c>
      <c r="K876" s="2" t="s">
        <v>270</v>
      </c>
      <c r="L876" s="2" t="s">
        <v>1882</v>
      </c>
      <c r="M876" s="2" t="s">
        <v>102</v>
      </c>
      <c r="N876" s="2" t="s">
        <v>96</v>
      </c>
      <c r="O876" s="2">
        <v>14</v>
      </c>
      <c r="P876" s="2">
        <v>14</v>
      </c>
      <c r="Q876" s="4">
        <v>7610</v>
      </c>
      <c r="R876" s="4">
        <v>7180</v>
      </c>
      <c r="S876" s="4">
        <v>172</v>
      </c>
      <c r="T876" s="19">
        <f>(ProductionData[[#This Row],[Rejected_Qty]])/ProductionData[[#This Row],[Produced_Qty]]</f>
        <v>2.3955431754874652E-2</v>
      </c>
      <c r="U876" s="19">
        <f>ProductionData[[#This Row],[Produced_Qty]]/ProductionData[[#This Row],[Planned_Qty]]</f>
        <v>0.9434954007884363</v>
      </c>
      <c r="V876" s="2" t="s">
        <v>75</v>
      </c>
      <c r="W876" s="11">
        <v>0</v>
      </c>
      <c r="X876" s="13">
        <f>W876/60</f>
        <v>0</v>
      </c>
      <c r="Y876" s="2" t="s">
        <v>90</v>
      </c>
      <c r="Z876" s="2">
        <v>42</v>
      </c>
      <c r="AA876" s="2">
        <f>ProductionData[[#This Row],[Rejected_Qty]]*ProductionData[[#This Row],[Unit_Cost_INR]]</f>
        <v>7224</v>
      </c>
      <c r="AB876" s="4">
        <v>22971</v>
      </c>
      <c r="AC876" s="4">
        <v>6680</v>
      </c>
      <c r="AD876" s="4">
        <v>6680</v>
      </c>
      <c r="AE876" s="4">
        <v>23299</v>
      </c>
      <c r="AF876" s="4">
        <v>12000</v>
      </c>
    </row>
    <row r="877" spans="1:32">
      <c r="A877" s="2" t="s">
        <v>1883</v>
      </c>
      <c r="B877" s="3">
        <v>46195</v>
      </c>
      <c r="C877" s="36" t="s">
        <v>1459</v>
      </c>
      <c r="D877" s="2">
        <f>MONTH(ProductionData[[#This Row],[Month]])</f>
        <v>6</v>
      </c>
      <c r="E877" s="2" t="s">
        <v>116</v>
      </c>
      <c r="F877" s="2" t="s">
        <v>80</v>
      </c>
      <c r="G877" s="2" t="s">
        <v>67</v>
      </c>
      <c r="H877" s="2" t="s">
        <v>68</v>
      </c>
      <c r="I877" s="2" t="s">
        <v>69</v>
      </c>
      <c r="J877" s="2" t="s">
        <v>403</v>
      </c>
      <c r="K877" s="2" t="s">
        <v>404</v>
      </c>
      <c r="L877" s="2" t="s">
        <v>1884</v>
      </c>
      <c r="M877" s="2" t="s">
        <v>102</v>
      </c>
      <c r="N877" s="2" t="s">
        <v>96</v>
      </c>
      <c r="O877" s="2">
        <v>16</v>
      </c>
      <c r="P877" s="2">
        <v>15</v>
      </c>
      <c r="Q877" s="4">
        <v>6220</v>
      </c>
      <c r="R877" s="4">
        <v>5920</v>
      </c>
      <c r="S877" s="4">
        <v>74</v>
      </c>
      <c r="T877" s="19">
        <f>(ProductionData[[#This Row],[Rejected_Qty]])/ProductionData[[#This Row],[Produced_Qty]]</f>
        <v>1.2500000000000001E-2</v>
      </c>
      <c r="U877" s="19">
        <f>ProductionData[[#This Row],[Produced_Qty]]/ProductionData[[#This Row],[Planned_Qty]]</f>
        <v>0.95176848874598075</v>
      </c>
      <c r="V877" s="2" t="s">
        <v>103</v>
      </c>
      <c r="W877" s="11">
        <v>0</v>
      </c>
      <c r="X877" s="13">
        <f>W877/60</f>
        <v>0</v>
      </c>
      <c r="Y877" s="2" t="s">
        <v>90</v>
      </c>
      <c r="Z877" s="2">
        <v>58</v>
      </c>
      <c r="AA877" s="2">
        <f>ProductionData[[#This Row],[Rejected_Qty]]*ProductionData[[#This Row],[Unit_Cost_INR]]</f>
        <v>4292</v>
      </c>
      <c r="AB877" s="4">
        <v>23123</v>
      </c>
      <c r="AC877" s="4">
        <v>5680</v>
      </c>
      <c r="AD877" s="4">
        <v>5680</v>
      </c>
      <c r="AE877" s="4">
        <v>23289</v>
      </c>
      <c r="AF877" s="4">
        <v>9000</v>
      </c>
    </row>
    <row r="878" spans="1:32">
      <c r="A878" s="2" t="s">
        <v>1885</v>
      </c>
      <c r="B878" s="3">
        <v>46184</v>
      </c>
      <c r="C878" s="36" t="s">
        <v>1459</v>
      </c>
      <c r="D878" s="2">
        <f>MONTH(ProductionData[[#This Row],[Month]])</f>
        <v>6</v>
      </c>
      <c r="E878" s="2" t="s">
        <v>107</v>
      </c>
      <c r="F878" s="2" t="s">
        <v>80</v>
      </c>
      <c r="G878" s="2" t="s">
        <v>195</v>
      </c>
      <c r="H878" s="2" t="s">
        <v>196</v>
      </c>
      <c r="I878" s="2" t="s">
        <v>197</v>
      </c>
      <c r="J878" s="2" t="s">
        <v>269</v>
      </c>
      <c r="K878" s="2" t="s">
        <v>270</v>
      </c>
      <c r="L878" s="2" t="s">
        <v>1886</v>
      </c>
      <c r="M878" s="2" t="s">
        <v>102</v>
      </c>
      <c r="N878" s="2" t="s">
        <v>88</v>
      </c>
      <c r="O878" s="2">
        <v>14</v>
      </c>
      <c r="P878" s="2">
        <v>12</v>
      </c>
      <c r="Q878" s="4">
        <v>8010</v>
      </c>
      <c r="R878" s="4">
        <v>7390</v>
      </c>
      <c r="S878" s="4">
        <v>285</v>
      </c>
      <c r="T878" s="19">
        <f>(ProductionData[[#This Row],[Rejected_Qty]])/ProductionData[[#This Row],[Produced_Qty]]</f>
        <v>3.8565629228687413E-2</v>
      </c>
      <c r="U878" s="19">
        <f>ProductionData[[#This Row],[Produced_Qty]]/ProductionData[[#This Row],[Planned_Qty]]</f>
        <v>0.92259675405742825</v>
      </c>
      <c r="V878" s="2" t="s">
        <v>103</v>
      </c>
      <c r="W878" s="11">
        <v>0</v>
      </c>
      <c r="X878" s="13">
        <f>W878/60</f>
        <v>0</v>
      </c>
      <c r="Y878" s="2" t="s">
        <v>90</v>
      </c>
      <c r="Z878" s="2">
        <v>42</v>
      </c>
      <c r="AA878" s="2">
        <f>ProductionData[[#This Row],[Rejected_Qty]]*ProductionData[[#This Row],[Unit_Cost_INR]]</f>
        <v>11970</v>
      </c>
      <c r="AB878" s="4">
        <v>23479</v>
      </c>
      <c r="AC878" s="4">
        <v>7330</v>
      </c>
      <c r="AD878" s="4">
        <v>7330</v>
      </c>
      <c r="AE878" s="4">
        <v>23254</v>
      </c>
      <c r="AF878" s="4">
        <v>12000</v>
      </c>
    </row>
    <row r="879" spans="1:32">
      <c r="A879" s="2" t="s">
        <v>1887</v>
      </c>
      <c r="B879" s="3">
        <v>46195</v>
      </c>
      <c r="C879" s="36" t="s">
        <v>1459</v>
      </c>
      <c r="D879" s="2">
        <f>MONTH(ProductionData[[#This Row],[Month]])</f>
        <v>6</v>
      </c>
      <c r="E879" s="2" t="s">
        <v>116</v>
      </c>
      <c r="F879" s="2" t="s">
        <v>66</v>
      </c>
      <c r="G879" s="2" t="s">
        <v>67</v>
      </c>
      <c r="H879" s="2" t="s">
        <v>68</v>
      </c>
      <c r="I879" s="2" t="s">
        <v>69</v>
      </c>
      <c r="J879" s="2" t="s">
        <v>403</v>
      </c>
      <c r="K879" s="2" t="s">
        <v>404</v>
      </c>
      <c r="L879" s="2" t="s">
        <v>1888</v>
      </c>
      <c r="M879" s="2" t="s">
        <v>73</v>
      </c>
      <c r="N879" s="2" t="s">
        <v>88</v>
      </c>
      <c r="O879" s="2">
        <v>16</v>
      </c>
      <c r="P879" s="2">
        <v>16</v>
      </c>
      <c r="Q879" s="4">
        <v>5840</v>
      </c>
      <c r="R879" s="4">
        <v>5560</v>
      </c>
      <c r="S879" s="4">
        <v>139</v>
      </c>
      <c r="T879" s="19">
        <f>(ProductionData[[#This Row],[Rejected_Qty]])/ProductionData[[#This Row],[Produced_Qty]]</f>
        <v>2.5000000000000001E-2</v>
      </c>
      <c r="U879" s="19">
        <f>ProductionData[[#This Row],[Produced_Qty]]/ProductionData[[#This Row],[Planned_Qty]]</f>
        <v>0.95205479452054798</v>
      </c>
      <c r="V879" s="2" t="s">
        <v>103</v>
      </c>
      <c r="W879" s="11">
        <v>0</v>
      </c>
      <c r="X879" s="13">
        <f>W879/60</f>
        <v>0</v>
      </c>
      <c r="Y879" s="2" t="s">
        <v>90</v>
      </c>
      <c r="Z879" s="2">
        <v>58</v>
      </c>
      <c r="AA879" s="2">
        <f>ProductionData[[#This Row],[Rejected_Qty]]*ProductionData[[#This Row],[Unit_Cost_INR]]</f>
        <v>8062</v>
      </c>
      <c r="AB879" s="4">
        <v>22332</v>
      </c>
      <c r="AC879" s="4">
        <v>4630</v>
      </c>
      <c r="AD879" s="4">
        <v>4630</v>
      </c>
      <c r="AE879" s="4">
        <v>23123</v>
      </c>
      <c r="AF879" s="4">
        <v>9000</v>
      </c>
    </row>
    <row r="880" spans="1:32">
      <c r="A880" s="2" t="s">
        <v>1889</v>
      </c>
      <c r="B880" s="3">
        <v>46178</v>
      </c>
      <c r="C880" s="36" t="s">
        <v>1459</v>
      </c>
      <c r="D880" s="2">
        <f>MONTH(ProductionData[[#This Row],[Month]])</f>
        <v>6</v>
      </c>
      <c r="E880" s="2" t="s">
        <v>125</v>
      </c>
      <c r="F880" s="2" t="s">
        <v>93</v>
      </c>
      <c r="G880" s="2" t="s">
        <v>195</v>
      </c>
      <c r="H880" s="2" t="s">
        <v>196</v>
      </c>
      <c r="I880" s="2" t="s">
        <v>197</v>
      </c>
      <c r="J880" s="2" t="s">
        <v>269</v>
      </c>
      <c r="K880" s="2" t="s">
        <v>270</v>
      </c>
      <c r="L880" s="2" t="s">
        <v>1890</v>
      </c>
      <c r="M880" s="2" t="s">
        <v>95</v>
      </c>
      <c r="N880" s="2" t="s">
        <v>88</v>
      </c>
      <c r="O880" s="2">
        <v>14</v>
      </c>
      <c r="P880" s="2">
        <v>14</v>
      </c>
      <c r="Q880" s="4">
        <v>7560</v>
      </c>
      <c r="R880" s="4">
        <v>6800</v>
      </c>
      <c r="S880" s="4">
        <v>115</v>
      </c>
      <c r="T880" s="19">
        <f>(ProductionData[[#This Row],[Rejected_Qty]])/ProductionData[[#This Row],[Produced_Qty]]</f>
        <v>1.6911764705882352E-2</v>
      </c>
      <c r="U880" s="19">
        <f>ProductionData[[#This Row],[Produced_Qty]]/ProductionData[[#This Row],[Planned_Qty]]</f>
        <v>0.89947089947089942</v>
      </c>
      <c r="V880" s="2" t="s">
        <v>75</v>
      </c>
      <c r="W880" s="11">
        <v>0</v>
      </c>
      <c r="X880" s="13">
        <f>W880/60</f>
        <v>0</v>
      </c>
      <c r="Y880" s="2" t="s">
        <v>90</v>
      </c>
      <c r="Z880" s="2">
        <v>42</v>
      </c>
      <c r="AA880" s="2">
        <f>ProductionData[[#This Row],[Rejected_Qty]]*ProductionData[[#This Row],[Unit_Cost_INR]]</f>
        <v>4830</v>
      </c>
      <c r="AB880" s="4">
        <v>23419</v>
      </c>
      <c r="AC880" s="4">
        <v>7010</v>
      </c>
      <c r="AD880" s="4">
        <v>7010</v>
      </c>
      <c r="AE880" s="4">
        <v>23094</v>
      </c>
      <c r="AF880" s="4">
        <v>12000</v>
      </c>
    </row>
    <row r="881" spans="1:32">
      <c r="A881" s="2" t="s">
        <v>1891</v>
      </c>
      <c r="B881" s="3">
        <v>46188</v>
      </c>
      <c r="C881" s="36" t="s">
        <v>1459</v>
      </c>
      <c r="D881" s="2">
        <f>MONTH(ProductionData[[#This Row],[Month]])</f>
        <v>6</v>
      </c>
      <c r="E881" s="2" t="s">
        <v>116</v>
      </c>
      <c r="F881" s="2" t="s">
        <v>93</v>
      </c>
      <c r="G881" s="2" t="s">
        <v>195</v>
      </c>
      <c r="H881" s="2" t="s">
        <v>196</v>
      </c>
      <c r="I881" s="2" t="s">
        <v>197</v>
      </c>
      <c r="J881" s="2" t="s">
        <v>269</v>
      </c>
      <c r="K881" s="2" t="s">
        <v>270</v>
      </c>
      <c r="L881" s="2" t="s">
        <v>1892</v>
      </c>
      <c r="M881" s="2" t="s">
        <v>95</v>
      </c>
      <c r="N881" s="2" t="s">
        <v>96</v>
      </c>
      <c r="O881" s="2">
        <v>14</v>
      </c>
      <c r="P881" s="2">
        <v>12</v>
      </c>
      <c r="Q881" s="4">
        <v>6990</v>
      </c>
      <c r="R881" s="4">
        <v>6530</v>
      </c>
      <c r="S881" s="4">
        <v>153</v>
      </c>
      <c r="T881" s="19">
        <f>(ProductionData[[#This Row],[Rejected_Qty]])/ProductionData[[#This Row],[Produced_Qty]]</f>
        <v>2.3430321592649312E-2</v>
      </c>
      <c r="U881" s="19">
        <f>ProductionData[[#This Row],[Produced_Qty]]/ProductionData[[#This Row],[Planned_Qty]]</f>
        <v>0.93419170243204575</v>
      </c>
      <c r="V881" s="2" t="s">
        <v>103</v>
      </c>
      <c r="W881" s="11">
        <v>0</v>
      </c>
      <c r="X881" s="13">
        <f>W881/60</f>
        <v>0</v>
      </c>
      <c r="Y881" s="2" t="s">
        <v>90</v>
      </c>
      <c r="Z881" s="2">
        <v>42</v>
      </c>
      <c r="AA881" s="2">
        <f>ProductionData[[#This Row],[Rejected_Qty]]*ProductionData[[#This Row],[Unit_Cost_INR]]</f>
        <v>6426</v>
      </c>
      <c r="AB881" s="4">
        <v>23254</v>
      </c>
      <c r="AC881" s="4">
        <v>6660</v>
      </c>
      <c r="AD881" s="4">
        <v>6660</v>
      </c>
      <c r="AE881" s="4">
        <v>22971</v>
      </c>
      <c r="AF881" s="4">
        <v>12000</v>
      </c>
    </row>
    <row r="882" spans="1:32">
      <c r="A882" s="2" t="s">
        <v>1893</v>
      </c>
      <c r="B882" s="3">
        <v>46176</v>
      </c>
      <c r="C882" s="36" t="s">
        <v>1459</v>
      </c>
      <c r="D882" s="2">
        <f>MONTH(ProductionData[[#This Row],[Month]])</f>
        <v>6</v>
      </c>
      <c r="E882" s="2" t="s">
        <v>79</v>
      </c>
      <c r="F882" s="2" t="s">
        <v>66</v>
      </c>
      <c r="G882" s="2" t="s">
        <v>195</v>
      </c>
      <c r="H882" s="2" t="s">
        <v>196</v>
      </c>
      <c r="I882" s="2" t="s">
        <v>197</v>
      </c>
      <c r="J882" s="2" t="s">
        <v>269</v>
      </c>
      <c r="K882" s="2" t="s">
        <v>270</v>
      </c>
      <c r="L882" s="2" t="s">
        <v>1894</v>
      </c>
      <c r="M882" s="2" t="s">
        <v>73</v>
      </c>
      <c r="N882" s="2" t="s">
        <v>88</v>
      </c>
      <c r="O882" s="2">
        <v>14</v>
      </c>
      <c r="P882" s="2">
        <v>13</v>
      </c>
      <c r="Q882" s="4">
        <v>8350</v>
      </c>
      <c r="R882" s="4">
        <v>7850</v>
      </c>
      <c r="S882" s="4">
        <v>172</v>
      </c>
      <c r="T882" s="19">
        <f>(ProductionData[[#This Row],[Rejected_Qty]])/ProductionData[[#This Row],[Produced_Qty]]</f>
        <v>2.1910828025477707E-2</v>
      </c>
      <c r="U882" s="19">
        <f>ProductionData[[#This Row],[Produced_Qty]]/ProductionData[[#This Row],[Planned_Qty]]</f>
        <v>0.94011976047904189</v>
      </c>
      <c r="V882" s="2" t="s">
        <v>103</v>
      </c>
      <c r="W882" s="11">
        <v>0</v>
      </c>
      <c r="X882" s="13">
        <f>W882/60</f>
        <v>0</v>
      </c>
      <c r="Y882" s="2" t="s">
        <v>90</v>
      </c>
      <c r="Z882" s="2">
        <v>42</v>
      </c>
      <c r="AA882" s="2">
        <f>ProductionData[[#This Row],[Rejected_Qty]]*ProductionData[[#This Row],[Unit_Cost_INR]]</f>
        <v>7224</v>
      </c>
      <c r="AB882" s="4">
        <v>22224</v>
      </c>
      <c r="AC882" s="4">
        <v>7140</v>
      </c>
      <c r="AD882" s="4">
        <v>7140</v>
      </c>
      <c r="AE882" s="4">
        <v>22762</v>
      </c>
      <c r="AF882" s="4">
        <v>12000</v>
      </c>
    </row>
    <row r="883" spans="1:32">
      <c r="A883" s="2" t="s">
        <v>1895</v>
      </c>
      <c r="B883" s="3">
        <v>46192</v>
      </c>
      <c r="C883" s="36" t="s">
        <v>1459</v>
      </c>
      <c r="D883" s="2">
        <f>MONTH(ProductionData[[#This Row],[Month]])</f>
        <v>6</v>
      </c>
      <c r="E883" s="2" t="s">
        <v>125</v>
      </c>
      <c r="F883" s="2" t="s">
        <v>80</v>
      </c>
      <c r="G883" s="2" t="s">
        <v>67</v>
      </c>
      <c r="H883" s="2" t="s">
        <v>68</v>
      </c>
      <c r="I883" s="2" t="s">
        <v>69</v>
      </c>
      <c r="J883" s="2" t="s">
        <v>403</v>
      </c>
      <c r="K883" s="2" t="s">
        <v>404</v>
      </c>
      <c r="L883" s="2" t="s">
        <v>1896</v>
      </c>
      <c r="M883" s="2" t="s">
        <v>87</v>
      </c>
      <c r="N883" s="2" t="s">
        <v>88</v>
      </c>
      <c r="O883" s="2">
        <v>16</v>
      </c>
      <c r="P883" s="2">
        <v>16</v>
      </c>
      <c r="Q883" s="4">
        <v>6050</v>
      </c>
      <c r="R883" s="4">
        <v>6030</v>
      </c>
      <c r="S883" s="4">
        <v>198</v>
      </c>
      <c r="T883" s="19">
        <f>(ProductionData[[#This Row],[Rejected_Qty]])/ProductionData[[#This Row],[Produced_Qty]]</f>
        <v>3.2835820895522387E-2</v>
      </c>
      <c r="U883" s="19">
        <f>ProductionData[[#This Row],[Produced_Qty]]/ProductionData[[#This Row],[Planned_Qty]]</f>
        <v>0.99669421487603305</v>
      </c>
      <c r="V883" s="2" t="s">
        <v>113</v>
      </c>
      <c r="W883" s="11">
        <v>55</v>
      </c>
      <c r="X883" s="13">
        <f>W883/60</f>
        <v>0.91666666666666663</v>
      </c>
      <c r="Y883" s="2" t="s">
        <v>110</v>
      </c>
      <c r="Z883" s="2">
        <v>58</v>
      </c>
      <c r="AA883" s="2">
        <f>ProductionData[[#This Row],[Rejected_Qty]]*ProductionData[[#This Row],[Unit_Cost_INR]]</f>
        <v>11484</v>
      </c>
      <c r="AB883" s="4">
        <v>22183</v>
      </c>
      <c r="AC883" s="4">
        <v>5440</v>
      </c>
      <c r="AD883" s="4">
        <v>5440</v>
      </c>
      <c r="AE883" s="4">
        <v>22575</v>
      </c>
      <c r="AF883" s="4">
        <v>9000</v>
      </c>
    </row>
    <row r="884" spans="1:32">
      <c r="A884" s="2" t="s">
        <v>1897</v>
      </c>
      <c r="B884" s="3">
        <v>46177</v>
      </c>
      <c r="C884" s="36" t="s">
        <v>1459</v>
      </c>
      <c r="D884" s="2">
        <f>MONTH(ProductionData[[#This Row],[Month]])</f>
        <v>6</v>
      </c>
      <c r="E884" s="2" t="s">
        <v>107</v>
      </c>
      <c r="F884" s="2" t="s">
        <v>93</v>
      </c>
      <c r="G884" s="2" t="s">
        <v>195</v>
      </c>
      <c r="H884" s="2" t="s">
        <v>196</v>
      </c>
      <c r="I884" s="2" t="s">
        <v>197</v>
      </c>
      <c r="J884" s="2" t="s">
        <v>269</v>
      </c>
      <c r="K884" s="2" t="s">
        <v>270</v>
      </c>
      <c r="L884" s="2" t="s">
        <v>1898</v>
      </c>
      <c r="M884" s="2" t="s">
        <v>133</v>
      </c>
      <c r="N884" s="2" t="s">
        <v>88</v>
      </c>
      <c r="O884" s="2">
        <v>14</v>
      </c>
      <c r="P884" s="2">
        <v>14</v>
      </c>
      <c r="Q884" s="4">
        <v>7060</v>
      </c>
      <c r="R884" s="4">
        <v>6620</v>
      </c>
      <c r="S884" s="4">
        <v>145</v>
      </c>
      <c r="T884" s="19">
        <f>(ProductionData[[#This Row],[Rejected_Qty]])/ProductionData[[#This Row],[Produced_Qty]]</f>
        <v>2.1903323262839881E-2</v>
      </c>
      <c r="U884" s="19">
        <f>ProductionData[[#This Row],[Produced_Qty]]/ProductionData[[#This Row],[Planned_Qty]]</f>
        <v>0.93767705382436262</v>
      </c>
      <c r="V884" s="2" t="s">
        <v>109</v>
      </c>
      <c r="W884" s="11">
        <v>0</v>
      </c>
      <c r="X884" s="13">
        <f>W884/60</f>
        <v>0</v>
      </c>
      <c r="Y884" s="2" t="s">
        <v>90</v>
      </c>
      <c r="Z884" s="2">
        <v>42</v>
      </c>
      <c r="AA884" s="2">
        <f>ProductionData[[#This Row],[Rejected_Qty]]*ProductionData[[#This Row],[Unit_Cost_INR]]</f>
        <v>6090</v>
      </c>
      <c r="AB884" s="4">
        <v>22762</v>
      </c>
      <c r="AC884" s="4">
        <v>6750</v>
      </c>
      <c r="AD884" s="4">
        <v>6750</v>
      </c>
      <c r="AE884" s="4">
        <v>22487</v>
      </c>
      <c r="AF884" s="4">
        <v>12000</v>
      </c>
    </row>
    <row r="885" spans="1:32">
      <c r="A885" s="2" t="s">
        <v>1899</v>
      </c>
      <c r="B885" s="3">
        <v>46194</v>
      </c>
      <c r="C885" s="36" t="s">
        <v>1459</v>
      </c>
      <c r="D885" s="2">
        <f>MONTH(ProductionData[[#This Row],[Month]])</f>
        <v>6</v>
      </c>
      <c r="E885" s="2" t="s">
        <v>186</v>
      </c>
      <c r="F885" s="2" t="s">
        <v>66</v>
      </c>
      <c r="G885" s="2" t="s">
        <v>67</v>
      </c>
      <c r="H885" s="2" t="s">
        <v>68</v>
      </c>
      <c r="I885" s="2" t="s">
        <v>69</v>
      </c>
      <c r="J885" s="2" t="s">
        <v>403</v>
      </c>
      <c r="K885" s="2" t="s">
        <v>404</v>
      </c>
      <c r="L885" s="2" t="s">
        <v>1900</v>
      </c>
      <c r="M885" s="2" t="s">
        <v>99</v>
      </c>
      <c r="N885" s="2" t="s">
        <v>88</v>
      </c>
      <c r="O885" s="2">
        <v>16</v>
      </c>
      <c r="P885" s="2">
        <v>15</v>
      </c>
      <c r="Q885" s="4">
        <v>4480</v>
      </c>
      <c r="R885" s="4">
        <v>4170</v>
      </c>
      <c r="S885" s="4">
        <v>153</v>
      </c>
      <c r="T885" s="19">
        <f>(ProductionData[[#This Row],[Rejected_Qty]])/ProductionData[[#This Row],[Produced_Qty]]</f>
        <v>3.6690647482014387E-2</v>
      </c>
      <c r="U885" s="19">
        <f>ProductionData[[#This Row],[Produced_Qty]]/ProductionData[[#This Row],[Planned_Qty]]</f>
        <v>0.9308035714285714</v>
      </c>
      <c r="V885" s="2" t="s">
        <v>89</v>
      </c>
      <c r="W885" s="11">
        <v>59</v>
      </c>
      <c r="X885" s="13">
        <f>W885/60</f>
        <v>0.98333333333333328</v>
      </c>
      <c r="Y885" s="2" t="s">
        <v>76</v>
      </c>
      <c r="Z885" s="2">
        <v>58</v>
      </c>
      <c r="AA885" s="2">
        <f>ProductionData[[#This Row],[Rejected_Qty]]*ProductionData[[#This Row],[Unit_Cost_INR]]</f>
        <v>8874</v>
      </c>
      <c r="AB885" s="4">
        <v>22575</v>
      </c>
      <c r="AC885" s="4">
        <v>4260</v>
      </c>
      <c r="AD885" s="4">
        <v>4260</v>
      </c>
      <c r="AE885" s="4">
        <v>22332</v>
      </c>
      <c r="AF885" s="4">
        <v>9000</v>
      </c>
    </row>
    <row r="886" spans="1:32">
      <c r="A886" s="2" t="s">
        <v>1901</v>
      </c>
      <c r="B886" s="3">
        <v>46175</v>
      </c>
      <c r="C886" s="36" t="s">
        <v>1459</v>
      </c>
      <c r="D886" s="2">
        <f>MONTH(ProductionData[[#This Row],[Month]])</f>
        <v>6</v>
      </c>
      <c r="E886" s="2" t="s">
        <v>92</v>
      </c>
      <c r="F886" s="2" t="s">
        <v>80</v>
      </c>
      <c r="G886" s="2" t="s">
        <v>195</v>
      </c>
      <c r="H886" s="2" t="s">
        <v>196</v>
      </c>
      <c r="I886" s="2" t="s">
        <v>197</v>
      </c>
      <c r="J886" s="2" t="s">
        <v>269</v>
      </c>
      <c r="K886" s="2" t="s">
        <v>270</v>
      </c>
      <c r="L886" s="2" t="s">
        <v>1902</v>
      </c>
      <c r="M886" s="2" t="s">
        <v>87</v>
      </c>
      <c r="N886" s="2" t="s">
        <v>96</v>
      </c>
      <c r="O886" s="2">
        <v>14</v>
      </c>
      <c r="P886" s="2">
        <v>14</v>
      </c>
      <c r="Q886" s="4">
        <v>7800</v>
      </c>
      <c r="R886" s="4">
        <v>7810</v>
      </c>
      <c r="S886" s="4">
        <v>204</v>
      </c>
      <c r="T886" s="19">
        <f>(ProductionData[[#This Row],[Rejected_Qty]])/ProductionData[[#This Row],[Produced_Qty]]</f>
        <v>2.6120358514724711E-2</v>
      </c>
      <c r="U886" s="19">
        <f>ProductionData[[#This Row],[Produced_Qty]]/ProductionData[[#This Row],[Planned_Qty]]</f>
        <v>1.0012820512820513</v>
      </c>
      <c r="V886" s="2" t="s">
        <v>89</v>
      </c>
      <c r="W886" s="11">
        <v>26</v>
      </c>
      <c r="X886" s="13">
        <f>W886/60</f>
        <v>0.43333333333333335</v>
      </c>
      <c r="Y886" s="2" t="s">
        <v>110</v>
      </c>
      <c r="Z886" s="2">
        <v>42</v>
      </c>
      <c r="AA886" s="2">
        <f>ProductionData[[#This Row],[Rejected_Qty]]*ProductionData[[#This Row],[Unit_Cost_INR]]</f>
        <v>8568</v>
      </c>
      <c r="AB886" s="4">
        <v>21458</v>
      </c>
      <c r="AC886" s="4">
        <v>6840</v>
      </c>
      <c r="AD886" s="4">
        <v>6840</v>
      </c>
      <c r="AE886" s="4">
        <v>22224</v>
      </c>
      <c r="AF886" s="4">
        <v>12000</v>
      </c>
    </row>
    <row r="887" spans="1:32">
      <c r="A887" s="2" t="s">
        <v>1903</v>
      </c>
      <c r="B887" s="3">
        <v>46191</v>
      </c>
      <c r="C887" s="36" t="s">
        <v>1459</v>
      </c>
      <c r="D887" s="2">
        <f>MONTH(ProductionData[[#This Row],[Month]])</f>
        <v>6</v>
      </c>
      <c r="E887" s="2" t="s">
        <v>107</v>
      </c>
      <c r="F887" s="2" t="s">
        <v>93</v>
      </c>
      <c r="G887" s="2" t="s">
        <v>67</v>
      </c>
      <c r="H887" s="2" t="s">
        <v>68</v>
      </c>
      <c r="I887" s="2" t="s">
        <v>69</v>
      </c>
      <c r="J887" s="2" t="s">
        <v>403</v>
      </c>
      <c r="K887" s="2" t="s">
        <v>404</v>
      </c>
      <c r="L887" s="2" t="s">
        <v>1904</v>
      </c>
      <c r="M887" s="2" t="s">
        <v>133</v>
      </c>
      <c r="N887" s="2" t="s">
        <v>96</v>
      </c>
      <c r="O887" s="2">
        <v>16</v>
      </c>
      <c r="P887" s="2">
        <v>14</v>
      </c>
      <c r="Q887" s="4">
        <v>5580</v>
      </c>
      <c r="R887" s="4">
        <v>5290</v>
      </c>
      <c r="S887" s="4">
        <v>185</v>
      </c>
      <c r="T887" s="19">
        <f>(ProductionData[[#This Row],[Rejected_Qty]])/ProductionData[[#This Row],[Produced_Qty]]</f>
        <v>3.4971644612476371E-2</v>
      </c>
      <c r="U887" s="19">
        <f>ProductionData[[#This Row],[Produced_Qty]]/ProductionData[[#This Row],[Planned_Qty]]</f>
        <v>0.94802867383512546</v>
      </c>
      <c r="V887" s="2" t="s">
        <v>109</v>
      </c>
      <c r="W887" s="11">
        <v>0</v>
      </c>
      <c r="X887" s="13">
        <f>W887/60</f>
        <v>0</v>
      </c>
      <c r="Y887" s="2" t="s">
        <v>90</v>
      </c>
      <c r="Z887" s="2">
        <v>58</v>
      </c>
      <c r="AA887" s="2">
        <f>ProductionData[[#This Row],[Rejected_Qty]]*ProductionData[[#This Row],[Unit_Cost_INR]]</f>
        <v>10730</v>
      </c>
      <c r="AB887" s="4">
        <v>21808</v>
      </c>
      <c r="AC887" s="4">
        <v>4730</v>
      </c>
      <c r="AD887" s="4">
        <v>4730</v>
      </c>
      <c r="AE887" s="4">
        <v>22183</v>
      </c>
      <c r="AF887" s="4">
        <v>9000</v>
      </c>
    </row>
    <row r="888" spans="1:32">
      <c r="A888" s="2" t="s">
        <v>1905</v>
      </c>
      <c r="B888" s="3">
        <v>46190</v>
      </c>
      <c r="C888" s="36" t="s">
        <v>1459</v>
      </c>
      <c r="D888" s="2">
        <f>MONTH(ProductionData[[#This Row],[Month]])</f>
        <v>6</v>
      </c>
      <c r="E888" s="2" t="s">
        <v>79</v>
      </c>
      <c r="F888" s="2" t="s">
        <v>93</v>
      </c>
      <c r="G888" s="2" t="s">
        <v>67</v>
      </c>
      <c r="H888" s="2" t="s">
        <v>68</v>
      </c>
      <c r="I888" s="2" t="s">
        <v>69</v>
      </c>
      <c r="J888" s="2" t="s">
        <v>403</v>
      </c>
      <c r="K888" s="2" t="s">
        <v>404</v>
      </c>
      <c r="L888" s="2" t="s">
        <v>1906</v>
      </c>
      <c r="M888" s="2" t="s">
        <v>133</v>
      </c>
      <c r="N888" s="2" t="s">
        <v>96</v>
      </c>
      <c r="O888" s="2">
        <v>16</v>
      </c>
      <c r="P888" s="2">
        <v>15</v>
      </c>
      <c r="Q888" s="4">
        <v>5300</v>
      </c>
      <c r="R888" s="4">
        <v>5320</v>
      </c>
      <c r="S888" s="4">
        <v>139</v>
      </c>
      <c r="T888" s="19">
        <f>(ProductionData[[#This Row],[Rejected_Qty]])/ProductionData[[#This Row],[Produced_Qty]]</f>
        <v>2.612781954887218E-2</v>
      </c>
      <c r="U888" s="19">
        <f>ProductionData[[#This Row],[Produced_Qty]]/ProductionData[[#This Row],[Planned_Qty]]</f>
        <v>1.0037735849056604</v>
      </c>
      <c r="V888" s="2" t="s">
        <v>109</v>
      </c>
      <c r="W888" s="11">
        <v>14</v>
      </c>
      <c r="X888" s="13">
        <f>W888/60</f>
        <v>0.23333333333333334</v>
      </c>
      <c r="Y888" s="2" t="s">
        <v>76</v>
      </c>
      <c r="Z888" s="2">
        <v>58</v>
      </c>
      <c r="AA888" s="2">
        <f>ProductionData[[#This Row],[Rejected_Qty]]*ProductionData[[#This Row],[Unit_Cost_INR]]</f>
        <v>8062</v>
      </c>
      <c r="AB888" s="4">
        <v>20967</v>
      </c>
      <c r="AC888" s="4">
        <v>4340</v>
      </c>
      <c r="AD888" s="4">
        <v>4340</v>
      </c>
      <c r="AE888" s="4">
        <v>21808</v>
      </c>
      <c r="AF888" s="4">
        <v>9000</v>
      </c>
    </row>
    <row r="889" spans="1:32">
      <c r="A889" s="2" t="s">
        <v>1907</v>
      </c>
      <c r="B889" s="3">
        <v>46178</v>
      </c>
      <c r="C889" s="36" t="s">
        <v>1459</v>
      </c>
      <c r="D889" s="2">
        <f>MONTH(ProductionData[[#This Row],[Month]])</f>
        <v>6</v>
      </c>
      <c r="E889" s="2" t="s">
        <v>125</v>
      </c>
      <c r="F889" s="2" t="s">
        <v>80</v>
      </c>
      <c r="G889" s="2" t="s">
        <v>67</v>
      </c>
      <c r="H889" s="2" t="s">
        <v>68</v>
      </c>
      <c r="I889" s="2" t="s">
        <v>69</v>
      </c>
      <c r="J889" s="2" t="s">
        <v>403</v>
      </c>
      <c r="K889" s="2" t="s">
        <v>404</v>
      </c>
      <c r="L889" s="2" t="s">
        <v>1908</v>
      </c>
      <c r="M889" s="2" t="s">
        <v>87</v>
      </c>
      <c r="N889" s="2" t="s">
        <v>88</v>
      </c>
      <c r="O889" s="2">
        <v>16</v>
      </c>
      <c r="P889" s="2">
        <v>14</v>
      </c>
      <c r="Q889" s="4">
        <v>5570</v>
      </c>
      <c r="R889" s="4">
        <v>5390</v>
      </c>
      <c r="S889" s="4">
        <v>134</v>
      </c>
      <c r="T889" s="19">
        <f>(ProductionData[[#This Row],[Rejected_Qty]])/ProductionData[[#This Row],[Produced_Qty]]</f>
        <v>2.4860853432282004E-2</v>
      </c>
      <c r="U889" s="19">
        <f>ProductionData[[#This Row],[Produced_Qty]]/ProductionData[[#This Row],[Planned_Qty]]</f>
        <v>0.96768402154398558</v>
      </c>
      <c r="V889" s="2" t="s">
        <v>109</v>
      </c>
      <c r="W889" s="11">
        <v>52</v>
      </c>
      <c r="X889" s="13">
        <f>W889/60</f>
        <v>0.8666666666666667</v>
      </c>
      <c r="Y889" s="2" t="s">
        <v>76</v>
      </c>
      <c r="Z889" s="2">
        <v>58</v>
      </c>
      <c r="AA889" s="2">
        <f>ProductionData[[#This Row],[Rejected_Qty]]*ProductionData[[#This Row],[Unit_Cost_INR]]</f>
        <v>7772</v>
      </c>
      <c r="AB889" s="4">
        <v>20531</v>
      </c>
      <c r="AC889" s="4">
        <v>4520</v>
      </c>
      <c r="AD889" s="4">
        <v>4520</v>
      </c>
      <c r="AE889" s="4">
        <v>21267</v>
      </c>
      <c r="AF889" s="4">
        <v>9000</v>
      </c>
    </row>
    <row r="890" spans="1:32">
      <c r="A890" s="2" t="s">
        <v>1909</v>
      </c>
      <c r="B890" s="3">
        <v>46178</v>
      </c>
      <c r="C890" s="36" t="s">
        <v>1459</v>
      </c>
      <c r="D890" s="2">
        <f>MONTH(ProductionData[[#This Row],[Month]])</f>
        <v>6</v>
      </c>
      <c r="E890" s="2" t="s">
        <v>125</v>
      </c>
      <c r="F890" s="2" t="s">
        <v>93</v>
      </c>
      <c r="G890" s="2" t="s">
        <v>67</v>
      </c>
      <c r="H890" s="2" t="s">
        <v>68</v>
      </c>
      <c r="I890" s="2" t="s">
        <v>69</v>
      </c>
      <c r="J890" s="2" t="s">
        <v>403</v>
      </c>
      <c r="K890" s="2" t="s">
        <v>404</v>
      </c>
      <c r="L890" s="2" t="s">
        <v>1910</v>
      </c>
      <c r="M890" s="2" t="s">
        <v>95</v>
      </c>
      <c r="N890" s="2" t="s">
        <v>88</v>
      </c>
      <c r="O890" s="2">
        <v>16</v>
      </c>
      <c r="P890" s="2">
        <v>13</v>
      </c>
      <c r="Q890" s="4">
        <v>5590</v>
      </c>
      <c r="R890" s="4">
        <v>5040</v>
      </c>
      <c r="S890" s="4">
        <v>113</v>
      </c>
      <c r="T890" s="19">
        <f>(ProductionData[[#This Row],[Rejected_Qty]])/ProductionData[[#This Row],[Produced_Qty]]</f>
        <v>2.2420634920634921E-2</v>
      </c>
      <c r="U890" s="19">
        <f>ProductionData[[#This Row],[Produced_Qty]]/ProductionData[[#This Row],[Planned_Qty]]</f>
        <v>0.90161001788908768</v>
      </c>
      <c r="V890" s="2" t="s">
        <v>113</v>
      </c>
      <c r="W890" s="11">
        <v>0</v>
      </c>
      <c r="X890" s="13">
        <f>W890/60</f>
        <v>0</v>
      </c>
      <c r="Y890" s="2" t="s">
        <v>90</v>
      </c>
      <c r="Z890" s="2">
        <v>58</v>
      </c>
      <c r="AA890" s="2">
        <f>ProductionData[[#This Row],[Rejected_Qty]]*ProductionData[[#This Row],[Unit_Cost_INR]]</f>
        <v>6554</v>
      </c>
      <c r="AB890" s="4">
        <v>21267</v>
      </c>
      <c r="AC890" s="4">
        <v>5150</v>
      </c>
      <c r="AD890" s="4">
        <v>5150</v>
      </c>
      <c r="AE890" s="4">
        <v>21044</v>
      </c>
      <c r="AF890" s="4">
        <v>9000</v>
      </c>
    </row>
    <row r="891" spans="1:32">
      <c r="A891" s="2" t="s">
        <v>1911</v>
      </c>
      <c r="B891" s="3">
        <v>46189</v>
      </c>
      <c r="C891" s="36" t="s">
        <v>1459</v>
      </c>
      <c r="D891" s="2">
        <f>MONTH(ProductionData[[#This Row],[Month]])</f>
        <v>6</v>
      </c>
      <c r="E891" s="2" t="s">
        <v>92</v>
      </c>
      <c r="F891" s="2" t="s">
        <v>80</v>
      </c>
      <c r="G891" s="2" t="s">
        <v>67</v>
      </c>
      <c r="H891" s="2" t="s">
        <v>68</v>
      </c>
      <c r="I891" s="2" t="s">
        <v>69</v>
      </c>
      <c r="J891" s="2" t="s">
        <v>403</v>
      </c>
      <c r="K891" s="2" t="s">
        <v>404</v>
      </c>
      <c r="L891" s="2" t="s">
        <v>1912</v>
      </c>
      <c r="M891" s="2" t="s">
        <v>102</v>
      </c>
      <c r="N891" s="2" t="s">
        <v>88</v>
      </c>
      <c r="O891" s="2">
        <v>16</v>
      </c>
      <c r="P891" s="2">
        <v>15</v>
      </c>
      <c r="Q891" s="4">
        <v>6100</v>
      </c>
      <c r="R891" s="4">
        <v>5690</v>
      </c>
      <c r="S891" s="4">
        <v>222</v>
      </c>
      <c r="T891" s="19">
        <f>(ProductionData[[#This Row],[Rejected_Qty]])/ProductionData[[#This Row],[Produced_Qty]]</f>
        <v>3.9015817223198593E-2</v>
      </c>
      <c r="U891" s="19">
        <f>ProductionData[[#This Row],[Produced_Qty]]/ProductionData[[#This Row],[Planned_Qty]]</f>
        <v>0.93278688524590159</v>
      </c>
      <c r="V891" s="2" t="s">
        <v>75</v>
      </c>
      <c r="W891" s="11">
        <v>0</v>
      </c>
      <c r="X891" s="13">
        <f>W891/60</f>
        <v>0</v>
      </c>
      <c r="Y891" s="2" t="s">
        <v>90</v>
      </c>
      <c r="Z891" s="2">
        <v>58</v>
      </c>
      <c r="AA891" s="2">
        <f>ProductionData[[#This Row],[Rejected_Qty]]*ProductionData[[#This Row],[Unit_Cost_INR]]</f>
        <v>12876</v>
      </c>
      <c r="AB891" s="4">
        <v>20789</v>
      </c>
      <c r="AC891" s="4">
        <v>5290</v>
      </c>
      <c r="AD891" s="4">
        <v>5290</v>
      </c>
      <c r="AE891" s="4">
        <v>20967</v>
      </c>
      <c r="AF891" s="4">
        <v>9000</v>
      </c>
    </row>
    <row r="892" spans="1:32">
      <c r="A892" s="2" t="s">
        <v>1913</v>
      </c>
      <c r="B892" s="3">
        <v>46182</v>
      </c>
      <c r="C892" s="36" t="s">
        <v>1459</v>
      </c>
      <c r="D892" s="2">
        <f>MONTH(ProductionData[[#This Row],[Month]])</f>
        <v>6</v>
      </c>
      <c r="E892" s="2" t="s">
        <v>92</v>
      </c>
      <c r="F892" s="2" t="s">
        <v>66</v>
      </c>
      <c r="G892" s="2" t="s">
        <v>67</v>
      </c>
      <c r="H892" s="2" t="s">
        <v>68</v>
      </c>
      <c r="I892" s="2" t="s">
        <v>69</v>
      </c>
      <c r="J892" s="2" t="s">
        <v>403</v>
      </c>
      <c r="K892" s="2" t="s">
        <v>404</v>
      </c>
      <c r="L892" s="2" t="s">
        <v>1914</v>
      </c>
      <c r="M892" s="2" t="s">
        <v>73</v>
      </c>
      <c r="N892" s="2" t="s">
        <v>88</v>
      </c>
      <c r="O892" s="2">
        <v>16</v>
      </c>
      <c r="P892" s="2">
        <v>14</v>
      </c>
      <c r="Q892" s="4">
        <v>6320</v>
      </c>
      <c r="R892" s="4">
        <v>5840</v>
      </c>
      <c r="S892" s="4">
        <v>105</v>
      </c>
      <c r="T892" s="19">
        <f>(ProductionData[[#This Row],[Rejected_Qty]])/ProductionData[[#This Row],[Produced_Qty]]</f>
        <v>1.797945205479452E-2</v>
      </c>
      <c r="U892" s="19">
        <f>ProductionData[[#This Row],[Produced_Qty]]/ProductionData[[#This Row],[Planned_Qty]]</f>
        <v>0.92405063291139244</v>
      </c>
      <c r="V892" s="2" t="s">
        <v>113</v>
      </c>
      <c r="W892" s="11">
        <v>0</v>
      </c>
      <c r="X892" s="13">
        <f>W892/60</f>
        <v>0</v>
      </c>
      <c r="Y892" s="2" t="s">
        <v>90</v>
      </c>
      <c r="Z892" s="2">
        <v>58</v>
      </c>
      <c r="AA892" s="2">
        <f>ProductionData[[#This Row],[Rejected_Qty]]*ProductionData[[#This Row],[Unit_Cost_INR]]</f>
        <v>6090</v>
      </c>
      <c r="AB892" s="4">
        <v>20755</v>
      </c>
      <c r="AC892" s="4">
        <v>5530</v>
      </c>
      <c r="AD892" s="4">
        <v>5530</v>
      </c>
      <c r="AE892" s="4">
        <v>20960</v>
      </c>
      <c r="AF892" s="4">
        <v>9000</v>
      </c>
    </row>
    <row r="893" spans="1:32">
      <c r="A893" s="2" t="s">
        <v>1915</v>
      </c>
      <c r="B893" s="3">
        <v>46183</v>
      </c>
      <c r="C893" s="36" t="s">
        <v>1459</v>
      </c>
      <c r="D893" s="2">
        <f>MONTH(ProductionData[[#This Row],[Month]])</f>
        <v>6</v>
      </c>
      <c r="E893" s="2" t="s">
        <v>79</v>
      </c>
      <c r="F893" s="2" t="s">
        <v>66</v>
      </c>
      <c r="G893" s="2" t="s">
        <v>67</v>
      </c>
      <c r="H893" s="2" t="s">
        <v>68</v>
      </c>
      <c r="I893" s="2" t="s">
        <v>69</v>
      </c>
      <c r="J893" s="2" t="s">
        <v>403</v>
      </c>
      <c r="K893" s="2" t="s">
        <v>404</v>
      </c>
      <c r="L893" s="2" t="s">
        <v>1916</v>
      </c>
      <c r="M893" s="2" t="s">
        <v>73</v>
      </c>
      <c r="N893" s="2" t="s">
        <v>96</v>
      </c>
      <c r="O893" s="2">
        <v>16</v>
      </c>
      <c r="P893" s="2">
        <v>15</v>
      </c>
      <c r="Q893" s="4">
        <v>5650</v>
      </c>
      <c r="R893" s="4">
        <v>5120</v>
      </c>
      <c r="S893" s="4">
        <v>96</v>
      </c>
      <c r="T893" s="19">
        <f>(ProductionData[[#This Row],[Rejected_Qty]])/ProductionData[[#This Row],[Produced_Qty]]</f>
        <v>1.8749999999999999E-2</v>
      </c>
      <c r="U893" s="19">
        <f>ProductionData[[#This Row],[Produced_Qty]]/ProductionData[[#This Row],[Planned_Qty]]</f>
        <v>0.90619469026548671</v>
      </c>
      <c r="V893" s="2" t="s">
        <v>113</v>
      </c>
      <c r="W893" s="11">
        <v>52</v>
      </c>
      <c r="X893" s="13">
        <f>W893/60</f>
        <v>0.8666666666666667</v>
      </c>
      <c r="Y893" s="2" t="s">
        <v>110</v>
      </c>
      <c r="Z893" s="2">
        <v>58</v>
      </c>
      <c r="AA893" s="2">
        <f>ProductionData[[#This Row],[Rejected_Qty]]*ProductionData[[#This Row],[Unit_Cost_INR]]</f>
        <v>5568</v>
      </c>
      <c r="AB893" s="4">
        <v>20960</v>
      </c>
      <c r="AC893" s="4">
        <v>5150</v>
      </c>
      <c r="AD893" s="4">
        <v>5150</v>
      </c>
      <c r="AE893" s="4">
        <v>20834</v>
      </c>
      <c r="AF893" s="4">
        <v>9000</v>
      </c>
    </row>
    <row r="894" spans="1:32">
      <c r="A894" s="2" t="s">
        <v>1917</v>
      </c>
      <c r="B894" s="3">
        <v>46187</v>
      </c>
      <c r="C894" s="36" t="s">
        <v>1459</v>
      </c>
      <c r="D894" s="2">
        <f>MONTH(ProductionData[[#This Row],[Month]])</f>
        <v>6</v>
      </c>
      <c r="E894" s="2" t="s">
        <v>186</v>
      </c>
      <c r="F894" s="2" t="s">
        <v>80</v>
      </c>
      <c r="G894" s="2" t="s">
        <v>67</v>
      </c>
      <c r="H894" s="2" t="s">
        <v>68</v>
      </c>
      <c r="I894" s="2" t="s">
        <v>69</v>
      </c>
      <c r="J894" s="2" t="s">
        <v>403</v>
      </c>
      <c r="K894" s="2" t="s">
        <v>404</v>
      </c>
      <c r="L894" s="2" t="s">
        <v>1918</v>
      </c>
      <c r="M894" s="2" t="s">
        <v>87</v>
      </c>
      <c r="N894" s="2" t="s">
        <v>88</v>
      </c>
      <c r="O894" s="2">
        <v>16</v>
      </c>
      <c r="P894" s="2">
        <v>15</v>
      </c>
      <c r="Q894" s="4">
        <v>4140</v>
      </c>
      <c r="R894" s="4">
        <v>3990</v>
      </c>
      <c r="S894" s="4">
        <v>80</v>
      </c>
      <c r="T894" s="19">
        <f>(ProductionData[[#This Row],[Rejected_Qty]])/ProductionData[[#This Row],[Produced_Qty]]</f>
        <v>2.0050125313283207E-2</v>
      </c>
      <c r="U894" s="19">
        <f>ProductionData[[#This Row],[Produced_Qty]]/ProductionData[[#This Row],[Planned_Qty]]</f>
        <v>0.96376811594202894</v>
      </c>
      <c r="V894" s="2" t="s">
        <v>109</v>
      </c>
      <c r="W894" s="11">
        <v>0</v>
      </c>
      <c r="X894" s="13">
        <f>W894/60</f>
        <v>0</v>
      </c>
      <c r="Y894" s="2" t="s">
        <v>90</v>
      </c>
      <c r="Z894" s="2">
        <v>58</v>
      </c>
      <c r="AA894" s="2">
        <f>ProductionData[[#This Row],[Rejected_Qty]]*ProductionData[[#This Row],[Unit_Cost_INR]]</f>
        <v>4640</v>
      </c>
      <c r="AB894" s="4">
        <v>20529</v>
      </c>
      <c r="AC894" s="4">
        <v>3650</v>
      </c>
      <c r="AD894" s="4">
        <v>3650</v>
      </c>
      <c r="AE894" s="4">
        <v>20789</v>
      </c>
      <c r="AF894" s="4">
        <v>9000</v>
      </c>
    </row>
    <row r="895" spans="1:32">
      <c r="A895" s="2" t="s">
        <v>1919</v>
      </c>
      <c r="B895" s="3">
        <v>46181</v>
      </c>
      <c r="C895" s="36" t="s">
        <v>1459</v>
      </c>
      <c r="D895" s="2">
        <f>MONTH(ProductionData[[#This Row],[Month]])</f>
        <v>6</v>
      </c>
      <c r="E895" s="2" t="s">
        <v>116</v>
      </c>
      <c r="F895" s="2" t="s">
        <v>66</v>
      </c>
      <c r="G895" s="2" t="s">
        <v>67</v>
      </c>
      <c r="H895" s="2" t="s">
        <v>68</v>
      </c>
      <c r="I895" s="2" t="s">
        <v>69</v>
      </c>
      <c r="J895" s="2" t="s">
        <v>403</v>
      </c>
      <c r="K895" s="2" t="s">
        <v>404</v>
      </c>
      <c r="L895" s="2" t="s">
        <v>1920</v>
      </c>
      <c r="M895" s="2" t="s">
        <v>73</v>
      </c>
      <c r="N895" s="2" t="s">
        <v>96</v>
      </c>
      <c r="O895" s="2">
        <v>16</v>
      </c>
      <c r="P895" s="2">
        <v>14</v>
      </c>
      <c r="Q895" s="4">
        <v>6450</v>
      </c>
      <c r="R895" s="4">
        <v>6000</v>
      </c>
      <c r="S895" s="4">
        <v>197</v>
      </c>
      <c r="T895" s="19">
        <f>(ProductionData[[#This Row],[Rejected_Qty]])/ProductionData[[#This Row],[Produced_Qty]]</f>
        <v>3.2833333333333332E-2</v>
      </c>
      <c r="U895" s="19">
        <f>ProductionData[[#This Row],[Produced_Qty]]/ProductionData[[#This Row],[Planned_Qty]]</f>
        <v>0.93023255813953487</v>
      </c>
      <c r="V895" s="2" t="s">
        <v>75</v>
      </c>
      <c r="W895" s="11">
        <v>31</v>
      </c>
      <c r="X895" s="13">
        <f>W895/60</f>
        <v>0.51666666666666672</v>
      </c>
      <c r="Y895" s="2" t="s">
        <v>76</v>
      </c>
      <c r="Z895" s="2">
        <v>58</v>
      </c>
      <c r="AA895" s="2">
        <f>ProductionData[[#This Row],[Rejected_Qty]]*ProductionData[[#This Row],[Unit_Cost_INR]]</f>
        <v>11426</v>
      </c>
      <c r="AB895" s="4">
        <v>20492</v>
      </c>
      <c r="AC895" s="4">
        <v>5540</v>
      </c>
      <c r="AD895" s="4">
        <v>5540</v>
      </c>
      <c r="AE895" s="4">
        <v>20755</v>
      </c>
      <c r="AF895" s="4">
        <v>9000</v>
      </c>
    </row>
    <row r="896" spans="1:32">
      <c r="A896" s="2" t="s">
        <v>1921</v>
      </c>
      <c r="B896" s="3">
        <v>46177</v>
      </c>
      <c r="C896" s="36" t="s">
        <v>1459</v>
      </c>
      <c r="D896" s="2">
        <f>MONTH(ProductionData[[#This Row],[Month]])</f>
        <v>6</v>
      </c>
      <c r="E896" s="2" t="s">
        <v>107</v>
      </c>
      <c r="F896" s="2" t="s">
        <v>66</v>
      </c>
      <c r="G896" s="2" t="s">
        <v>67</v>
      </c>
      <c r="H896" s="2" t="s">
        <v>68</v>
      </c>
      <c r="I896" s="2" t="s">
        <v>69</v>
      </c>
      <c r="J896" s="2" t="s">
        <v>403</v>
      </c>
      <c r="K896" s="2" t="s">
        <v>404</v>
      </c>
      <c r="L896" s="2" t="s">
        <v>1922</v>
      </c>
      <c r="M896" s="2" t="s">
        <v>73</v>
      </c>
      <c r="N896" s="2" t="s">
        <v>96</v>
      </c>
      <c r="O896" s="2">
        <v>16</v>
      </c>
      <c r="P896" s="2">
        <v>16</v>
      </c>
      <c r="Q896" s="4">
        <v>6300</v>
      </c>
      <c r="R896" s="4">
        <v>6240</v>
      </c>
      <c r="S896" s="4">
        <v>178</v>
      </c>
      <c r="T896" s="19">
        <f>(ProductionData[[#This Row],[Rejected_Qty]])/ProductionData[[#This Row],[Produced_Qty]]</f>
        <v>2.8525641025641025E-2</v>
      </c>
      <c r="U896" s="19">
        <f>ProductionData[[#This Row],[Produced_Qty]]/ProductionData[[#This Row],[Planned_Qty]]</f>
        <v>0.99047619047619051</v>
      </c>
      <c r="V896" s="2" t="s">
        <v>75</v>
      </c>
      <c r="W896" s="11">
        <v>0</v>
      </c>
      <c r="X896" s="13">
        <f>W896/60</f>
        <v>0</v>
      </c>
      <c r="Y896" s="2" t="s">
        <v>90</v>
      </c>
      <c r="Z896" s="2">
        <v>58</v>
      </c>
      <c r="AA896" s="2">
        <f>ProductionData[[#This Row],[Rejected_Qty]]*ProductionData[[#This Row],[Unit_Cost_INR]]</f>
        <v>10324</v>
      </c>
      <c r="AB896" s="4">
        <v>19479</v>
      </c>
      <c r="AC896" s="4">
        <v>5010</v>
      </c>
      <c r="AD896" s="4">
        <v>5010</v>
      </c>
      <c r="AE896" s="4">
        <v>20531</v>
      </c>
      <c r="AF896" s="4">
        <v>9000</v>
      </c>
    </row>
    <row r="897" spans="1:32">
      <c r="A897" s="2" t="s">
        <v>1923</v>
      </c>
      <c r="B897" s="3">
        <v>46186</v>
      </c>
      <c r="C897" s="36" t="s">
        <v>1459</v>
      </c>
      <c r="D897" s="2">
        <f>MONTH(ProductionData[[#This Row],[Month]])</f>
        <v>6</v>
      </c>
      <c r="E897" s="2" t="s">
        <v>65</v>
      </c>
      <c r="F897" s="2" t="s">
        <v>80</v>
      </c>
      <c r="G897" s="2" t="s">
        <v>67</v>
      </c>
      <c r="H897" s="2" t="s">
        <v>68</v>
      </c>
      <c r="I897" s="2" t="s">
        <v>69</v>
      </c>
      <c r="J897" s="2" t="s">
        <v>403</v>
      </c>
      <c r="K897" s="2" t="s">
        <v>404</v>
      </c>
      <c r="L897" s="2" t="s">
        <v>1924</v>
      </c>
      <c r="M897" s="2" t="s">
        <v>87</v>
      </c>
      <c r="N897" s="2" t="s">
        <v>96</v>
      </c>
      <c r="O897" s="2">
        <v>16</v>
      </c>
      <c r="P897" s="2">
        <v>16</v>
      </c>
      <c r="Q897" s="4">
        <v>6400</v>
      </c>
      <c r="R897" s="4">
        <v>6520</v>
      </c>
      <c r="S897" s="4">
        <v>156</v>
      </c>
      <c r="T897" s="19">
        <f>(ProductionData[[#This Row],[Rejected_Qty]])/ProductionData[[#This Row],[Produced_Qty]]</f>
        <v>2.392638036809816E-2</v>
      </c>
      <c r="U897" s="19">
        <f>ProductionData[[#This Row],[Produced_Qty]]/ProductionData[[#This Row],[Planned_Qty]]</f>
        <v>1.01875</v>
      </c>
      <c r="V897" s="2" t="s">
        <v>75</v>
      </c>
      <c r="W897" s="11">
        <v>60</v>
      </c>
      <c r="X897" s="13">
        <f>W897/60</f>
        <v>1</v>
      </c>
      <c r="Y897" s="2" t="s">
        <v>76</v>
      </c>
      <c r="Z897" s="2">
        <v>58</v>
      </c>
      <c r="AA897" s="2">
        <f>ProductionData[[#This Row],[Rejected_Qty]]*ProductionData[[#This Row],[Unit_Cost_INR]]</f>
        <v>9048</v>
      </c>
      <c r="AB897" s="4">
        <v>19755</v>
      </c>
      <c r="AC897" s="4">
        <v>5590</v>
      </c>
      <c r="AD897" s="4">
        <v>5590</v>
      </c>
      <c r="AE897" s="4">
        <v>20529</v>
      </c>
      <c r="AF897" s="4">
        <v>9000</v>
      </c>
    </row>
    <row r="898" spans="1:32">
      <c r="A898" s="2" t="s">
        <v>1925</v>
      </c>
      <c r="B898" s="3">
        <v>46179</v>
      </c>
      <c r="C898" s="36" t="s">
        <v>1459</v>
      </c>
      <c r="D898" s="2">
        <f>MONTH(ProductionData[[#This Row],[Month]])</f>
        <v>6</v>
      </c>
      <c r="E898" s="2" t="s">
        <v>65</v>
      </c>
      <c r="F898" s="2" t="s">
        <v>93</v>
      </c>
      <c r="G898" s="2" t="s">
        <v>67</v>
      </c>
      <c r="H898" s="2" t="s">
        <v>68</v>
      </c>
      <c r="I898" s="2" t="s">
        <v>69</v>
      </c>
      <c r="J898" s="2" t="s">
        <v>403</v>
      </c>
      <c r="K898" s="2" t="s">
        <v>404</v>
      </c>
      <c r="L898" s="2" t="s">
        <v>1926</v>
      </c>
      <c r="M898" s="2" t="s">
        <v>133</v>
      </c>
      <c r="N898" s="2" t="s">
        <v>96</v>
      </c>
      <c r="O898" s="2">
        <v>16</v>
      </c>
      <c r="P898" s="2">
        <v>14</v>
      </c>
      <c r="Q898" s="4">
        <v>5430</v>
      </c>
      <c r="R898" s="4">
        <v>5010</v>
      </c>
      <c r="S898" s="4">
        <v>182</v>
      </c>
      <c r="T898" s="19">
        <f>(ProductionData[[#This Row],[Rejected_Qty]])/ProductionData[[#This Row],[Produced_Qty]]</f>
        <v>3.632734530938124E-2</v>
      </c>
      <c r="U898" s="19">
        <f>ProductionData[[#This Row],[Produced_Qty]]/ProductionData[[#This Row],[Planned_Qty]]</f>
        <v>0.92265193370165743</v>
      </c>
      <c r="V898" s="2" t="s">
        <v>75</v>
      </c>
      <c r="W898" s="11">
        <v>23</v>
      </c>
      <c r="X898" s="13">
        <f>W898/60</f>
        <v>0.38333333333333336</v>
      </c>
      <c r="Y898" s="2" t="s">
        <v>110</v>
      </c>
      <c r="Z898" s="2">
        <v>58</v>
      </c>
      <c r="AA898" s="2">
        <f>ProductionData[[#This Row],[Rejected_Qty]]*ProductionData[[#This Row],[Unit_Cost_INR]]</f>
        <v>10556</v>
      </c>
      <c r="AB898" s="4">
        <v>21044</v>
      </c>
      <c r="AC898" s="4">
        <v>5380</v>
      </c>
      <c r="AD898" s="4">
        <v>5380</v>
      </c>
      <c r="AE898" s="4">
        <v>20492</v>
      </c>
      <c r="AF898" s="4">
        <v>9000</v>
      </c>
    </row>
    <row r="899" spans="1:32">
      <c r="A899" s="2" t="s">
        <v>1927</v>
      </c>
      <c r="B899" s="3">
        <v>46183</v>
      </c>
      <c r="C899" s="36" t="s">
        <v>1459</v>
      </c>
      <c r="D899" s="2">
        <f>MONTH(ProductionData[[#This Row],[Month]])</f>
        <v>6</v>
      </c>
      <c r="E899" s="2" t="s">
        <v>79</v>
      </c>
      <c r="F899" s="2" t="s">
        <v>80</v>
      </c>
      <c r="G899" s="2" t="s">
        <v>67</v>
      </c>
      <c r="H899" s="2" t="s">
        <v>68</v>
      </c>
      <c r="I899" s="2" t="s">
        <v>69</v>
      </c>
      <c r="J899" s="2" t="s">
        <v>403</v>
      </c>
      <c r="K899" s="2" t="s">
        <v>404</v>
      </c>
      <c r="L899" s="2" t="s">
        <v>1928</v>
      </c>
      <c r="M899" s="2" t="s">
        <v>87</v>
      </c>
      <c r="N899" s="2" t="s">
        <v>88</v>
      </c>
      <c r="O899" s="2">
        <v>16</v>
      </c>
      <c r="P899" s="2">
        <v>12</v>
      </c>
      <c r="Q899" s="4">
        <v>6390</v>
      </c>
      <c r="R899" s="4">
        <v>5580</v>
      </c>
      <c r="S899" s="4">
        <v>162</v>
      </c>
      <c r="T899" s="19">
        <f>(ProductionData[[#This Row],[Rejected_Qty]])/ProductionData[[#This Row],[Produced_Qty]]</f>
        <v>2.903225806451613E-2</v>
      </c>
      <c r="U899" s="19">
        <f>ProductionData[[#This Row],[Produced_Qty]]/ProductionData[[#This Row],[Planned_Qty]]</f>
        <v>0.87323943661971826</v>
      </c>
      <c r="V899" s="2" t="s">
        <v>89</v>
      </c>
      <c r="W899" s="11">
        <v>0</v>
      </c>
      <c r="X899" s="13">
        <f>W899/60</f>
        <v>0</v>
      </c>
      <c r="Y899" s="2" t="s">
        <v>90</v>
      </c>
      <c r="Z899" s="2">
        <v>58</v>
      </c>
      <c r="AA899" s="2">
        <f>ProductionData[[#This Row],[Rejected_Qty]]*ProductionData[[#This Row],[Unit_Cost_INR]]</f>
        <v>9396</v>
      </c>
      <c r="AB899" s="4">
        <v>20834</v>
      </c>
      <c r="AC899" s="4">
        <v>6290</v>
      </c>
      <c r="AD899" s="4">
        <v>6290</v>
      </c>
      <c r="AE899" s="4">
        <v>19962</v>
      </c>
      <c r="AF899" s="4">
        <v>9000</v>
      </c>
    </row>
    <row r="900" spans="1:32">
      <c r="A900" s="2" t="s">
        <v>1929</v>
      </c>
      <c r="B900" s="3">
        <v>46174</v>
      </c>
      <c r="C900" s="36" t="s">
        <v>1459</v>
      </c>
      <c r="D900" s="2">
        <f>MONTH(ProductionData[[#This Row],[Month]])</f>
        <v>6</v>
      </c>
      <c r="E900" s="2" t="s">
        <v>116</v>
      </c>
      <c r="F900" s="2" t="s">
        <v>80</v>
      </c>
      <c r="G900" s="2" t="s">
        <v>67</v>
      </c>
      <c r="H900" s="2" t="s">
        <v>68</v>
      </c>
      <c r="I900" s="2" t="s">
        <v>69</v>
      </c>
      <c r="J900" s="2" t="s">
        <v>403</v>
      </c>
      <c r="K900" s="2" t="s">
        <v>404</v>
      </c>
      <c r="L900" s="2" t="s">
        <v>1930</v>
      </c>
      <c r="M900" s="2" t="s">
        <v>102</v>
      </c>
      <c r="N900" s="2" t="s">
        <v>88</v>
      </c>
      <c r="O900" s="2">
        <v>16</v>
      </c>
      <c r="P900" s="2">
        <v>13</v>
      </c>
      <c r="Q900" s="4">
        <v>5690</v>
      </c>
      <c r="R900" s="4">
        <v>4980</v>
      </c>
      <c r="S900" s="4">
        <v>109</v>
      </c>
      <c r="T900" s="19">
        <f>(ProductionData[[#This Row],[Rejected_Qty]])/ProductionData[[#This Row],[Produced_Qty]]</f>
        <v>2.1887550200803213E-2</v>
      </c>
      <c r="U900" s="19">
        <f>ProductionData[[#This Row],[Produced_Qty]]/ProductionData[[#This Row],[Planned_Qty]]</f>
        <v>0.87521968365553604</v>
      </c>
      <c r="V900" s="2" t="s">
        <v>113</v>
      </c>
      <c r="W900" s="11">
        <v>0</v>
      </c>
      <c r="X900" s="13">
        <f>W900/60</f>
        <v>0</v>
      </c>
      <c r="Y900" s="2" t="s">
        <v>90</v>
      </c>
      <c r="Z900" s="2">
        <v>58</v>
      </c>
      <c r="AA900" s="2">
        <f>ProductionData[[#This Row],[Rejected_Qty]]*ProductionData[[#This Row],[Unit_Cost_INR]]</f>
        <v>6322</v>
      </c>
      <c r="AB900" s="4">
        <v>20676</v>
      </c>
      <c r="AC900" s="4">
        <v>5620</v>
      </c>
      <c r="AD900" s="4">
        <v>5620</v>
      </c>
      <c r="AE900" s="4">
        <v>19927</v>
      </c>
      <c r="AF900" s="4">
        <v>9000</v>
      </c>
    </row>
    <row r="901" spans="1:32">
      <c r="A901" s="2" t="s">
        <v>1931</v>
      </c>
      <c r="B901" s="3">
        <v>46201</v>
      </c>
      <c r="C901" s="36" t="s">
        <v>1459</v>
      </c>
      <c r="D901" s="2">
        <f>MONTH(ProductionData[[#This Row],[Month]])</f>
        <v>6</v>
      </c>
      <c r="E901" s="2" t="s">
        <v>186</v>
      </c>
      <c r="F901" s="2" t="s">
        <v>80</v>
      </c>
      <c r="G901" s="2" t="s">
        <v>195</v>
      </c>
      <c r="H901" s="2" t="s">
        <v>196</v>
      </c>
      <c r="I901" s="2" t="s">
        <v>197</v>
      </c>
      <c r="J901" s="2" t="s">
        <v>586</v>
      </c>
      <c r="K901" s="2" t="s">
        <v>587</v>
      </c>
      <c r="L901" s="2" t="s">
        <v>1932</v>
      </c>
      <c r="M901" s="2" t="s">
        <v>87</v>
      </c>
      <c r="N901" s="2" t="s">
        <v>96</v>
      </c>
      <c r="O901" s="2">
        <v>14</v>
      </c>
      <c r="P901" s="2">
        <v>14</v>
      </c>
      <c r="Q901" s="4">
        <v>4300</v>
      </c>
      <c r="R901" s="4">
        <v>4020</v>
      </c>
      <c r="S901" s="4">
        <v>80</v>
      </c>
      <c r="T901" s="19">
        <f>(ProductionData[[#This Row],[Rejected_Qty]])/ProductionData[[#This Row],[Produced_Qty]]</f>
        <v>1.9900497512437811E-2</v>
      </c>
      <c r="U901" s="19">
        <f>ProductionData[[#This Row],[Produced_Qty]]/ProductionData[[#This Row],[Planned_Qty]]</f>
        <v>0.93488372093023253</v>
      </c>
      <c r="V901" s="2" t="s">
        <v>109</v>
      </c>
      <c r="W901" s="11">
        <v>60</v>
      </c>
      <c r="X901" s="13">
        <f>W901/60</f>
        <v>1</v>
      </c>
      <c r="Y901" s="2" t="s">
        <v>76</v>
      </c>
      <c r="Z901" s="2">
        <v>51</v>
      </c>
      <c r="AA901" s="2">
        <f>ProductionData[[#This Row],[Rejected_Qty]]*ProductionData[[#This Row],[Unit_Cost_INR]]</f>
        <v>4080</v>
      </c>
      <c r="AB901" s="4">
        <v>19698</v>
      </c>
      <c r="AC901" s="4">
        <v>3750</v>
      </c>
      <c r="AD901" s="4">
        <v>3750</v>
      </c>
      <c r="AE901" s="4">
        <v>19888</v>
      </c>
      <c r="AF901" s="4">
        <v>9000</v>
      </c>
    </row>
    <row r="902" spans="1:32">
      <c r="A902" s="2" t="s">
        <v>1933</v>
      </c>
      <c r="B902" s="3">
        <v>46185</v>
      </c>
      <c r="C902" s="36" t="s">
        <v>1459</v>
      </c>
      <c r="D902" s="2">
        <f>MONTH(ProductionData[[#This Row],[Month]])</f>
        <v>6</v>
      </c>
      <c r="E902" s="2" t="s">
        <v>125</v>
      </c>
      <c r="F902" s="2" t="s">
        <v>80</v>
      </c>
      <c r="G902" s="2" t="s">
        <v>67</v>
      </c>
      <c r="H902" s="2" t="s">
        <v>68</v>
      </c>
      <c r="I902" s="2" t="s">
        <v>69</v>
      </c>
      <c r="J902" s="2" t="s">
        <v>403</v>
      </c>
      <c r="K902" s="2" t="s">
        <v>404</v>
      </c>
      <c r="L902" s="2" t="s">
        <v>1934</v>
      </c>
      <c r="M902" s="2" t="s">
        <v>87</v>
      </c>
      <c r="N902" s="2" t="s">
        <v>96</v>
      </c>
      <c r="O902" s="2">
        <v>16</v>
      </c>
      <c r="P902" s="2">
        <v>14</v>
      </c>
      <c r="Q902" s="4">
        <v>6280</v>
      </c>
      <c r="R902" s="4">
        <v>5740</v>
      </c>
      <c r="S902" s="4">
        <v>153</v>
      </c>
      <c r="T902" s="19">
        <f>(ProductionData[[#This Row],[Rejected_Qty]])/ProductionData[[#This Row],[Produced_Qty]]</f>
        <v>2.6655052264808361E-2</v>
      </c>
      <c r="U902" s="19">
        <f>ProductionData[[#This Row],[Produced_Qty]]/ProductionData[[#This Row],[Planned_Qty]]</f>
        <v>0.9140127388535032</v>
      </c>
      <c r="V902" s="2" t="s">
        <v>75</v>
      </c>
      <c r="W902" s="11">
        <v>74</v>
      </c>
      <c r="X902" s="13">
        <f>W902/60</f>
        <v>1.2333333333333334</v>
      </c>
      <c r="Y902" s="2" t="s">
        <v>110</v>
      </c>
      <c r="Z902" s="2">
        <v>58</v>
      </c>
      <c r="AA902" s="2">
        <f>ProductionData[[#This Row],[Rejected_Qty]]*ProductionData[[#This Row],[Unit_Cost_INR]]</f>
        <v>8874</v>
      </c>
      <c r="AB902" s="4">
        <v>19962</v>
      </c>
      <c r="AC902" s="4">
        <v>5790</v>
      </c>
      <c r="AD902" s="4">
        <v>5790</v>
      </c>
      <c r="AE902" s="4">
        <v>19759</v>
      </c>
      <c r="AF902" s="4">
        <v>9000</v>
      </c>
    </row>
    <row r="903" spans="1:32">
      <c r="A903" s="2" t="s">
        <v>1935</v>
      </c>
      <c r="B903" s="3">
        <v>46185</v>
      </c>
      <c r="C903" s="36" t="s">
        <v>1459</v>
      </c>
      <c r="D903" s="2">
        <f>MONTH(ProductionData[[#This Row],[Month]])</f>
        <v>6</v>
      </c>
      <c r="E903" s="2" t="s">
        <v>125</v>
      </c>
      <c r="F903" s="2" t="s">
        <v>93</v>
      </c>
      <c r="G903" s="2" t="s">
        <v>67</v>
      </c>
      <c r="H903" s="2" t="s">
        <v>68</v>
      </c>
      <c r="I903" s="2" t="s">
        <v>69</v>
      </c>
      <c r="J903" s="2" t="s">
        <v>403</v>
      </c>
      <c r="K903" s="2" t="s">
        <v>404</v>
      </c>
      <c r="L903" s="2" t="s">
        <v>1936</v>
      </c>
      <c r="M903" s="2" t="s">
        <v>133</v>
      </c>
      <c r="N903" s="2" t="s">
        <v>96</v>
      </c>
      <c r="O903" s="2">
        <v>16</v>
      </c>
      <c r="P903" s="2">
        <v>15</v>
      </c>
      <c r="Q903" s="4">
        <v>6050</v>
      </c>
      <c r="R903" s="4">
        <v>5650</v>
      </c>
      <c r="S903" s="4">
        <v>174</v>
      </c>
      <c r="T903" s="19">
        <f>(ProductionData[[#This Row],[Rejected_Qty]])/ProductionData[[#This Row],[Produced_Qty]]</f>
        <v>3.0796460176991152E-2</v>
      </c>
      <c r="U903" s="19">
        <f>ProductionData[[#This Row],[Produced_Qty]]/ProductionData[[#This Row],[Planned_Qty]]</f>
        <v>0.93388429752066116</v>
      </c>
      <c r="V903" s="2" t="s">
        <v>75</v>
      </c>
      <c r="W903" s="11">
        <v>29</v>
      </c>
      <c r="X903" s="13">
        <f>W903/60</f>
        <v>0.48333333333333334</v>
      </c>
      <c r="Y903" s="2" t="s">
        <v>110</v>
      </c>
      <c r="Z903" s="2">
        <v>58</v>
      </c>
      <c r="AA903" s="2">
        <f>ProductionData[[#This Row],[Rejected_Qty]]*ProductionData[[#This Row],[Unit_Cost_INR]]</f>
        <v>10092</v>
      </c>
      <c r="AB903" s="4">
        <v>19759</v>
      </c>
      <c r="AC903" s="4">
        <v>5480</v>
      </c>
      <c r="AD903" s="4">
        <v>5480</v>
      </c>
      <c r="AE903" s="4">
        <v>19755</v>
      </c>
      <c r="AF903" s="4">
        <v>9000</v>
      </c>
    </row>
    <row r="904" spans="1:32">
      <c r="A904" s="2" t="s">
        <v>1937</v>
      </c>
      <c r="B904" s="3">
        <v>46199</v>
      </c>
      <c r="C904" s="36" t="s">
        <v>1459</v>
      </c>
      <c r="D904" s="2">
        <f>MONTH(ProductionData[[#This Row],[Month]])</f>
        <v>6</v>
      </c>
      <c r="E904" s="2" t="s">
        <v>125</v>
      </c>
      <c r="F904" s="2" t="s">
        <v>80</v>
      </c>
      <c r="G904" s="2" t="s">
        <v>195</v>
      </c>
      <c r="H904" s="2" t="s">
        <v>196</v>
      </c>
      <c r="I904" s="2" t="s">
        <v>197</v>
      </c>
      <c r="J904" s="2" t="s">
        <v>586</v>
      </c>
      <c r="K904" s="2" t="s">
        <v>587</v>
      </c>
      <c r="L904" s="2" t="s">
        <v>1938</v>
      </c>
      <c r="M904" s="2" t="s">
        <v>102</v>
      </c>
      <c r="N904" s="2" t="s">
        <v>88</v>
      </c>
      <c r="O904" s="2">
        <v>14</v>
      </c>
      <c r="P904" s="2">
        <v>14</v>
      </c>
      <c r="Q904" s="4">
        <v>5530</v>
      </c>
      <c r="R904" s="4">
        <v>5510</v>
      </c>
      <c r="S904" s="4">
        <v>116</v>
      </c>
      <c r="T904" s="19">
        <f>(ProductionData[[#This Row],[Rejected_Qty]])/ProductionData[[#This Row],[Produced_Qty]]</f>
        <v>2.1052631578947368E-2</v>
      </c>
      <c r="U904" s="19">
        <f>ProductionData[[#This Row],[Produced_Qty]]/ProductionData[[#This Row],[Planned_Qty]]</f>
        <v>0.9963833634719711</v>
      </c>
      <c r="V904" s="2" t="s">
        <v>89</v>
      </c>
      <c r="W904" s="11">
        <v>0</v>
      </c>
      <c r="X904" s="13">
        <f>W904/60</f>
        <v>0</v>
      </c>
      <c r="Y904" s="2" t="s">
        <v>90</v>
      </c>
      <c r="Z904" s="2">
        <v>51</v>
      </c>
      <c r="AA904" s="2">
        <f>ProductionData[[#This Row],[Rejected_Qty]]*ProductionData[[#This Row],[Unit_Cost_INR]]</f>
        <v>5916</v>
      </c>
      <c r="AB904" s="4">
        <v>18944</v>
      </c>
      <c r="AC904" s="4">
        <v>4640</v>
      </c>
      <c r="AD904" s="4">
        <v>4640</v>
      </c>
      <c r="AE904" s="4">
        <v>19698</v>
      </c>
      <c r="AF904" s="4">
        <v>9000</v>
      </c>
    </row>
    <row r="905" spans="1:32">
      <c r="A905" s="2" t="s">
        <v>1939</v>
      </c>
      <c r="B905" s="3">
        <v>46199</v>
      </c>
      <c r="C905" s="36" t="s">
        <v>1459</v>
      </c>
      <c r="D905" s="2">
        <f>MONTH(ProductionData[[#This Row],[Month]])</f>
        <v>6</v>
      </c>
      <c r="E905" s="2" t="s">
        <v>125</v>
      </c>
      <c r="F905" s="2" t="s">
        <v>66</v>
      </c>
      <c r="G905" s="2" t="s">
        <v>67</v>
      </c>
      <c r="H905" s="2" t="s">
        <v>68</v>
      </c>
      <c r="I905" s="2" t="s">
        <v>69</v>
      </c>
      <c r="J905" s="2" t="s">
        <v>683</v>
      </c>
      <c r="K905" s="2" t="s">
        <v>684</v>
      </c>
      <c r="L905" s="2" t="s">
        <v>1940</v>
      </c>
      <c r="M905" s="2" t="s">
        <v>99</v>
      </c>
      <c r="N905" s="2" t="s">
        <v>96</v>
      </c>
      <c r="O905" s="2">
        <v>16</v>
      </c>
      <c r="P905" s="2">
        <v>16</v>
      </c>
      <c r="Q905" s="4">
        <v>4790</v>
      </c>
      <c r="R905" s="4">
        <v>4770</v>
      </c>
      <c r="S905" s="4">
        <v>142</v>
      </c>
      <c r="T905" s="19">
        <f>(ProductionData[[#This Row],[Rejected_Qty]])/ProductionData[[#This Row],[Produced_Qty]]</f>
        <v>2.9769392033542976E-2</v>
      </c>
      <c r="U905" s="19">
        <f>ProductionData[[#This Row],[Produced_Qty]]/ProductionData[[#This Row],[Planned_Qty]]</f>
        <v>0.99582463465553239</v>
      </c>
      <c r="V905" s="2" t="s">
        <v>113</v>
      </c>
      <c r="W905" s="11">
        <v>0</v>
      </c>
      <c r="X905" s="13">
        <f>W905/60</f>
        <v>0</v>
      </c>
      <c r="Y905" s="2" t="s">
        <v>90</v>
      </c>
      <c r="Z905" s="2">
        <v>79</v>
      </c>
      <c r="AA905" s="2">
        <f>ProductionData[[#This Row],[Rejected_Qty]]*ProductionData[[#This Row],[Unit_Cost_INR]]</f>
        <v>11218</v>
      </c>
      <c r="AB905" s="4">
        <v>18853</v>
      </c>
      <c r="AC905" s="4">
        <v>3970</v>
      </c>
      <c r="AD905" s="4">
        <v>3970</v>
      </c>
      <c r="AE905" s="4">
        <v>19511</v>
      </c>
      <c r="AF905" s="4">
        <v>6750</v>
      </c>
    </row>
    <row r="906" spans="1:32">
      <c r="A906" s="2" t="s">
        <v>1941</v>
      </c>
      <c r="B906" s="3">
        <v>46175</v>
      </c>
      <c r="C906" s="36" t="s">
        <v>1459</v>
      </c>
      <c r="D906" s="2">
        <f>MONTH(ProductionData[[#This Row],[Month]])</f>
        <v>6</v>
      </c>
      <c r="E906" s="2" t="s">
        <v>92</v>
      </c>
      <c r="F906" s="2" t="s">
        <v>93</v>
      </c>
      <c r="G906" s="2" t="s">
        <v>67</v>
      </c>
      <c r="H906" s="2" t="s">
        <v>68</v>
      </c>
      <c r="I906" s="2" t="s">
        <v>69</v>
      </c>
      <c r="J906" s="2" t="s">
        <v>403</v>
      </c>
      <c r="K906" s="2" t="s">
        <v>404</v>
      </c>
      <c r="L906" s="2" t="s">
        <v>1942</v>
      </c>
      <c r="M906" s="2" t="s">
        <v>133</v>
      </c>
      <c r="N906" s="2" t="s">
        <v>96</v>
      </c>
      <c r="O906" s="2">
        <v>16</v>
      </c>
      <c r="P906" s="2">
        <v>13</v>
      </c>
      <c r="Q906" s="4">
        <v>5420</v>
      </c>
      <c r="R906" s="4">
        <v>4660</v>
      </c>
      <c r="S906" s="4">
        <v>68</v>
      </c>
      <c r="T906" s="19">
        <f>(ProductionData[[#This Row],[Rejected_Qty]])/ProductionData[[#This Row],[Produced_Qty]]</f>
        <v>1.4592274678111588E-2</v>
      </c>
      <c r="U906" s="19">
        <f>ProductionData[[#This Row],[Produced_Qty]]/ProductionData[[#This Row],[Planned_Qty]]</f>
        <v>0.85977859778597787</v>
      </c>
      <c r="V906" s="2" t="s">
        <v>113</v>
      </c>
      <c r="W906" s="11">
        <v>0</v>
      </c>
      <c r="X906" s="13">
        <f>W906/60</f>
        <v>0</v>
      </c>
      <c r="Y906" s="2" t="s">
        <v>90</v>
      </c>
      <c r="Z906" s="2">
        <v>58</v>
      </c>
      <c r="AA906" s="2">
        <f>ProductionData[[#This Row],[Rejected_Qty]]*ProductionData[[#This Row],[Unit_Cost_INR]]</f>
        <v>3944</v>
      </c>
      <c r="AB906" s="4">
        <v>19927</v>
      </c>
      <c r="AC906" s="4">
        <v>5040</v>
      </c>
      <c r="AD906" s="4">
        <v>5040</v>
      </c>
      <c r="AE906" s="4">
        <v>19479</v>
      </c>
      <c r="AF906" s="4">
        <v>9000</v>
      </c>
    </row>
    <row r="907" spans="1:32">
      <c r="A907" s="2" t="s">
        <v>1943</v>
      </c>
      <c r="B907" s="3">
        <v>46200</v>
      </c>
      <c r="C907" s="36" t="s">
        <v>1459</v>
      </c>
      <c r="D907" s="2">
        <f>MONTH(ProductionData[[#This Row],[Month]])</f>
        <v>6</v>
      </c>
      <c r="E907" s="2" t="s">
        <v>65</v>
      </c>
      <c r="F907" s="2" t="s">
        <v>66</v>
      </c>
      <c r="G907" s="2" t="s">
        <v>67</v>
      </c>
      <c r="H907" s="2" t="s">
        <v>68</v>
      </c>
      <c r="I907" s="2" t="s">
        <v>69</v>
      </c>
      <c r="J907" s="2" t="s">
        <v>683</v>
      </c>
      <c r="K907" s="2" t="s">
        <v>684</v>
      </c>
      <c r="L907" s="2" t="s">
        <v>1944</v>
      </c>
      <c r="M907" s="2" t="s">
        <v>99</v>
      </c>
      <c r="N907" s="2" t="s">
        <v>88</v>
      </c>
      <c r="O907" s="2">
        <v>16</v>
      </c>
      <c r="P907" s="2">
        <v>16</v>
      </c>
      <c r="Q907" s="4">
        <v>4810</v>
      </c>
      <c r="R907" s="4">
        <v>4850</v>
      </c>
      <c r="S907" s="4">
        <v>166</v>
      </c>
      <c r="T907" s="19">
        <f>(ProductionData[[#This Row],[Rejected_Qty]])/ProductionData[[#This Row],[Produced_Qty]]</f>
        <v>3.4226804123711339E-2</v>
      </c>
      <c r="U907" s="19">
        <f>ProductionData[[#This Row],[Produced_Qty]]/ProductionData[[#This Row],[Planned_Qty]]</f>
        <v>1.0083160083160083</v>
      </c>
      <c r="V907" s="2" t="s">
        <v>109</v>
      </c>
      <c r="W907" s="11">
        <v>0</v>
      </c>
      <c r="X907" s="13">
        <f>W907/60</f>
        <v>0</v>
      </c>
      <c r="Y907" s="2" t="s">
        <v>90</v>
      </c>
      <c r="Z907" s="2">
        <v>79</v>
      </c>
      <c r="AA907" s="2">
        <f>ProductionData[[#This Row],[Rejected_Qty]]*ProductionData[[#This Row],[Unit_Cost_INR]]</f>
        <v>13114</v>
      </c>
      <c r="AB907" s="4">
        <v>19044</v>
      </c>
      <c r="AC907" s="4">
        <v>4600</v>
      </c>
      <c r="AD907" s="4">
        <v>4600</v>
      </c>
      <c r="AE907" s="4">
        <v>19128</v>
      </c>
      <c r="AF907" s="4">
        <v>6750</v>
      </c>
    </row>
    <row r="908" spans="1:32">
      <c r="A908" s="2" t="s">
        <v>1945</v>
      </c>
      <c r="B908" s="3">
        <v>46201</v>
      </c>
      <c r="C908" s="36" t="s">
        <v>1459</v>
      </c>
      <c r="D908" s="2">
        <f>MONTH(ProductionData[[#This Row],[Month]])</f>
        <v>6</v>
      </c>
      <c r="E908" s="2" t="s">
        <v>186</v>
      </c>
      <c r="F908" s="2" t="s">
        <v>66</v>
      </c>
      <c r="G908" s="2" t="s">
        <v>67</v>
      </c>
      <c r="H908" s="2" t="s">
        <v>68</v>
      </c>
      <c r="I908" s="2" t="s">
        <v>69</v>
      </c>
      <c r="J908" s="2" t="s">
        <v>683</v>
      </c>
      <c r="K908" s="2" t="s">
        <v>684</v>
      </c>
      <c r="L908" s="2" t="s">
        <v>1946</v>
      </c>
      <c r="M908" s="2" t="s">
        <v>73</v>
      </c>
      <c r="N908" s="2" t="s">
        <v>96</v>
      </c>
      <c r="O908" s="2">
        <v>16</v>
      </c>
      <c r="P908" s="2">
        <v>15</v>
      </c>
      <c r="Q908" s="4">
        <v>2940</v>
      </c>
      <c r="R908" s="4">
        <v>2770</v>
      </c>
      <c r="S908" s="4">
        <v>68</v>
      </c>
      <c r="T908" s="19">
        <f>(ProductionData[[#This Row],[Rejected_Qty]])/ProductionData[[#This Row],[Produced_Qty]]</f>
        <v>2.4548736462093861E-2</v>
      </c>
      <c r="U908" s="19">
        <f>ProductionData[[#This Row],[Produced_Qty]]/ProductionData[[#This Row],[Planned_Qty]]</f>
        <v>0.94217687074829937</v>
      </c>
      <c r="V908" s="2" t="s">
        <v>103</v>
      </c>
      <c r="W908" s="11">
        <v>14</v>
      </c>
      <c r="X908" s="13">
        <f>W908/60</f>
        <v>0.23333333333333334</v>
      </c>
      <c r="Y908" s="2" t="s">
        <v>110</v>
      </c>
      <c r="Z908" s="2">
        <v>79</v>
      </c>
      <c r="AA908" s="2">
        <f>ProductionData[[#This Row],[Rejected_Qty]]*ProductionData[[#This Row],[Unit_Cost_INR]]</f>
        <v>5372</v>
      </c>
      <c r="AB908" s="4">
        <v>19128</v>
      </c>
      <c r="AC908" s="4">
        <v>2770</v>
      </c>
      <c r="AD908" s="4">
        <v>2770</v>
      </c>
      <c r="AE908" s="4">
        <v>19060</v>
      </c>
      <c r="AF908" s="4">
        <v>6750</v>
      </c>
    </row>
    <row r="909" spans="1:32">
      <c r="A909" s="2" t="s">
        <v>1947</v>
      </c>
      <c r="B909" s="3">
        <v>46199</v>
      </c>
      <c r="C909" s="36" t="s">
        <v>1459</v>
      </c>
      <c r="D909" s="2">
        <f>MONTH(ProductionData[[#This Row],[Month]])</f>
        <v>6</v>
      </c>
      <c r="E909" s="2" t="s">
        <v>125</v>
      </c>
      <c r="F909" s="2" t="s">
        <v>93</v>
      </c>
      <c r="G909" s="2" t="s">
        <v>67</v>
      </c>
      <c r="H909" s="2" t="s">
        <v>68</v>
      </c>
      <c r="I909" s="2" t="s">
        <v>69</v>
      </c>
      <c r="J909" s="2" t="s">
        <v>683</v>
      </c>
      <c r="K909" s="2" t="s">
        <v>684</v>
      </c>
      <c r="L909" s="2" t="s">
        <v>1948</v>
      </c>
      <c r="M909" s="2" t="s">
        <v>133</v>
      </c>
      <c r="N909" s="2" t="s">
        <v>96</v>
      </c>
      <c r="O909" s="2">
        <v>16</v>
      </c>
      <c r="P909" s="2">
        <v>13</v>
      </c>
      <c r="Q909" s="4">
        <v>4340</v>
      </c>
      <c r="R909" s="4">
        <v>3980</v>
      </c>
      <c r="S909" s="4">
        <v>117</v>
      </c>
      <c r="T909" s="19">
        <f>(ProductionData[[#This Row],[Rejected_Qty]])/ProductionData[[#This Row],[Produced_Qty]]</f>
        <v>2.9396984924623115E-2</v>
      </c>
      <c r="U909" s="19">
        <f>ProductionData[[#This Row],[Produced_Qty]]/ProductionData[[#This Row],[Planned_Qty]]</f>
        <v>0.91705069124423966</v>
      </c>
      <c r="V909" s="2" t="s">
        <v>109</v>
      </c>
      <c r="W909" s="11">
        <v>0</v>
      </c>
      <c r="X909" s="13">
        <f>W909/60</f>
        <v>0</v>
      </c>
      <c r="Y909" s="2" t="s">
        <v>90</v>
      </c>
      <c r="Z909" s="2">
        <v>79</v>
      </c>
      <c r="AA909" s="2">
        <f>ProductionData[[#This Row],[Rejected_Qty]]*ProductionData[[#This Row],[Unit_Cost_INR]]</f>
        <v>9243</v>
      </c>
      <c r="AB909" s="4">
        <v>19511</v>
      </c>
      <c r="AC909" s="4">
        <v>4330</v>
      </c>
      <c r="AD909" s="4">
        <v>4330</v>
      </c>
      <c r="AE909" s="4">
        <v>19044</v>
      </c>
      <c r="AF909" s="4">
        <v>6750</v>
      </c>
    </row>
    <row r="910" spans="1:32">
      <c r="A910" s="2" t="s">
        <v>1949</v>
      </c>
      <c r="B910" s="3">
        <v>46198</v>
      </c>
      <c r="C910" s="36" t="s">
        <v>1459</v>
      </c>
      <c r="D910" s="2">
        <f>MONTH(ProductionData[[#This Row],[Month]])</f>
        <v>6</v>
      </c>
      <c r="E910" s="2" t="s">
        <v>107</v>
      </c>
      <c r="F910" s="2" t="s">
        <v>93</v>
      </c>
      <c r="G910" s="2" t="s">
        <v>195</v>
      </c>
      <c r="H910" s="2" t="s">
        <v>196</v>
      </c>
      <c r="I910" s="2" t="s">
        <v>197</v>
      </c>
      <c r="J910" s="2" t="s">
        <v>586</v>
      </c>
      <c r="K910" s="2" t="s">
        <v>587</v>
      </c>
      <c r="L910" s="2" t="s">
        <v>1950</v>
      </c>
      <c r="M910" s="2" t="s">
        <v>133</v>
      </c>
      <c r="N910" s="2" t="s">
        <v>88</v>
      </c>
      <c r="O910" s="2">
        <v>14</v>
      </c>
      <c r="P910" s="2">
        <v>12</v>
      </c>
      <c r="Q910" s="4">
        <v>5790</v>
      </c>
      <c r="R910" s="4">
        <v>5640</v>
      </c>
      <c r="S910" s="4">
        <v>121</v>
      </c>
      <c r="T910" s="19">
        <f>(ProductionData[[#This Row],[Rejected_Qty]])/ProductionData[[#This Row],[Produced_Qty]]</f>
        <v>2.1453900709219858E-2</v>
      </c>
      <c r="U910" s="19">
        <f>ProductionData[[#This Row],[Produced_Qty]]/ProductionData[[#This Row],[Planned_Qty]]</f>
        <v>0.97409326424870468</v>
      </c>
      <c r="V910" s="2" t="s">
        <v>75</v>
      </c>
      <c r="W910" s="11">
        <v>0</v>
      </c>
      <c r="X910" s="13">
        <f>W910/60</f>
        <v>0</v>
      </c>
      <c r="Y910" s="2" t="s">
        <v>90</v>
      </c>
      <c r="Z910" s="2">
        <v>51</v>
      </c>
      <c r="AA910" s="2">
        <f>ProductionData[[#This Row],[Rejected_Qty]]*ProductionData[[#This Row],[Unit_Cost_INR]]</f>
        <v>6171</v>
      </c>
      <c r="AB910" s="4">
        <v>18575</v>
      </c>
      <c r="AC910" s="4">
        <v>5150</v>
      </c>
      <c r="AD910" s="4">
        <v>5150</v>
      </c>
      <c r="AE910" s="4">
        <v>18944</v>
      </c>
      <c r="AF910" s="4">
        <v>9000</v>
      </c>
    </row>
    <row r="911" spans="1:32">
      <c r="A911" s="2" t="s">
        <v>1951</v>
      </c>
      <c r="B911" s="3">
        <v>46184</v>
      </c>
      <c r="C911" s="36" t="s">
        <v>1459</v>
      </c>
      <c r="D911" s="2">
        <f>MONTH(ProductionData[[#This Row],[Month]])</f>
        <v>6</v>
      </c>
      <c r="E911" s="2" t="s">
        <v>107</v>
      </c>
      <c r="F911" s="2" t="s">
        <v>66</v>
      </c>
      <c r="G911" s="2" t="s">
        <v>195</v>
      </c>
      <c r="H911" s="2" t="s">
        <v>196</v>
      </c>
      <c r="I911" s="2" t="s">
        <v>197</v>
      </c>
      <c r="J911" s="2" t="s">
        <v>586</v>
      </c>
      <c r="K911" s="2" t="s">
        <v>587</v>
      </c>
      <c r="L911" s="2" t="s">
        <v>1952</v>
      </c>
      <c r="M911" s="2" t="s">
        <v>99</v>
      </c>
      <c r="N911" s="2" t="s">
        <v>96</v>
      </c>
      <c r="O911" s="2">
        <v>14</v>
      </c>
      <c r="P911" s="2">
        <v>14</v>
      </c>
      <c r="Q911" s="4">
        <v>5860</v>
      </c>
      <c r="R911" s="4">
        <v>5980</v>
      </c>
      <c r="S911" s="4">
        <v>165</v>
      </c>
      <c r="T911" s="19">
        <f>(ProductionData[[#This Row],[Rejected_Qty]])/ProductionData[[#This Row],[Produced_Qty]]</f>
        <v>2.7591973244147156E-2</v>
      </c>
      <c r="U911" s="19">
        <f>ProductionData[[#This Row],[Produced_Qty]]/ProductionData[[#This Row],[Planned_Qty]]</f>
        <v>1.0204778156996588</v>
      </c>
      <c r="V911" s="2" t="s">
        <v>113</v>
      </c>
      <c r="W911" s="11">
        <v>0</v>
      </c>
      <c r="X911" s="13">
        <f>W911/60</f>
        <v>0</v>
      </c>
      <c r="Y911" s="2" t="s">
        <v>90</v>
      </c>
      <c r="Z911" s="2">
        <v>51</v>
      </c>
      <c r="AA911" s="2">
        <f>ProductionData[[#This Row],[Rejected_Qty]]*ProductionData[[#This Row],[Unit_Cost_INR]]</f>
        <v>8415</v>
      </c>
      <c r="AB911" s="4">
        <v>18316</v>
      </c>
      <c r="AC911" s="4">
        <v>5240</v>
      </c>
      <c r="AD911" s="4">
        <v>5240</v>
      </c>
      <c r="AE911" s="4">
        <v>18891</v>
      </c>
      <c r="AF911" s="4">
        <v>9000</v>
      </c>
    </row>
    <row r="912" spans="1:32">
      <c r="A912" s="2" t="s">
        <v>1953</v>
      </c>
      <c r="B912" s="3">
        <v>46192</v>
      </c>
      <c r="C912" s="36" t="s">
        <v>1459</v>
      </c>
      <c r="D912" s="2">
        <f>MONTH(ProductionData[[#This Row],[Month]])</f>
        <v>6</v>
      </c>
      <c r="E912" s="2" t="s">
        <v>125</v>
      </c>
      <c r="F912" s="2" t="s">
        <v>66</v>
      </c>
      <c r="G912" s="2" t="s">
        <v>67</v>
      </c>
      <c r="H912" s="2" t="s">
        <v>68</v>
      </c>
      <c r="I912" s="2" t="s">
        <v>69</v>
      </c>
      <c r="J912" s="2" t="s">
        <v>683</v>
      </c>
      <c r="K912" s="2" t="s">
        <v>684</v>
      </c>
      <c r="L912" s="2" t="s">
        <v>1954</v>
      </c>
      <c r="M912" s="2" t="s">
        <v>73</v>
      </c>
      <c r="N912" s="2" t="s">
        <v>88</v>
      </c>
      <c r="O912" s="2">
        <v>16</v>
      </c>
      <c r="P912" s="2">
        <v>15</v>
      </c>
      <c r="Q912" s="4">
        <v>4610</v>
      </c>
      <c r="R912" s="4">
        <v>4360</v>
      </c>
      <c r="S912" s="4">
        <v>84</v>
      </c>
      <c r="T912" s="19">
        <f>(ProductionData[[#This Row],[Rejected_Qty]])/ProductionData[[#This Row],[Produced_Qty]]</f>
        <v>1.9266055045871561E-2</v>
      </c>
      <c r="U912" s="19">
        <f>ProductionData[[#This Row],[Produced_Qty]]/ProductionData[[#This Row],[Planned_Qty]]</f>
        <v>0.94577006507592187</v>
      </c>
      <c r="V912" s="2" t="s">
        <v>89</v>
      </c>
      <c r="W912" s="11">
        <v>0</v>
      </c>
      <c r="X912" s="13">
        <f>W912/60</f>
        <v>0</v>
      </c>
      <c r="Y912" s="2" t="s">
        <v>90</v>
      </c>
      <c r="Z912" s="2">
        <v>79</v>
      </c>
      <c r="AA912" s="2">
        <f>ProductionData[[#This Row],[Rejected_Qty]]*ProductionData[[#This Row],[Unit_Cost_INR]]</f>
        <v>6636</v>
      </c>
      <c r="AB912" s="4">
        <v>18864</v>
      </c>
      <c r="AC912" s="4">
        <v>4250</v>
      </c>
      <c r="AD912" s="4">
        <v>4250</v>
      </c>
      <c r="AE912" s="4">
        <v>18890</v>
      </c>
      <c r="AF912" s="4">
        <v>6750</v>
      </c>
    </row>
    <row r="913" spans="1:32">
      <c r="A913" s="2" t="s">
        <v>1955</v>
      </c>
      <c r="B913" s="3">
        <v>46189</v>
      </c>
      <c r="C913" s="36" t="s">
        <v>1459</v>
      </c>
      <c r="D913" s="2">
        <f>MONTH(ProductionData[[#This Row],[Month]])</f>
        <v>6</v>
      </c>
      <c r="E913" s="2" t="s">
        <v>92</v>
      </c>
      <c r="F913" s="2" t="s">
        <v>66</v>
      </c>
      <c r="G913" s="2" t="s">
        <v>67</v>
      </c>
      <c r="H913" s="2" t="s">
        <v>68</v>
      </c>
      <c r="I913" s="2" t="s">
        <v>69</v>
      </c>
      <c r="J913" s="2" t="s">
        <v>683</v>
      </c>
      <c r="K913" s="2" t="s">
        <v>684</v>
      </c>
      <c r="L913" s="2" t="s">
        <v>1956</v>
      </c>
      <c r="M913" s="2" t="s">
        <v>73</v>
      </c>
      <c r="N913" s="2" t="s">
        <v>88</v>
      </c>
      <c r="O913" s="2">
        <v>16</v>
      </c>
      <c r="P913" s="2">
        <v>15</v>
      </c>
      <c r="Q913" s="4">
        <v>4720</v>
      </c>
      <c r="R913" s="4">
        <v>4460</v>
      </c>
      <c r="S913" s="4">
        <v>100</v>
      </c>
      <c r="T913" s="19">
        <f>(ProductionData[[#This Row],[Rejected_Qty]])/ProductionData[[#This Row],[Produced_Qty]]</f>
        <v>2.2421524663677129E-2</v>
      </c>
      <c r="U913" s="19">
        <f>ProductionData[[#This Row],[Produced_Qty]]/ProductionData[[#This Row],[Planned_Qty]]</f>
        <v>0.94491525423728817</v>
      </c>
      <c r="V913" s="2" t="s">
        <v>103</v>
      </c>
      <c r="W913" s="11">
        <v>0</v>
      </c>
      <c r="X913" s="13">
        <f>W913/60</f>
        <v>0</v>
      </c>
      <c r="Y913" s="2" t="s">
        <v>90</v>
      </c>
      <c r="Z913" s="2">
        <v>79</v>
      </c>
      <c r="AA913" s="2">
        <f>ProductionData[[#This Row],[Rejected_Qty]]*ProductionData[[#This Row],[Unit_Cost_INR]]</f>
        <v>7900</v>
      </c>
      <c r="AB913" s="4">
        <v>18164</v>
      </c>
      <c r="AC913" s="4">
        <v>3660</v>
      </c>
      <c r="AD913" s="4">
        <v>3660</v>
      </c>
      <c r="AE913" s="4">
        <v>18864</v>
      </c>
      <c r="AF913" s="4">
        <v>6750</v>
      </c>
    </row>
    <row r="914" spans="1:32">
      <c r="A914" s="2" t="s">
        <v>1957</v>
      </c>
      <c r="B914" s="3">
        <v>46197</v>
      </c>
      <c r="C914" s="36" t="s">
        <v>1459</v>
      </c>
      <c r="D914" s="2">
        <f>MONTH(ProductionData[[#This Row],[Month]])</f>
        <v>6</v>
      </c>
      <c r="E914" s="2" t="s">
        <v>79</v>
      </c>
      <c r="F914" s="2" t="s">
        <v>93</v>
      </c>
      <c r="G914" s="2" t="s">
        <v>67</v>
      </c>
      <c r="H914" s="2" t="s">
        <v>68</v>
      </c>
      <c r="I914" s="2" t="s">
        <v>69</v>
      </c>
      <c r="J914" s="2" t="s">
        <v>683</v>
      </c>
      <c r="K914" s="2" t="s">
        <v>684</v>
      </c>
      <c r="L914" s="2" t="s">
        <v>1958</v>
      </c>
      <c r="M914" s="2" t="s">
        <v>133</v>
      </c>
      <c r="N914" s="2" t="s">
        <v>96</v>
      </c>
      <c r="O914" s="2">
        <v>16</v>
      </c>
      <c r="P914" s="2">
        <v>15</v>
      </c>
      <c r="Q914" s="4">
        <v>4130</v>
      </c>
      <c r="R914" s="4">
        <v>3800</v>
      </c>
      <c r="S914" s="4">
        <v>79</v>
      </c>
      <c r="T914" s="19">
        <f>(ProductionData[[#This Row],[Rejected_Qty]])/ProductionData[[#This Row],[Produced_Qty]]</f>
        <v>2.0789473684210528E-2</v>
      </c>
      <c r="U914" s="19">
        <f>ProductionData[[#This Row],[Produced_Qty]]/ProductionData[[#This Row],[Planned_Qty]]</f>
        <v>0.92009685230024219</v>
      </c>
      <c r="V914" s="2" t="s">
        <v>89</v>
      </c>
      <c r="W914" s="11">
        <v>0</v>
      </c>
      <c r="X914" s="13">
        <f>W914/60</f>
        <v>0</v>
      </c>
      <c r="Y914" s="2" t="s">
        <v>90</v>
      </c>
      <c r="Z914" s="2">
        <v>79</v>
      </c>
      <c r="AA914" s="2">
        <f>ProductionData[[#This Row],[Rejected_Qty]]*ProductionData[[#This Row],[Unit_Cost_INR]]</f>
        <v>6241</v>
      </c>
      <c r="AB914" s="4">
        <v>18222</v>
      </c>
      <c r="AC914" s="4">
        <v>3090</v>
      </c>
      <c r="AD914" s="4">
        <v>3090</v>
      </c>
      <c r="AE914" s="4">
        <v>18853</v>
      </c>
      <c r="AF914" s="4">
        <v>6750</v>
      </c>
    </row>
    <row r="915" spans="1:32">
      <c r="A915" s="2" t="s">
        <v>1959</v>
      </c>
      <c r="B915" s="3">
        <v>46203</v>
      </c>
      <c r="C915" s="36" t="s">
        <v>1459</v>
      </c>
      <c r="D915" s="2">
        <f>MONTH(ProductionData[[#This Row],[Month]])</f>
        <v>6</v>
      </c>
      <c r="E915" s="2" t="s">
        <v>92</v>
      </c>
      <c r="F915" s="2" t="s">
        <v>93</v>
      </c>
      <c r="G915" s="2" t="s">
        <v>67</v>
      </c>
      <c r="H915" s="2" t="s">
        <v>68</v>
      </c>
      <c r="I915" s="2" t="s">
        <v>69</v>
      </c>
      <c r="J915" s="2" t="s">
        <v>683</v>
      </c>
      <c r="K915" s="2" t="s">
        <v>684</v>
      </c>
      <c r="L915" s="2" t="s">
        <v>1960</v>
      </c>
      <c r="M915" s="2" t="s">
        <v>95</v>
      </c>
      <c r="N915" s="2" t="s">
        <v>96</v>
      </c>
      <c r="O915" s="2">
        <v>16</v>
      </c>
      <c r="P915" s="2">
        <v>14</v>
      </c>
      <c r="Q915" s="4">
        <v>4210</v>
      </c>
      <c r="R915" s="4">
        <v>3690</v>
      </c>
      <c r="S915" s="4">
        <v>56</v>
      </c>
      <c r="T915" s="19">
        <f>(ProductionData[[#This Row],[Rejected_Qty]])/ProductionData[[#This Row],[Produced_Qty]]</f>
        <v>1.5176151761517615E-2</v>
      </c>
      <c r="U915" s="19">
        <f>ProductionData[[#This Row],[Produced_Qty]]/ProductionData[[#This Row],[Planned_Qty]]</f>
        <v>0.87648456057007129</v>
      </c>
      <c r="V915" s="2" t="s">
        <v>103</v>
      </c>
      <c r="W915" s="11">
        <v>26</v>
      </c>
      <c r="X915" s="13">
        <f>W915/60</f>
        <v>0.43333333333333335</v>
      </c>
      <c r="Y915" s="2" t="s">
        <v>76</v>
      </c>
      <c r="Z915" s="2">
        <v>79</v>
      </c>
      <c r="AA915" s="2">
        <f>ProductionData[[#This Row],[Rejected_Qty]]*ProductionData[[#This Row],[Unit_Cost_INR]]</f>
        <v>4424</v>
      </c>
      <c r="AB915" s="4">
        <v>18743</v>
      </c>
      <c r="AC915" s="4">
        <v>3580</v>
      </c>
      <c r="AD915" s="4">
        <v>3580</v>
      </c>
      <c r="AE915" s="4">
        <v>18797</v>
      </c>
      <c r="AF915" s="4">
        <v>6750</v>
      </c>
    </row>
    <row r="916" spans="1:32">
      <c r="A916" s="2" t="s">
        <v>1961</v>
      </c>
      <c r="B916" s="3">
        <v>46203</v>
      </c>
      <c r="C916" s="36" t="s">
        <v>1459</v>
      </c>
      <c r="D916" s="2">
        <f>MONTH(ProductionData[[#This Row],[Month]])</f>
        <v>6</v>
      </c>
      <c r="E916" s="2" t="s">
        <v>92</v>
      </c>
      <c r="F916" s="2" t="s">
        <v>80</v>
      </c>
      <c r="G916" s="2" t="s">
        <v>67</v>
      </c>
      <c r="H916" s="2" t="s">
        <v>68</v>
      </c>
      <c r="I916" s="2" t="s">
        <v>69</v>
      </c>
      <c r="J916" s="2" t="s">
        <v>683</v>
      </c>
      <c r="K916" s="2" t="s">
        <v>684</v>
      </c>
      <c r="L916" s="2" t="s">
        <v>1962</v>
      </c>
      <c r="M916" s="2" t="s">
        <v>87</v>
      </c>
      <c r="N916" s="2" t="s">
        <v>88</v>
      </c>
      <c r="O916" s="2">
        <v>16</v>
      </c>
      <c r="P916" s="2">
        <v>15</v>
      </c>
      <c r="Q916" s="4">
        <v>4280</v>
      </c>
      <c r="R916" s="4">
        <v>4120</v>
      </c>
      <c r="S916" s="4">
        <v>71</v>
      </c>
      <c r="T916" s="19">
        <f>(ProductionData[[#This Row],[Rejected_Qty]])/ProductionData[[#This Row],[Produced_Qty]]</f>
        <v>1.7233009708737864E-2</v>
      </c>
      <c r="U916" s="19">
        <f>ProductionData[[#This Row],[Produced_Qty]]/ProductionData[[#This Row],[Planned_Qty]]</f>
        <v>0.96261682242990654</v>
      </c>
      <c r="V916" s="2" t="s">
        <v>113</v>
      </c>
      <c r="W916" s="11">
        <v>0</v>
      </c>
      <c r="X916" s="13">
        <f>W916/60</f>
        <v>0</v>
      </c>
      <c r="Y916" s="2" t="s">
        <v>90</v>
      </c>
      <c r="Z916" s="2">
        <v>79</v>
      </c>
      <c r="AA916" s="2">
        <f>ProductionData[[#This Row],[Rejected_Qty]]*ProductionData[[#This Row],[Unit_Cost_INR]]</f>
        <v>5609</v>
      </c>
      <c r="AB916" s="4">
        <v>18564</v>
      </c>
      <c r="AC916" s="4">
        <v>3870</v>
      </c>
      <c r="AD916" s="4">
        <v>3870</v>
      </c>
      <c r="AE916" s="4">
        <v>18743</v>
      </c>
      <c r="AF916" s="4">
        <v>6750</v>
      </c>
    </row>
    <row r="917" spans="1:32">
      <c r="A917" s="2" t="s">
        <v>1963</v>
      </c>
      <c r="B917" s="3">
        <v>46198</v>
      </c>
      <c r="C917" s="36" t="s">
        <v>1459</v>
      </c>
      <c r="D917" s="2">
        <f>MONTH(ProductionData[[#This Row],[Month]])</f>
        <v>6</v>
      </c>
      <c r="E917" s="2" t="s">
        <v>107</v>
      </c>
      <c r="F917" s="2" t="s">
        <v>80</v>
      </c>
      <c r="G917" s="2" t="s">
        <v>195</v>
      </c>
      <c r="H917" s="2" t="s">
        <v>196</v>
      </c>
      <c r="I917" s="2" t="s">
        <v>197</v>
      </c>
      <c r="J917" s="2" t="s">
        <v>586</v>
      </c>
      <c r="K917" s="2" t="s">
        <v>587</v>
      </c>
      <c r="L917" s="2" t="s">
        <v>1964</v>
      </c>
      <c r="M917" s="2" t="s">
        <v>102</v>
      </c>
      <c r="N917" s="2" t="s">
        <v>88</v>
      </c>
      <c r="O917" s="2">
        <v>14</v>
      </c>
      <c r="P917" s="2">
        <v>13</v>
      </c>
      <c r="Q917" s="4">
        <v>5570</v>
      </c>
      <c r="R917" s="4">
        <v>5430</v>
      </c>
      <c r="S917" s="4">
        <v>144</v>
      </c>
      <c r="T917" s="19">
        <f>(ProductionData[[#This Row],[Rejected_Qty]])/ProductionData[[#This Row],[Produced_Qty]]</f>
        <v>2.6519337016574586E-2</v>
      </c>
      <c r="U917" s="19">
        <f>ProductionData[[#This Row],[Produced_Qty]]/ProductionData[[#This Row],[Planned_Qty]]</f>
        <v>0.9748653500897666</v>
      </c>
      <c r="V917" s="2" t="s">
        <v>75</v>
      </c>
      <c r="W917" s="11">
        <v>34</v>
      </c>
      <c r="X917" s="13">
        <f>W917/60</f>
        <v>0.56666666666666665</v>
      </c>
      <c r="Y917" s="2" t="s">
        <v>110</v>
      </c>
      <c r="Z917" s="2">
        <v>51</v>
      </c>
      <c r="AA917" s="2">
        <f>ProductionData[[#This Row],[Rejected_Qty]]*ProductionData[[#This Row],[Unit_Cost_INR]]</f>
        <v>7344</v>
      </c>
      <c r="AB917" s="4">
        <v>18529</v>
      </c>
      <c r="AC917" s="4">
        <v>5240</v>
      </c>
      <c r="AD917" s="4">
        <v>5240</v>
      </c>
      <c r="AE917" s="4">
        <v>18575</v>
      </c>
      <c r="AF917" s="4">
        <v>9000</v>
      </c>
    </row>
    <row r="918" spans="1:32">
      <c r="A918" s="2" t="s">
        <v>1965</v>
      </c>
      <c r="B918" s="3">
        <v>46202</v>
      </c>
      <c r="C918" s="36" t="s">
        <v>1459</v>
      </c>
      <c r="D918" s="2">
        <f>MONTH(ProductionData[[#This Row],[Month]])</f>
        <v>6</v>
      </c>
      <c r="E918" s="2" t="s">
        <v>116</v>
      </c>
      <c r="F918" s="2" t="s">
        <v>93</v>
      </c>
      <c r="G918" s="2" t="s">
        <v>67</v>
      </c>
      <c r="H918" s="2" t="s">
        <v>68</v>
      </c>
      <c r="I918" s="2" t="s">
        <v>69</v>
      </c>
      <c r="J918" s="2" t="s">
        <v>683</v>
      </c>
      <c r="K918" s="2" t="s">
        <v>684</v>
      </c>
      <c r="L918" s="2" t="s">
        <v>1966</v>
      </c>
      <c r="M918" s="2" t="s">
        <v>133</v>
      </c>
      <c r="N918" s="2" t="s">
        <v>96</v>
      </c>
      <c r="O918" s="2">
        <v>16</v>
      </c>
      <c r="P918" s="2">
        <v>12</v>
      </c>
      <c r="Q918" s="4">
        <v>4180</v>
      </c>
      <c r="R918" s="4">
        <v>3560</v>
      </c>
      <c r="S918" s="4">
        <v>56</v>
      </c>
      <c r="T918" s="19">
        <f>(ProductionData[[#This Row],[Rejected_Qty]])/ProductionData[[#This Row],[Produced_Qty]]</f>
        <v>1.5730337078651686E-2</v>
      </c>
      <c r="U918" s="19">
        <f>ProductionData[[#This Row],[Produced_Qty]]/ProductionData[[#This Row],[Planned_Qty]]</f>
        <v>0.85167464114832536</v>
      </c>
      <c r="V918" s="2" t="s">
        <v>75</v>
      </c>
      <c r="W918" s="11">
        <v>0</v>
      </c>
      <c r="X918" s="13">
        <f>W918/60</f>
        <v>0</v>
      </c>
      <c r="Y918" s="2" t="s">
        <v>90</v>
      </c>
      <c r="Z918" s="2">
        <v>79</v>
      </c>
      <c r="AA918" s="2">
        <f>ProductionData[[#This Row],[Rejected_Qty]]*ProductionData[[#This Row],[Unit_Cost_INR]]</f>
        <v>4424</v>
      </c>
      <c r="AB918" s="4">
        <v>19060</v>
      </c>
      <c r="AC918" s="4">
        <v>4000</v>
      </c>
      <c r="AD918" s="4">
        <v>4000</v>
      </c>
      <c r="AE918" s="4">
        <v>18564</v>
      </c>
      <c r="AF918" s="4">
        <v>6750</v>
      </c>
    </row>
    <row r="919" spans="1:32">
      <c r="A919" s="2" t="s">
        <v>1967</v>
      </c>
      <c r="B919" s="3">
        <v>46197</v>
      </c>
      <c r="C919" s="36" t="s">
        <v>1459</v>
      </c>
      <c r="D919" s="2">
        <f>MONTH(ProductionData[[#This Row],[Month]])</f>
        <v>6</v>
      </c>
      <c r="E919" s="2" t="s">
        <v>79</v>
      </c>
      <c r="F919" s="2" t="s">
        <v>93</v>
      </c>
      <c r="G919" s="2" t="s">
        <v>195</v>
      </c>
      <c r="H919" s="2" t="s">
        <v>196</v>
      </c>
      <c r="I919" s="2" t="s">
        <v>197</v>
      </c>
      <c r="J919" s="2" t="s">
        <v>586</v>
      </c>
      <c r="K919" s="2" t="s">
        <v>587</v>
      </c>
      <c r="L919" s="2" t="s">
        <v>1968</v>
      </c>
      <c r="M919" s="2" t="s">
        <v>133</v>
      </c>
      <c r="N919" s="2" t="s">
        <v>96</v>
      </c>
      <c r="O919" s="2">
        <v>14</v>
      </c>
      <c r="P919" s="2">
        <v>14</v>
      </c>
      <c r="Q919" s="4">
        <v>5360</v>
      </c>
      <c r="R919" s="4">
        <v>5090</v>
      </c>
      <c r="S919" s="4">
        <v>124</v>
      </c>
      <c r="T919" s="19">
        <f>(ProductionData[[#This Row],[Rejected_Qty]])/ProductionData[[#This Row],[Produced_Qty]]</f>
        <v>2.4361493123772102E-2</v>
      </c>
      <c r="U919" s="19">
        <f>ProductionData[[#This Row],[Produced_Qty]]/ProductionData[[#This Row],[Planned_Qty]]</f>
        <v>0.94962686567164178</v>
      </c>
      <c r="V919" s="2" t="s">
        <v>103</v>
      </c>
      <c r="W919" s="11">
        <v>0</v>
      </c>
      <c r="X919" s="13">
        <f>W919/60</f>
        <v>0</v>
      </c>
      <c r="Y919" s="2" t="s">
        <v>90</v>
      </c>
      <c r="Z919" s="2">
        <v>51</v>
      </c>
      <c r="AA919" s="2">
        <f>ProductionData[[#This Row],[Rejected_Qty]]*ProductionData[[#This Row],[Unit_Cost_INR]]</f>
        <v>6324</v>
      </c>
      <c r="AB919" s="4">
        <v>18333</v>
      </c>
      <c r="AC919" s="4">
        <v>4770</v>
      </c>
      <c r="AD919" s="4">
        <v>4770</v>
      </c>
      <c r="AE919" s="4">
        <v>18529</v>
      </c>
      <c r="AF919" s="4">
        <v>9000</v>
      </c>
    </row>
    <row r="920" spans="1:32">
      <c r="A920" s="2" t="s">
        <v>1969</v>
      </c>
      <c r="B920" s="3">
        <v>46186</v>
      </c>
      <c r="C920" s="36" t="s">
        <v>1459</v>
      </c>
      <c r="D920" s="2">
        <f>MONTH(ProductionData[[#This Row],[Month]])</f>
        <v>6</v>
      </c>
      <c r="E920" s="2" t="s">
        <v>65</v>
      </c>
      <c r="F920" s="2" t="s">
        <v>80</v>
      </c>
      <c r="G920" s="2" t="s">
        <v>195</v>
      </c>
      <c r="H920" s="2" t="s">
        <v>196</v>
      </c>
      <c r="I920" s="2" t="s">
        <v>197</v>
      </c>
      <c r="J920" s="2" t="s">
        <v>586</v>
      </c>
      <c r="K920" s="2" t="s">
        <v>587</v>
      </c>
      <c r="L920" s="2" t="s">
        <v>1970</v>
      </c>
      <c r="M920" s="2" t="s">
        <v>102</v>
      </c>
      <c r="N920" s="2" t="s">
        <v>96</v>
      </c>
      <c r="O920" s="2">
        <v>14</v>
      </c>
      <c r="P920" s="2">
        <v>12</v>
      </c>
      <c r="Q920" s="4">
        <v>6180</v>
      </c>
      <c r="R920" s="4">
        <v>5250</v>
      </c>
      <c r="S920" s="4">
        <v>59</v>
      </c>
      <c r="T920" s="19">
        <f>(ProductionData[[#This Row],[Rejected_Qty]])/ProductionData[[#This Row],[Produced_Qty]]</f>
        <v>1.1238095238095238E-2</v>
      </c>
      <c r="U920" s="19">
        <f>ProductionData[[#This Row],[Produced_Qty]]/ProductionData[[#This Row],[Planned_Qty]]</f>
        <v>0.84951456310679607</v>
      </c>
      <c r="V920" s="2" t="s">
        <v>113</v>
      </c>
      <c r="W920" s="11">
        <v>30</v>
      </c>
      <c r="X920" s="13">
        <f>W920/60</f>
        <v>0.5</v>
      </c>
      <c r="Y920" s="2" t="s">
        <v>76</v>
      </c>
      <c r="Z920" s="2">
        <v>51</v>
      </c>
      <c r="AA920" s="2">
        <f>ProductionData[[#This Row],[Rejected_Qty]]*ProductionData[[#This Row],[Unit_Cost_INR]]</f>
        <v>3009</v>
      </c>
      <c r="AB920" s="4">
        <v>18427</v>
      </c>
      <c r="AC920" s="4">
        <v>5090</v>
      </c>
      <c r="AD920" s="4">
        <v>5090</v>
      </c>
      <c r="AE920" s="4">
        <v>18528</v>
      </c>
      <c r="AF920" s="4">
        <v>9000</v>
      </c>
    </row>
    <row r="921" spans="1:32">
      <c r="A921" s="2" t="s">
        <v>1971</v>
      </c>
      <c r="B921" s="3">
        <v>46174</v>
      </c>
      <c r="C921" s="36" t="s">
        <v>1459</v>
      </c>
      <c r="D921" s="2">
        <f>MONTH(ProductionData[[#This Row],[Month]])</f>
        <v>6</v>
      </c>
      <c r="E921" s="2" t="s">
        <v>116</v>
      </c>
      <c r="F921" s="2" t="s">
        <v>93</v>
      </c>
      <c r="G921" s="2" t="s">
        <v>195</v>
      </c>
      <c r="H921" s="2" t="s">
        <v>196</v>
      </c>
      <c r="I921" s="2" t="s">
        <v>197</v>
      </c>
      <c r="J921" s="2" t="s">
        <v>586</v>
      </c>
      <c r="K921" s="2" t="s">
        <v>587</v>
      </c>
      <c r="L921" s="2" t="s">
        <v>1972</v>
      </c>
      <c r="M921" s="2" t="s">
        <v>133</v>
      </c>
      <c r="N921" s="2" t="s">
        <v>96</v>
      </c>
      <c r="O921" s="2">
        <v>14</v>
      </c>
      <c r="P921" s="2">
        <v>12</v>
      </c>
      <c r="Q921" s="4">
        <v>5790</v>
      </c>
      <c r="R921" s="4">
        <v>5060</v>
      </c>
      <c r="S921" s="4">
        <v>94</v>
      </c>
      <c r="T921" s="19">
        <f>(ProductionData[[#This Row],[Rejected_Qty]])/ProductionData[[#This Row],[Produced_Qty]]</f>
        <v>1.857707509881423E-2</v>
      </c>
      <c r="U921" s="19">
        <f>ProductionData[[#This Row],[Produced_Qty]]/ProductionData[[#This Row],[Planned_Qty]]</f>
        <v>0.87392055267702939</v>
      </c>
      <c r="V921" s="2" t="s">
        <v>89</v>
      </c>
      <c r="W921" s="11">
        <v>62</v>
      </c>
      <c r="X921" s="13">
        <f>W921/60</f>
        <v>1.0333333333333334</v>
      </c>
      <c r="Y921" s="2" t="s">
        <v>136</v>
      </c>
      <c r="Z921" s="2">
        <v>51</v>
      </c>
      <c r="AA921" s="2">
        <f>ProductionData[[#This Row],[Rejected_Qty]]*ProductionData[[#This Row],[Unit_Cost_INR]]</f>
        <v>4794</v>
      </c>
      <c r="AB921" s="4">
        <v>19092</v>
      </c>
      <c r="AC921" s="4">
        <v>5540</v>
      </c>
      <c r="AD921" s="4">
        <v>5540</v>
      </c>
      <c r="AE921" s="4">
        <v>18518</v>
      </c>
      <c r="AF921" s="4">
        <v>9000</v>
      </c>
    </row>
    <row r="922" spans="1:32">
      <c r="A922" s="2" t="s">
        <v>1973</v>
      </c>
      <c r="B922" s="3">
        <v>46190</v>
      </c>
      <c r="C922" s="36" t="s">
        <v>1459</v>
      </c>
      <c r="D922" s="2">
        <f>MONTH(ProductionData[[#This Row],[Month]])</f>
        <v>6</v>
      </c>
      <c r="E922" s="2" t="s">
        <v>79</v>
      </c>
      <c r="F922" s="2" t="s">
        <v>66</v>
      </c>
      <c r="G922" s="2" t="s">
        <v>195</v>
      </c>
      <c r="H922" s="2" t="s">
        <v>196</v>
      </c>
      <c r="I922" s="2" t="s">
        <v>197</v>
      </c>
      <c r="J922" s="2" t="s">
        <v>586</v>
      </c>
      <c r="K922" s="2" t="s">
        <v>587</v>
      </c>
      <c r="L922" s="2" t="s">
        <v>1974</v>
      </c>
      <c r="M922" s="2" t="s">
        <v>99</v>
      </c>
      <c r="N922" s="2" t="s">
        <v>88</v>
      </c>
      <c r="O922" s="2">
        <v>14</v>
      </c>
      <c r="P922" s="2">
        <v>14</v>
      </c>
      <c r="Q922" s="4">
        <v>5800</v>
      </c>
      <c r="R922" s="4">
        <v>5580</v>
      </c>
      <c r="S922" s="4">
        <v>175</v>
      </c>
      <c r="T922" s="19">
        <f>(ProductionData[[#This Row],[Rejected_Qty]])/ProductionData[[#This Row],[Produced_Qty]]</f>
        <v>3.1362007168458779E-2</v>
      </c>
      <c r="U922" s="19">
        <f>ProductionData[[#This Row],[Produced_Qty]]/ProductionData[[#This Row],[Planned_Qty]]</f>
        <v>0.96206896551724141</v>
      </c>
      <c r="V922" s="2" t="s">
        <v>103</v>
      </c>
      <c r="W922" s="11">
        <v>0</v>
      </c>
      <c r="X922" s="13">
        <f>W922/60</f>
        <v>0</v>
      </c>
      <c r="Y922" s="2" t="s">
        <v>90</v>
      </c>
      <c r="Z922" s="2">
        <v>51</v>
      </c>
      <c r="AA922" s="2">
        <f>ProductionData[[#This Row],[Rejected_Qty]]*ProductionData[[#This Row],[Unit_Cost_INR]]</f>
        <v>8925</v>
      </c>
      <c r="AB922" s="4">
        <v>18070</v>
      </c>
      <c r="AC922" s="4">
        <v>4980</v>
      </c>
      <c r="AD922" s="4">
        <v>4980</v>
      </c>
      <c r="AE922" s="4">
        <v>18495</v>
      </c>
      <c r="AF922" s="4">
        <v>9000</v>
      </c>
    </row>
    <row r="923" spans="1:32">
      <c r="A923" s="2" t="s">
        <v>1975</v>
      </c>
      <c r="B923" s="3">
        <v>46184</v>
      </c>
      <c r="C923" s="36" t="s">
        <v>1459</v>
      </c>
      <c r="D923" s="2">
        <f>MONTH(ProductionData[[#This Row],[Month]])</f>
        <v>6</v>
      </c>
      <c r="E923" s="2" t="s">
        <v>107</v>
      </c>
      <c r="F923" s="2" t="s">
        <v>93</v>
      </c>
      <c r="G923" s="2" t="s">
        <v>195</v>
      </c>
      <c r="H923" s="2" t="s">
        <v>196</v>
      </c>
      <c r="I923" s="2" t="s">
        <v>197</v>
      </c>
      <c r="J923" s="2" t="s">
        <v>586</v>
      </c>
      <c r="K923" s="2" t="s">
        <v>587</v>
      </c>
      <c r="L923" s="2" t="s">
        <v>1976</v>
      </c>
      <c r="M923" s="2" t="s">
        <v>95</v>
      </c>
      <c r="N923" s="2" t="s">
        <v>88</v>
      </c>
      <c r="O923" s="2">
        <v>14</v>
      </c>
      <c r="P923" s="2">
        <v>11</v>
      </c>
      <c r="Q923" s="4">
        <v>5240</v>
      </c>
      <c r="R923" s="4">
        <v>4370</v>
      </c>
      <c r="S923" s="4">
        <v>74</v>
      </c>
      <c r="T923" s="19">
        <f>(ProductionData[[#This Row],[Rejected_Qty]])/ProductionData[[#This Row],[Produced_Qty]]</f>
        <v>1.6933638443935927E-2</v>
      </c>
      <c r="U923" s="19">
        <f>ProductionData[[#This Row],[Produced_Qty]]/ProductionData[[#This Row],[Planned_Qty]]</f>
        <v>0.83396946564885499</v>
      </c>
      <c r="V923" s="2" t="s">
        <v>75</v>
      </c>
      <c r="W923" s="11">
        <v>33</v>
      </c>
      <c r="X923" s="13">
        <f>W923/60</f>
        <v>0.55000000000000004</v>
      </c>
      <c r="Y923" s="2" t="s">
        <v>76</v>
      </c>
      <c r="Z923" s="2">
        <v>51</v>
      </c>
      <c r="AA923" s="2">
        <f>ProductionData[[#This Row],[Rejected_Qty]]*ProductionData[[#This Row],[Unit_Cost_INR]]</f>
        <v>3774</v>
      </c>
      <c r="AB923" s="4">
        <v>18891</v>
      </c>
      <c r="AC923" s="4">
        <v>4760</v>
      </c>
      <c r="AD923" s="4">
        <v>4760</v>
      </c>
      <c r="AE923" s="4">
        <v>18427</v>
      </c>
      <c r="AF923" s="4">
        <v>9000</v>
      </c>
    </row>
    <row r="924" spans="1:32">
      <c r="A924" s="2" t="s">
        <v>1977</v>
      </c>
      <c r="B924" s="3">
        <v>46190</v>
      </c>
      <c r="C924" s="36" t="s">
        <v>1459</v>
      </c>
      <c r="D924" s="2">
        <f>MONTH(ProductionData[[#This Row],[Month]])</f>
        <v>6</v>
      </c>
      <c r="E924" s="2" t="s">
        <v>79</v>
      </c>
      <c r="F924" s="2" t="s">
        <v>93</v>
      </c>
      <c r="G924" s="2" t="s">
        <v>195</v>
      </c>
      <c r="H924" s="2" t="s">
        <v>196</v>
      </c>
      <c r="I924" s="2" t="s">
        <v>197</v>
      </c>
      <c r="J924" s="2" t="s">
        <v>586</v>
      </c>
      <c r="K924" s="2" t="s">
        <v>587</v>
      </c>
      <c r="L924" s="2" t="s">
        <v>1978</v>
      </c>
      <c r="M924" s="2" t="s">
        <v>95</v>
      </c>
      <c r="N924" s="2" t="s">
        <v>96</v>
      </c>
      <c r="O924" s="2">
        <v>14</v>
      </c>
      <c r="P924" s="2">
        <v>13</v>
      </c>
      <c r="Q924" s="4">
        <v>5820</v>
      </c>
      <c r="R924" s="4">
        <v>5670</v>
      </c>
      <c r="S924" s="4">
        <v>122</v>
      </c>
      <c r="T924" s="19">
        <f>(ProductionData[[#This Row],[Rejected_Qty]])/ProductionData[[#This Row],[Produced_Qty]]</f>
        <v>2.1516754850088183E-2</v>
      </c>
      <c r="U924" s="19">
        <f>ProductionData[[#This Row],[Produced_Qty]]/ProductionData[[#This Row],[Planned_Qty]]</f>
        <v>0.97422680412371132</v>
      </c>
      <c r="V924" s="2" t="s">
        <v>89</v>
      </c>
      <c r="W924" s="11">
        <v>0</v>
      </c>
      <c r="X924" s="13">
        <f>W924/60</f>
        <v>0</v>
      </c>
      <c r="Y924" s="2" t="s">
        <v>90</v>
      </c>
      <c r="Z924" s="2">
        <v>51</v>
      </c>
      <c r="AA924" s="2">
        <f>ProductionData[[#This Row],[Rejected_Qty]]*ProductionData[[#This Row],[Unit_Cost_INR]]</f>
        <v>6222</v>
      </c>
      <c r="AB924" s="4">
        <v>18495</v>
      </c>
      <c r="AC924" s="4">
        <v>5630</v>
      </c>
      <c r="AD924" s="4">
        <v>5630</v>
      </c>
      <c r="AE924" s="4">
        <v>18413</v>
      </c>
      <c r="AF924" s="4">
        <v>9000</v>
      </c>
    </row>
    <row r="925" spans="1:32">
      <c r="A925" s="2" t="s">
        <v>1979</v>
      </c>
      <c r="B925" s="3">
        <v>46195</v>
      </c>
      <c r="C925" s="36" t="s">
        <v>1459</v>
      </c>
      <c r="D925" s="2">
        <f>MONTH(ProductionData[[#This Row],[Month]])</f>
        <v>6</v>
      </c>
      <c r="E925" s="2" t="s">
        <v>116</v>
      </c>
      <c r="F925" s="2" t="s">
        <v>66</v>
      </c>
      <c r="G925" s="2" t="s">
        <v>195</v>
      </c>
      <c r="H925" s="2" t="s">
        <v>196</v>
      </c>
      <c r="I925" s="2" t="s">
        <v>197</v>
      </c>
      <c r="J925" s="2" t="s">
        <v>586</v>
      </c>
      <c r="K925" s="2" t="s">
        <v>587</v>
      </c>
      <c r="L925" s="2" t="s">
        <v>1980</v>
      </c>
      <c r="M925" s="2" t="s">
        <v>99</v>
      </c>
      <c r="N925" s="2" t="s">
        <v>88</v>
      </c>
      <c r="O925" s="2">
        <v>14</v>
      </c>
      <c r="P925" s="2">
        <v>14</v>
      </c>
      <c r="Q925" s="4">
        <v>6120</v>
      </c>
      <c r="R925" s="4">
        <v>5910</v>
      </c>
      <c r="S925" s="4">
        <v>161</v>
      </c>
      <c r="T925" s="19">
        <f>(ProductionData[[#This Row],[Rejected_Qty]])/ProductionData[[#This Row],[Produced_Qty]]</f>
        <v>2.72419627749577E-2</v>
      </c>
      <c r="U925" s="19">
        <f>ProductionData[[#This Row],[Produced_Qty]]/ProductionData[[#This Row],[Planned_Qty]]</f>
        <v>0.96568627450980393</v>
      </c>
      <c r="V925" s="2" t="s">
        <v>113</v>
      </c>
      <c r="W925" s="11">
        <v>0</v>
      </c>
      <c r="X925" s="13">
        <f>W925/60</f>
        <v>0</v>
      </c>
      <c r="Y925" s="2" t="s">
        <v>90</v>
      </c>
      <c r="Z925" s="2">
        <v>51</v>
      </c>
      <c r="AA925" s="2">
        <f>ProductionData[[#This Row],[Rejected_Qty]]*ProductionData[[#This Row],[Unit_Cost_INR]]</f>
        <v>8211</v>
      </c>
      <c r="AB925" s="4">
        <v>17934</v>
      </c>
      <c r="AC925" s="4">
        <v>5350</v>
      </c>
      <c r="AD925" s="4">
        <v>5350</v>
      </c>
      <c r="AE925" s="4">
        <v>18333</v>
      </c>
      <c r="AF925" s="4">
        <v>9000</v>
      </c>
    </row>
    <row r="926" spans="1:32">
      <c r="A926" s="2" t="s">
        <v>1981</v>
      </c>
      <c r="B926" s="3">
        <v>46183</v>
      </c>
      <c r="C926" s="36" t="s">
        <v>1459</v>
      </c>
      <c r="D926" s="2">
        <f>MONTH(ProductionData[[#This Row],[Month]])</f>
        <v>6</v>
      </c>
      <c r="E926" s="2" t="s">
        <v>79</v>
      </c>
      <c r="F926" s="2" t="s">
        <v>66</v>
      </c>
      <c r="G926" s="2" t="s">
        <v>195</v>
      </c>
      <c r="H926" s="2" t="s">
        <v>196</v>
      </c>
      <c r="I926" s="2" t="s">
        <v>197</v>
      </c>
      <c r="J926" s="2" t="s">
        <v>586</v>
      </c>
      <c r="K926" s="2" t="s">
        <v>587</v>
      </c>
      <c r="L926" s="2" t="s">
        <v>1982</v>
      </c>
      <c r="M926" s="2" t="s">
        <v>99</v>
      </c>
      <c r="N926" s="2" t="s">
        <v>96</v>
      </c>
      <c r="O926" s="2">
        <v>14</v>
      </c>
      <c r="P926" s="2">
        <v>13</v>
      </c>
      <c r="Q926" s="4">
        <v>6450</v>
      </c>
      <c r="R926" s="4">
        <v>6170</v>
      </c>
      <c r="S926" s="4">
        <v>150</v>
      </c>
      <c r="T926" s="19">
        <f>(ProductionData[[#This Row],[Rejected_Qty]])/ProductionData[[#This Row],[Produced_Qty]]</f>
        <v>2.4311183144246355E-2</v>
      </c>
      <c r="U926" s="19">
        <f>ProductionData[[#This Row],[Produced_Qty]]/ProductionData[[#This Row],[Planned_Qty]]</f>
        <v>0.95658914728682165</v>
      </c>
      <c r="V926" s="2" t="s">
        <v>103</v>
      </c>
      <c r="W926" s="11">
        <v>53</v>
      </c>
      <c r="X926" s="13">
        <f>W926/60</f>
        <v>0.8833333333333333</v>
      </c>
      <c r="Y926" s="2" t="s">
        <v>110</v>
      </c>
      <c r="Z926" s="2">
        <v>51</v>
      </c>
      <c r="AA926" s="2">
        <f>ProductionData[[#This Row],[Rejected_Qty]]*ProductionData[[#This Row],[Unit_Cost_INR]]</f>
        <v>7650</v>
      </c>
      <c r="AB926" s="4">
        <v>17966</v>
      </c>
      <c r="AC926" s="4">
        <v>5670</v>
      </c>
      <c r="AD926" s="4">
        <v>5670</v>
      </c>
      <c r="AE926" s="4">
        <v>18316</v>
      </c>
      <c r="AF926" s="4">
        <v>9000</v>
      </c>
    </row>
    <row r="927" spans="1:32">
      <c r="A927" s="2" t="s">
        <v>1983</v>
      </c>
      <c r="B927" s="3">
        <v>46195</v>
      </c>
      <c r="C927" s="36" t="s">
        <v>1459</v>
      </c>
      <c r="D927" s="2">
        <f>MONTH(ProductionData[[#This Row],[Month]])</f>
        <v>6</v>
      </c>
      <c r="E927" s="2" t="s">
        <v>116</v>
      </c>
      <c r="F927" s="2" t="s">
        <v>93</v>
      </c>
      <c r="G927" s="2" t="s">
        <v>67</v>
      </c>
      <c r="H927" s="2" t="s">
        <v>68</v>
      </c>
      <c r="I927" s="2" t="s">
        <v>69</v>
      </c>
      <c r="J927" s="2" t="s">
        <v>683</v>
      </c>
      <c r="K927" s="2" t="s">
        <v>684</v>
      </c>
      <c r="L927" s="2" t="s">
        <v>1984</v>
      </c>
      <c r="M927" s="2" t="s">
        <v>95</v>
      </c>
      <c r="N927" s="2" t="s">
        <v>88</v>
      </c>
      <c r="O927" s="2">
        <v>16</v>
      </c>
      <c r="P927" s="2">
        <v>14</v>
      </c>
      <c r="Q927" s="4">
        <v>4300</v>
      </c>
      <c r="R927" s="4">
        <v>4020</v>
      </c>
      <c r="S927" s="4">
        <v>106</v>
      </c>
      <c r="T927" s="19">
        <f>(ProductionData[[#This Row],[Rejected_Qty]])/ProductionData[[#This Row],[Produced_Qty]]</f>
        <v>2.6368159203980099E-2</v>
      </c>
      <c r="U927" s="19">
        <f>ProductionData[[#This Row],[Produced_Qty]]/ProductionData[[#This Row],[Planned_Qty]]</f>
        <v>0.93488372093023253</v>
      </c>
      <c r="V927" s="2" t="s">
        <v>75</v>
      </c>
      <c r="W927" s="11">
        <v>26</v>
      </c>
      <c r="X927" s="13">
        <f>W927/60</f>
        <v>0.43333333333333335</v>
      </c>
      <c r="Y927" s="2" t="s">
        <v>182</v>
      </c>
      <c r="Z927" s="2">
        <v>79</v>
      </c>
      <c r="AA927" s="2">
        <f>ProductionData[[#This Row],[Rejected_Qty]]*ProductionData[[#This Row],[Unit_Cost_INR]]</f>
        <v>8374</v>
      </c>
      <c r="AB927" s="4">
        <v>18108</v>
      </c>
      <c r="AC927" s="4">
        <v>3800</v>
      </c>
      <c r="AD927" s="4">
        <v>3800</v>
      </c>
      <c r="AE927" s="4">
        <v>18222</v>
      </c>
      <c r="AF927" s="4">
        <v>6750</v>
      </c>
    </row>
    <row r="928" spans="1:32">
      <c r="A928" s="2" t="s">
        <v>1985</v>
      </c>
      <c r="B928" s="3">
        <v>46188</v>
      </c>
      <c r="C928" s="36" t="s">
        <v>1459</v>
      </c>
      <c r="D928" s="2">
        <f>MONTH(ProductionData[[#This Row],[Month]])</f>
        <v>6</v>
      </c>
      <c r="E928" s="2" t="s">
        <v>116</v>
      </c>
      <c r="F928" s="2" t="s">
        <v>66</v>
      </c>
      <c r="G928" s="2" t="s">
        <v>67</v>
      </c>
      <c r="H928" s="2" t="s">
        <v>68</v>
      </c>
      <c r="I928" s="2" t="s">
        <v>69</v>
      </c>
      <c r="J928" s="2" t="s">
        <v>683</v>
      </c>
      <c r="K928" s="2" t="s">
        <v>684</v>
      </c>
      <c r="L928" s="2" t="s">
        <v>1986</v>
      </c>
      <c r="M928" s="2" t="s">
        <v>73</v>
      </c>
      <c r="N928" s="2" t="s">
        <v>88</v>
      </c>
      <c r="O928" s="2">
        <v>16</v>
      </c>
      <c r="P928" s="2">
        <v>16</v>
      </c>
      <c r="Q928" s="4">
        <v>4250</v>
      </c>
      <c r="R928" s="4">
        <v>4190</v>
      </c>
      <c r="S928" s="4">
        <v>68</v>
      </c>
      <c r="T928" s="19">
        <f>(ProductionData[[#This Row],[Rejected_Qty]])/ProductionData[[#This Row],[Produced_Qty]]</f>
        <v>1.6229116945107397E-2</v>
      </c>
      <c r="U928" s="19">
        <f>ProductionData[[#This Row],[Produced_Qty]]/ProductionData[[#This Row],[Planned_Qty]]</f>
        <v>0.98588235294117643</v>
      </c>
      <c r="V928" s="2" t="s">
        <v>113</v>
      </c>
      <c r="W928" s="11">
        <v>70</v>
      </c>
      <c r="X928" s="13">
        <f>W928/60</f>
        <v>1.1666666666666667</v>
      </c>
      <c r="Y928" s="2" t="s">
        <v>114</v>
      </c>
      <c r="Z928" s="2">
        <v>79</v>
      </c>
      <c r="AA928" s="2">
        <f>ProductionData[[#This Row],[Rejected_Qty]]*ProductionData[[#This Row],[Unit_Cost_INR]]</f>
        <v>5372</v>
      </c>
      <c r="AB928" s="4">
        <v>17752</v>
      </c>
      <c r="AC928" s="4">
        <v>3710</v>
      </c>
      <c r="AD928" s="4">
        <v>3710</v>
      </c>
      <c r="AE928" s="4">
        <v>18164</v>
      </c>
      <c r="AF928" s="4">
        <v>6750</v>
      </c>
    </row>
    <row r="929" spans="1:32">
      <c r="A929" s="2" t="s">
        <v>1987</v>
      </c>
      <c r="B929" s="3">
        <v>46176</v>
      </c>
      <c r="C929" s="36" t="s">
        <v>1459</v>
      </c>
      <c r="D929" s="2">
        <f>MONTH(ProductionData[[#This Row],[Month]])</f>
        <v>6</v>
      </c>
      <c r="E929" s="2" t="s">
        <v>79</v>
      </c>
      <c r="F929" s="2" t="s">
        <v>80</v>
      </c>
      <c r="G929" s="2" t="s">
        <v>195</v>
      </c>
      <c r="H929" s="2" t="s">
        <v>196</v>
      </c>
      <c r="I929" s="2" t="s">
        <v>197</v>
      </c>
      <c r="J929" s="2" t="s">
        <v>586</v>
      </c>
      <c r="K929" s="2" t="s">
        <v>587</v>
      </c>
      <c r="L929" s="2" t="s">
        <v>1988</v>
      </c>
      <c r="M929" s="2" t="s">
        <v>102</v>
      </c>
      <c r="N929" s="2" t="s">
        <v>88</v>
      </c>
      <c r="O929" s="2">
        <v>14</v>
      </c>
      <c r="P929" s="2">
        <v>12</v>
      </c>
      <c r="Q929" s="4">
        <v>5970</v>
      </c>
      <c r="R929" s="4">
        <v>5500</v>
      </c>
      <c r="S929" s="4">
        <v>160</v>
      </c>
      <c r="T929" s="19">
        <f>(ProductionData[[#This Row],[Rejected_Qty]])/ProductionData[[#This Row],[Produced_Qty]]</f>
        <v>2.9090909090909091E-2</v>
      </c>
      <c r="U929" s="19">
        <f>ProductionData[[#This Row],[Produced_Qty]]/ProductionData[[#This Row],[Planned_Qty]]</f>
        <v>0.92127303182579567</v>
      </c>
      <c r="V929" s="2" t="s">
        <v>113</v>
      </c>
      <c r="W929" s="11">
        <v>0</v>
      </c>
      <c r="X929" s="13">
        <f>W929/60</f>
        <v>0</v>
      </c>
      <c r="Y929" s="2" t="s">
        <v>90</v>
      </c>
      <c r="Z929" s="2">
        <v>51</v>
      </c>
      <c r="AA929" s="2">
        <f>ProductionData[[#This Row],[Rejected_Qty]]*ProductionData[[#This Row],[Unit_Cost_INR]]</f>
        <v>8160</v>
      </c>
      <c r="AB929" s="4">
        <v>18051</v>
      </c>
      <c r="AC929" s="4">
        <v>5280</v>
      </c>
      <c r="AD929" s="4">
        <v>5280</v>
      </c>
      <c r="AE929" s="4">
        <v>18111</v>
      </c>
      <c r="AF929" s="4">
        <v>9000</v>
      </c>
    </row>
    <row r="930" spans="1:32">
      <c r="A930" s="2" t="s">
        <v>1989</v>
      </c>
      <c r="B930" s="3">
        <v>46192</v>
      </c>
      <c r="C930" s="36" t="s">
        <v>1459</v>
      </c>
      <c r="D930" s="2">
        <f>MONTH(ProductionData[[#This Row],[Month]])</f>
        <v>6</v>
      </c>
      <c r="E930" s="2" t="s">
        <v>125</v>
      </c>
      <c r="F930" s="2" t="s">
        <v>93</v>
      </c>
      <c r="G930" s="2" t="s">
        <v>67</v>
      </c>
      <c r="H930" s="2" t="s">
        <v>68</v>
      </c>
      <c r="I930" s="2" t="s">
        <v>69</v>
      </c>
      <c r="J930" s="2" t="s">
        <v>683</v>
      </c>
      <c r="K930" s="2" t="s">
        <v>684</v>
      </c>
      <c r="L930" s="2" t="s">
        <v>1990</v>
      </c>
      <c r="M930" s="2" t="s">
        <v>95</v>
      </c>
      <c r="N930" s="2" t="s">
        <v>96</v>
      </c>
      <c r="O930" s="2">
        <v>16</v>
      </c>
      <c r="P930" s="2">
        <v>12</v>
      </c>
      <c r="Q930" s="4">
        <v>4320</v>
      </c>
      <c r="R930" s="4">
        <v>3550</v>
      </c>
      <c r="S930" s="4">
        <v>92</v>
      </c>
      <c r="T930" s="19">
        <f>(ProductionData[[#This Row],[Rejected_Qty]])/ProductionData[[#This Row],[Produced_Qty]]</f>
        <v>2.5915492957746478E-2</v>
      </c>
      <c r="U930" s="19">
        <f>ProductionData[[#This Row],[Produced_Qty]]/ProductionData[[#This Row],[Planned_Qty]]</f>
        <v>0.8217592592592593</v>
      </c>
      <c r="V930" s="2" t="s">
        <v>75</v>
      </c>
      <c r="W930" s="11">
        <v>0</v>
      </c>
      <c r="X930" s="13">
        <f>W930/60</f>
        <v>0</v>
      </c>
      <c r="Y930" s="2" t="s">
        <v>90</v>
      </c>
      <c r="Z930" s="2">
        <v>79</v>
      </c>
      <c r="AA930" s="2">
        <f>ProductionData[[#This Row],[Rejected_Qty]]*ProductionData[[#This Row],[Unit_Cost_INR]]</f>
        <v>7268</v>
      </c>
      <c r="AB930" s="4">
        <v>18890</v>
      </c>
      <c r="AC930" s="4">
        <v>4240</v>
      </c>
      <c r="AD930" s="4">
        <v>4240</v>
      </c>
      <c r="AE930" s="4">
        <v>18108</v>
      </c>
      <c r="AF930" s="4">
        <v>6750</v>
      </c>
    </row>
    <row r="931" spans="1:32">
      <c r="A931" s="2" t="s">
        <v>1991</v>
      </c>
      <c r="B931" s="3">
        <v>46189</v>
      </c>
      <c r="C931" s="36" t="s">
        <v>1459</v>
      </c>
      <c r="D931" s="2">
        <f>MONTH(ProductionData[[#This Row],[Month]])</f>
        <v>6</v>
      </c>
      <c r="E931" s="2" t="s">
        <v>92</v>
      </c>
      <c r="F931" s="2" t="s">
        <v>66</v>
      </c>
      <c r="G931" s="2" t="s">
        <v>195</v>
      </c>
      <c r="H931" s="2" t="s">
        <v>196</v>
      </c>
      <c r="I931" s="2" t="s">
        <v>197</v>
      </c>
      <c r="J931" s="2" t="s">
        <v>586</v>
      </c>
      <c r="K931" s="2" t="s">
        <v>587</v>
      </c>
      <c r="L931" s="2" t="s">
        <v>1992</v>
      </c>
      <c r="M931" s="2" t="s">
        <v>99</v>
      </c>
      <c r="N931" s="2" t="s">
        <v>96</v>
      </c>
      <c r="O931" s="2">
        <v>14</v>
      </c>
      <c r="P931" s="2">
        <v>14</v>
      </c>
      <c r="Q931" s="4">
        <v>5690</v>
      </c>
      <c r="R931" s="4">
        <v>5450</v>
      </c>
      <c r="S931" s="4">
        <v>68</v>
      </c>
      <c r="T931" s="19">
        <f>(ProductionData[[#This Row],[Rejected_Qty]])/ProductionData[[#This Row],[Produced_Qty]]</f>
        <v>1.2477064220183486E-2</v>
      </c>
      <c r="U931" s="19">
        <f>ProductionData[[#This Row],[Produced_Qty]]/ProductionData[[#This Row],[Planned_Qty]]</f>
        <v>0.95782073813708257</v>
      </c>
      <c r="V931" s="2" t="s">
        <v>75</v>
      </c>
      <c r="W931" s="11">
        <v>0</v>
      </c>
      <c r="X931" s="13">
        <f>W931/60</f>
        <v>0</v>
      </c>
      <c r="Y931" s="2" t="s">
        <v>90</v>
      </c>
      <c r="Z931" s="2">
        <v>51</v>
      </c>
      <c r="AA931" s="2">
        <f>ProductionData[[#This Row],[Rejected_Qty]]*ProductionData[[#This Row],[Unit_Cost_INR]]</f>
        <v>3468</v>
      </c>
      <c r="AB931" s="4">
        <v>18528</v>
      </c>
      <c r="AC931" s="4">
        <v>5840</v>
      </c>
      <c r="AD931" s="4">
        <v>5840</v>
      </c>
      <c r="AE931" s="4">
        <v>18070</v>
      </c>
      <c r="AF931" s="4">
        <v>9000</v>
      </c>
    </row>
    <row r="932" spans="1:32">
      <c r="A932" s="2" t="s">
        <v>1993</v>
      </c>
      <c r="B932" s="3">
        <v>46175</v>
      </c>
      <c r="C932" s="36" t="s">
        <v>1459</v>
      </c>
      <c r="D932" s="2">
        <f>MONTH(ProductionData[[#This Row],[Month]])</f>
        <v>6</v>
      </c>
      <c r="E932" s="2" t="s">
        <v>92</v>
      </c>
      <c r="F932" s="2" t="s">
        <v>66</v>
      </c>
      <c r="G932" s="2" t="s">
        <v>195</v>
      </c>
      <c r="H932" s="2" t="s">
        <v>196</v>
      </c>
      <c r="I932" s="2" t="s">
        <v>197</v>
      </c>
      <c r="J932" s="2" t="s">
        <v>586</v>
      </c>
      <c r="K932" s="2" t="s">
        <v>587</v>
      </c>
      <c r="L932" s="2" t="s">
        <v>1994</v>
      </c>
      <c r="M932" s="2" t="s">
        <v>73</v>
      </c>
      <c r="N932" s="2" t="s">
        <v>88</v>
      </c>
      <c r="O932" s="2">
        <v>14</v>
      </c>
      <c r="P932" s="2">
        <v>14</v>
      </c>
      <c r="Q932" s="4">
        <v>6180</v>
      </c>
      <c r="R932" s="4">
        <v>5840</v>
      </c>
      <c r="S932" s="4">
        <v>187</v>
      </c>
      <c r="T932" s="19">
        <f>(ProductionData[[#This Row],[Rejected_Qty]])/ProductionData[[#This Row],[Produced_Qty]]</f>
        <v>3.202054794520548E-2</v>
      </c>
      <c r="U932" s="19">
        <f>ProductionData[[#This Row],[Produced_Qty]]/ProductionData[[#This Row],[Planned_Qty]]</f>
        <v>0.94498381877022652</v>
      </c>
      <c r="V932" s="2" t="s">
        <v>113</v>
      </c>
      <c r="W932" s="11">
        <v>0</v>
      </c>
      <c r="X932" s="13">
        <f>W932/60</f>
        <v>0</v>
      </c>
      <c r="Y932" s="2" t="s">
        <v>90</v>
      </c>
      <c r="Z932" s="2">
        <v>51</v>
      </c>
      <c r="AA932" s="2">
        <f>ProductionData[[#This Row],[Rejected_Qty]]*ProductionData[[#This Row],[Unit_Cost_INR]]</f>
        <v>9537</v>
      </c>
      <c r="AB932" s="4">
        <v>18518</v>
      </c>
      <c r="AC932" s="4">
        <v>6120</v>
      </c>
      <c r="AD932" s="4">
        <v>6120</v>
      </c>
      <c r="AE932" s="4">
        <v>18051</v>
      </c>
      <c r="AF932" s="4">
        <v>9000</v>
      </c>
    </row>
    <row r="933" spans="1:32">
      <c r="A933" s="2" t="s">
        <v>1995</v>
      </c>
      <c r="B933" s="3">
        <v>46182</v>
      </c>
      <c r="C933" s="36" t="s">
        <v>1459</v>
      </c>
      <c r="D933" s="2">
        <f>MONTH(ProductionData[[#This Row],[Month]])</f>
        <v>6</v>
      </c>
      <c r="E933" s="2" t="s">
        <v>92</v>
      </c>
      <c r="F933" s="2" t="s">
        <v>93</v>
      </c>
      <c r="G933" s="2" t="s">
        <v>195</v>
      </c>
      <c r="H933" s="2" t="s">
        <v>196</v>
      </c>
      <c r="I933" s="2" t="s">
        <v>197</v>
      </c>
      <c r="J933" s="2" t="s">
        <v>586</v>
      </c>
      <c r="K933" s="2" t="s">
        <v>587</v>
      </c>
      <c r="L933" s="2" t="s">
        <v>1996</v>
      </c>
      <c r="M933" s="2" t="s">
        <v>133</v>
      </c>
      <c r="N933" s="2" t="s">
        <v>96</v>
      </c>
      <c r="O933" s="2">
        <v>14</v>
      </c>
      <c r="P933" s="2">
        <v>14</v>
      </c>
      <c r="Q933" s="4">
        <v>6110</v>
      </c>
      <c r="R933" s="4">
        <v>5720</v>
      </c>
      <c r="S933" s="4">
        <v>111</v>
      </c>
      <c r="T933" s="19">
        <f>(ProductionData[[#This Row],[Rejected_Qty]])/ProductionData[[#This Row],[Produced_Qty]]</f>
        <v>1.9405594405594407E-2</v>
      </c>
      <c r="U933" s="19">
        <f>ProductionData[[#This Row],[Produced_Qty]]/ProductionData[[#This Row],[Planned_Qty]]</f>
        <v>0.93617021276595747</v>
      </c>
      <c r="V933" s="2" t="s">
        <v>75</v>
      </c>
      <c r="W933" s="11">
        <v>0</v>
      </c>
      <c r="X933" s="13">
        <f>W933/60</f>
        <v>0</v>
      </c>
      <c r="Y933" s="2" t="s">
        <v>90</v>
      </c>
      <c r="Z933" s="2">
        <v>51</v>
      </c>
      <c r="AA933" s="2">
        <f>ProductionData[[#This Row],[Rejected_Qty]]*ProductionData[[#This Row],[Unit_Cost_INR]]</f>
        <v>5661</v>
      </c>
      <c r="AB933" s="4">
        <v>17637</v>
      </c>
      <c r="AC933" s="4">
        <v>5280</v>
      </c>
      <c r="AD933" s="4">
        <v>5280</v>
      </c>
      <c r="AE933" s="4">
        <v>17966</v>
      </c>
      <c r="AF933" s="4">
        <v>9000</v>
      </c>
    </row>
    <row r="934" spans="1:32">
      <c r="A934" s="2" t="s">
        <v>1997</v>
      </c>
      <c r="B934" s="3">
        <v>46194</v>
      </c>
      <c r="C934" s="36" t="s">
        <v>1459</v>
      </c>
      <c r="D934" s="2">
        <f>MONTH(ProductionData[[#This Row],[Month]])</f>
        <v>6</v>
      </c>
      <c r="E934" s="2" t="s">
        <v>186</v>
      </c>
      <c r="F934" s="2" t="s">
        <v>66</v>
      </c>
      <c r="G934" s="2" t="s">
        <v>195</v>
      </c>
      <c r="H934" s="2" t="s">
        <v>196</v>
      </c>
      <c r="I934" s="2" t="s">
        <v>197</v>
      </c>
      <c r="J934" s="2" t="s">
        <v>586</v>
      </c>
      <c r="K934" s="2" t="s">
        <v>587</v>
      </c>
      <c r="L934" s="2" t="s">
        <v>1998</v>
      </c>
      <c r="M934" s="2" t="s">
        <v>99</v>
      </c>
      <c r="N934" s="2" t="s">
        <v>88</v>
      </c>
      <c r="O934" s="2">
        <v>14</v>
      </c>
      <c r="P934" s="2">
        <v>12</v>
      </c>
      <c r="Q934" s="4">
        <v>4060</v>
      </c>
      <c r="R934" s="4">
        <v>3700</v>
      </c>
      <c r="S934" s="4">
        <v>81</v>
      </c>
      <c r="T934" s="19">
        <f>(ProductionData[[#This Row],[Rejected_Qty]])/ProductionData[[#This Row],[Produced_Qty]]</f>
        <v>2.189189189189189E-2</v>
      </c>
      <c r="U934" s="19">
        <f>ProductionData[[#This Row],[Produced_Qty]]/ProductionData[[#This Row],[Planned_Qty]]</f>
        <v>0.91133004926108374</v>
      </c>
      <c r="V934" s="2" t="s">
        <v>113</v>
      </c>
      <c r="W934" s="11">
        <v>0</v>
      </c>
      <c r="X934" s="13">
        <f>W934/60</f>
        <v>0</v>
      </c>
      <c r="Y934" s="2" t="s">
        <v>90</v>
      </c>
      <c r="Z934" s="2">
        <v>51</v>
      </c>
      <c r="AA934" s="2">
        <f>ProductionData[[#This Row],[Rejected_Qty]]*ProductionData[[#This Row],[Unit_Cost_INR]]</f>
        <v>4131</v>
      </c>
      <c r="AB934" s="4">
        <v>17775</v>
      </c>
      <c r="AC934" s="4">
        <v>3460</v>
      </c>
      <c r="AD934" s="4">
        <v>3460</v>
      </c>
      <c r="AE934" s="4">
        <v>17934</v>
      </c>
      <c r="AF934" s="4">
        <v>9000</v>
      </c>
    </row>
    <row r="935" spans="1:32">
      <c r="A935" s="2" t="s">
        <v>1999</v>
      </c>
      <c r="B935" s="3">
        <v>46193</v>
      </c>
      <c r="C935" s="36" t="s">
        <v>1459</v>
      </c>
      <c r="D935" s="2">
        <f>MONTH(ProductionData[[#This Row],[Month]])</f>
        <v>6</v>
      </c>
      <c r="E935" s="2" t="s">
        <v>65</v>
      </c>
      <c r="F935" s="2" t="s">
        <v>93</v>
      </c>
      <c r="G935" s="2" t="s">
        <v>195</v>
      </c>
      <c r="H935" s="2" t="s">
        <v>196</v>
      </c>
      <c r="I935" s="2" t="s">
        <v>197</v>
      </c>
      <c r="J935" s="2" t="s">
        <v>586</v>
      </c>
      <c r="K935" s="2" t="s">
        <v>587</v>
      </c>
      <c r="L935" s="2" t="s">
        <v>2000</v>
      </c>
      <c r="M935" s="2" t="s">
        <v>95</v>
      </c>
      <c r="N935" s="2" t="s">
        <v>88</v>
      </c>
      <c r="O935" s="2">
        <v>14</v>
      </c>
      <c r="P935" s="2">
        <v>12</v>
      </c>
      <c r="Q935" s="4">
        <v>6130</v>
      </c>
      <c r="R935" s="4">
        <v>5390</v>
      </c>
      <c r="S935" s="4">
        <v>138</v>
      </c>
      <c r="T935" s="19">
        <f>(ProductionData[[#This Row],[Rejected_Qty]])/ProductionData[[#This Row],[Produced_Qty]]</f>
        <v>2.5602968460111317E-2</v>
      </c>
      <c r="U935" s="19">
        <f>ProductionData[[#This Row],[Produced_Qty]]/ProductionData[[#This Row],[Planned_Qty]]</f>
        <v>0.87928221859706357</v>
      </c>
      <c r="V935" s="2" t="s">
        <v>113</v>
      </c>
      <c r="W935" s="11">
        <v>0</v>
      </c>
      <c r="X935" s="13">
        <f>W935/60</f>
        <v>0</v>
      </c>
      <c r="Y935" s="2" t="s">
        <v>90</v>
      </c>
      <c r="Z935" s="2">
        <v>51</v>
      </c>
      <c r="AA935" s="2">
        <f>ProductionData[[#This Row],[Rejected_Qty]]*ProductionData[[#This Row],[Unit_Cost_INR]]</f>
        <v>7038</v>
      </c>
      <c r="AB935" s="4">
        <v>18413</v>
      </c>
      <c r="AC935" s="4">
        <v>5890</v>
      </c>
      <c r="AD935" s="4">
        <v>5890</v>
      </c>
      <c r="AE935" s="4">
        <v>17775</v>
      </c>
      <c r="AF935" s="4">
        <v>9000</v>
      </c>
    </row>
    <row r="936" spans="1:32">
      <c r="A936" s="2" t="s">
        <v>2001</v>
      </c>
      <c r="B936" s="3">
        <v>46186</v>
      </c>
      <c r="C936" s="36" t="s">
        <v>1459</v>
      </c>
      <c r="D936" s="2">
        <f>MONTH(ProductionData[[#This Row],[Month]])</f>
        <v>6</v>
      </c>
      <c r="E936" s="2" t="s">
        <v>65</v>
      </c>
      <c r="F936" s="2" t="s">
        <v>66</v>
      </c>
      <c r="G936" s="2" t="s">
        <v>67</v>
      </c>
      <c r="H936" s="2" t="s">
        <v>68</v>
      </c>
      <c r="I936" s="2" t="s">
        <v>69</v>
      </c>
      <c r="J936" s="2" t="s">
        <v>683</v>
      </c>
      <c r="K936" s="2" t="s">
        <v>684</v>
      </c>
      <c r="L936" s="2" t="s">
        <v>2002</v>
      </c>
      <c r="M936" s="2" t="s">
        <v>99</v>
      </c>
      <c r="N936" s="2" t="s">
        <v>88</v>
      </c>
      <c r="O936" s="2">
        <v>16</v>
      </c>
      <c r="P936" s="2">
        <v>16</v>
      </c>
      <c r="Q936" s="4">
        <v>4360</v>
      </c>
      <c r="R936" s="4">
        <v>4100</v>
      </c>
      <c r="S936" s="4">
        <v>115</v>
      </c>
      <c r="T936" s="19">
        <f>(ProductionData[[#This Row],[Rejected_Qty]])/ProductionData[[#This Row],[Produced_Qty]]</f>
        <v>2.8048780487804879E-2</v>
      </c>
      <c r="U936" s="19">
        <f>ProductionData[[#This Row],[Produced_Qty]]/ProductionData[[#This Row],[Planned_Qty]]</f>
        <v>0.94036697247706424</v>
      </c>
      <c r="V936" s="2" t="s">
        <v>113</v>
      </c>
      <c r="W936" s="11">
        <v>0</v>
      </c>
      <c r="X936" s="13">
        <f>W936/60</f>
        <v>0</v>
      </c>
      <c r="Y936" s="2" t="s">
        <v>90</v>
      </c>
      <c r="Z936" s="2">
        <v>79</v>
      </c>
      <c r="AA936" s="2">
        <f>ProductionData[[#This Row],[Rejected_Qty]]*ProductionData[[#This Row],[Unit_Cost_INR]]</f>
        <v>9085</v>
      </c>
      <c r="AB936" s="4">
        <v>17027</v>
      </c>
      <c r="AC936" s="4">
        <v>3260</v>
      </c>
      <c r="AD936" s="4">
        <v>3260</v>
      </c>
      <c r="AE936" s="4">
        <v>17752</v>
      </c>
      <c r="AF936" s="4">
        <v>6750</v>
      </c>
    </row>
    <row r="937" spans="1:32">
      <c r="A937" s="2" t="s">
        <v>2003</v>
      </c>
      <c r="B937" s="3">
        <v>46177</v>
      </c>
      <c r="C937" s="36" t="s">
        <v>1459</v>
      </c>
      <c r="D937" s="2">
        <f>MONTH(ProductionData[[#This Row],[Month]])</f>
        <v>6</v>
      </c>
      <c r="E937" s="2" t="s">
        <v>107</v>
      </c>
      <c r="F937" s="2" t="s">
        <v>66</v>
      </c>
      <c r="G937" s="2" t="s">
        <v>195</v>
      </c>
      <c r="H937" s="2" t="s">
        <v>196</v>
      </c>
      <c r="I937" s="2" t="s">
        <v>197</v>
      </c>
      <c r="J937" s="2" t="s">
        <v>586</v>
      </c>
      <c r="K937" s="2" t="s">
        <v>587</v>
      </c>
      <c r="L937" s="2" t="s">
        <v>2004</v>
      </c>
      <c r="M937" s="2" t="s">
        <v>99</v>
      </c>
      <c r="N937" s="2" t="s">
        <v>88</v>
      </c>
      <c r="O937" s="2">
        <v>14</v>
      </c>
      <c r="P937" s="2">
        <v>12</v>
      </c>
      <c r="Q937" s="4">
        <v>6350</v>
      </c>
      <c r="R937" s="4">
        <v>5800</v>
      </c>
      <c r="S937" s="4">
        <v>184</v>
      </c>
      <c r="T937" s="19">
        <f>(ProductionData[[#This Row],[Rejected_Qty]])/ProductionData[[#This Row],[Produced_Qty]]</f>
        <v>3.1724137931034485E-2</v>
      </c>
      <c r="U937" s="19">
        <f>ProductionData[[#This Row],[Produced_Qty]]/ProductionData[[#This Row],[Planned_Qty]]</f>
        <v>0.91338582677165359</v>
      </c>
      <c r="V937" s="2" t="s">
        <v>109</v>
      </c>
      <c r="W937" s="11">
        <v>0</v>
      </c>
      <c r="X937" s="13">
        <f>W937/60</f>
        <v>0</v>
      </c>
      <c r="Y937" s="2" t="s">
        <v>90</v>
      </c>
      <c r="Z937" s="2">
        <v>51</v>
      </c>
      <c r="AA937" s="2">
        <f>ProductionData[[#This Row],[Rejected_Qty]]*ProductionData[[#This Row],[Unit_Cost_INR]]</f>
        <v>9384</v>
      </c>
      <c r="AB937" s="4">
        <v>18111</v>
      </c>
      <c r="AC937" s="4">
        <v>6090</v>
      </c>
      <c r="AD937" s="4">
        <v>6090</v>
      </c>
      <c r="AE937" s="4">
        <v>17637</v>
      </c>
      <c r="AF937" s="4">
        <v>9000</v>
      </c>
    </row>
    <row r="938" spans="1:32">
      <c r="A938" s="2" t="s">
        <v>2005</v>
      </c>
      <c r="B938" s="3">
        <v>46178</v>
      </c>
      <c r="C938" s="36" t="s">
        <v>1459</v>
      </c>
      <c r="D938" s="2">
        <f>MONTH(ProductionData[[#This Row],[Month]])</f>
        <v>6</v>
      </c>
      <c r="E938" s="2" t="s">
        <v>125</v>
      </c>
      <c r="F938" s="2" t="s">
        <v>66</v>
      </c>
      <c r="G938" s="2" t="s">
        <v>67</v>
      </c>
      <c r="H938" s="2" t="s">
        <v>68</v>
      </c>
      <c r="I938" s="2" t="s">
        <v>69</v>
      </c>
      <c r="J938" s="2" t="s">
        <v>683</v>
      </c>
      <c r="K938" s="2" t="s">
        <v>684</v>
      </c>
      <c r="L938" s="2" t="s">
        <v>2006</v>
      </c>
      <c r="M938" s="2" t="s">
        <v>99</v>
      </c>
      <c r="N938" s="2" t="s">
        <v>88</v>
      </c>
      <c r="O938" s="2">
        <v>16</v>
      </c>
      <c r="P938" s="2">
        <v>15</v>
      </c>
      <c r="Q938" s="4">
        <v>4850</v>
      </c>
      <c r="R938" s="4">
        <v>4670</v>
      </c>
      <c r="S938" s="4">
        <v>91</v>
      </c>
      <c r="T938" s="19">
        <f>(ProductionData[[#This Row],[Rejected_Qty]])/ProductionData[[#This Row],[Produced_Qty]]</f>
        <v>1.948608137044968E-2</v>
      </c>
      <c r="U938" s="19">
        <f>ProductionData[[#This Row],[Produced_Qty]]/ProductionData[[#This Row],[Planned_Qty]]</f>
        <v>0.96288659793814435</v>
      </c>
      <c r="V938" s="2" t="s">
        <v>75</v>
      </c>
      <c r="W938" s="11">
        <v>0</v>
      </c>
      <c r="X938" s="13">
        <f>W938/60</f>
        <v>0</v>
      </c>
      <c r="Y938" s="2" t="s">
        <v>90</v>
      </c>
      <c r="Z938" s="2">
        <v>79</v>
      </c>
      <c r="AA938" s="2">
        <f>ProductionData[[#This Row],[Rejected_Qty]]*ProductionData[[#This Row],[Unit_Cost_INR]]</f>
        <v>7189</v>
      </c>
      <c r="AB938" s="4">
        <v>16997</v>
      </c>
      <c r="AC938" s="4">
        <v>4410</v>
      </c>
      <c r="AD938" s="4">
        <v>4410</v>
      </c>
      <c r="AE938" s="4">
        <v>17166</v>
      </c>
      <c r="AF938" s="4">
        <v>6750</v>
      </c>
    </row>
    <row r="939" spans="1:32">
      <c r="A939" s="2" t="s">
        <v>2007</v>
      </c>
      <c r="B939" s="3">
        <v>46181</v>
      </c>
      <c r="C939" s="36" t="s">
        <v>1459</v>
      </c>
      <c r="D939" s="2">
        <f>MONTH(ProductionData[[#This Row],[Month]])</f>
        <v>6</v>
      </c>
      <c r="E939" s="2" t="s">
        <v>116</v>
      </c>
      <c r="F939" s="2" t="s">
        <v>80</v>
      </c>
      <c r="G939" s="2" t="s">
        <v>67</v>
      </c>
      <c r="H939" s="2" t="s">
        <v>68</v>
      </c>
      <c r="I939" s="2" t="s">
        <v>69</v>
      </c>
      <c r="J939" s="2" t="s">
        <v>683</v>
      </c>
      <c r="K939" s="2" t="s">
        <v>684</v>
      </c>
      <c r="L939" s="2" t="s">
        <v>2008</v>
      </c>
      <c r="M939" s="2" t="s">
        <v>102</v>
      </c>
      <c r="N939" s="2" t="s">
        <v>96</v>
      </c>
      <c r="O939" s="2">
        <v>16</v>
      </c>
      <c r="P939" s="2">
        <v>15</v>
      </c>
      <c r="Q939" s="4">
        <v>4180</v>
      </c>
      <c r="R939" s="4">
        <v>3990</v>
      </c>
      <c r="S939" s="4">
        <v>126</v>
      </c>
      <c r="T939" s="19">
        <f>(ProductionData[[#This Row],[Rejected_Qty]])/ProductionData[[#This Row],[Produced_Qty]]</f>
        <v>3.1578947368421054E-2</v>
      </c>
      <c r="U939" s="19">
        <f>ProductionData[[#This Row],[Produced_Qty]]/ProductionData[[#This Row],[Planned_Qty]]</f>
        <v>0.95454545454545459</v>
      </c>
      <c r="V939" s="2" t="s">
        <v>103</v>
      </c>
      <c r="W939" s="11">
        <v>0</v>
      </c>
      <c r="X939" s="13">
        <f>W939/60</f>
        <v>0</v>
      </c>
      <c r="Y939" s="2" t="s">
        <v>90</v>
      </c>
      <c r="Z939" s="2">
        <v>79</v>
      </c>
      <c r="AA939" s="2">
        <f>ProductionData[[#This Row],[Rejected_Qty]]*ProductionData[[#This Row],[Unit_Cost_INR]]</f>
        <v>9954</v>
      </c>
      <c r="AB939" s="4">
        <v>16738</v>
      </c>
      <c r="AC939" s="4">
        <v>3540</v>
      </c>
      <c r="AD939" s="4">
        <v>3540</v>
      </c>
      <c r="AE939" s="4">
        <v>17062</v>
      </c>
      <c r="AF939" s="4">
        <v>6750</v>
      </c>
    </row>
    <row r="940" spans="1:32">
      <c r="A940" s="2" t="s">
        <v>2009</v>
      </c>
      <c r="B940" s="3">
        <v>46184</v>
      </c>
      <c r="C940" s="36" t="s">
        <v>1459</v>
      </c>
      <c r="D940" s="2">
        <f>MONTH(ProductionData[[#This Row],[Month]])</f>
        <v>6</v>
      </c>
      <c r="E940" s="2" t="s">
        <v>107</v>
      </c>
      <c r="F940" s="2" t="s">
        <v>93</v>
      </c>
      <c r="G940" s="2" t="s">
        <v>67</v>
      </c>
      <c r="H940" s="2" t="s">
        <v>68</v>
      </c>
      <c r="I940" s="2" t="s">
        <v>69</v>
      </c>
      <c r="J940" s="2" t="s">
        <v>683</v>
      </c>
      <c r="K940" s="2" t="s">
        <v>684</v>
      </c>
      <c r="L940" s="2" t="s">
        <v>2010</v>
      </c>
      <c r="M940" s="2" t="s">
        <v>133</v>
      </c>
      <c r="N940" s="2" t="s">
        <v>88</v>
      </c>
      <c r="O940" s="2">
        <v>16</v>
      </c>
      <c r="P940" s="2">
        <v>15</v>
      </c>
      <c r="Q940" s="4">
        <v>4440</v>
      </c>
      <c r="R940" s="4">
        <v>4300</v>
      </c>
      <c r="S940" s="4">
        <v>90</v>
      </c>
      <c r="T940" s="19">
        <f>(ProductionData[[#This Row],[Rejected_Qty]])/ProductionData[[#This Row],[Produced_Qty]]</f>
        <v>2.0930232558139535E-2</v>
      </c>
      <c r="U940" s="19">
        <f>ProductionData[[#This Row],[Produced_Qty]]/ProductionData[[#This Row],[Planned_Qty]]</f>
        <v>0.96846846846846846</v>
      </c>
      <c r="V940" s="2" t="s">
        <v>75</v>
      </c>
      <c r="W940" s="11">
        <v>63</v>
      </c>
      <c r="X940" s="13">
        <f>W940/60</f>
        <v>1.05</v>
      </c>
      <c r="Y940" s="2" t="s">
        <v>76</v>
      </c>
      <c r="Z940" s="2">
        <v>79</v>
      </c>
      <c r="AA940" s="2">
        <f>ProductionData[[#This Row],[Rejected_Qty]]*ProductionData[[#This Row],[Unit_Cost_INR]]</f>
        <v>7110</v>
      </c>
      <c r="AB940" s="4">
        <v>16967</v>
      </c>
      <c r="AC940" s="4">
        <v>4150</v>
      </c>
      <c r="AD940" s="4">
        <v>4150</v>
      </c>
      <c r="AE940" s="4">
        <v>17027</v>
      </c>
      <c r="AF940" s="4">
        <v>6750</v>
      </c>
    </row>
    <row r="941" spans="1:32">
      <c r="A941" s="2" t="s">
        <v>2011</v>
      </c>
      <c r="B941" s="3">
        <v>46177</v>
      </c>
      <c r="C941" s="36" t="s">
        <v>1459</v>
      </c>
      <c r="D941" s="2">
        <f>MONTH(ProductionData[[#This Row],[Month]])</f>
        <v>6</v>
      </c>
      <c r="E941" s="2" t="s">
        <v>107</v>
      </c>
      <c r="F941" s="2" t="s">
        <v>93</v>
      </c>
      <c r="G941" s="2" t="s">
        <v>67</v>
      </c>
      <c r="H941" s="2" t="s">
        <v>68</v>
      </c>
      <c r="I941" s="2" t="s">
        <v>69</v>
      </c>
      <c r="J941" s="2" t="s">
        <v>683</v>
      </c>
      <c r="K941" s="2" t="s">
        <v>684</v>
      </c>
      <c r="L941" s="2" t="s">
        <v>2012</v>
      </c>
      <c r="M941" s="2" t="s">
        <v>133</v>
      </c>
      <c r="N941" s="2" t="s">
        <v>96</v>
      </c>
      <c r="O941" s="2">
        <v>16</v>
      </c>
      <c r="P941" s="2">
        <v>14</v>
      </c>
      <c r="Q941" s="4">
        <v>4440</v>
      </c>
      <c r="R941" s="4">
        <v>4000</v>
      </c>
      <c r="S941" s="4">
        <v>113</v>
      </c>
      <c r="T941" s="19">
        <f>(ProductionData[[#This Row],[Rejected_Qty]])/ProductionData[[#This Row],[Produced_Qty]]</f>
        <v>2.8250000000000001E-2</v>
      </c>
      <c r="U941" s="19">
        <f>ProductionData[[#This Row],[Produced_Qty]]/ProductionData[[#This Row],[Planned_Qty]]</f>
        <v>0.90090090090090091</v>
      </c>
      <c r="V941" s="2" t="s">
        <v>103</v>
      </c>
      <c r="W941" s="11">
        <v>24</v>
      </c>
      <c r="X941" s="13">
        <f>W941/60</f>
        <v>0.4</v>
      </c>
      <c r="Y941" s="2" t="s">
        <v>76</v>
      </c>
      <c r="Z941" s="2">
        <v>79</v>
      </c>
      <c r="AA941" s="2">
        <f>ProductionData[[#This Row],[Rejected_Qty]]*ProductionData[[#This Row],[Unit_Cost_INR]]</f>
        <v>8927</v>
      </c>
      <c r="AB941" s="4">
        <v>16720</v>
      </c>
      <c r="AC941" s="4">
        <v>3610</v>
      </c>
      <c r="AD941" s="4">
        <v>3610</v>
      </c>
      <c r="AE941" s="4">
        <v>16997</v>
      </c>
      <c r="AF941" s="4">
        <v>6750</v>
      </c>
    </row>
    <row r="942" spans="1:32">
      <c r="A942" s="2" t="s">
        <v>2013</v>
      </c>
      <c r="B942" s="3">
        <v>46183</v>
      </c>
      <c r="C942" s="36" t="s">
        <v>1459</v>
      </c>
      <c r="D942" s="2">
        <f>MONTH(ProductionData[[#This Row],[Month]])</f>
        <v>6</v>
      </c>
      <c r="E942" s="2" t="s">
        <v>79</v>
      </c>
      <c r="F942" s="2" t="s">
        <v>93</v>
      </c>
      <c r="G942" s="2" t="s">
        <v>67</v>
      </c>
      <c r="H942" s="2" t="s">
        <v>68</v>
      </c>
      <c r="I942" s="2" t="s">
        <v>69</v>
      </c>
      <c r="J942" s="2" t="s">
        <v>683</v>
      </c>
      <c r="K942" s="2" t="s">
        <v>684</v>
      </c>
      <c r="L942" s="2" t="s">
        <v>2014</v>
      </c>
      <c r="M942" s="2" t="s">
        <v>133</v>
      </c>
      <c r="N942" s="2" t="s">
        <v>88</v>
      </c>
      <c r="O942" s="2">
        <v>16</v>
      </c>
      <c r="P942" s="2">
        <v>13</v>
      </c>
      <c r="Q942" s="4">
        <v>4370</v>
      </c>
      <c r="R942" s="4">
        <v>3760</v>
      </c>
      <c r="S942" s="4">
        <v>115</v>
      </c>
      <c r="T942" s="19">
        <f>(ProductionData[[#This Row],[Rejected_Qty]])/ProductionData[[#This Row],[Produced_Qty]]</f>
        <v>3.0585106382978722E-2</v>
      </c>
      <c r="U942" s="19">
        <f>ProductionData[[#This Row],[Produced_Qty]]/ProductionData[[#This Row],[Planned_Qty]]</f>
        <v>0.86041189931350115</v>
      </c>
      <c r="V942" s="2" t="s">
        <v>113</v>
      </c>
      <c r="W942" s="11">
        <v>74</v>
      </c>
      <c r="X942" s="13">
        <f>W942/60</f>
        <v>1.2333333333333334</v>
      </c>
      <c r="Y942" s="2" t="s">
        <v>136</v>
      </c>
      <c r="Z942" s="2">
        <v>79</v>
      </c>
      <c r="AA942" s="2">
        <f>ProductionData[[#This Row],[Rejected_Qty]]*ProductionData[[#This Row],[Unit_Cost_INR]]</f>
        <v>9085</v>
      </c>
      <c r="AB942" s="4">
        <v>17062</v>
      </c>
      <c r="AC942" s="4">
        <v>3740</v>
      </c>
      <c r="AD942" s="4">
        <v>3740</v>
      </c>
      <c r="AE942" s="4">
        <v>16967</v>
      </c>
      <c r="AF942" s="4">
        <v>6750</v>
      </c>
    </row>
    <row r="943" spans="1:32">
      <c r="A943" s="2" t="s">
        <v>2015</v>
      </c>
      <c r="B943" s="3">
        <v>46179</v>
      </c>
      <c r="C943" s="36" t="s">
        <v>1459</v>
      </c>
      <c r="D943" s="2">
        <f>MONTH(ProductionData[[#This Row],[Month]])</f>
        <v>6</v>
      </c>
      <c r="E943" s="2" t="s">
        <v>65</v>
      </c>
      <c r="F943" s="2" t="s">
        <v>80</v>
      </c>
      <c r="G943" s="2" t="s">
        <v>67</v>
      </c>
      <c r="H943" s="2" t="s">
        <v>68</v>
      </c>
      <c r="I943" s="2" t="s">
        <v>69</v>
      </c>
      <c r="J943" s="2" t="s">
        <v>683</v>
      </c>
      <c r="K943" s="2" t="s">
        <v>684</v>
      </c>
      <c r="L943" s="2" t="s">
        <v>2016</v>
      </c>
      <c r="M943" s="2" t="s">
        <v>87</v>
      </c>
      <c r="N943" s="2" t="s">
        <v>96</v>
      </c>
      <c r="O943" s="2">
        <v>16</v>
      </c>
      <c r="P943" s="2">
        <v>14</v>
      </c>
      <c r="Q943" s="4">
        <v>4600</v>
      </c>
      <c r="R943" s="4">
        <v>4230</v>
      </c>
      <c r="S943" s="4">
        <v>82</v>
      </c>
      <c r="T943" s="19">
        <f>(ProductionData[[#This Row],[Rejected_Qty]])/ProductionData[[#This Row],[Produced_Qty]]</f>
        <v>1.9385342789598109E-2</v>
      </c>
      <c r="U943" s="19">
        <f>ProductionData[[#This Row],[Produced_Qty]]/ProductionData[[#This Row],[Planned_Qty]]</f>
        <v>0.91956521739130437</v>
      </c>
      <c r="V943" s="2" t="s">
        <v>89</v>
      </c>
      <c r="W943" s="11">
        <v>65</v>
      </c>
      <c r="X943" s="13">
        <f>W943/60</f>
        <v>1.0833333333333333</v>
      </c>
      <c r="Y943" s="2" t="s">
        <v>110</v>
      </c>
      <c r="Z943" s="2">
        <v>79</v>
      </c>
      <c r="AA943" s="2">
        <f>ProductionData[[#This Row],[Rejected_Qty]]*ProductionData[[#This Row],[Unit_Cost_INR]]</f>
        <v>6478</v>
      </c>
      <c r="AB943" s="4">
        <v>17166</v>
      </c>
      <c r="AC943" s="4">
        <v>4430</v>
      </c>
      <c r="AD943" s="4">
        <v>4430</v>
      </c>
      <c r="AE943" s="4">
        <v>16884</v>
      </c>
      <c r="AF943" s="4">
        <v>6750</v>
      </c>
    </row>
    <row r="944" spans="1:32">
      <c r="A944" s="2" t="s">
        <v>2017</v>
      </c>
      <c r="B944" s="3">
        <v>46180</v>
      </c>
      <c r="C944" s="36" t="s">
        <v>1459</v>
      </c>
      <c r="D944" s="2">
        <f>MONTH(ProductionData[[#This Row],[Month]])</f>
        <v>6</v>
      </c>
      <c r="E944" s="2" t="s">
        <v>186</v>
      </c>
      <c r="F944" s="2" t="s">
        <v>80</v>
      </c>
      <c r="G944" s="2" t="s">
        <v>67</v>
      </c>
      <c r="H944" s="2" t="s">
        <v>68</v>
      </c>
      <c r="I944" s="2" t="s">
        <v>69</v>
      </c>
      <c r="J944" s="2" t="s">
        <v>683</v>
      </c>
      <c r="K944" s="2" t="s">
        <v>684</v>
      </c>
      <c r="L944" s="2" t="s">
        <v>2018</v>
      </c>
      <c r="M944" s="2" t="s">
        <v>102</v>
      </c>
      <c r="N944" s="2" t="s">
        <v>96</v>
      </c>
      <c r="O944" s="2">
        <v>16</v>
      </c>
      <c r="P944" s="2">
        <v>13</v>
      </c>
      <c r="Q944" s="4">
        <v>3370</v>
      </c>
      <c r="R944" s="4">
        <v>2970</v>
      </c>
      <c r="S944" s="4">
        <v>86</v>
      </c>
      <c r="T944" s="19">
        <f>(ProductionData[[#This Row],[Rejected_Qty]])/ProductionData[[#This Row],[Produced_Qty]]</f>
        <v>2.8956228956228958E-2</v>
      </c>
      <c r="U944" s="19">
        <f>ProductionData[[#This Row],[Produced_Qty]]/ProductionData[[#This Row],[Planned_Qty]]</f>
        <v>0.88130563798219586</v>
      </c>
      <c r="V944" s="2" t="s">
        <v>75</v>
      </c>
      <c r="W944" s="11">
        <v>69</v>
      </c>
      <c r="X944" s="13">
        <f>W944/60</f>
        <v>1.1499999999999999</v>
      </c>
      <c r="Y944" s="2" t="s">
        <v>114</v>
      </c>
      <c r="Z944" s="2">
        <v>79</v>
      </c>
      <c r="AA944" s="2">
        <f>ProductionData[[#This Row],[Rejected_Qty]]*ProductionData[[#This Row],[Unit_Cost_INR]]</f>
        <v>6794</v>
      </c>
      <c r="AB944" s="4">
        <v>16884</v>
      </c>
      <c r="AC944" s="4">
        <v>3030</v>
      </c>
      <c r="AD944" s="4">
        <v>3030</v>
      </c>
      <c r="AE944" s="4">
        <v>16738</v>
      </c>
      <c r="AF944" s="4">
        <v>6750</v>
      </c>
    </row>
    <row r="945" spans="1:32">
      <c r="A945" s="2" t="s">
        <v>2019</v>
      </c>
      <c r="B945" s="3">
        <v>46177</v>
      </c>
      <c r="C945" s="36" t="s">
        <v>1459</v>
      </c>
      <c r="D945" s="2">
        <f>MONTH(ProductionData[[#This Row],[Month]])</f>
        <v>6</v>
      </c>
      <c r="E945" s="2" t="s">
        <v>107</v>
      </c>
      <c r="F945" s="2" t="s">
        <v>80</v>
      </c>
      <c r="G945" s="2" t="s">
        <v>67</v>
      </c>
      <c r="H945" s="2" t="s">
        <v>68</v>
      </c>
      <c r="I945" s="2" t="s">
        <v>69</v>
      </c>
      <c r="J945" s="2" t="s">
        <v>683</v>
      </c>
      <c r="K945" s="2" t="s">
        <v>684</v>
      </c>
      <c r="L945" s="2" t="s">
        <v>2020</v>
      </c>
      <c r="M945" s="2" t="s">
        <v>102</v>
      </c>
      <c r="N945" s="2" t="s">
        <v>96</v>
      </c>
      <c r="O945" s="2">
        <v>16</v>
      </c>
      <c r="P945" s="2">
        <v>16</v>
      </c>
      <c r="Q945" s="4">
        <v>4700</v>
      </c>
      <c r="R945" s="4">
        <v>4450</v>
      </c>
      <c r="S945" s="4">
        <v>116</v>
      </c>
      <c r="T945" s="19">
        <f>(ProductionData[[#This Row],[Rejected_Qty]])/ProductionData[[#This Row],[Produced_Qty]]</f>
        <v>2.6067415730337079E-2</v>
      </c>
      <c r="U945" s="19">
        <f>ProductionData[[#This Row],[Produced_Qty]]/ProductionData[[#This Row],[Planned_Qty]]</f>
        <v>0.94680851063829785</v>
      </c>
      <c r="V945" s="2" t="s">
        <v>113</v>
      </c>
      <c r="W945" s="11">
        <v>0</v>
      </c>
      <c r="X945" s="13">
        <f>W945/60</f>
        <v>0</v>
      </c>
      <c r="Y945" s="2" t="s">
        <v>90</v>
      </c>
      <c r="Z945" s="2">
        <v>79</v>
      </c>
      <c r="AA945" s="2">
        <f>ProductionData[[#This Row],[Rejected_Qty]]*ProductionData[[#This Row],[Unit_Cost_INR]]</f>
        <v>9164</v>
      </c>
      <c r="AB945" s="4">
        <v>16606</v>
      </c>
      <c r="AC945" s="4">
        <v>4220</v>
      </c>
      <c r="AD945" s="4">
        <v>4220</v>
      </c>
      <c r="AE945" s="4">
        <v>16720</v>
      </c>
      <c r="AF945" s="4">
        <v>6750</v>
      </c>
    </row>
    <row r="946" spans="1:32">
      <c r="A946" s="2" t="s">
        <v>2021</v>
      </c>
      <c r="B946" s="3">
        <v>46176</v>
      </c>
      <c r="C946" s="36" t="s">
        <v>1459</v>
      </c>
      <c r="D946" s="2">
        <f>MONTH(ProductionData[[#This Row],[Month]])</f>
        <v>6</v>
      </c>
      <c r="E946" s="2" t="s">
        <v>79</v>
      </c>
      <c r="F946" s="2" t="s">
        <v>93</v>
      </c>
      <c r="G946" s="2" t="s">
        <v>67</v>
      </c>
      <c r="H946" s="2" t="s">
        <v>68</v>
      </c>
      <c r="I946" s="2" t="s">
        <v>69</v>
      </c>
      <c r="J946" s="2" t="s">
        <v>683</v>
      </c>
      <c r="K946" s="2" t="s">
        <v>684</v>
      </c>
      <c r="L946" s="2" t="s">
        <v>2022</v>
      </c>
      <c r="M946" s="2" t="s">
        <v>95</v>
      </c>
      <c r="N946" s="2" t="s">
        <v>96</v>
      </c>
      <c r="O946" s="2">
        <v>16</v>
      </c>
      <c r="P946" s="2">
        <v>13</v>
      </c>
      <c r="Q946" s="4">
        <v>4070</v>
      </c>
      <c r="R946" s="4">
        <v>3700</v>
      </c>
      <c r="S946" s="4">
        <v>131</v>
      </c>
      <c r="T946" s="19">
        <f>(ProductionData[[#This Row],[Rejected_Qty]])/ProductionData[[#This Row],[Produced_Qty]]</f>
        <v>3.5405405405405405E-2</v>
      </c>
      <c r="U946" s="19">
        <f>ProductionData[[#This Row],[Produced_Qty]]/ProductionData[[#This Row],[Planned_Qty]]</f>
        <v>0.90909090909090906</v>
      </c>
      <c r="V946" s="2" t="s">
        <v>113</v>
      </c>
      <c r="W946" s="11">
        <v>0</v>
      </c>
      <c r="X946" s="13">
        <f>W946/60</f>
        <v>0</v>
      </c>
      <c r="Y946" s="2" t="s">
        <v>90</v>
      </c>
      <c r="Z946" s="2">
        <v>79</v>
      </c>
      <c r="AA946" s="2">
        <f>ProductionData[[#This Row],[Rejected_Qty]]*ProductionData[[#This Row],[Unit_Cost_INR]]</f>
        <v>10349</v>
      </c>
      <c r="AB946" s="4">
        <v>16557</v>
      </c>
      <c r="AC946" s="4">
        <v>3520</v>
      </c>
      <c r="AD946" s="4">
        <v>3520</v>
      </c>
      <c r="AE946" s="4">
        <v>16606</v>
      </c>
      <c r="AF946" s="4">
        <v>6750</v>
      </c>
    </row>
    <row r="947" spans="1:32">
      <c r="A947" s="2" t="s">
        <v>2023</v>
      </c>
      <c r="B947" s="3">
        <v>46176</v>
      </c>
      <c r="C947" s="36" t="s">
        <v>1459</v>
      </c>
      <c r="D947" s="2">
        <f>MONTH(ProductionData[[#This Row],[Month]])</f>
        <v>6</v>
      </c>
      <c r="E947" s="2" t="s">
        <v>79</v>
      </c>
      <c r="F947" s="2" t="s">
        <v>80</v>
      </c>
      <c r="G947" s="2" t="s">
        <v>67</v>
      </c>
      <c r="H947" s="2" t="s">
        <v>68</v>
      </c>
      <c r="I947" s="2" t="s">
        <v>69</v>
      </c>
      <c r="J947" s="2" t="s">
        <v>683</v>
      </c>
      <c r="K947" s="2" t="s">
        <v>684</v>
      </c>
      <c r="L947" s="2" t="s">
        <v>2024</v>
      </c>
      <c r="M947" s="2" t="s">
        <v>102</v>
      </c>
      <c r="N947" s="2" t="s">
        <v>96</v>
      </c>
      <c r="O947" s="2">
        <v>16</v>
      </c>
      <c r="P947" s="2">
        <v>16</v>
      </c>
      <c r="Q947" s="4">
        <v>4240</v>
      </c>
      <c r="R947" s="4">
        <v>4190</v>
      </c>
      <c r="S947" s="4">
        <v>51</v>
      </c>
      <c r="T947" s="19">
        <f>(ProductionData[[#This Row],[Rejected_Qty]])/ProductionData[[#This Row],[Produced_Qty]]</f>
        <v>1.2171837708830549E-2</v>
      </c>
      <c r="U947" s="19">
        <f>ProductionData[[#This Row],[Produced_Qty]]/ProductionData[[#This Row],[Planned_Qty]]</f>
        <v>0.9882075471698113</v>
      </c>
      <c r="V947" s="2" t="s">
        <v>109</v>
      </c>
      <c r="W947" s="11">
        <v>0</v>
      </c>
      <c r="X947" s="13">
        <f>W947/60</f>
        <v>0</v>
      </c>
      <c r="Y947" s="2" t="s">
        <v>90</v>
      </c>
      <c r="Z947" s="2">
        <v>79</v>
      </c>
      <c r="AA947" s="2">
        <f>ProductionData[[#This Row],[Rejected_Qty]]*ProductionData[[#This Row],[Unit_Cost_INR]]</f>
        <v>4029</v>
      </c>
      <c r="AB947" s="4">
        <v>16218</v>
      </c>
      <c r="AC947" s="4">
        <v>3800</v>
      </c>
      <c r="AD947" s="4">
        <v>3800</v>
      </c>
      <c r="AE947" s="4">
        <v>16557</v>
      </c>
      <c r="AF947" s="4">
        <v>6750</v>
      </c>
    </row>
    <row r="948" spans="1:32">
      <c r="A948" s="2" t="s">
        <v>2025</v>
      </c>
      <c r="B948" s="3">
        <v>46203</v>
      </c>
      <c r="C948" s="36" t="s">
        <v>1459</v>
      </c>
      <c r="D948" s="2">
        <f>MONTH(ProductionData[[#This Row],[Month]])</f>
        <v>6</v>
      </c>
      <c r="E948" s="2" t="s">
        <v>92</v>
      </c>
      <c r="F948" s="2" t="s">
        <v>80</v>
      </c>
      <c r="G948" s="2" t="s">
        <v>174</v>
      </c>
      <c r="H948" s="2" t="s">
        <v>175</v>
      </c>
      <c r="I948" s="2" t="s">
        <v>176</v>
      </c>
      <c r="J948" s="2" t="s">
        <v>629</v>
      </c>
      <c r="K948" s="2" t="s">
        <v>630</v>
      </c>
      <c r="L948" s="2" t="s">
        <v>2026</v>
      </c>
      <c r="M948" s="2" t="s">
        <v>87</v>
      </c>
      <c r="N948" s="2" t="s">
        <v>88</v>
      </c>
      <c r="O948" s="2">
        <v>10</v>
      </c>
      <c r="P948" s="2">
        <v>8</v>
      </c>
      <c r="Q948" s="4">
        <v>4680</v>
      </c>
      <c r="R948" s="4">
        <v>4480</v>
      </c>
      <c r="S948" s="4">
        <v>78</v>
      </c>
      <c r="T948" s="19">
        <f>(ProductionData[[#This Row],[Rejected_Qty]])/ProductionData[[#This Row],[Produced_Qty]]</f>
        <v>1.7410714285714286E-2</v>
      </c>
      <c r="U948" s="19">
        <f>ProductionData[[#This Row],[Produced_Qty]]/ProductionData[[#This Row],[Planned_Qty]]</f>
        <v>0.95726495726495731</v>
      </c>
      <c r="V948" s="2" t="s">
        <v>113</v>
      </c>
      <c r="W948" s="11">
        <v>0</v>
      </c>
      <c r="X948" s="13">
        <f>W948/60</f>
        <v>0</v>
      </c>
      <c r="Y948" s="2" t="s">
        <v>90</v>
      </c>
      <c r="Z948" s="2">
        <v>29</v>
      </c>
      <c r="AA948" s="2">
        <f>ProductionData[[#This Row],[Rejected_Qty]]*ProductionData[[#This Row],[Unit_Cost_INR]]</f>
        <v>2262</v>
      </c>
      <c r="AB948" s="4">
        <v>15819</v>
      </c>
      <c r="AC948" s="4">
        <v>4000</v>
      </c>
      <c r="AD948" s="4">
        <v>4000</v>
      </c>
      <c r="AE948" s="4">
        <v>16221</v>
      </c>
      <c r="AF948" s="4">
        <v>7500</v>
      </c>
    </row>
    <row r="949" spans="1:32">
      <c r="A949" s="2" t="s">
        <v>2027</v>
      </c>
      <c r="B949" s="3">
        <v>46175</v>
      </c>
      <c r="C949" s="36" t="s">
        <v>1459</v>
      </c>
      <c r="D949" s="2">
        <f>MONTH(ProductionData[[#This Row],[Month]])</f>
        <v>6</v>
      </c>
      <c r="E949" s="2" t="s">
        <v>92</v>
      </c>
      <c r="F949" s="2" t="s">
        <v>80</v>
      </c>
      <c r="G949" s="2" t="s">
        <v>67</v>
      </c>
      <c r="H949" s="2" t="s">
        <v>68</v>
      </c>
      <c r="I949" s="2" t="s">
        <v>69</v>
      </c>
      <c r="J949" s="2" t="s">
        <v>683</v>
      </c>
      <c r="K949" s="2" t="s">
        <v>684</v>
      </c>
      <c r="L949" s="2" t="s">
        <v>2028</v>
      </c>
      <c r="M949" s="2" t="s">
        <v>87</v>
      </c>
      <c r="N949" s="2" t="s">
        <v>96</v>
      </c>
      <c r="O949" s="2">
        <v>16</v>
      </c>
      <c r="P949" s="2">
        <v>16</v>
      </c>
      <c r="Q949" s="4">
        <v>4250</v>
      </c>
      <c r="R949" s="4">
        <v>3970</v>
      </c>
      <c r="S949" s="4">
        <v>105</v>
      </c>
      <c r="T949" s="19">
        <f>(ProductionData[[#This Row],[Rejected_Qty]])/ProductionData[[#This Row],[Produced_Qty]]</f>
        <v>2.6448362720403022E-2</v>
      </c>
      <c r="U949" s="19">
        <f>ProductionData[[#This Row],[Produced_Qty]]/ProductionData[[#This Row],[Planned_Qty]]</f>
        <v>0.9341176470588235</v>
      </c>
      <c r="V949" s="2" t="s">
        <v>75</v>
      </c>
      <c r="W949" s="11">
        <v>0</v>
      </c>
      <c r="X949" s="13">
        <f>W949/60</f>
        <v>0</v>
      </c>
      <c r="Y949" s="2" t="s">
        <v>90</v>
      </c>
      <c r="Z949" s="2">
        <v>79</v>
      </c>
      <c r="AA949" s="2">
        <f>ProductionData[[#This Row],[Rejected_Qty]]*ProductionData[[#This Row],[Unit_Cost_INR]]</f>
        <v>8295</v>
      </c>
      <c r="AB949" s="4">
        <v>15603</v>
      </c>
      <c r="AC949" s="4">
        <v>3250</v>
      </c>
      <c r="AD949" s="4">
        <v>3250</v>
      </c>
      <c r="AE949" s="4">
        <v>16218</v>
      </c>
      <c r="AF949" s="4">
        <v>6750</v>
      </c>
    </row>
    <row r="950" spans="1:32">
      <c r="A950" s="2" t="s">
        <v>2029</v>
      </c>
      <c r="B950" s="3">
        <v>46198</v>
      </c>
      <c r="C950" s="36" t="s">
        <v>1459</v>
      </c>
      <c r="D950" s="2">
        <f>MONTH(ProductionData[[#This Row],[Month]])</f>
        <v>6</v>
      </c>
      <c r="E950" s="2" t="s">
        <v>107</v>
      </c>
      <c r="F950" s="2" t="s">
        <v>93</v>
      </c>
      <c r="G950" s="2" t="s">
        <v>174</v>
      </c>
      <c r="H950" s="2" t="s">
        <v>175</v>
      </c>
      <c r="I950" s="2" t="s">
        <v>176</v>
      </c>
      <c r="J950" s="2" t="s">
        <v>629</v>
      </c>
      <c r="K950" s="2" t="s">
        <v>630</v>
      </c>
      <c r="L950" s="2" t="s">
        <v>2030</v>
      </c>
      <c r="M950" s="2" t="s">
        <v>133</v>
      </c>
      <c r="N950" s="2" t="s">
        <v>96</v>
      </c>
      <c r="O950" s="2">
        <v>10</v>
      </c>
      <c r="P950" s="2">
        <v>9</v>
      </c>
      <c r="Q950" s="4">
        <v>4580</v>
      </c>
      <c r="R950" s="4">
        <v>4190</v>
      </c>
      <c r="S950" s="4">
        <v>78</v>
      </c>
      <c r="T950" s="19">
        <f>(ProductionData[[#This Row],[Rejected_Qty]])/ProductionData[[#This Row],[Produced_Qty]]</f>
        <v>1.8615751789976133E-2</v>
      </c>
      <c r="U950" s="19">
        <f>ProductionData[[#This Row],[Produced_Qty]]/ProductionData[[#This Row],[Planned_Qty]]</f>
        <v>0.91484716157205237</v>
      </c>
      <c r="V950" s="2" t="s">
        <v>103</v>
      </c>
      <c r="W950" s="11">
        <v>0</v>
      </c>
      <c r="X950" s="13">
        <f>W950/60</f>
        <v>0</v>
      </c>
      <c r="Y950" s="2" t="s">
        <v>90</v>
      </c>
      <c r="Z950" s="2">
        <v>29</v>
      </c>
      <c r="AA950" s="2">
        <f>ProductionData[[#This Row],[Rejected_Qty]]*ProductionData[[#This Row],[Unit_Cost_INR]]</f>
        <v>2262</v>
      </c>
      <c r="AB950" s="4">
        <v>15743</v>
      </c>
      <c r="AC950" s="4">
        <v>3820</v>
      </c>
      <c r="AD950" s="4">
        <v>3820</v>
      </c>
      <c r="AE950" s="4">
        <v>16035</v>
      </c>
      <c r="AF950" s="4">
        <v>7500</v>
      </c>
    </row>
    <row r="951" spans="1:32">
      <c r="A951" s="2" t="s">
        <v>2031</v>
      </c>
      <c r="B951" s="3">
        <v>46202</v>
      </c>
      <c r="C951" s="36" t="s">
        <v>1459</v>
      </c>
      <c r="D951" s="2">
        <f>MONTH(ProductionData[[#This Row],[Month]])</f>
        <v>6</v>
      </c>
      <c r="E951" s="2" t="s">
        <v>116</v>
      </c>
      <c r="F951" s="2" t="s">
        <v>93</v>
      </c>
      <c r="G951" s="2" t="s">
        <v>174</v>
      </c>
      <c r="H951" s="2" t="s">
        <v>175</v>
      </c>
      <c r="I951" s="2" t="s">
        <v>176</v>
      </c>
      <c r="J951" s="2" t="s">
        <v>629</v>
      </c>
      <c r="K951" s="2" t="s">
        <v>630</v>
      </c>
      <c r="L951" s="2" t="s">
        <v>2032</v>
      </c>
      <c r="M951" s="2" t="s">
        <v>95</v>
      </c>
      <c r="N951" s="2" t="s">
        <v>88</v>
      </c>
      <c r="O951" s="2">
        <v>10</v>
      </c>
      <c r="P951" s="2">
        <v>9</v>
      </c>
      <c r="Q951" s="4">
        <v>4940</v>
      </c>
      <c r="R951" s="4">
        <v>4570</v>
      </c>
      <c r="S951" s="4">
        <v>89</v>
      </c>
      <c r="T951" s="19">
        <f>(ProductionData[[#This Row],[Rejected_Qty]])/ProductionData[[#This Row],[Produced_Qty]]</f>
        <v>1.9474835886214441E-2</v>
      </c>
      <c r="U951" s="19">
        <f>ProductionData[[#This Row],[Produced_Qty]]/ProductionData[[#This Row],[Planned_Qty]]</f>
        <v>0.9251012145748988</v>
      </c>
      <c r="V951" s="2" t="s">
        <v>113</v>
      </c>
      <c r="W951" s="11">
        <v>0</v>
      </c>
      <c r="X951" s="13">
        <f>W951/60</f>
        <v>0</v>
      </c>
      <c r="Y951" s="2" t="s">
        <v>90</v>
      </c>
      <c r="Z951" s="2">
        <v>29</v>
      </c>
      <c r="AA951" s="2">
        <f>ProductionData[[#This Row],[Rejected_Qty]]*ProductionData[[#This Row],[Unit_Cost_INR]]</f>
        <v>2581</v>
      </c>
      <c r="AB951" s="4">
        <v>15758</v>
      </c>
      <c r="AC951" s="4">
        <v>4420</v>
      </c>
      <c r="AD951" s="4">
        <v>4420</v>
      </c>
      <c r="AE951" s="4">
        <v>15819</v>
      </c>
      <c r="AF951" s="4">
        <v>7500</v>
      </c>
    </row>
    <row r="952" spans="1:32">
      <c r="A952" s="2" t="s">
        <v>2033</v>
      </c>
      <c r="B952" s="3">
        <v>46201</v>
      </c>
      <c r="C952" s="36" t="s">
        <v>1459</v>
      </c>
      <c r="D952" s="2">
        <f>MONTH(ProductionData[[#This Row],[Month]])</f>
        <v>6</v>
      </c>
      <c r="E952" s="2" t="s">
        <v>186</v>
      </c>
      <c r="F952" s="2" t="s">
        <v>66</v>
      </c>
      <c r="G952" s="2" t="s">
        <v>174</v>
      </c>
      <c r="H952" s="2" t="s">
        <v>175</v>
      </c>
      <c r="I952" s="2" t="s">
        <v>176</v>
      </c>
      <c r="J952" s="2" t="s">
        <v>629</v>
      </c>
      <c r="K952" s="2" t="s">
        <v>630</v>
      </c>
      <c r="L952" s="2" t="s">
        <v>2034</v>
      </c>
      <c r="M952" s="2" t="s">
        <v>73</v>
      </c>
      <c r="N952" s="2" t="s">
        <v>88</v>
      </c>
      <c r="O952" s="2">
        <v>10</v>
      </c>
      <c r="P952" s="2">
        <v>10</v>
      </c>
      <c r="Q952" s="4">
        <v>3430</v>
      </c>
      <c r="R952" s="4">
        <v>3240</v>
      </c>
      <c r="S952" s="4">
        <v>92</v>
      </c>
      <c r="T952" s="19">
        <f>(ProductionData[[#This Row],[Rejected_Qty]])/ProductionData[[#This Row],[Produced_Qty]]</f>
        <v>2.8395061728395062E-2</v>
      </c>
      <c r="U952" s="19">
        <f>ProductionData[[#This Row],[Produced_Qty]]/ProductionData[[#This Row],[Planned_Qty]]</f>
        <v>0.94460641399416911</v>
      </c>
      <c r="V952" s="2" t="s">
        <v>75</v>
      </c>
      <c r="W952" s="11">
        <v>0</v>
      </c>
      <c r="X952" s="13">
        <f>W952/60</f>
        <v>0</v>
      </c>
      <c r="Y952" s="2" t="s">
        <v>90</v>
      </c>
      <c r="Z952" s="2">
        <v>29</v>
      </c>
      <c r="AA952" s="2">
        <f>ProductionData[[#This Row],[Rejected_Qty]]*ProductionData[[#This Row],[Unit_Cost_INR]]</f>
        <v>2668</v>
      </c>
      <c r="AB952" s="4">
        <v>15630</v>
      </c>
      <c r="AC952" s="4">
        <v>3020</v>
      </c>
      <c r="AD952" s="4">
        <v>3020</v>
      </c>
      <c r="AE952" s="4">
        <v>15758</v>
      </c>
      <c r="AF952" s="4">
        <v>7500</v>
      </c>
    </row>
    <row r="953" spans="1:32">
      <c r="A953" s="2" t="s">
        <v>2035</v>
      </c>
      <c r="B953" s="3">
        <v>46198</v>
      </c>
      <c r="C953" s="36" t="s">
        <v>1459</v>
      </c>
      <c r="D953" s="2">
        <f>MONTH(ProductionData[[#This Row],[Month]])</f>
        <v>6</v>
      </c>
      <c r="E953" s="2" t="s">
        <v>107</v>
      </c>
      <c r="F953" s="2" t="s">
        <v>80</v>
      </c>
      <c r="G953" s="2" t="s">
        <v>174</v>
      </c>
      <c r="H953" s="2" t="s">
        <v>175</v>
      </c>
      <c r="I953" s="2" t="s">
        <v>176</v>
      </c>
      <c r="J953" s="2" t="s">
        <v>629</v>
      </c>
      <c r="K953" s="2" t="s">
        <v>630</v>
      </c>
      <c r="L953" s="2" t="s">
        <v>2036</v>
      </c>
      <c r="M953" s="2" t="s">
        <v>102</v>
      </c>
      <c r="N953" s="2" t="s">
        <v>88</v>
      </c>
      <c r="O953" s="2">
        <v>10</v>
      </c>
      <c r="P953" s="2">
        <v>9</v>
      </c>
      <c r="Q953" s="4">
        <v>5360</v>
      </c>
      <c r="R953" s="4">
        <v>5060</v>
      </c>
      <c r="S953" s="4">
        <v>132</v>
      </c>
      <c r="T953" s="19">
        <f>(ProductionData[[#This Row],[Rejected_Qty]])/ProductionData[[#This Row],[Produced_Qty]]</f>
        <v>2.6086956521739129E-2</v>
      </c>
      <c r="U953" s="19">
        <f>ProductionData[[#This Row],[Produced_Qty]]/ProductionData[[#This Row],[Planned_Qty]]</f>
        <v>0.94402985074626866</v>
      </c>
      <c r="V953" s="2" t="s">
        <v>113</v>
      </c>
      <c r="W953" s="11">
        <v>30</v>
      </c>
      <c r="X953" s="13">
        <f>W953/60</f>
        <v>0.5</v>
      </c>
      <c r="Y953" s="2" t="s">
        <v>182</v>
      </c>
      <c r="Z953" s="2">
        <v>29</v>
      </c>
      <c r="AA953" s="2">
        <f>ProductionData[[#This Row],[Rejected_Qty]]*ProductionData[[#This Row],[Unit_Cost_INR]]</f>
        <v>3828</v>
      </c>
      <c r="AB953" s="4">
        <v>15625</v>
      </c>
      <c r="AC953" s="4">
        <v>4810</v>
      </c>
      <c r="AD953" s="4">
        <v>4810</v>
      </c>
      <c r="AE953" s="4">
        <v>15743</v>
      </c>
      <c r="AF953" s="4">
        <v>7500</v>
      </c>
    </row>
    <row r="954" spans="1:32">
      <c r="A954" s="2" t="s">
        <v>2037</v>
      </c>
      <c r="B954" s="3">
        <v>46200</v>
      </c>
      <c r="C954" s="36" t="s">
        <v>1459</v>
      </c>
      <c r="D954" s="2">
        <f>MONTH(ProductionData[[#This Row],[Month]])</f>
        <v>6</v>
      </c>
      <c r="E954" s="2" t="s">
        <v>65</v>
      </c>
      <c r="F954" s="2" t="s">
        <v>66</v>
      </c>
      <c r="G954" s="2" t="s">
        <v>174</v>
      </c>
      <c r="H954" s="2" t="s">
        <v>175</v>
      </c>
      <c r="I954" s="2" t="s">
        <v>176</v>
      </c>
      <c r="J954" s="2" t="s">
        <v>629</v>
      </c>
      <c r="K954" s="2" t="s">
        <v>630</v>
      </c>
      <c r="L954" s="2" t="s">
        <v>2038</v>
      </c>
      <c r="M954" s="2" t="s">
        <v>73</v>
      </c>
      <c r="N954" s="2" t="s">
        <v>88</v>
      </c>
      <c r="O954" s="2">
        <v>10</v>
      </c>
      <c r="P954" s="2">
        <v>10</v>
      </c>
      <c r="Q954" s="4">
        <v>4790</v>
      </c>
      <c r="R954" s="4">
        <v>4430</v>
      </c>
      <c r="S954" s="4">
        <v>135</v>
      </c>
      <c r="T954" s="19">
        <f>(ProductionData[[#This Row],[Rejected_Qty]])/ProductionData[[#This Row],[Produced_Qty]]</f>
        <v>3.0474040632054177E-2</v>
      </c>
      <c r="U954" s="19">
        <f>ProductionData[[#This Row],[Produced_Qty]]/ProductionData[[#This Row],[Planned_Qty]]</f>
        <v>0.92484342379958251</v>
      </c>
      <c r="V954" s="2" t="s">
        <v>75</v>
      </c>
      <c r="W954" s="11">
        <v>0</v>
      </c>
      <c r="X954" s="13">
        <f>W954/60</f>
        <v>0</v>
      </c>
      <c r="Y954" s="2" t="s">
        <v>90</v>
      </c>
      <c r="Z954" s="2">
        <v>29</v>
      </c>
      <c r="AA954" s="2">
        <f>ProductionData[[#This Row],[Rejected_Qty]]*ProductionData[[#This Row],[Unit_Cost_INR]]</f>
        <v>3915</v>
      </c>
      <c r="AB954" s="4">
        <v>16035</v>
      </c>
      <c r="AC954" s="4">
        <v>4700</v>
      </c>
      <c r="AD954" s="4">
        <v>4700</v>
      </c>
      <c r="AE954" s="4">
        <v>15630</v>
      </c>
      <c r="AF954" s="4">
        <v>7500</v>
      </c>
    </row>
    <row r="955" spans="1:32">
      <c r="A955" s="2" t="s">
        <v>2039</v>
      </c>
      <c r="B955" s="3">
        <v>46194</v>
      </c>
      <c r="C955" s="36" t="s">
        <v>1459</v>
      </c>
      <c r="D955" s="2">
        <f>MONTH(ProductionData[[#This Row],[Month]])</f>
        <v>6</v>
      </c>
      <c r="E955" s="2" t="s">
        <v>186</v>
      </c>
      <c r="F955" s="2" t="s">
        <v>80</v>
      </c>
      <c r="G955" s="2" t="s">
        <v>174</v>
      </c>
      <c r="H955" s="2" t="s">
        <v>175</v>
      </c>
      <c r="I955" s="2" t="s">
        <v>176</v>
      </c>
      <c r="J955" s="2" t="s">
        <v>629</v>
      </c>
      <c r="K955" s="2" t="s">
        <v>630</v>
      </c>
      <c r="L955" s="2" t="s">
        <v>2040</v>
      </c>
      <c r="M955" s="2" t="s">
        <v>87</v>
      </c>
      <c r="N955" s="2" t="s">
        <v>96</v>
      </c>
      <c r="O955" s="2">
        <v>10</v>
      </c>
      <c r="P955" s="2">
        <v>9</v>
      </c>
      <c r="Q955" s="4">
        <v>3320</v>
      </c>
      <c r="R955" s="4">
        <v>3140</v>
      </c>
      <c r="S955" s="4">
        <v>45</v>
      </c>
      <c r="T955" s="19">
        <f>(ProductionData[[#This Row],[Rejected_Qty]])/ProductionData[[#This Row],[Produced_Qty]]</f>
        <v>1.4331210191082803E-2</v>
      </c>
      <c r="U955" s="19">
        <f>ProductionData[[#This Row],[Produced_Qty]]/ProductionData[[#This Row],[Planned_Qty]]</f>
        <v>0.94578313253012047</v>
      </c>
      <c r="V955" s="2" t="s">
        <v>103</v>
      </c>
      <c r="W955" s="11">
        <v>0</v>
      </c>
      <c r="X955" s="13">
        <f>W955/60</f>
        <v>0</v>
      </c>
      <c r="Y955" s="2" t="s">
        <v>90</v>
      </c>
      <c r="Z955" s="2">
        <v>29</v>
      </c>
      <c r="AA955" s="2">
        <f>ProductionData[[#This Row],[Rejected_Qty]]*ProductionData[[#This Row],[Unit_Cost_INR]]</f>
        <v>1305</v>
      </c>
      <c r="AB955" s="4">
        <v>15320</v>
      </c>
      <c r="AC955" s="4">
        <v>2790</v>
      </c>
      <c r="AD955" s="4">
        <v>2790</v>
      </c>
      <c r="AE955" s="4">
        <v>15625</v>
      </c>
      <c r="AF955" s="4">
        <v>7500</v>
      </c>
    </row>
    <row r="956" spans="1:32">
      <c r="A956" s="2" t="s">
        <v>2041</v>
      </c>
      <c r="B956" s="3">
        <v>46174</v>
      </c>
      <c r="C956" s="36" t="s">
        <v>1459</v>
      </c>
      <c r="D956" s="2">
        <f>MONTH(ProductionData[[#This Row],[Month]])</f>
        <v>6</v>
      </c>
      <c r="E956" s="2" t="s">
        <v>116</v>
      </c>
      <c r="F956" s="2" t="s">
        <v>93</v>
      </c>
      <c r="G956" s="2" t="s">
        <v>67</v>
      </c>
      <c r="H956" s="2" t="s">
        <v>68</v>
      </c>
      <c r="I956" s="2" t="s">
        <v>69</v>
      </c>
      <c r="J956" s="2" t="s">
        <v>683</v>
      </c>
      <c r="K956" s="2" t="s">
        <v>684</v>
      </c>
      <c r="L956" s="2" t="s">
        <v>2042</v>
      </c>
      <c r="M956" s="2" t="s">
        <v>133</v>
      </c>
      <c r="N956" s="2" t="s">
        <v>88</v>
      </c>
      <c r="O956" s="2">
        <v>16</v>
      </c>
      <c r="P956" s="2">
        <v>11</v>
      </c>
      <c r="Q956" s="4">
        <v>4230</v>
      </c>
      <c r="R956" s="4">
        <v>3470</v>
      </c>
      <c r="S956" s="4">
        <v>67</v>
      </c>
      <c r="T956" s="19">
        <f>(ProductionData[[#This Row],[Rejected_Qty]])/ProductionData[[#This Row],[Produced_Qty]]</f>
        <v>1.9308357348703169E-2</v>
      </c>
      <c r="U956" s="19">
        <f>ProductionData[[#This Row],[Produced_Qty]]/ProductionData[[#This Row],[Planned_Qty]]</f>
        <v>0.82033096926713944</v>
      </c>
      <c r="V956" s="2" t="s">
        <v>113</v>
      </c>
      <c r="W956" s="11">
        <v>0</v>
      </c>
      <c r="X956" s="13">
        <f>W956/60</f>
        <v>0</v>
      </c>
      <c r="Y956" s="2" t="s">
        <v>90</v>
      </c>
      <c r="Z956" s="2">
        <v>79</v>
      </c>
      <c r="AA956" s="2">
        <f>ProductionData[[#This Row],[Rejected_Qty]]*ProductionData[[#This Row],[Unit_Cost_INR]]</f>
        <v>5293</v>
      </c>
      <c r="AB956" s="4">
        <v>15690</v>
      </c>
      <c r="AC956" s="4">
        <v>3490</v>
      </c>
      <c r="AD956" s="4">
        <v>3490</v>
      </c>
      <c r="AE956" s="4">
        <v>15603</v>
      </c>
      <c r="AF956" s="4">
        <v>6750</v>
      </c>
    </row>
    <row r="957" spans="1:32">
      <c r="A957" s="2" t="s">
        <v>2043</v>
      </c>
      <c r="B957" s="3">
        <v>46193</v>
      </c>
      <c r="C957" s="36" t="s">
        <v>1459</v>
      </c>
      <c r="D957" s="2">
        <f>MONTH(ProductionData[[#This Row],[Month]])</f>
        <v>6</v>
      </c>
      <c r="E957" s="2" t="s">
        <v>65</v>
      </c>
      <c r="F957" s="2" t="s">
        <v>66</v>
      </c>
      <c r="G957" s="2" t="s">
        <v>174</v>
      </c>
      <c r="H957" s="2" t="s">
        <v>175</v>
      </c>
      <c r="I957" s="2" t="s">
        <v>176</v>
      </c>
      <c r="J957" s="2" t="s">
        <v>629</v>
      </c>
      <c r="K957" s="2" t="s">
        <v>630</v>
      </c>
      <c r="L957" s="2" t="s">
        <v>2044</v>
      </c>
      <c r="M957" s="2" t="s">
        <v>73</v>
      </c>
      <c r="N957" s="2" t="s">
        <v>88</v>
      </c>
      <c r="O957" s="2">
        <v>10</v>
      </c>
      <c r="P957" s="2">
        <v>10</v>
      </c>
      <c r="Q957" s="4">
        <v>5290</v>
      </c>
      <c r="R957" s="4">
        <v>5460</v>
      </c>
      <c r="S957" s="4">
        <v>137</v>
      </c>
      <c r="T957" s="19">
        <f>(ProductionData[[#This Row],[Rejected_Qty]])/ProductionData[[#This Row],[Produced_Qty]]</f>
        <v>2.5091575091575093E-2</v>
      </c>
      <c r="U957" s="19">
        <f>ProductionData[[#This Row],[Produced_Qty]]/ProductionData[[#This Row],[Planned_Qty]]</f>
        <v>1.0321361058601135</v>
      </c>
      <c r="V957" s="2" t="s">
        <v>109</v>
      </c>
      <c r="W957" s="11">
        <v>31</v>
      </c>
      <c r="X957" s="13">
        <f>W957/60</f>
        <v>0.51666666666666672</v>
      </c>
      <c r="Y957" s="2" t="s">
        <v>76</v>
      </c>
      <c r="Z957" s="2">
        <v>29</v>
      </c>
      <c r="AA957" s="2">
        <f>ProductionData[[#This Row],[Rejected_Qty]]*ProductionData[[#This Row],[Unit_Cost_INR]]</f>
        <v>3973</v>
      </c>
      <c r="AB957" s="4">
        <v>14557</v>
      </c>
      <c r="AC957" s="4">
        <v>4560</v>
      </c>
      <c r="AD957" s="4">
        <v>4560</v>
      </c>
      <c r="AE957" s="4">
        <v>15320</v>
      </c>
      <c r="AF957" s="4">
        <v>7500</v>
      </c>
    </row>
    <row r="958" spans="1:32">
      <c r="A958" s="2" t="s">
        <v>2045</v>
      </c>
      <c r="B958" s="3">
        <v>46192</v>
      </c>
      <c r="C958" s="36" t="s">
        <v>1459</v>
      </c>
      <c r="D958" s="2">
        <f>MONTH(ProductionData[[#This Row],[Month]])</f>
        <v>6</v>
      </c>
      <c r="E958" s="2" t="s">
        <v>125</v>
      </c>
      <c r="F958" s="2" t="s">
        <v>66</v>
      </c>
      <c r="G958" s="2" t="s">
        <v>174</v>
      </c>
      <c r="H958" s="2" t="s">
        <v>175</v>
      </c>
      <c r="I958" s="2" t="s">
        <v>176</v>
      </c>
      <c r="J958" s="2" t="s">
        <v>629</v>
      </c>
      <c r="K958" s="2" t="s">
        <v>630</v>
      </c>
      <c r="L958" s="2" t="s">
        <v>2046</v>
      </c>
      <c r="M958" s="2" t="s">
        <v>99</v>
      </c>
      <c r="N958" s="2" t="s">
        <v>88</v>
      </c>
      <c r="O958" s="2">
        <v>10</v>
      </c>
      <c r="P958" s="2">
        <v>9</v>
      </c>
      <c r="Q958" s="4">
        <v>5380</v>
      </c>
      <c r="R958" s="4">
        <v>5150</v>
      </c>
      <c r="S958" s="4">
        <v>83</v>
      </c>
      <c r="T958" s="19">
        <f>(ProductionData[[#This Row],[Rejected_Qty]])/ProductionData[[#This Row],[Produced_Qty]]</f>
        <v>1.6116504854368933E-2</v>
      </c>
      <c r="U958" s="19">
        <f>ProductionData[[#This Row],[Produced_Qty]]/ProductionData[[#This Row],[Planned_Qty]]</f>
        <v>0.95724907063197029</v>
      </c>
      <c r="V958" s="2" t="s">
        <v>103</v>
      </c>
      <c r="W958" s="11">
        <v>60</v>
      </c>
      <c r="X958" s="13">
        <f>W958/60</f>
        <v>1</v>
      </c>
      <c r="Y958" s="2" t="s">
        <v>182</v>
      </c>
      <c r="Z958" s="2">
        <v>29</v>
      </c>
      <c r="AA958" s="2">
        <f>ProductionData[[#This Row],[Rejected_Qty]]*ProductionData[[#This Row],[Unit_Cost_INR]]</f>
        <v>2407</v>
      </c>
      <c r="AB958" s="4">
        <v>14530</v>
      </c>
      <c r="AC958" s="4">
        <v>5040</v>
      </c>
      <c r="AD958" s="4">
        <v>5040</v>
      </c>
      <c r="AE958" s="4">
        <v>14557</v>
      </c>
      <c r="AF958" s="4">
        <v>7500</v>
      </c>
    </row>
    <row r="959" spans="1:32">
      <c r="A959" s="2" t="s">
        <v>2047</v>
      </c>
      <c r="B959" s="3">
        <v>46191</v>
      </c>
      <c r="C959" s="36" t="s">
        <v>1459</v>
      </c>
      <c r="D959" s="2">
        <f>MONTH(ProductionData[[#This Row],[Month]])</f>
        <v>6</v>
      </c>
      <c r="E959" s="2" t="s">
        <v>107</v>
      </c>
      <c r="F959" s="2" t="s">
        <v>80</v>
      </c>
      <c r="G959" s="2" t="s">
        <v>174</v>
      </c>
      <c r="H959" s="2" t="s">
        <v>175</v>
      </c>
      <c r="I959" s="2" t="s">
        <v>176</v>
      </c>
      <c r="J959" s="2" t="s">
        <v>629</v>
      </c>
      <c r="K959" s="2" t="s">
        <v>630</v>
      </c>
      <c r="L959" s="2" t="s">
        <v>2048</v>
      </c>
      <c r="M959" s="2" t="s">
        <v>87</v>
      </c>
      <c r="N959" s="2" t="s">
        <v>96</v>
      </c>
      <c r="O959" s="2">
        <v>10</v>
      </c>
      <c r="P959" s="2">
        <v>9</v>
      </c>
      <c r="Q959" s="4">
        <v>5360</v>
      </c>
      <c r="R959" s="4">
        <v>4970</v>
      </c>
      <c r="S959" s="4">
        <v>109</v>
      </c>
      <c r="T959" s="19">
        <f>(ProductionData[[#This Row],[Rejected_Qty]])/ProductionData[[#This Row],[Produced_Qty]]</f>
        <v>2.193158953722334E-2</v>
      </c>
      <c r="U959" s="19">
        <f>ProductionData[[#This Row],[Produced_Qty]]/ProductionData[[#This Row],[Planned_Qty]]</f>
        <v>0.92723880597014929</v>
      </c>
      <c r="V959" s="2" t="s">
        <v>109</v>
      </c>
      <c r="W959" s="11">
        <v>0</v>
      </c>
      <c r="X959" s="13">
        <f>W959/60</f>
        <v>0</v>
      </c>
      <c r="Y959" s="2" t="s">
        <v>90</v>
      </c>
      <c r="Z959" s="2">
        <v>29</v>
      </c>
      <c r="AA959" s="2">
        <f>ProductionData[[#This Row],[Rejected_Qty]]*ProductionData[[#This Row],[Unit_Cost_INR]]</f>
        <v>3161</v>
      </c>
      <c r="AB959" s="4">
        <v>14239</v>
      </c>
      <c r="AC959" s="4">
        <v>4570</v>
      </c>
      <c r="AD959" s="4">
        <v>4570</v>
      </c>
      <c r="AE959" s="4">
        <v>14530</v>
      </c>
      <c r="AF959" s="4">
        <v>7500</v>
      </c>
    </row>
    <row r="960" spans="1:32">
      <c r="A960" s="2" t="s">
        <v>2049</v>
      </c>
      <c r="B960" s="3">
        <v>46181</v>
      </c>
      <c r="C960" s="36" t="s">
        <v>1459</v>
      </c>
      <c r="D960" s="2">
        <f>MONTH(ProductionData[[#This Row],[Month]])</f>
        <v>6</v>
      </c>
      <c r="E960" s="2" t="s">
        <v>116</v>
      </c>
      <c r="F960" s="2" t="s">
        <v>93</v>
      </c>
      <c r="G960" s="2" t="s">
        <v>174</v>
      </c>
      <c r="H960" s="2" t="s">
        <v>175</v>
      </c>
      <c r="I960" s="2" t="s">
        <v>176</v>
      </c>
      <c r="J960" s="2" t="s">
        <v>629</v>
      </c>
      <c r="K960" s="2" t="s">
        <v>630</v>
      </c>
      <c r="L960" s="2" t="s">
        <v>2050</v>
      </c>
      <c r="M960" s="2" t="s">
        <v>133</v>
      </c>
      <c r="N960" s="2" t="s">
        <v>96</v>
      </c>
      <c r="O960" s="2">
        <v>10</v>
      </c>
      <c r="P960" s="2">
        <v>9</v>
      </c>
      <c r="Q960" s="4">
        <v>4670</v>
      </c>
      <c r="R960" s="4">
        <v>4310</v>
      </c>
      <c r="S960" s="4">
        <v>91</v>
      </c>
      <c r="T960" s="19">
        <f>(ProductionData[[#This Row],[Rejected_Qty]])/ProductionData[[#This Row],[Produced_Qty]]</f>
        <v>2.1113689095127609E-2</v>
      </c>
      <c r="U960" s="19">
        <f>ProductionData[[#This Row],[Produced_Qty]]/ProductionData[[#This Row],[Planned_Qty]]</f>
        <v>0.92291220556745179</v>
      </c>
      <c r="V960" s="2" t="s">
        <v>109</v>
      </c>
      <c r="W960" s="11">
        <v>32</v>
      </c>
      <c r="X960" s="13">
        <f>W960/60</f>
        <v>0.53333333333333333</v>
      </c>
      <c r="Y960" s="2" t="s">
        <v>182</v>
      </c>
      <c r="Z960" s="2">
        <v>29</v>
      </c>
      <c r="AA960" s="2">
        <f>ProductionData[[#This Row],[Rejected_Qty]]*ProductionData[[#This Row],[Unit_Cost_INR]]</f>
        <v>2639</v>
      </c>
      <c r="AB960" s="4">
        <v>14161</v>
      </c>
      <c r="AC960" s="4">
        <v>3890</v>
      </c>
      <c r="AD960" s="4">
        <v>3890</v>
      </c>
      <c r="AE960" s="4">
        <v>14490</v>
      </c>
      <c r="AF960" s="4">
        <v>7500</v>
      </c>
    </row>
    <row r="961" spans="1:32">
      <c r="A961" s="2" t="s">
        <v>2051</v>
      </c>
      <c r="B961" s="3">
        <v>46177</v>
      </c>
      <c r="C961" s="36" t="s">
        <v>1459</v>
      </c>
      <c r="D961" s="2">
        <f>MONTH(ProductionData[[#This Row],[Month]])</f>
        <v>6</v>
      </c>
      <c r="E961" s="2" t="s">
        <v>107</v>
      </c>
      <c r="F961" s="2" t="s">
        <v>66</v>
      </c>
      <c r="G961" s="2" t="s">
        <v>174</v>
      </c>
      <c r="H961" s="2" t="s">
        <v>175</v>
      </c>
      <c r="I961" s="2" t="s">
        <v>176</v>
      </c>
      <c r="J961" s="2" t="s">
        <v>629</v>
      </c>
      <c r="K961" s="2" t="s">
        <v>630</v>
      </c>
      <c r="L961" s="2" t="s">
        <v>2052</v>
      </c>
      <c r="M961" s="2" t="s">
        <v>73</v>
      </c>
      <c r="N961" s="2" t="s">
        <v>96</v>
      </c>
      <c r="O961" s="2">
        <v>10</v>
      </c>
      <c r="P961" s="2">
        <v>9</v>
      </c>
      <c r="Q961" s="4">
        <v>5350</v>
      </c>
      <c r="R961" s="4">
        <v>5130</v>
      </c>
      <c r="S961" s="4">
        <v>73</v>
      </c>
      <c r="T961" s="19">
        <f>(ProductionData[[#This Row],[Rejected_Qty]])/ProductionData[[#This Row],[Produced_Qty]]</f>
        <v>1.4230019493177388E-2</v>
      </c>
      <c r="U961" s="19">
        <f>ProductionData[[#This Row],[Produced_Qty]]/ProductionData[[#This Row],[Planned_Qty]]</f>
        <v>0.95887850467289715</v>
      </c>
      <c r="V961" s="2" t="s">
        <v>103</v>
      </c>
      <c r="W961" s="11">
        <v>0</v>
      </c>
      <c r="X961" s="13">
        <f>W961/60</f>
        <v>0</v>
      </c>
      <c r="Y961" s="2" t="s">
        <v>90</v>
      </c>
      <c r="Z961" s="2">
        <v>29</v>
      </c>
      <c r="AA961" s="2">
        <f>ProductionData[[#This Row],[Rejected_Qty]]*ProductionData[[#This Row],[Unit_Cost_INR]]</f>
        <v>2117</v>
      </c>
      <c r="AB961" s="4">
        <v>14399</v>
      </c>
      <c r="AC961" s="4">
        <v>5020</v>
      </c>
      <c r="AD961" s="4">
        <v>5020</v>
      </c>
      <c r="AE961" s="4">
        <v>14436</v>
      </c>
      <c r="AF961" s="4">
        <v>7500</v>
      </c>
    </row>
    <row r="962" spans="1:32">
      <c r="A962" s="2" t="s">
        <v>2053</v>
      </c>
      <c r="B962" s="3">
        <v>46174</v>
      </c>
      <c r="C962" s="36" t="s">
        <v>1459</v>
      </c>
      <c r="D962" s="2">
        <f>MONTH(ProductionData[[#This Row],[Month]])</f>
        <v>6</v>
      </c>
      <c r="E962" s="2" t="s">
        <v>116</v>
      </c>
      <c r="F962" s="2" t="s">
        <v>93</v>
      </c>
      <c r="G962" s="2" t="s">
        <v>174</v>
      </c>
      <c r="H962" s="2" t="s">
        <v>175</v>
      </c>
      <c r="I962" s="2" t="s">
        <v>176</v>
      </c>
      <c r="J962" s="2" t="s">
        <v>629</v>
      </c>
      <c r="K962" s="2" t="s">
        <v>630</v>
      </c>
      <c r="L962" s="2" t="s">
        <v>2054</v>
      </c>
      <c r="M962" s="2" t="s">
        <v>133</v>
      </c>
      <c r="N962" s="2" t="s">
        <v>88</v>
      </c>
      <c r="O962" s="2">
        <v>10</v>
      </c>
      <c r="P962" s="2">
        <v>10</v>
      </c>
      <c r="Q962" s="4">
        <v>5090</v>
      </c>
      <c r="R962" s="4">
        <v>4790</v>
      </c>
      <c r="S962" s="4">
        <v>135</v>
      </c>
      <c r="T962" s="19">
        <f>(ProductionData[[#This Row],[Rejected_Qty]])/ProductionData[[#This Row],[Produced_Qty]]</f>
        <v>2.8183716075156576E-2</v>
      </c>
      <c r="U962" s="19">
        <f>ProductionData[[#This Row],[Produced_Qty]]/ProductionData[[#This Row],[Planned_Qty]]</f>
        <v>0.94106090373280948</v>
      </c>
      <c r="V962" s="2" t="s">
        <v>113</v>
      </c>
      <c r="W962" s="11">
        <v>0</v>
      </c>
      <c r="X962" s="13">
        <f>W962/60</f>
        <v>0</v>
      </c>
      <c r="Y962" s="2" t="s">
        <v>90</v>
      </c>
      <c r="Z962" s="2">
        <v>29</v>
      </c>
      <c r="AA962" s="2">
        <f>ProductionData[[#This Row],[Rejected_Qty]]*ProductionData[[#This Row],[Unit_Cost_INR]]</f>
        <v>3915</v>
      </c>
      <c r="AB962" s="4">
        <v>14464</v>
      </c>
      <c r="AC962" s="4">
        <v>4720</v>
      </c>
      <c r="AD962" s="4">
        <v>4720</v>
      </c>
      <c r="AE962" s="4">
        <v>14399</v>
      </c>
      <c r="AF962" s="4">
        <v>7500</v>
      </c>
    </row>
    <row r="963" spans="1:32">
      <c r="A963" s="2" t="s">
        <v>2055</v>
      </c>
      <c r="B963" s="3">
        <v>46191</v>
      </c>
      <c r="C963" s="36" t="s">
        <v>1459</v>
      </c>
      <c r="D963" s="2">
        <f>MONTH(ProductionData[[#This Row],[Month]])</f>
        <v>6</v>
      </c>
      <c r="E963" s="2" t="s">
        <v>107</v>
      </c>
      <c r="F963" s="2" t="s">
        <v>66</v>
      </c>
      <c r="G963" s="2" t="s">
        <v>174</v>
      </c>
      <c r="H963" s="2" t="s">
        <v>175</v>
      </c>
      <c r="I963" s="2" t="s">
        <v>176</v>
      </c>
      <c r="J963" s="2" t="s">
        <v>629</v>
      </c>
      <c r="K963" s="2" t="s">
        <v>630</v>
      </c>
      <c r="L963" s="2" t="s">
        <v>2056</v>
      </c>
      <c r="M963" s="2" t="s">
        <v>99</v>
      </c>
      <c r="N963" s="2" t="s">
        <v>88</v>
      </c>
      <c r="O963" s="2">
        <v>10</v>
      </c>
      <c r="P963" s="2">
        <v>10</v>
      </c>
      <c r="Q963" s="4">
        <v>4690</v>
      </c>
      <c r="R963" s="4">
        <v>4450</v>
      </c>
      <c r="S963" s="4">
        <v>116</v>
      </c>
      <c r="T963" s="19">
        <f>(ProductionData[[#This Row],[Rejected_Qty]])/ProductionData[[#This Row],[Produced_Qty]]</f>
        <v>2.6067415730337079E-2</v>
      </c>
      <c r="U963" s="19">
        <f>ProductionData[[#This Row],[Produced_Qty]]/ProductionData[[#This Row],[Planned_Qty]]</f>
        <v>0.94882729211087424</v>
      </c>
      <c r="V963" s="2" t="s">
        <v>89</v>
      </c>
      <c r="W963" s="11">
        <v>73</v>
      </c>
      <c r="X963" s="13">
        <f>W963/60</f>
        <v>1.2166666666666666</v>
      </c>
      <c r="Y963" s="2" t="s">
        <v>76</v>
      </c>
      <c r="Z963" s="2">
        <v>29</v>
      </c>
      <c r="AA963" s="2">
        <f>ProductionData[[#This Row],[Rejected_Qty]]*ProductionData[[#This Row],[Unit_Cost_INR]]</f>
        <v>3364</v>
      </c>
      <c r="AB963" s="4">
        <v>13695</v>
      </c>
      <c r="AC963" s="4">
        <v>3790</v>
      </c>
      <c r="AD963" s="4">
        <v>3790</v>
      </c>
      <c r="AE963" s="4">
        <v>14239</v>
      </c>
      <c r="AF963" s="4">
        <v>7500</v>
      </c>
    </row>
    <row r="964" spans="1:32">
      <c r="A964" s="2" t="s">
        <v>2057</v>
      </c>
      <c r="B964" s="3">
        <v>46178</v>
      </c>
      <c r="C964" s="36" t="s">
        <v>1459</v>
      </c>
      <c r="D964" s="2">
        <f>MONTH(ProductionData[[#This Row],[Month]])</f>
        <v>6</v>
      </c>
      <c r="E964" s="2" t="s">
        <v>125</v>
      </c>
      <c r="F964" s="2" t="s">
        <v>93</v>
      </c>
      <c r="G964" s="2" t="s">
        <v>174</v>
      </c>
      <c r="H964" s="2" t="s">
        <v>175</v>
      </c>
      <c r="I964" s="2" t="s">
        <v>176</v>
      </c>
      <c r="J964" s="2" t="s">
        <v>629</v>
      </c>
      <c r="K964" s="2" t="s">
        <v>630</v>
      </c>
      <c r="L964" s="2" t="s">
        <v>2058</v>
      </c>
      <c r="M964" s="2" t="s">
        <v>95</v>
      </c>
      <c r="N964" s="2" t="s">
        <v>88</v>
      </c>
      <c r="O964" s="2">
        <v>10</v>
      </c>
      <c r="P964" s="2">
        <v>9</v>
      </c>
      <c r="Q964" s="4">
        <v>4910</v>
      </c>
      <c r="R964" s="4">
        <v>4480</v>
      </c>
      <c r="S964" s="4">
        <v>46</v>
      </c>
      <c r="T964" s="19">
        <f>(ProductionData[[#This Row],[Rejected_Qty]])/ProductionData[[#This Row],[Produced_Qty]]</f>
        <v>1.0267857142857143E-2</v>
      </c>
      <c r="U964" s="19">
        <f>ProductionData[[#This Row],[Produced_Qty]]/ProductionData[[#This Row],[Planned_Qty]]</f>
        <v>0.91242362525458254</v>
      </c>
      <c r="V964" s="2" t="s">
        <v>89</v>
      </c>
      <c r="W964" s="11">
        <v>48</v>
      </c>
      <c r="X964" s="13">
        <f>W964/60</f>
        <v>0.8</v>
      </c>
      <c r="Y964" s="2" t="s">
        <v>114</v>
      </c>
      <c r="Z964" s="2">
        <v>29</v>
      </c>
      <c r="AA964" s="2">
        <f>ProductionData[[#This Row],[Rejected_Qty]]*ProductionData[[#This Row],[Unit_Cost_INR]]</f>
        <v>1334</v>
      </c>
      <c r="AB964" s="4">
        <v>14436</v>
      </c>
      <c r="AC964" s="4">
        <v>4680</v>
      </c>
      <c r="AD964" s="4">
        <v>4680</v>
      </c>
      <c r="AE964" s="4">
        <v>14190</v>
      </c>
      <c r="AF964" s="4">
        <v>7500</v>
      </c>
    </row>
    <row r="965" spans="1:32">
      <c r="A965" s="2" t="s">
        <v>2059</v>
      </c>
      <c r="B965" s="3">
        <v>46181</v>
      </c>
      <c r="C965" s="36" t="s">
        <v>1459</v>
      </c>
      <c r="D965" s="2">
        <f>MONTH(ProductionData[[#This Row],[Month]])</f>
        <v>6</v>
      </c>
      <c r="E965" s="2" t="s">
        <v>116</v>
      </c>
      <c r="F965" s="2" t="s">
        <v>80</v>
      </c>
      <c r="G965" s="2" t="s">
        <v>174</v>
      </c>
      <c r="H965" s="2" t="s">
        <v>175</v>
      </c>
      <c r="I965" s="2" t="s">
        <v>176</v>
      </c>
      <c r="J965" s="2" t="s">
        <v>629</v>
      </c>
      <c r="K965" s="2" t="s">
        <v>630</v>
      </c>
      <c r="L965" s="2" t="s">
        <v>2060</v>
      </c>
      <c r="M965" s="2" t="s">
        <v>102</v>
      </c>
      <c r="N965" s="2" t="s">
        <v>96</v>
      </c>
      <c r="O965" s="2">
        <v>10</v>
      </c>
      <c r="P965" s="2">
        <v>10</v>
      </c>
      <c r="Q965" s="4">
        <v>4760</v>
      </c>
      <c r="R965" s="4">
        <v>4750</v>
      </c>
      <c r="S965" s="4">
        <v>139</v>
      </c>
      <c r="T965" s="19">
        <f>(ProductionData[[#This Row],[Rejected_Qty]])/ProductionData[[#This Row],[Produced_Qty]]</f>
        <v>2.9263157894736842E-2</v>
      </c>
      <c r="U965" s="19">
        <f>ProductionData[[#This Row],[Produced_Qty]]/ProductionData[[#This Row],[Planned_Qty]]</f>
        <v>0.99789915966386555</v>
      </c>
      <c r="V965" s="2" t="s">
        <v>89</v>
      </c>
      <c r="W965" s="11">
        <v>0</v>
      </c>
      <c r="X965" s="13">
        <f>W965/60</f>
        <v>0</v>
      </c>
      <c r="Y965" s="2" t="s">
        <v>90</v>
      </c>
      <c r="Z965" s="2">
        <v>29</v>
      </c>
      <c r="AA965" s="2">
        <f>ProductionData[[#This Row],[Rejected_Qty]]*ProductionData[[#This Row],[Unit_Cost_INR]]</f>
        <v>4031</v>
      </c>
      <c r="AB965" s="4">
        <v>14190</v>
      </c>
      <c r="AC965" s="4">
        <v>4640</v>
      </c>
      <c r="AD965" s="4">
        <v>4640</v>
      </c>
      <c r="AE965" s="4">
        <v>14161</v>
      </c>
      <c r="AF965" s="4">
        <v>7500</v>
      </c>
    </row>
    <row r="966" spans="1:32">
      <c r="A966" s="2" t="s">
        <v>2061</v>
      </c>
      <c r="B966" s="3">
        <v>46182</v>
      </c>
      <c r="C966" s="36" t="s">
        <v>1459</v>
      </c>
      <c r="D966" s="2">
        <f>MONTH(ProductionData[[#This Row],[Month]])</f>
        <v>6</v>
      </c>
      <c r="E966" s="2" t="s">
        <v>92</v>
      </c>
      <c r="F966" s="2" t="s">
        <v>80</v>
      </c>
      <c r="G966" s="2" t="s">
        <v>174</v>
      </c>
      <c r="H966" s="2" t="s">
        <v>175</v>
      </c>
      <c r="I966" s="2" t="s">
        <v>176</v>
      </c>
      <c r="J966" s="2" t="s">
        <v>629</v>
      </c>
      <c r="K966" s="2" t="s">
        <v>630</v>
      </c>
      <c r="L966" s="2" t="s">
        <v>2062</v>
      </c>
      <c r="M966" s="2" t="s">
        <v>87</v>
      </c>
      <c r="N966" s="2" t="s">
        <v>96</v>
      </c>
      <c r="O966" s="2">
        <v>10</v>
      </c>
      <c r="P966" s="2">
        <v>9</v>
      </c>
      <c r="Q966" s="4">
        <v>4640</v>
      </c>
      <c r="R966" s="4">
        <v>4020</v>
      </c>
      <c r="S966" s="4">
        <v>108</v>
      </c>
      <c r="T966" s="19">
        <f>(ProductionData[[#This Row],[Rejected_Qty]])/ProductionData[[#This Row],[Produced_Qty]]</f>
        <v>2.6865671641791045E-2</v>
      </c>
      <c r="U966" s="19">
        <f>ProductionData[[#This Row],[Produced_Qty]]/ProductionData[[#This Row],[Planned_Qty]]</f>
        <v>0.86637931034482762</v>
      </c>
      <c r="V966" s="2" t="s">
        <v>75</v>
      </c>
      <c r="W966" s="11">
        <v>0</v>
      </c>
      <c r="X966" s="13">
        <f>W966/60</f>
        <v>0</v>
      </c>
      <c r="Y966" s="2" t="s">
        <v>90</v>
      </c>
      <c r="Z966" s="2">
        <v>29</v>
      </c>
      <c r="AA966" s="2">
        <f>ProductionData[[#This Row],[Rejected_Qty]]*ProductionData[[#This Row],[Unit_Cost_INR]]</f>
        <v>3132</v>
      </c>
      <c r="AB966" s="4">
        <v>14490</v>
      </c>
      <c r="AC966" s="4">
        <v>4360</v>
      </c>
      <c r="AD966" s="4">
        <v>4360</v>
      </c>
      <c r="AE966" s="4">
        <v>14042</v>
      </c>
      <c r="AF966" s="4">
        <v>7500</v>
      </c>
    </row>
    <row r="967" spans="1:32">
      <c r="A967" s="2" t="s">
        <v>2063</v>
      </c>
      <c r="B967" s="3">
        <v>46186</v>
      </c>
      <c r="C967" s="36" t="s">
        <v>1459</v>
      </c>
      <c r="D967" s="2">
        <f>MONTH(ProductionData[[#This Row],[Month]])</f>
        <v>6</v>
      </c>
      <c r="E967" s="2" t="s">
        <v>65</v>
      </c>
      <c r="F967" s="2" t="s">
        <v>66</v>
      </c>
      <c r="G967" s="2" t="s">
        <v>174</v>
      </c>
      <c r="H967" s="2" t="s">
        <v>175</v>
      </c>
      <c r="I967" s="2" t="s">
        <v>176</v>
      </c>
      <c r="J967" s="2" t="s">
        <v>629</v>
      </c>
      <c r="K967" s="2" t="s">
        <v>630</v>
      </c>
      <c r="L967" s="2" t="s">
        <v>2064</v>
      </c>
      <c r="M967" s="2" t="s">
        <v>73</v>
      </c>
      <c r="N967" s="2" t="s">
        <v>88</v>
      </c>
      <c r="O967" s="2">
        <v>10</v>
      </c>
      <c r="P967" s="2">
        <v>10</v>
      </c>
      <c r="Q967" s="4">
        <v>4890</v>
      </c>
      <c r="R967" s="4">
        <v>4700</v>
      </c>
      <c r="S967" s="4">
        <v>59</v>
      </c>
      <c r="T967" s="19">
        <f>(ProductionData[[#This Row],[Rejected_Qty]])/ProductionData[[#This Row],[Produced_Qty]]</f>
        <v>1.2553191489361702E-2</v>
      </c>
      <c r="U967" s="19">
        <f>ProductionData[[#This Row],[Produced_Qty]]/ProductionData[[#This Row],[Planned_Qty]]</f>
        <v>0.96114519427402867</v>
      </c>
      <c r="V967" s="2" t="s">
        <v>113</v>
      </c>
      <c r="W967" s="11">
        <v>0</v>
      </c>
      <c r="X967" s="13">
        <f>W967/60</f>
        <v>0</v>
      </c>
      <c r="Y967" s="2" t="s">
        <v>90</v>
      </c>
      <c r="Z967" s="2">
        <v>29</v>
      </c>
      <c r="AA967" s="2">
        <f>ProductionData[[#This Row],[Rejected_Qty]]*ProductionData[[#This Row],[Unit_Cost_INR]]</f>
        <v>1711</v>
      </c>
      <c r="AB967" s="4">
        <v>13915</v>
      </c>
      <c r="AC967" s="4">
        <v>4570</v>
      </c>
      <c r="AD967" s="4">
        <v>4570</v>
      </c>
      <c r="AE967" s="4">
        <v>13986</v>
      </c>
      <c r="AF967" s="4">
        <v>7500</v>
      </c>
    </row>
    <row r="968" spans="1:32">
      <c r="A968" s="2" t="s">
        <v>2065</v>
      </c>
      <c r="B968" s="3">
        <v>46184</v>
      </c>
      <c r="C968" s="36" t="s">
        <v>1459</v>
      </c>
      <c r="D968" s="2">
        <f>MONTH(ProductionData[[#This Row],[Month]])</f>
        <v>6</v>
      </c>
      <c r="E968" s="2" t="s">
        <v>107</v>
      </c>
      <c r="F968" s="2" t="s">
        <v>93</v>
      </c>
      <c r="G968" s="2" t="s">
        <v>174</v>
      </c>
      <c r="H968" s="2" t="s">
        <v>175</v>
      </c>
      <c r="I968" s="2" t="s">
        <v>176</v>
      </c>
      <c r="J968" s="2" t="s">
        <v>629</v>
      </c>
      <c r="K968" s="2" t="s">
        <v>630</v>
      </c>
      <c r="L968" s="2" t="s">
        <v>2066</v>
      </c>
      <c r="M968" s="2" t="s">
        <v>133</v>
      </c>
      <c r="N968" s="2" t="s">
        <v>96</v>
      </c>
      <c r="O968" s="2">
        <v>10</v>
      </c>
      <c r="P968" s="2">
        <v>9</v>
      </c>
      <c r="Q968" s="4">
        <v>5070</v>
      </c>
      <c r="R968" s="4">
        <v>4510</v>
      </c>
      <c r="S968" s="4">
        <v>87</v>
      </c>
      <c r="T968" s="19">
        <f>(ProductionData[[#This Row],[Rejected_Qty]])/ProductionData[[#This Row],[Produced_Qty]]</f>
        <v>1.9290465631929047E-2</v>
      </c>
      <c r="U968" s="19">
        <f>ProductionData[[#This Row],[Produced_Qty]]/ProductionData[[#This Row],[Planned_Qty]]</f>
        <v>0.88954635108481261</v>
      </c>
      <c r="V968" s="2" t="s">
        <v>113</v>
      </c>
      <c r="W968" s="11">
        <v>45</v>
      </c>
      <c r="X968" s="13">
        <f>W968/60</f>
        <v>0.75</v>
      </c>
      <c r="Y968" s="2" t="s">
        <v>76</v>
      </c>
      <c r="Z968" s="2">
        <v>29</v>
      </c>
      <c r="AA968" s="2">
        <f>ProductionData[[#This Row],[Rejected_Qty]]*ProductionData[[#This Row],[Unit_Cost_INR]]</f>
        <v>2523</v>
      </c>
      <c r="AB968" s="4">
        <v>14042</v>
      </c>
      <c r="AC968" s="4">
        <v>4550</v>
      </c>
      <c r="AD968" s="4">
        <v>4550</v>
      </c>
      <c r="AE968" s="4">
        <v>13915</v>
      </c>
      <c r="AF968" s="4">
        <v>7500</v>
      </c>
    </row>
    <row r="969" spans="1:32">
      <c r="A969" s="2" t="s">
        <v>2067</v>
      </c>
      <c r="B969" s="3">
        <v>46190</v>
      </c>
      <c r="C969" s="36" t="s">
        <v>1459</v>
      </c>
      <c r="D969" s="2">
        <f>MONTH(ProductionData[[#This Row],[Month]])</f>
        <v>6</v>
      </c>
      <c r="E969" s="2" t="s">
        <v>79</v>
      </c>
      <c r="F969" s="2" t="s">
        <v>80</v>
      </c>
      <c r="G969" s="2" t="s">
        <v>174</v>
      </c>
      <c r="H969" s="2" t="s">
        <v>175</v>
      </c>
      <c r="I969" s="2" t="s">
        <v>176</v>
      </c>
      <c r="J969" s="2" t="s">
        <v>629</v>
      </c>
      <c r="K969" s="2" t="s">
        <v>630</v>
      </c>
      <c r="L969" s="2" t="s">
        <v>2068</v>
      </c>
      <c r="M969" s="2" t="s">
        <v>87</v>
      </c>
      <c r="N969" s="2" t="s">
        <v>88</v>
      </c>
      <c r="O969" s="2">
        <v>10</v>
      </c>
      <c r="P969" s="2">
        <v>10</v>
      </c>
      <c r="Q969" s="4">
        <v>4800</v>
      </c>
      <c r="R969" s="4">
        <v>4780</v>
      </c>
      <c r="S969" s="4">
        <v>122</v>
      </c>
      <c r="T969" s="19">
        <f>(ProductionData[[#This Row],[Rejected_Qty]])/ProductionData[[#This Row],[Produced_Qty]]</f>
        <v>2.5523012552301255E-2</v>
      </c>
      <c r="U969" s="19">
        <f>ProductionData[[#This Row],[Produced_Qty]]/ProductionData[[#This Row],[Planned_Qty]]</f>
        <v>0.99583333333333335</v>
      </c>
      <c r="V969" s="2" t="s">
        <v>89</v>
      </c>
      <c r="W969" s="11">
        <v>33</v>
      </c>
      <c r="X969" s="13">
        <f>W969/60</f>
        <v>0.55000000000000004</v>
      </c>
      <c r="Y969" s="2" t="s">
        <v>76</v>
      </c>
      <c r="Z969" s="2">
        <v>29</v>
      </c>
      <c r="AA969" s="2">
        <f>ProductionData[[#This Row],[Rejected_Qty]]*ProductionData[[#This Row],[Unit_Cost_INR]]</f>
        <v>3538</v>
      </c>
      <c r="AB969" s="4">
        <v>13227</v>
      </c>
      <c r="AC969" s="4">
        <v>4190</v>
      </c>
      <c r="AD969" s="4">
        <v>4190</v>
      </c>
      <c r="AE969" s="4">
        <v>13695</v>
      </c>
      <c r="AF969" s="4">
        <v>7500</v>
      </c>
    </row>
    <row r="970" spans="1:32">
      <c r="A970" s="2" t="s">
        <v>2069</v>
      </c>
      <c r="B970" s="3">
        <v>46188</v>
      </c>
      <c r="C970" s="36" t="s">
        <v>1459</v>
      </c>
      <c r="D970" s="2">
        <f>MONTH(ProductionData[[#This Row],[Month]])</f>
        <v>6</v>
      </c>
      <c r="E970" s="2" t="s">
        <v>116</v>
      </c>
      <c r="F970" s="2" t="s">
        <v>93</v>
      </c>
      <c r="G970" s="2" t="s">
        <v>174</v>
      </c>
      <c r="H970" s="2" t="s">
        <v>175</v>
      </c>
      <c r="I970" s="2" t="s">
        <v>176</v>
      </c>
      <c r="J970" s="2" t="s">
        <v>629</v>
      </c>
      <c r="K970" s="2" t="s">
        <v>630</v>
      </c>
      <c r="L970" s="2" t="s">
        <v>2070</v>
      </c>
      <c r="M970" s="2" t="s">
        <v>95</v>
      </c>
      <c r="N970" s="2" t="s">
        <v>96</v>
      </c>
      <c r="O970" s="2">
        <v>10</v>
      </c>
      <c r="P970" s="2">
        <v>8</v>
      </c>
      <c r="Q970" s="4">
        <v>4610</v>
      </c>
      <c r="R970" s="4">
        <v>3770</v>
      </c>
      <c r="S970" s="4">
        <v>89</v>
      </c>
      <c r="T970" s="19">
        <f>(ProductionData[[#This Row],[Rejected_Qty]])/ProductionData[[#This Row],[Produced_Qty]]</f>
        <v>2.3607427055702918E-2</v>
      </c>
      <c r="U970" s="19">
        <f>ProductionData[[#This Row],[Produced_Qty]]/ProductionData[[#This Row],[Planned_Qty]]</f>
        <v>0.81778741865509763</v>
      </c>
      <c r="V970" s="2" t="s">
        <v>103</v>
      </c>
      <c r="W970" s="11">
        <v>0</v>
      </c>
      <c r="X970" s="13">
        <f>W970/60</f>
        <v>0</v>
      </c>
      <c r="Y970" s="2" t="s">
        <v>90</v>
      </c>
      <c r="Z970" s="2">
        <v>29</v>
      </c>
      <c r="AA970" s="2">
        <f>ProductionData[[#This Row],[Rejected_Qty]]*ProductionData[[#This Row],[Unit_Cost_INR]]</f>
        <v>2581</v>
      </c>
      <c r="AB970" s="4">
        <v>13986</v>
      </c>
      <c r="AC970" s="4">
        <v>4000</v>
      </c>
      <c r="AD970" s="4">
        <v>4000</v>
      </c>
      <c r="AE970" s="4">
        <v>13667</v>
      </c>
      <c r="AF970" s="4">
        <v>7500</v>
      </c>
    </row>
    <row r="971" spans="1:32">
      <c r="A971" s="2" t="s">
        <v>2071</v>
      </c>
      <c r="B971" s="3">
        <v>46190</v>
      </c>
      <c r="C971" s="36" t="s">
        <v>1459</v>
      </c>
      <c r="D971" s="2">
        <f>MONTH(ProductionData[[#This Row],[Month]])</f>
        <v>6</v>
      </c>
      <c r="E971" s="2" t="s">
        <v>79</v>
      </c>
      <c r="F971" s="2" t="s">
        <v>66</v>
      </c>
      <c r="G971" s="2" t="s">
        <v>174</v>
      </c>
      <c r="H971" s="2" t="s">
        <v>175</v>
      </c>
      <c r="I971" s="2" t="s">
        <v>176</v>
      </c>
      <c r="J971" s="2" t="s">
        <v>629</v>
      </c>
      <c r="K971" s="2" t="s">
        <v>630</v>
      </c>
      <c r="L971" s="2" t="s">
        <v>2072</v>
      </c>
      <c r="M971" s="2" t="s">
        <v>99</v>
      </c>
      <c r="N971" s="2" t="s">
        <v>88</v>
      </c>
      <c r="O971" s="2">
        <v>10</v>
      </c>
      <c r="P971" s="2">
        <v>9</v>
      </c>
      <c r="Q971" s="4">
        <v>4700</v>
      </c>
      <c r="R971" s="4">
        <v>4440</v>
      </c>
      <c r="S971" s="4">
        <v>140</v>
      </c>
      <c r="T971" s="19">
        <f>(ProductionData[[#This Row],[Rejected_Qty]])/ProductionData[[#This Row],[Produced_Qty]]</f>
        <v>3.1531531531531529E-2</v>
      </c>
      <c r="U971" s="19">
        <f>ProductionData[[#This Row],[Produced_Qty]]/ProductionData[[#This Row],[Planned_Qty]]</f>
        <v>0.94468085106382982</v>
      </c>
      <c r="V971" s="2" t="s">
        <v>103</v>
      </c>
      <c r="W971" s="11">
        <v>39</v>
      </c>
      <c r="X971" s="13">
        <f>W971/60</f>
        <v>0.65</v>
      </c>
      <c r="Y971" s="2" t="s">
        <v>182</v>
      </c>
      <c r="Z971" s="2">
        <v>29</v>
      </c>
      <c r="AA971" s="2">
        <f>ProductionData[[#This Row],[Rejected_Qty]]*ProductionData[[#This Row],[Unit_Cost_INR]]</f>
        <v>4060</v>
      </c>
      <c r="AB971" s="4">
        <v>13667</v>
      </c>
      <c r="AC971" s="4">
        <v>4740</v>
      </c>
      <c r="AD971" s="4">
        <v>4740</v>
      </c>
      <c r="AE971" s="4">
        <v>13227</v>
      </c>
      <c r="AF971" s="4">
        <v>7500</v>
      </c>
    </row>
    <row r="972" spans="1:32">
      <c r="A972" s="2" t="s">
        <v>2073</v>
      </c>
      <c r="B972" s="3">
        <v>46174</v>
      </c>
      <c r="C972" s="36" t="s">
        <v>1459</v>
      </c>
      <c r="D972" s="2">
        <f>MONTH(ProductionData[[#This Row],[Month]])</f>
        <v>6</v>
      </c>
      <c r="E972" s="2" t="s">
        <v>116</v>
      </c>
      <c r="F972" s="2" t="s">
        <v>93</v>
      </c>
      <c r="G972" s="2" t="s">
        <v>81</v>
      </c>
      <c r="H972" s="2" t="s">
        <v>82</v>
      </c>
      <c r="I972" s="2" t="s">
        <v>83</v>
      </c>
      <c r="J972" s="2" t="s">
        <v>721</v>
      </c>
      <c r="K972" s="2" t="s">
        <v>722</v>
      </c>
      <c r="L972" s="2" t="s">
        <v>2074</v>
      </c>
      <c r="M972" s="2" t="s">
        <v>95</v>
      </c>
      <c r="N972" s="2" t="s">
        <v>96</v>
      </c>
      <c r="O972" s="2">
        <v>18</v>
      </c>
      <c r="P972" s="2">
        <v>18</v>
      </c>
      <c r="Q972" s="4">
        <v>3150</v>
      </c>
      <c r="R972" s="4">
        <v>3100</v>
      </c>
      <c r="S972" s="4">
        <v>120</v>
      </c>
      <c r="T972" s="19">
        <f>(ProductionData[[#This Row],[Rejected_Qty]])/ProductionData[[#This Row],[Produced_Qty]]</f>
        <v>3.870967741935484E-2</v>
      </c>
      <c r="U972" s="19">
        <f>ProductionData[[#This Row],[Produced_Qty]]/ProductionData[[#This Row],[Planned_Qty]]</f>
        <v>0.98412698412698407</v>
      </c>
      <c r="V972" s="2" t="s">
        <v>89</v>
      </c>
      <c r="W972" s="11">
        <v>0</v>
      </c>
      <c r="X972" s="13">
        <f>W972/60</f>
        <v>0</v>
      </c>
      <c r="Y972" s="2" t="s">
        <v>90</v>
      </c>
      <c r="Z972" s="2">
        <v>64</v>
      </c>
      <c r="AA972" s="2">
        <f>ProductionData[[#This Row],[Rejected_Qty]]*ProductionData[[#This Row],[Unit_Cost_INR]]</f>
        <v>7680</v>
      </c>
      <c r="AB972" s="4">
        <v>10017</v>
      </c>
      <c r="AC972" s="4">
        <v>2520</v>
      </c>
      <c r="AD972" s="4">
        <v>2520</v>
      </c>
      <c r="AE972" s="4">
        <v>10477</v>
      </c>
      <c r="AF972" s="4">
        <v>5250</v>
      </c>
    </row>
    <row r="973" spans="1:32">
      <c r="A973" s="2" t="s">
        <v>2075</v>
      </c>
      <c r="B973" s="3">
        <v>46175</v>
      </c>
      <c r="C973" s="36" t="s">
        <v>1459</v>
      </c>
      <c r="D973" s="2">
        <f>MONTH(ProductionData[[#This Row],[Month]])</f>
        <v>6</v>
      </c>
      <c r="E973" s="2" t="s">
        <v>92</v>
      </c>
      <c r="F973" s="2" t="s">
        <v>66</v>
      </c>
      <c r="G973" s="2" t="s">
        <v>81</v>
      </c>
      <c r="H973" s="2" t="s">
        <v>82</v>
      </c>
      <c r="I973" s="2" t="s">
        <v>83</v>
      </c>
      <c r="J973" s="2" t="s">
        <v>721</v>
      </c>
      <c r="K973" s="2" t="s">
        <v>722</v>
      </c>
      <c r="L973" s="2" t="s">
        <v>2076</v>
      </c>
      <c r="M973" s="2" t="s">
        <v>73</v>
      </c>
      <c r="N973" s="2" t="s">
        <v>96</v>
      </c>
      <c r="O973" s="2">
        <v>18</v>
      </c>
      <c r="P973" s="2">
        <v>17</v>
      </c>
      <c r="Q973" s="4">
        <v>3600</v>
      </c>
      <c r="R973" s="4">
        <v>3270</v>
      </c>
      <c r="S973" s="4">
        <v>76</v>
      </c>
      <c r="T973" s="19">
        <f>(ProductionData[[#This Row],[Rejected_Qty]])/ProductionData[[#This Row],[Produced_Qty]]</f>
        <v>2.3241590214067277E-2</v>
      </c>
      <c r="U973" s="19">
        <f>ProductionData[[#This Row],[Produced_Qty]]/ProductionData[[#This Row],[Planned_Qty]]</f>
        <v>0.90833333333333333</v>
      </c>
      <c r="V973" s="2" t="s">
        <v>113</v>
      </c>
      <c r="W973" s="11">
        <v>0</v>
      </c>
      <c r="X973" s="13">
        <f>W973/60</f>
        <v>0</v>
      </c>
      <c r="Y973" s="2" t="s">
        <v>90</v>
      </c>
      <c r="Z973" s="2">
        <v>64</v>
      </c>
      <c r="AA973" s="2">
        <f>ProductionData[[#This Row],[Rejected_Qty]]*ProductionData[[#This Row],[Unit_Cost_INR]]</f>
        <v>4864</v>
      </c>
      <c r="AB973" s="4">
        <v>10477</v>
      </c>
      <c r="AC973" s="4">
        <v>3600</v>
      </c>
      <c r="AD973" s="4">
        <v>3600</v>
      </c>
      <c r="AE973" s="4">
        <v>10071</v>
      </c>
      <c r="AF973" s="4">
        <v>5250</v>
      </c>
    </row>
    <row r="974" spans="1:32">
      <c r="A974" s="2" t="s">
        <v>2077</v>
      </c>
      <c r="B974" s="3">
        <v>46174</v>
      </c>
      <c r="C974" s="36" t="s">
        <v>1459</v>
      </c>
      <c r="D974" s="2">
        <f>MONTH(ProductionData[[#This Row],[Month]])</f>
        <v>6</v>
      </c>
      <c r="E974" s="2" t="s">
        <v>116</v>
      </c>
      <c r="F974" s="2" t="s">
        <v>66</v>
      </c>
      <c r="G974" s="2" t="s">
        <v>81</v>
      </c>
      <c r="H974" s="2" t="s">
        <v>82</v>
      </c>
      <c r="I974" s="2" t="s">
        <v>83</v>
      </c>
      <c r="J974" s="2" t="s">
        <v>721</v>
      </c>
      <c r="K974" s="2" t="s">
        <v>722</v>
      </c>
      <c r="L974" s="2" t="s">
        <v>2078</v>
      </c>
      <c r="M974" s="2" t="s">
        <v>99</v>
      </c>
      <c r="N974" s="2" t="s">
        <v>96</v>
      </c>
      <c r="O974" s="2">
        <v>18</v>
      </c>
      <c r="P974" s="2">
        <v>16</v>
      </c>
      <c r="Q974" s="4">
        <v>3770</v>
      </c>
      <c r="R974" s="4">
        <v>3520</v>
      </c>
      <c r="S974" s="4">
        <v>97</v>
      </c>
      <c r="T974" s="19">
        <f>(ProductionData[[#This Row],[Rejected_Qty]])/ProductionData[[#This Row],[Produced_Qty]]</f>
        <v>2.7556818181818182E-2</v>
      </c>
      <c r="U974" s="19">
        <f>ProductionData[[#This Row],[Produced_Qty]]/ProductionData[[#This Row],[Planned_Qty]]</f>
        <v>0.93368700265251992</v>
      </c>
      <c r="V974" s="2" t="s">
        <v>89</v>
      </c>
      <c r="W974" s="11">
        <v>22</v>
      </c>
      <c r="X974" s="13">
        <f>W974/60</f>
        <v>0.36666666666666664</v>
      </c>
      <c r="Y974" s="2" t="s">
        <v>110</v>
      </c>
      <c r="Z974" s="2">
        <v>64</v>
      </c>
      <c r="AA974" s="2">
        <f>ProductionData[[#This Row],[Rejected_Qty]]*ProductionData[[#This Row],[Unit_Cost_INR]]</f>
        <v>6208</v>
      </c>
      <c r="AB974" s="4">
        <v>9994</v>
      </c>
      <c r="AC974" s="4">
        <v>3400</v>
      </c>
      <c r="AD974" s="4">
        <v>3400</v>
      </c>
      <c r="AE974" s="4">
        <v>10017</v>
      </c>
      <c r="AF974" s="4">
        <v>5250</v>
      </c>
    </row>
    <row r="975" spans="1:32">
      <c r="A975" s="2" t="s">
        <v>2079</v>
      </c>
      <c r="B975" s="3">
        <v>46175</v>
      </c>
      <c r="C975" s="36" t="s">
        <v>1459</v>
      </c>
      <c r="D975" s="2">
        <f>MONTH(ProductionData[[#This Row],[Month]])</f>
        <v>6</v>
      </c>
      <c r="E975" s="2" t="s">
        <v>92</v>
      </c>
      <c r="F975" s="2" t="s">
        <v>80</v>
      </c>
      <c r="G975" s="2" t="s">
        <v>81</v>
      </c>
      <c r="H975" s="2" t="s">
        <v>82</v>
      </c>
      <c r="I975" s="2" t="s">
        <v>83</v>
      </c>
      <c r="J975" s="2" t="s">
        <v>721</v>
      </c>
      <c r="K975" s="2" t="s">
        <v>722</v>
      </c>
      <c r="L975" s="2" t="s">
        <v>2080</v>
      </c>
      <c r="M975" s="2" t="s">
        <v>102</v>
      </c>
      <c r="N975" s="2" t="s">
        <v>88</v>
      </c>
      <c r="O975" s="2">
        <v>18</v>
      </c>
      <c r="P975" s="2">
        <v>17</v>
      </c>
      <c r="Q975" s="4">
        <v>3530</v>
      </c>
      <c r="R975" s="4">
        <v>3430</v>
      </c>
      <c r="S975" s="4">
        <v>84</v>
      </c>
      <c r="T975" s="19">
        <f>(ProductionData[[#This Row],[Rejected_Qty]])/ProductionData[[#This Row],[Produced_Qty]]</f>
        <v>2.4489795918367346E-2</v>
      </c>
      <c r="U975" s="19">
        <f>ProductionData[[#This Row],[Produced_Qty]]/ProductionData[[#This Row],[Planned_Qty]]</f>
        <v>0.97167138810198306</v>
      </c>
      <c r="V975" s="2" t="s">
        <v>103</v>
      </c>
      <c r="W975" s="11">
        <v>0</v>
      </c>
      <c r="X975" s="13">
        <f>W975/60</f>
        <v>0</v>
      </c>
      <c r="Y975" s="2" t="s">
        <v>90</v>
      </c>
      <c r="Z975" s="2">
        <v>64</v>
      </c>
      <c r="AA975" s="2">
        <f>ProductionData[[#This Row],[Rejected_Qty]]*ProductionData[[#This Row],[Unit_Cost_INR]]</f>
        <v>5376</v>
      </c>
      <c r="AB975" s="4">
        <v>10071</v>
      </c>
      <c r="AC975" s="4">
        <v>3500</v>
      </c>
      <c r="AD975" s="4">
        <v>3500</v>
      </c>
      <c r="AE975" s="4">
        <v>9917</v>
      </c>
      <c r="AF975" s="4">
        <v>5250</v>
      </c>
    </row>
    <row r="976" spans="1:32">
      <c r="A976" s="2" t="s">
        <v>2081</v>
      </c>
      <c r="B976" s="3">
        <v>46178</v>
      </c>
      <c r="C976" s="36" t="s">
        <v>1459</v>
      </c>
      <c r="D976" s="2">
        <f>MONTH(ProductionData[[#This Row],[Month]])</f>
        <v>6</v>
      </c>
      <c r="E976" s="2" t="s">
        <v>125</v>
      </c>
      <c r="F976" s="2" t="s">
        <v>66</v>
      </c>
      <c r="G976" s="2" t="s">
        <v>81</v>
      </c>
      <c r="H976" s="2" t="s">
        <v>82</v>
      </c>
      <c r="I976" s="2" t="s">
        <v>83</v>
      </c>
      <c r="J976" s="2" t="s">
        <v>721</v>
      </c>
      <c r="K976" s="2" t="s">
        <v>722</v>
      </c>
      <c r="L976" s="2" t="s">
        <v>2082</v>
      </c>
      <c r="M976" s="2" t="s">
        <v>99</v>
      </c>
      <c r="N976" s="2" t="s">
        <v>88</v>
      </c>
      <c r="O976" s="2">
        <v>18</v>
      </c>
      <c r="P976" s="2">
        <v>17</v>
      </c>
      <c r="Q976" s="4">
        <v>3270</v>
      </c>
      <c r="R976" s="4">
        <v>3170</v>
      </c>
      <c r="S976" s="4">
        <v>77</v>
      </c>
      <c r="T976" s="19">
        <f>(ProductionData[[#This Row],[Rejected_Qty]])/ProductionData[[#This Row],[Produced_Qty]]</f>
        <v>2.4290220820189275E-2</v>
      </c>
      <c r="U976" s="19">
        <f>ProductionData[[#This Row],[Produced_Qty]]/ProductionData[[#This Row],[Planned_Qty]]</f>
        <v>0.96941896024464835</v>
      </c>
      <c r="V976" s="2" t="s">
        <v>75</v>
      </c>
      <c r="W976" s="11">
        <v>0</v>
      </c>
      <c r="X976" s="13">
        <f>W976/60</f>
        <v>0</v>
      </c>
      <c r="Y976" s="2" t="s">
        <v>90</v>
      </c>
      <c r="Z976" s="2">
        <v>64</v>
      </c>
      <c r="AA976" s="2">
        <f>ProductionData[[#This Row],[Rejected_Qty]]*ProductionData[[#This Row],[Unit_Cost_INR]]</f>
        <v>4928</v>
      </c>
      <c r="AB976" s="4">
        <v>9328</v>
      </c>
      <c r="AC976" s="4">
        <v>2610</v>
      </c>
      <c r="AD976" s="4">
        <v>2610</v>
      </c>
      <c r="AE976" s="4">
        <v>9811</v>
      </c>
      <c r="AF976" s="4">
        <v>5250</v>
      </c>
    </row>
    <row r="977" spans="1:32">
      <c r="A977" s="2" t="s">
        <v>2083</v>
      </c>
      <c r="B977" s="3">
        <v>46176</v>
      </c>
      <c r="C977" s="36" t="s">
        <v>1459</v>
      </c>
      <c r="D977" s="2">
        <f>MONTH(ProductionData[[#This Row],[Month]])</f>
        <v>6</v>
      </c>
      <c r="E977" s="2" t="s">
        <v>79</v>
      </c>
      <c r="F977" s="2" t="s">
        <v>93</v>
      </c>
      <c r="G977" s="2" t="s">
        <v>81</v>
      </c>
      <c r="H977" s="2" t="s">
        <v>82</v>
      </c>
      <c r="I977" s="2" t="s">
        <v>83</v>
      </c>
      <c r="J977" s="2" t="s">
        <v>721</v>
      </c>
      <c r="K977" s="2" t="s">
        <v>722</v>
      </c>
      <c r="L977" s="2" t="s">
        <v>2084</v>
      </c>
      <c r="M977" s="2" t="s">
        <v>95</v>
      </c>
      <c r="N977" s="2" t="s">
        <v>96</v>
      </c>
      <c r="O977" s="2">
        <v>18</v>
      </c>
      <c r="P977" s="2">
        <v>14</v>
      </c>
      <c r="Q977" s="4">
        <v>3300</v>
      </c>
      <c r="R977" s="4">
        <v>2880</v>
      </c>
      <c r="S977" s="4">
        <v>69</v>
      </c>
      <c r="T977" s="19">
        <f>(ProductionData[[#This Row],[Rejected_Qty]])/ProductionData[[#This Row],[Produced_Qty]]</f>
        <v>2.3958333333333335E-2</v>
      </c>
      <c r="U977" s="19">
        <f>ProductionData[[#This Row],[Produced_Qty]]/ProductionData[[#This Row],[Planned_Qty]]</f>
        <v>0.87272727272727268</v>
      </c>
      <c r="V977" s="2" t="s">
        <v>89</v>
      </c>
      <c r="W977" s="11">
        <v>55</v>
      </c>
      <c r="X977" s="13">
        <f>W977/60</f>
        <v>0.91666666666666663</v>
      </c>
      <c r="Y977" s="2" t="s">
        <v>182</v>
      </c>
      <c r="Z977" s="2">
        <v>64</v>
      </c>
      <c r="AA977" s="2">
        <f>ProductionData[[#This Row],[Rejected_Qty]]*ProductionData[[#This Row],[Unit_Cost_INR]]</f>
        <v>4416</v>
      </c>
      <c r="AB977" s="4">
        <v>9917</v>
      </c>
      <c r="AC977" s="4">
        <v>2990</v>
      </c>
      <c r="AD977" s="4">
        <v>2990</v>
      </c>
      <c r="AE977" s="4">
        <v>9738</v>
      </c>
      <c r="AF977" s="4">
        <v>5250</v>
      </c>
    </row>
    <row r="978" spans="1:32">
      <c r="A978" s="2" t="s">
        <v>2085</v>
      </c>
      <c r="B978" s="3">
        <v>46177</v>
      </c>
      <c r="C978" s="36" t="s">
        <v>1459</v>
      </c>
      <c r="D978" s="2">
        <f>MONTH(ProductionData[[#This Row],[Month]])</f>
        <v>6</v>
      </c>
      <c r="E978" s="2" t="s">
        <v>107</v>
      </c>
      <c r="F978" s="2" t="s">
        <v>80</v>
      </c>
      <c r="G978" s="2" t="s">
        <v>81</v>
      </c>
      <c r="H978" s="2" t="s">
        <v>82</v>
      </c>
      <c r="I978" s="2" t="s">
        <v>83</v>
      </c>
      <c r="J978" s="2" t="s">
        <v>721</v>
      </c>
      <c r="K978" s="2" t="s">
        <v>722</v>
      </c>
      <c r="L978" s="2" t="s">
        <v>2086</v>
      </c>
      <c r="M978" s="2" t="s">
        <v>102</v>
      </c>
      <c r="N978" s="2" t="s">
        <v>88</v>
      </c>
      <c r="O978" s="2">
        <v>18</v>
      </c>
      <c r="P978" s="2">
        <v>14</v>
      </c>
      <c r="Q978" s="4">
        <v>3340</v>
      </c>
      <c r="R978" s="4">
        <v>2910</v>
      </c>
      <c r="S978" s="4">
        <v>101</v>
      </c>
      <c r="T978" s="19">
        <f>(ProductionData[[#This Row],[Rejected_Qty]])/ProductionData[[#This Row],[Produced_Qty]]</f>
        <v>3.470790378006873E-2</v>
      </c>
      <c r="U978" s="19">
        <f>ProductionData[[#This Row],[Produced_Qty]]/ProductionData[[#This Row],[Planned_Qty]]</f>
        <v>0.87125748502994016</v>
      </c>
      <c r="V978" s="2" t="s">
        <v>89</v>
      </c>
      <c r="W978" s="11">
        <v>35</v>
      </c>
      <c r="X978" s="13">
        <f>W978/60</f>
        <v>0.58333333333333337</v>
      </c>
      <c r="Y978" s="2" t="s">
        <v>259</v>
      </c>
      <c r="Z978" s="2">
        <v>64</v>
      </c>
      <c r="AA978" s="2">
        <f>ProductionData[[#This Row],[Rejected_Qty]]*ProductionData[[#This Row],[Unit_Cost_INR]]</f>
        <v>6464</v>
      </c>
      <c r="AB978" s="4">
        <v>9738</v>
      </c>
      <c r="AC978" s="4">
        <v>3000</v>
      </c>
      <c r="AD978" s="4">
        <v>3000</v>
      </c>
      <c r="AE978" s="4">
        <v>9547</v>
      </c>
      <c r="AF978" s="4">
        <v>5250</v>
      </c>
    </row>
    <row r="979" spans="1:32">
      <c r="A979" s="2" t="s">
        <v>2087</v>
      </c>
      <c r="B979" s="3">
        <v>46179</v>
      </c>
      <c r="C979" s="36" t="s">
        <v>1459</v>
      </c>
      <c r="D979" s="2">
        <f>MONTH(ProductionData[[#This Row],[Month]])</f>
        <v>6</v>
      </c>
      <c r="E979" s="2" t="s">
        <v>65</v>
      </c>
      <c r="F979" s="2" t="s">
        <v>80</v>
      </c>
      <c r="G979" s="2" t="s">
        <v>81</v>
      </c>
      <c r="H979" s="2" t="s">
        <v>82</v>
      </c>
      <c r="I979" s="2" t="s">
        <v>83</v>
      </c>
      <c r="J979" s="2" t="s">
        <v>721</v>
      </c>
      <c r="K979" s="2" t="s">
        <v>722</v>
      </c>
      <c r="L979" s="2" t="s">
        <v>2088</v>
      </c>
      <c r="M979" s="2" t="s">
        <v>87</v>
      </c>
      <c r="N979" s="2" t="s">
        <v>88</v>
      </c>
      <c r="O979" s="2">
        <v>18</v>
      </c>
      <c r="P979" s="2">
        <v>15</v>
      </c>
      <c r="Q979" s="4">
        <v>3420</v>
      </c>
      <c r="R979" s="4">
        <v>3100</v>
      </c>
      <c r="S979" s="4">
        <v>89</v>
      </c>
      <c r="T979" s="19">
        <f>(ProductionData[[#This Row],[Rejected_Qty]])/ProductionData[[#This Row],[Produced_Qty]]</f>
        <v>2.8709677419354838E-2</v>
      </c>
      <c r="U979" s="19">
        <f>ProductionData[[#This Row],[Produced_Qty]]/ProductionData[[#This Row],[Planned_Qty]]</f>
        <v>0.9064327485380117</v>
      </c>
      <c r="V979" s="2" t="s">
        <v>103</v>
      </c>
      <c r="W979" s="11">
        <v>48</v>
      </c>
      <c r="X979" s="13">
        <f>W979/60</f>
        <v>0.8</v>
      </c>
      <c r="Y979" s="2" t="s">
        <v>182</v>
      </c>
      <c r="Z979" s="2">
        <v>64</v>
      </c>
      <c r="AA979" s="2">
        <f>ProductionData[[#This Row],[Rejected_Qty]]*ProductionData[[#This Row],[Unit_Cost_INR]]</f>
        <v>5696</v>
      </c>
      <c r="AB979" s="4">
        <v>9811</v>
      </c>
      <c r="AC979" s="4">
        <v>3340</v>
      </c>
      <c r="AD979" s="4">
        <v>3340</v>
      </c>
      <c r="AE979" s="4">
        <v>9482</v>
      </c>
      <c r="AF979" s="4">
        <v>5250</v>
      </c>
    </row>
    <row r="980" spans="1:32">
      <c r="A980" s="2" t="s">
        <v>2089</v>
      </c>
      <c r="B980" s="3">
        <v>46180</v>
      </c>
      <c r="C980" s="36" t="s">
        <v>1459</v>
      </c>
      <c r="D980" s="2">
        <f>MONTH(ProductionData[[#This Row],[Month]])</f>
        <v>6</v>
      </c>
      <c r="E980" s="2" t="s">
        <v>186</v>
      </c>
      <c r="F980" s="2" t="s">
        <v>80</v>
      </c>
      <c r="G980" s="2" t="s">
        <v>81</v>
      </c>
      <c r="H980" s="2" t="s">
        <v>82</v>
      </c>
      <c r="I980" s="2" t="s">
        <v>83</v>
      </c>
      <c r="J980" s="2" t="s">
        <v>721</v>
      </c>
      <c r="K980" s="2" t="s">
        <v>722</v>
      </c>
      <c r="L980" s="2" t="s">
        <v>2090</v>
      </c>
      <c r="M980" s="2" t="s">
        <v>102</v>
      </c>
      <c r="N980" s="2" t="s">
        <v>88</v>
      </c>
      <c r="O980" s="2">
        <v>18</v>
      </c>
      <c r="P980" s="2">
        <v>17</v>
      </c>
      <c r="Q980" s="4">
        <v>2250</v>
      </c>
      <c r="R980" s="4">
        <v>2150</v>
      </c>
      <c r="S980" s="4">
        <v>39</v>
      </c>
      <c r="T980" s="19">
        <f>(ProductionData[[#This Row],[Rejected_Qty]])/ProductionData[[#This Row],[Produced_Qty]]</f>
        <v>1.8139534883720929E-2</v>
      </c>
      <c r="U980" s="19">
        <f>ProductionData[[#This Row],[Produced_Qty]]/ProductionData[[#This Row],[Planned_Qty]]</f>
        <v>0.9555555555555556</v>
      </c>
      <c r="V980" s="2" t="s">
        <v>113</v>
      </c>
      <c r="W980" s="11">
        <v>42</v>
      </c>
      <c r="X980" s="13">
        <f>W980/60</f>
        <v>0.7</v>
      </c>
      <c r="Y980" s="2" t="s">
        <v>110</v>
      </c>
      <c r="Z980" s="2">
        <v>64</v>
      </c>
      <c r="AA980" s="2">
        <f>ProductionData[[#This Row],[Rejected_Qty]]*ProductionData[[#This Row],[Unit_Cost_INR]]</f>
        <v>2496</v>
      </c>
      <c r="AB980" s="4">
        <v>9482</v>
      </c>
      <c r="AC980" s="4">
        <v>2200</v>
      </c>
      <c r="AD980" s="4">
        <v>2200</v>
      </c>
      <c r="AE980" s="4">
        <v>9393</v>
      </c>
      <c r="AF980" s="4">
        <v>5250</v>
      </c>
    </row>
    <row r="981" spans="1:32">
      <c r="A981" s="2" t="s">
        <v>2091</v>
      </c>
      <c r="B981" s="3">
        <v>46177</v>
      </c>
      <c r="C981" s="36" t="s">
        <v>1459</v>
      </c>
      <c r="D981" s="2">
        <f>MONTH(ProductionData[[#This Row],[Month]])</f>
        <v>6</v>
      </c>
      <c r="E981" s="2" t="s">
        <v>107</v>
      </c>
      <c r="F981" s="2" t="s">
        <v>93</v>
      </c>
      <c r="G981" s="2" t="s">
        <v>81</v>
      </c>
      <c r="H981" s="2" t="s">
        <v>82</v>
      </c>
      <c r="I981" s="2" t="s">
        <v>83</v>
      </c>
      <c r="J981" s="2" t="s">
        <v>721</v>
      </c>
      <c r="K981" s="2" t="s">
        <v>722</v>
      </c>
      <c r="L981" s="2" t="s">
        <v>2092</v>
      </c>
      <c r="M981" s="2" t="s">
        <v>95</v>
      </c>
      <c r="N981" s="2" t="s">
        <v>88</v>
      </c>
      <c r="O981" s="2">
        <v>18</v>
      </c>
      <c r="P981" s="2">
        <v>18</v>
      </c>
      <c r="Q981" s="4">
        <v>3580</v>
      </c>
      <c r="R981" s="4">
        <v>3360</v>
      </c>
      <c r="S981" s="4">
        <v>79</v>
      </c>
      <c r="T981" s="19">
        <f>(ProductionData[[#This Row],[Rejected_Qty]])/ProductionData[[#This Row],[Produced_Qty]]</f>
        <v>2.3511904761904762E-2</v>
      </c>
      <c r="U981" s="19">
        <f>ProductionData[[#This Row],[Produced_Qty]]/ProductionData[[#This Row],[Planned_Qty]]</f>
        <v>0.93854748603351956</v>
      </c>
      <c r="V981" s="2" t="s">
        <v>113</v>
      </c>
      <c r="W981" s="11">
        <v>0</v>
      </c>
      <c r="X981" s="13">
        <f>W981/60</f>
        <v>0</v>
      </c>
      <c r="Y981" s="2" t="s">
        <v>90</v>
      </c>
      <c r="Z981" s="2">
        <v>64</v>
      </c>
      <c r="AA981" s="2">
        <f>ProductionData[[#This Row],[Rejected_Qty]]*ProductionData[[#This Row],[Unit_Cost_INR]]</f>
        <v>5056</v>
      </c>
      <c r="AB981" s="4">
        <v>9547</v>
      </c>
      <c r="AC981" s="4">
        <v>3500</v>
      </c>
      <c r="AD981" s="4">
        <v>3500</v>
      </c>
      <c r="AE981" s="4">
        <v>9328</v>
      </c>
      <c r="AF981" s="4">
        <v>5250</v>
      </c>
    </row>
    <row r="982" spans="1:32">
      <c r="A982" s="2" t="s">
        <v>2093</v>
      </c>
      <c r="B982" s="3">
        <v>46183</v>
      </c>
      <c r="C982" s="36" t="s">
        <v>1459</v>
      </c>
      <c r="D982" s="2">
        <f>MONTH(ProductionData[[#This Row],[Month]])</f>
        <v>6</v>
      </c>
      <c r="E982" s="2" t="s">
        <v>79</v>
      </c>
      <c r="F982" s="2" t="s">
        <v>80</v>
      </c>
      <c r="G982" s="2" t="s">
        <v>81</v>
      </c>
      <c r="H982" s="2" t="s">
        <v>82</v>
      </c>
      <c r="I982" s="2" t="s">
        <v>83</v>
      </c>
      <c r="J982" s="2" t="s">
        <v>721</v>
      </c>
      <c r="K982" s="2" t="s">
        <v>722</v>
      </c>
      <c r="L982" s="2" t="s">
        <v>2094</v>
      </c>
      <c r="M982" s="2" t="s">
        <v>102</v>
      </c>
      <c r="N982" s="2" t="s">
        <v>96</v>
      </c>
      <c r="O982" s="2">
        <v>18</v>
      </c>
      <c r="P982" s="2">
        <v>16</v>
      </c>
      <c r="Q982" s="4">
        <v>3520</v>
      </c>
      <c r="R982" s="4">
        <v>3280</v>
      </c>
      <c r="S982" s="4">
        <v>103</v>
      </c>
      <c r="T982" s="19">
        <f>(ProductionData[[#This Row],[Rejected_Qty]])/ProductionData[[#This Row],[Produced_Qty]]</f>
        <v>3.1402439024390244E-2</v>
      </c>
      <c r="U982" s="19">
        <f>ProductionData[[#This Row],[Produced_Qty]]/ProductionData[[#This Row],[Planned_Qty]]</f>
        <v>0.93181818181818177</v>
      </c>
      <c r="V982" s="2" t="s">
        <v>89</v>
      </c>
      <c r="W982" s="11">
        <v>15</v>
      </c>
      <c r="X982" s="13">
        <f>W982/60</f>
        <v>0.25</v>
      </c>
      <c r="Y982" s="2" t="s">
        <v>110</v>
      </c>
      <c r="Z982" s="2">
        <v>64</v>
      </c>
      <c r="AA982" s="2">
        <f>ProductionData[[#This Row],[Rejected_Qty]]*ProductionData[[#This Row],[Unit_Cost_INR]]</f>
        <v>6592</v>
      </c>
      <c r="AB982" s="4">
        <v>9393</v>
      </c>
      <c r="AC982" s="4">
        <v>3330</v>
      </c>
      <c r="AD982" s="4">
        <v>3330</v>
      </c>
      <c r="AE982" s="4">
        <v>9240</v>
      </c>
      <c r="AF982" s="4">
        <v>5250</v>
      </c>
    </row>
    <row r="983" spans="1:32">
      <c r="A983" s="2" t="s">
        <v>2095</v>
      </c>
      <c r="B983" s="3">
        <v>46191</v>
      </c>
      <c r="C983" s="36" t="s">
        <v>1459</v>
      </c>
      <c r="D983" s="2">
        <f>MONTH(ProductionData[[#This Row],[Month]])</f>
        <v>6</v>
      </c>
      <c r="E983" s="2" t="s">
        <v>107</v>
      </c>
      <c r="F983" s="2" t="s">
        <v>66</v>
      </c>
      <c r="G983" s="2" t="s">
        <v>81</v>
      </c>
      <c r="H983" s="2" t="s">
        <v>82</v>
      </c>
      <c r="I983" s="2" t="s">
        <v>83</v>
      </c>
      <c r="J983" s="2" t="s">
        <v>721</v>
      </c>
      <c r="K983" s="2" t="s">
        <v>722</v>
      </c>
      <c r="L983" s="2" t="s">
        <v>2096</v>
      </c>
      <c r="M983" s="2" t="s">
        <v>73</v>
      </c>
      <c r="N983" s="2" t="s">
        <v>88</v>
      </c>
      <c r="O983" s="2">
        <v>18</v>
      </c>
      <c r="P983" s="2">
        <v>18</v>
      </c>
      <c r="Q983" s="4">
        <v>3730</v>
      </c>
      <c r="R983" s="4">
        <v>3790</v>
      </c>
      <c r="S983" s="4">
        <v>65</v>
      </c>
      <c r="T983" s="19">
        <f>(ProductionData[[#This Row],[Rejected_Qty]])/ProductionData[[#This Row],[Produced_Qty]]</f>
        <v>1.7150395778364115E-2</v>
      </c>
      <c r="U983" s="19">
        <f>ProductionData[[#This Row],[Produced_Qty]]/ProductionData[[#This Row],[Planned_Qty]]</f>
        <v>1.0160857908847185</v>
      </c>
      <c r="V983" s="2" t="s">
        <v>89</v>
      </c>
      <c r="W983" s="11">
        <v>50</v>
      </c>
      <c r="X983" s="13">
        <f>W983/60</f>
        <v>0.83333333333333337</v>
      </c>
      <c r="Y983" s="2" t="s">
        <v>136</v>
      </c>
      <c r="Z983" s="2">
        <v>64</v>
      </c>
      <c r="AA983" s="2">
        <f>ProductionData[[#This Row],[Rejected_Qty]]*ProductionData[[#This Row],[Unit_Cost_INR]]</f>
        <v>4160</v>
      </c>
      <c r="AB983" s="4">
        <v>8635</v>
      </c>
      <c r="AC983" s="4">
        <v>3270</v>
      </c>
      <c r="AD983" s="4">
        <v>3270</v>
      </c>
      <c r="AE983" s="4">
        <v>9090</v>
      </c>
      <c r="AF983" s="4">
        <v>5250</v>
      </c>
    </row>
    <row r="984" spans="1:32">
      <c r="A984" s="2" t="s">
        <v>2097</v>
      </c>
      <c r="B984" s="3">
        <v>46191</v>
      </c>
      <c r="C984" s="36" t="s">
        <v>1459</v>
      </c>
      <c r="D984" s="2">
        <f>MONTH(ProductionData[[#This Row],[Month]])</f>
        <v>6</v>
      </c>
      <c r="E984" s="2" t="s">
        <v>107</v>
      </c>
      <c r="F984" s="2" t="s">
        <v>93</v>
      </c>
      <c r="G984" s="2" t="s">
        <v>81</v>
      </c>
      <c r="H984" s="2" t="s">
        <v>82</v>
      </c>
      <c r="I984" s="2" t="s">
        <v>83</v>
      </c>
      <c r="J984" s="2" t="s">
        <v>721</v>
      </c>
      <c r="K984" s="2" t="s">
        <v>722</v>
      </c>
      <c r="L984" s="2" t="s">
        <v>2098</v>
      </c>
      <c r="M984" s="2" t="s">
        <v>133</v>
      </c>
      <c r="N984" s="2" t="s">
        <v>96</v>
      </c>
      <c r="O984" s="2">
        <v>18</v>
      </c>
      <c r="P984" s="2">
        <v>15</v>
      </c>
      <c r="Q984" s="4">
        <v>3190</v>
      </c>
      <c r="R984" s="4">
        <v>2850</v>
      </c>
      <c r="S984" s="4">
        <v>33</v>
      </c>
      <c r="T984" s="19">
        <f>(ProductionData[[#This Row],[Rejected_Qty]])/ProductionData[[#This Row],[Produced_Qty]]</f>
        <v>1.1578947368421053E-2</v>
      </c>
      <c r="U984" s="19">
        <f>ProductionData[[#This Row],[Produced_Qty]]/ProductionData[[#This Row],[Planned_Qty]]</f>
        <v>0.89341692789968652</v>
      </c>
      <c r="V984" s="2" t="s">
        <v>103</v>
      </c>
      <c r="W984" s="11">
        <v>73</v>
      </c>
      <c r="X984" s="13">
        <f>W984/60</f>
        <v>1.2166666666666666</v>
      </c>
      <c r="Y984" s="2" t="s">
        <v>136</v>
      </c>
      <c r="Z984" s="2">
        <v>64</v>
      </c>
      <c r="AA984" s="2">
        <f>ProductionData[[#This Row],[Rejected_Qty]]*ProductionData[[#This Row],[Unit_Cost_INR]]</f>
        <v>2112</v>
      </c>
      <c r="AB984" s="4">
        <v>9090</v>
      </c>
      <c r="AC984" s="4">
        <v>2880</v>
      </c>
      <c r="AD984" s="4">
        <v>2880</v>
      </c>
      <c r="AE984" s="4">
        <v>9027</v>
      </c>
      <c r="AF984" s="4">
        <v>5250</v>
      </c>
    </row>
    <row r="985" spans="1:32">
      <c r="A985" s="2" t="s">
        <v>2099</v>
      </c>
      <c r="B985" s="3">
        <v>46203</v>
      </c>
      <c r="C985" s="36" t="s">
        <v>1459</v>
      </c>
      <c r="D985" s="2">
        <f>MONTH(ProductionData[[#This Row],[Month]])</f>
        <v>6</v>
      </c>
      <c r="E985" s="2" t="s">
        <v>92</v>
      </c>
      <c r="F985" s="2" t="s">
        <v>66</v>
      </c>
      <c r="G985" s="2" t="s">
        <v>81</v>
      </c>
      <c r="H985" s="2" t="s">
        <v>82</v>
      </c>
      <c r="I985" s="2" t="s">
        <v>83</v>
      </c>
      <c r="J985" s="2" t="s">
        <v>721</v>
      </c>
      <c r="K985" s="2" t="s">
        <v>722</v>
      </c>
      <c r="L985" s="2" t="s">
        <v>2100</v>
      </c>
      <c r="M985" s="2" t="s">
        <v>99</v>
      </c>
      <c r="N985" s="2" t="s">
        <v>88</v>
      </c>
      <c r="O985" s="2">
        <v>18</v>
      </c>
      <c r="P985" s="2">
        <v>16</v>
      </c>
      <c r="Q985" s="4">
        <v>3540</v>
      </c>
      <c r="R985" s="4">
        <v>3310</v>
      </c>
      <c r="S985" s="4">
        <v>62</v>
      </c>
      <c r="T985" s="19">
        <f>(ProductionData[[#This Row],[Rejected_Qty]])/ProductionData[[#This Row],[Produced_Qty]]</f>
        <v>1.8731117824773415E-2</v>
      </c>
      <c r="U985" s="19">
        <f>ProductionData[[#This Row],[Produced_Qty]]/ProductionData[[#This Row],[Planned_Qty]]</f>
        <v>0.93502824858757061</v>
      </c>
      <c r="V985" s="2" t="s">
        <v>109</v>
      </c>
      <c r="W985" s="11">
        <v>0</v>
      </c>
      <c r="X985" s="13">
        <f>W985/60</f>
        <v>0</v>
      </c>
      <c r="Y985" s="2" t="s">
        <v>90</v>
      </c>
      <c r="Z985" s="2">
        <v>64</v>
      </c>
      <c r="AA985" s="2">
        <f>ProductionData[[#This Row],[Rejected_Qty]]*ProductionData[[#This Row],[Unit_Cost_INR]]</f>
        <v>3968</v>
      </c>
      <c r="AB985" s="4">
        <v>8951</v>
      </c>
      <c r="AC985" s="4">
        <v>3180</v>
      </c>
      <c r="AD985" s="4">
        <v>3180</v>
      </c>
      <c r="AE985" s="4">
        <v>9019</v>
      </c>
      <c r="AF985" s="4">
        <v>5250</v>
      </c>
    </row>
    <row r="986" spans="1:32">
      <c r="A986" s="2" t="s">
        <v>2101</v>
      </c>
      <c r="B986" s="3">
        <v>46197</v>
      </c>
      <c r="C986" s="36" t="s">
        <v>1459</v>
      </c>
      <c r="D986" s="2">
        <f>MONTH(ProductionData[[#This Row],[Month]])</f>
        <v>6</v>
      </c>
      <c r="E986" s="2" t="s">
        <v>79</v>
      </c>
      <c r="F986" s="2" t="s">
        <v>66</v>
      </c>
      <c r="G986" s="2" t="s">
        <v>81</v>
      </c>
      <c r="H986" s="2" t="s">
        <v>82</v>
      </c>
      <c r="I986" s="2" t="s">
        <v>83</v>
      </c>
      <c r="J986" s="2" t="s">
        <v>721</v>
      </c>
      <c r="K986" s="2" t="s">
        <v>722</v>
      </c>
      <c r="L986" s="2" t="s">
        <v>2102</v>
      </c>
      <c r="M986" s="2" t="s">
        <v>73</v>
      </c>
      <c r="N986" s="2" t="s">
        <v>96</v>
      </c>
      <c r="O986" s="2">
        <v>18</v>
      </c>
      <c r="P986" s="2">
        <v>18</v>
      </c>
      <c r="Q986" s="4">
        <v>3460</v>
      </c>
      <c r="R986" s="4">
        <v>3390</v>
      </c>
      <c r="S986" s="4">
        <v>44</v>
      </c>
      <c r="T986" s="19">
        <f>(ProductionData[[#This Row],[Rejected_Qty]])/ProductionData[[#This Row],[Produced_Qty]]</f>
        <v>1.2979351032448377E-2</v>
      </c>
      <c r="U986" s="19">
        <f>ProductionData[[#This Row],[Produced_Qty]]/ProductionData[[#This Row],[Planned_Qty]]</f>
        <v>0.97976878612716767</v>
      </c>
      <c r="V986" s="2" t="s">
        <v>75</v>
      </c>
      <c r="W986" s="11">
        <v>0</v>
      </c>
      <c r="X986" s="13">
        <f>W986/60</f>
        <v>0</v>
      </c>
      <c r="Y986" s="2" t="s">
        <v>90</v>
      </c>
      <c r="Z986" s="2">
        <v>64</v>
      </c>
      <c r="AA986" s="2">
        <f>ProductionData[[#This Row],[Rejected_Qty]]*ProductionData[[#This Row],[Unit_Cost_INR]]</f>
        <v>2816</v>
      </c>
      <c r="AB986" s="4">
        <v>8912</v>
      </c>
      <c r="AC986" s="4">
        <v>3270</v>
      </c>
      <c r="AD986" s="4">
        <v>3270</v>
      </c>
      <c r="AE986" s="4">
        <v>8988</v>
      </c>
      <c r="AF986" s="4">
        <v>5250</v>
      </c>
    </row>
    <row r="987" spans="1:32">
      <c r="A987" s="2" t="s">
        <v>2103</v>
      </c>
      <c r="B987" s="3">
        <v>46198</v>
      </c>
      <c r="C987" s="36" t="s">
        <v>1459</v>
      </c>
      <c r="D987" s="2">
        <f>MONTH(ProductionData[[#This Row],[Month]])</f>
        <v>6</v>
      </c>
      <c r="E987" s="2" t="s">
        <v>107</v>
      </c>
      <c r="F987" s="2" t="s">
        <v>80</v>
      </c>
      <c r="G987" s="2" t="s">
        <v>81</v>
      </c>
      <c r="H987" s="2" t="s">
        <v>82</v>
      </c>
      <c r="I987" s="2" t="s">
        <v>83</v>
      </c>
      <c r="J987" s="2" t="s">
        <v>721</v>
      </c>
      <c r="K987" s="2" t="s">
        <v>722</v>
      </c>
      <c r="L987" s="2" t="s">
        <v>2104</v>
      </c>
      <c r="M987" s="2" t="s">
        <v>102</v>
      </c>
      <c r="N987" s="2" t="s">
        <v>88</v>
      </c>
      <c r="O987" s="2">
        <v>18</v>
      </c>
      <c r="P987" s="2">
        <v>18</v>
      </c>
      <c r="Q987" s="4">
        <v>3370</v>
      </c>
      <c r="R987" s="4">
        <v>3500</v>
      </c>
      <c r="S987" s="4">
        <v>115</v>
      </c>
      <c r="T987" s="19">
        <f>(ProductionData[[#This Row],[Rejected_Qty]])/ProductionData[[#This Row],[Produced_Qty]]</f>
        <v>3.2857142857142856E-2</v>
      </c>
      <c r="U987" s="19">
        <f>ProductionData[[#This Row],[Produced_Qty]]/ProductionData[[#This Row],[Planned_Qty]]</f>
        <v>1.0385756676557865</v>
      </c>
      <c r="V987" s="2" t="s">
        <v>103</v>
      </c>
      <c r="W987" s="11">
        <v>11</v>
      </c>
      <c r="X987" s="13">
        <f>W987/60</f>
        <v>0.18333333333333332</v>
      </c>
      <c r="Y987" s="2" t="s">
        <v>110</v>
      </c>
      <c r="Z987" s="2">
        <v>64</v>
      </c>
      <c r="AA987" s="2">
        <f>ProductionData[[#This Row],[Rejected_Qty]]*ProductionData[[#This Row],[Unit_Cost_INR]]</f>
        <v>7360</v>
      </c>
      <c r="AB987" s="4">
        <v>8896</v>
      </c>
      <c r="AC987" s="4">
        <v>3330</v>
      </c>
      <c r="AD987" s="4">
        <v>3330</v>
      </c>
      <c r="AE987" s="4">
        <v>8951</v>
      </c>
      <c r="AF987" s="4">
        <v>5250</v>
      </c>
    </row>
    <row r="988" spans="1:32">
      <c r="A988" s="2" t="s">
        <v>2105</v>
      </c>
      <c r="B988" s="3">
        <v>46196</v>
      </c>
      <c r="C988" s="36" t="s">
        <v>1459</v>
      </c>
      <c r="D988" s="2">
        <f>MONTH(ProductionData[[#This Row],[Month]])</f>
        <v>6</v>
      </c>
      <c r="E988" s="2" t="s">
        <v>92</v>
      </c>
      <c r="F988" s="2" t="s">
        <v>80</v>
      </c>
      <c r="G988" s="2" t="s">
        <v>81</v>
      </c>
      <c r="H988" s="2" t="s">
        <v>82</v>
      </c>
      <c r="I988" s="2" t="s">
        <v>83</v>
      </c>
      <c r="J988" s="2" t="s">
        <v>721</v>
      </c>
      <c r="K988" s="2" t="s">
        <v>722</v>
      </c>
      <c r="L988" s="2" t="s">
        <v>2106</v>
      </c>
      <c r="M988" s="2" t="s">
        <v>87</v>
      </c>
      <c r="N988" s="2" t="s">
        <v>96</v>
      </c>
      <c r="O988" s="2">
        <v>18</v>
      </c>
      <c r="P988" s="2">
        <v>18</v>
      </c>
      <c r="Q988" s="4">
        <v>3580</v>
      </c>
      <c r="R988" s="4">
        <v>3400</v>
      </c>
      <c r="S988" s="4">
        <v>115</v>
      </c>
      <c r="T988" s="19">
        <f>(ProductionData[[#This Row],[Rejected_Qty]])/ProductionData[[#This Row],[Produced_Qty]]</f>
        <v>3.3823529411764704E-2</v>
      </c>
      <c r="U988" s="19">
        <f>ProductionData[[#This Row],[Produced_Qty]]/ProductionData[[#This Row],[Planned_Qty]]</f>
        <v>0.94972067039106145</v>
      </c>
      <c r="V988" s="2" t="s">
        <v>113</v>
      </c>
      <c r="W988" s="11">
        <v>22</v>
      </c>
      <c r="X988" s="13">
        <f>W988/60</f>
        <v>0.36666666666666664</v>
      </c>
      <c r="Y988" s="2" t="s">
        <v>76</v>
      </c>
      <c r="Z988" s="2">
        <v>64</v>
      </c>
      <c r="AA988" s="2">
        <f>ProductionData[[#This Row],[Rejected_Qty]]*ProductionData[[#This Row],[Unit_Cost_INR]]</f>
        <v>7360</v>
      </c>
      <c r="AB988" s="4">
        <v>9027</v>
      </c>
      <c r="AC988" s="4">
        <v>3400</v>
      </c>
      <c r="AD988" s="4">
        <v>3400</v>
      </c>
      <c r="AE988" s="4">
        <v>8912</v>
      </c>
      <c r="AF988" s="4">
        <v>5250</v>
      </c>
    </row>
    <row r="989" spans="1:32">
      <c r="A989" s="2" t="s">
        <v>2107</v>
      </c>
      <c r="B989" s="3">
        <v>46185</v>
      </c>
      <c r="C989" s="36" t="s">
        <v>1459</v>
      </c>
      <c r="D989" s="2">
        <f>MONTH(ProductionData[[#This Row],[Month]])</f>
        <v>6</v>
      </c>
      <c r="E989" s="2" t="s">
        <v>125</v>
      </c>
      <c r="F989" s="2" t="s">
        <v>93</v>
      </c>
      <c r="G989" s="2" t="s">
        <v>81</v>
      </c>
      <c r="H989" s="2" t="s">
        <v>82</v>
      </c>
      <c r="I989" s="2" t="s">
        <v>83</v>
      </c>
      <c r="J989" s="2" t="s">
        <v>721</v>
      </c>
      <c r="K989" s="2" t="s">
        <v>722</v>
      </c>
      <c r="L989" s="2" t="s">
        <v>2108</v>
      </c>
      <c r="M989" s="2" t="s">
        <v>95</v>
      </c>
      <c r="N989" s="2" t="s">
        <v>96</v>
      </c>
      <c r="O989" s="2">
        <v>18</v>
      </c>
      <c r="P989" s="2">
        <v>18</v>
      </c>
      <c r="Q989" s="4">
        <v>3360</v>
      </c>
      <c r="R989" s="4">
        <v>3280</v>
      </c>
      <c r="S989" s="4">
        <v>59</v>
      </c>
      <c r="T989" s="19">
        <f>(ProductionData[[#This Row],[Rejected_Qty]])/ProductionData[[#This Row],[Produced_Qty]]</f>
        <v>1.7987804878048779E-2</v>
      </c>
      <c r="U989" s="19">
        <f>ProductionData[[#This Row],[Produced_Qty]]/ProductionData[[#This Row],[Planned_Qty]]</f>
        <v>0.97619047619047616</v>
      </c>
      <c r="V989" s="2" t="s">
        <v>103</v>
      </c>
      <c r="W989" s="11">
        <v>0</v>
      </c>
      <c r="X989" s="13">
        <f>W989/60</f>
        <v>0</v>
      </c>
      <c r="Y989" s="2" t="s">
        <v>90</v>
      </c>
      <c r="Z989" s="2">
        <v>64</v>
      </c>
      <c r="AA989" s="2">
        <f>ProductionData[[#This Row],[Rejected_Qty]]*ProductionData[[#This Row],[Unit_Cost_INR]]</f>
        <v>3776</v>
      </c>
      <c r="AB989" s="4">
        <v>8760</v>
      </c>
      <c r="AC989" s="4">
        <v>3080</v>
      </c>
      <c r="AD989" s="4">
        <v>3080</v>
      </c>
      <c r="AE989" s="4">
        <v>8901</v>
      </c>
      <c r="AF989" s="4">
        <v>5250</v>
      </c>
    </row>
    <row r="990" spans="1:32">
      <c r="A990" s="2" t="s">
        <v>2109</v>
      </c>
      <c r="B990" s="3">
        <v>46197</v>
      </c>
      <c r="C990" s="36" t="s">
        <v>1459</v>
      </c>
      <c r="D990" s="2">
        <f>MONTH(ProductionData[[#This Row],[Month]])</f>
        <v>6</v>
      </c>
      <c r="E990" s="2" t="s">
        <v>79</v>
      </c>
      <c r="F990" s="2" t="s">
        <v>93</v>
      </c>
      <c r="G990" s="2" t="s">
        <v>81</v>
      </c>
      <c r="H990" s="2" t="s">
        <v>82</v>
      </c>
      <c r="I990" s="2" t="s">
        <v>83</v>
      </c>
      <c r="J990" s="2" t="s">
        <v>721</v>
      </c>
      <c r="K990" s="2" t="s">
        <v>722</v>
      </c>
      <c r="L990" s="2" t="s">
        <v>2110</v>
      </c>
      <c r="M990" s="2" t="s">
        <v>95</v>
      </c>
      <c r="N990" s="2" t="s">
        <v>88</v>
      </c>
      <c r="O990" s="2">
        <v>18</v>
      </c>
      <c r="P990" s="2">
        <v>16</v>
      </c>
      <c r="Q990" s="4">
        <v>3530</v>
      </c>
      <c r="R990" s="4">
        <v>3160</v>
      </c>
      <c r="S990" s="4">
        <v>84</v>
      </c>
      <c r="T990" s="19">
        <f>(ProductionData[[#This Row],[Rejected_Qty]])/ProductionData[[#This Row],[Produced_Qty]]</f>
        <v>2.6582278481012658E-2</v>
      </c>
      <c r="U990" s="19">
        <f>ProductionData[[#This Row],[Produced_Qty]]/ProductionData[[#This Row],[Planned_Qty]]</f>
        <v>0.89518413597733715</v>
      </c>
      <c r="V990" s="2" t="s">
        <v>75</v>
      </c>
      <c r="W990" s="11">
        <v>57</v>
      </c>
      <c r="X990" s="13">
        <f>W990/60</f>
        <v>0.95</v>
      </c>
      <c r="Y990" s="2" t="s">
        <v>182</v>
      </c>
      <c r="Z990" s="2">
        <v>64</v>
      </c>
      <c r="AA990" s="2">
        <f>ProductionData[[#This Row],[Rejected_Qty]]*ProductionData[[#This Row],[Unit_Cost_INR]]</f>
        <v>5376</v>
      </c>
      <c r="AB990" s="4">
        <v>8670</v>
      </c>
      <c r="AC990" s="4">
        <v>2850</v>
      </c>
      <c r="AD990" s="4">
        <v>2850</v>
      </c>
      <c r="AE990" s="4">
        <v>8896</v>
      </c>
      <c r="AF990" s="4">
        <v>5250</v>
      </c>
    </row>
    <row r="991" spans="1:32">
      <c r="A991" s="2" t="s">
        <v>2111</v>
      </c>
      <c r="B991" s="3">
        <v>46187</v>
      </c>
      <c r="C991" s="36" t="s">
        <v>1459</v>
      </c>
      <c r="D991" s="2">
        <f>MONTH(ProductionData[[#This Row],[Month]])</f>
        <v>6</v>
      </c>
      <c r="E991" s="2" t="s">
        <v>186</v>
      </c>
      <c r="F991" s="2" t="s">
        <v>80</v>
      </c>
      <c r="G991" s="2" t="s">
        <v>81</v>
      </c>
      <c r="H991" s="2" t="s">
        <v>82</v>
      </c>
      <c r="I991" s="2" t="s">
        <v>83</v>
      </c>
      <c r="J991" s="2" t="s">
        <v>721</v>
      </c>
      <c r="K991" s="2" t="s">
        <v>722</v>
      </c>
      <c r="L991" s="2" t="s">
        <v>2112</v>
      </c>
      <c r="M991" s="2" t="s">
        <v>102</v>
      </c>
      <c r="N991" s="2" t="s">
        <v>88</v>
      </c>
      <c r="O991" s="2">
        <v>18</v>
      </c>
      <c r="P991" s="2">
        <v>16</v>
      </c>
      <c r="Q991" s="4">
        <v>2520</v>
      </c>
      <c r="R991" s="4">
        <v>2380</v>
      </c>
      <c r="S991" s="4">
        <v>74</v>
      </c>
      <c r="T991" s="19">
        <f>(ProductionData[[#This Row],[Rejected_Qty]])/ProductionData[[#This Row],[Produced_Qty]]</f>
        <v>3.1092436974789917E-2</v>
      </c>
      <c r="U991" s="19">
        <f>ProductionData[[#This Row],[Produced_Qty]]/ProductionData[[#This Row],[Planned_Qty]]</f>
        <v>0.94444444444444442</v>
      </c>
      <c r="V991" s="2" t="s">
        <v>75</v>
      </c>
      <c r="W991" s="11">
        <v>0</v>
      </c>
      <c r="X991" s="13">
        <f>W991/60</f>
        <v>0</v>
      </c>
      <c r="Y991" s="2" t="s">
        <v>90</v>
      </c>
      <c r="Z991" s="2">
        <v>64</v>
      </c>
      <c r="AA991" s="2">
        <f>ProductionData[[#This Row],[Rejected_Qty]]*ProductionData[[#This Row],[Unit_Cost_INR]]</f>
        <v>4736</v>
      </c>
      <c r="AB991" s="4">
        <v>8818</v>
      </c>
      <c r="AC991" s="4">
        <v>2300</v>
      </c>
      <c r="AD991" s="4">
        <v>2300</v>
      </c>
      <c r="AE991" s="4">
        <v>8824</v>
      </c>
      <c r="AF991" s="4">
        <v>5250</v>
      </c>
    </row>
    <row r="992" spans="1:32">
      <c r="A992" s="2" t="s">
        <v>2113</v>
      </c>
      <c r="B992" s="3">
        <v>46186</v>
      </c>
      <c r="C992" s="36" t="s">
        <v>1459</v>
      </c>
      <c r="D992" s="2">
        <f>MONTH(ProductionData[[#This Row],[Month]])</f>
        <v>6</v>
      </c>
      <c r="E992" s="2" t="s">
        <v>65</v>
      </c>
      <c r="F992" s="2" t="s">
        <v>80</v>
      </c>
      <c r="G992" s="2" t="s">
        <v>81</v>
      </c>
      <c r="H992" s="2" t="s">
        <v>82</v>
      </c>
      <c r="I992" s="2" t="s">
        <v>83</v>
      </c>
      <c r="J992" s="2" t="s">
        <v>721</v>
      </c>
      <c r="K992" s="2" t="s">
        <v>722</v>
      </c>
      <c r="L992" s="2" t="s">
        <v>2114</v>
      </c>
      <c r="M992" s="2" t="s">
        <v>87</v>
      </c>
      <c r="N992" s="2" t="s">
        <v>96</v>
      </c>
      <c r="O992" s="2">
        <v>18</v>
      </c>
      <c r="P992" s="2">
        <v>18</v>
      </c>
      <c r="Q992" s="4">
        <v>3350</v>
      </c>
      <c r="R992" s="4">
        <v>3150</v>
      </c>
      <c r="S992" s="4">
        <v>33</v>
      </c>
      <c r="T992" s="19">
        <f>(ProductionData[[#This Row],[Rejected_Qty]])/ProductionData[[#This Row],[Produced_Qty]]</f>
        <v>1.0476190476190476E-2</v>
      </c>
      <c r="U992" s="19">
        <f>ProductionData[[#This Row],[Produced_Qty]]/ProductionData[[#This Row],[Planned_Qty]]</f>
        <v>0.94029850746268662</v>
      </c>
      <c r="V992" s="2" t="s">
        <v>75</v>
      </c>
      <c r="W992" s="11">
        <v>0</v>
      </c>
      <c r="X992" s="13">
        <f>W992/60</f>
        <v>0</v>
      </c>
      <c r="Y992" s="2" t="s">
        <v>90</v>
      </c>
      <c r="Z992" s="2">
        <v>64</v>
      </c>
      <c r="AA992" s="2">
        <f>ProductionData[[#This Row],[Rejected_Qty]]*ProductionData[[#This Row],[Unit_Cost_INR]]</f>
        <v>2112</v>
      </c>
      <c r="AB992" s="4">
        <v>8901</v>
      </c>
      <c r="AC992" s="4">
        <v>3200</v>
      </c>
      <c r="AD992" s="4">
        <v>3200</v>
      </c>
      <c r="AE992" s="4">
        <v>8818</v>
      </c>
      <c r="AF992" s="4">
        <v>5250</v>
      </c>
    </row>
    <row r="993" spans="1:32">
      <c r="A993" s="2" t="s">
        <v>2115</v>
      </c>
      <c r="B993" s="3">
        <v>46190</v>
      </c>
      <c r="C993" s="36" t="s">
        <v>1459</v>
      </c>
      <c r="D993" s="2">
        <f>MONTH(ProductionData[[#This Row],[Month]])</f>
        <v>6</v>
      </c>
      <c r="E993" s="2" t="s">
        <v>79</v>
      </c>
      <c r="F993" s="2" t="s">
        <v>80</v>
      </c>
      <c r="G993" s="2" t="s">
        <v>81</v>
      </c>
      <c r="H993" s="2" t="s">
        <v>82</v>
      </c>
      <c r="I993" s="2" t="s">
        <v>83</v>
      </c>
      <c r="J993" s="2" t="s">
        <v>721</v>
      </c>
      <c r="K993" s="2" t="s">
        <v>722</v>
      </c>
      <c r="L993" s="2" t="s">
        <v>2116</v>
      </c>
      <c r="M993" s="2" t="s">
        <v>87</v>
      </c>
      <c r="N993" s="2" t="s">
        <v>88</v>
      </c>
      <c r="O993" s="2">
        <v>18</v>
      </c>
      <c r="P993" s="2">
        <v>16</v>
      </c>
      <c r="Q993" s="4">
        <v>3240</v>
      </c>
      <c r="R993" s="4">
        <v>2950</v>
      </c>
      <c r="S993" s="4">
        <v>78</v>
      </c>
      <c r="T993" s="19">
        <f>(ProductionData[[#This Row],[Rejected_Qty]])/ProductionData[[#This Row],[Produced_Qty]]</f>
        <v>2.6440677966101694E-2</v>
      </c>
      <c r="U993" s="19">
        <f>ProductionData[[#This Row],[Produced_Qty]]/ProductionData[[#This Row],[Planned_Qty]]</f>
        <v>0.91049382716049387</v>
      </c>
      <c r="V993" s="2" t="s">
        <v>103</v>
      </c>
      <c r="W993" s="11">
        <v>0</v>
      </c>
      <c r="X993" s="13">
        <f>W993/60</f>
        <v>0</v>
      </c>
      <c r="Y993" s="2" t="s">
        <v>90</v>
      </c>
      <c r="Z993" s="2">
        <v>64</v>
      </c>
      <c r="AA993" s="2">
        <f>ProductionData[[#This Row],[Rejected_Qty]]*ProductionData[[#This Row],[Unit_Cost_INR]]</f>
        <v>4992</v>
      </c>
      <c r="AB993" s="4">
        <v>8372</v>
      </c>
      <c r="AC993" s="4">
        <v>2440</v>
      </c>
      <c r="AD993" s="4">
        <v>2440</v>
      </c>
      <c r="AE993" s="4">
        <v>8804</v>
      </c>
      <c r="AF993" s="4">
        <v>5250</v>
      </c>
    </row>
    <row r="994" spans="1:32">
      <c r="A994" s="2" t="s">
        <v>2117</v>
      </c>
      <c r="B994" s="3">
        <v>46183</v>
      </c>
      <c r="C994" s="36" t="s">
        <v>1459</v>
      </c>
      <c r="D994" s="2">
        <f>MONTH(ProductionData[[#This Row],[Month]])</f>
        <v>6</v>
      </c>
      <c r="E994" s="2" t="s">
        <v>79</v>
      </c>
      <c r="F994" s="2" t="s">
        <v>93</v>
      </c>
      <c r="G994" s="2" t="s">
        <v>81</v>
      </c>
      <c r="H994" s="2" t="s">
        <v>82</v>
      </c>
      <c r="I994" s="2" t="s">
        <v>83</v>
      </c>
      <c r="J994" s="2" t="s">
        <v>721</v>
      </c>
      <c r="K994" s="2" t="s">
        <v>722</v>
      </c>
      <c r="L994" s="2" t="s">
        <v>2118</v>
      </c>
      <c r="M994" s="2" t="s">
        <v>133</v>
      </c>
      <c r="N994" s="2" t="s">
        <v>96</v>
      </c>
      <c r="O994" s="2">
        <v>18</v>
      </c>
      <c r="P994" s="2">
        <v>14</v>
      </c>
      <c r="Q994" s="4">
        <v>3170</v>
      </c>
      <c r="R994" s="4">
        <v>2840</v>
      </c>
      <c r="S994" s="4">
        <v>90</v>
      </c>
      <c r="T994" s="19">
        <f>(ProductionData[[#This Row],[Rejected_Qty]])/ProductionData[[#This Row],[Produced_Qty]]</f>
        <v>3.1690140845070422E-2</v>
      </c>
      <c r="U994" s="19">
        <f>ProductionData[[#This Row],[Produced_Qty]]/ProductionData[[#This Row],[Planned_Qty]]</f>
        <v>0.89589905362776023</v>
      </c>
      <c r="V994" s="2" t="s">
        <v>103</v>
      </c>
      <c r="W994" s="11">
        <v>31</v>
      </c>
      <c r="X994" s="13">
        <f>W994/60</f>
        <v>0.51666666666666672</v>
      </c>
      <c r="Y994" s="2" t="s">
        <v>76</v>
      </c>
      <c r="Z994" s="2">
        <v>64</v>
      </c>
      <c r="AA994" s="2">
        <f>ProductionData[[#This Row],[Rejected_Qty]]*ProductionData[[#This Row],[Unit_Cost_INR]]</f>
        <v>5760</v>
      </c>
      <c r="AB994" s="4">
        <v>9240</v>
      </c>
      <c r="AC994" s="4">
        <v>3230</v>
      </c>
      <c r="AD994" s="4">
        <v>3230</v>
      </c>
      <c r="AE994" s="4">
        <v>8760</v>
      </c>
      <c r="AF994" s="4">
        <v>5250</v>
      </c>
    </row>
    <row r="995" spans="1:32">
      <c r="A995" s="2" t="s">
        <v>2119</v>
      </c>
      <c r="B995" s="3">
        <v>46197</v>
      </c>
      <c r="C995" s="36" t="s">
        <v>1459</v>
      </c>
      <c r="D995" s="2">
        <f>MONTH(ProductionData[[#This Row],[Month]])</f>
        <v>6</v>
      </c>
      <c r="E995" s="2" t="s">
        <v>79</v>
      </c>
      <c r="F995" s="2" t="s">
        <v>80</v>
      </c>
      <c r="G995" s="2" t="s">
        <v>81</v>
      </c>
      <c r="H995" s="2" t="s">
        <v>82</v>
      </c>
      <c r="I995" s="2" t="s">
        <v>83</v>
      </c>
      <c r="J995" s="2" t="s">
        <v>721</v>
      </c>
      <c r="K995" s="2" t="s">
        <v>722</v>
      </c>
      <c r="L995" s="2" t="s">
        <v>2120</v>
      </c>
      <c r="M995" s="2" t="s">
        <v>102</v>
      </c>
      <c r="N995" s="2" t="s">
        <v>96</v>
      </c>
      <c r="O995" s="2">
        <v>18</v>
      </c>
      <c r="P995" s="2">
        <v>16</v>
      </c>
      <c r="Q995" s="4">
        <v>3590</v>
      </c>
      <c r="R995" s="4">
        <v>3240</v>
      </c>
      <c r="S995" s="4">
        <v>58</v>
      </c>
      <c r="T995" s="19">
        <f>(ProductionData[[#This Row],[Rejected_Qty]])/ProductionData[[#This Row],[Produced_Qty]]</f>
        <v>1.7901234567901235E-2</v>
      </c>
      <c r="U995" s="19">
        <f>ProductionData[[#This Row],[Produced_Qty]]/ProductionData[[#This Row],[Planned_Qty]]</f>
        <v>0.90250696378830086</v>
      </c>
      <c r="V995" s="2" t="s">
        <v>103</v>
      </c>
      <c r="W995" s="11">
        <v>0</v>
      </c>
      <c r="X995" s="13">
        <f>W995/60</f>
        <v>0</v>
      </c>
      <c r="Y995" s="2" t="s">
        <v>90</v>
      </c>
      <c r="Z995" s="2">
        <v>64</v>
      </c>
      <c r="AA995" s="2">
        <f>ProductionData[[#This Row],[Rejected_Qty]]*ProductionData[[#This Row],[Unit_Cost_INR]]</f>
        <v>3712</v>
      </c>
      <c r="AB995" s="4">
        <v>8988</v>
      </c>
      <c r="AC995" s="4">
        <v>3500</v>
      </c>
      <c r="AD995" s="4">
        <v>3500</v>
      </c>
      <c r="AE995" s="4">
        <v>8670</v>
      </c>
      <c r="AF995" s="4">
        <v>5250</v>
      </c>
    </row>
    <row r="996" spans="1:32">
      <c r="A996" s="2" t="s">
        <v>2121</v>
      </c>
      <c r="B996" s="3">
        <v>46190</v>
      </c>
      <c r="C996" s="36" t="s">
        <v>1459</v>
      </c>
      <c r="D996" s="2">
        <f>MONTH(ProductionData[[#This Row],[Month]])</f>
        <v>6</v>
      </c>
      <c r="E996" s="2" t="s">
        <v>79</v>
      </c>
      <c r="F996" s="2" t="s">
        <v>93</v>
      </c>
      <c r="G996" s="2" t="s">
        <v>81</v>
      </c>
      <c r="H996" s="2" t="s">
        <v>82</v>
      </c>
      <c r="I996" s="2" t="s">
        <v>83</v>
      </c>
      <c r="J996" s="2" t="s">
        <v>721</v>
      </c>
      <c r="K996" s="2" t="s">
        <v>722</v>
      </c>
      <c r="L996" s="2" t="s">
        <v>2122</v>
      </c>
      <c r="M996" s="2" t="s">
        <v>133</v>
      </c>
      <c r="N996" s="2" t="s">
        <v>96</v>
      </c>
      <c r="O996" s="2">
        <v>18</v>
      </c>
      <c r="P996" s="2">
        <v>16</v>
      </c>
      <c r="Q996" s="4">
        <v>3330</v>
      </c>
      <c r="R996" s="4">
        <v>3110</v>
      </c>
      <c r="S996" s="4">
        <v>19</v>
      </c>
      <c r="T996" s="19">
        <f>(ProductionData[[#This Row],[Rejected_Qty]])/ProductionData[[#This Row],[Produced_Qty]]</f>
        <v>6.1093247588424439E-3</v>
      </c>
      <c r="U996" s="19">
        <f>ProductionData[[#This Row],[Produced_Qty]]/ProductionData[[#This Row],[Planned_Qty]]</f>
        <v>0.93393393393393398</v>
      </c>
      <c r="V996" s="2" t="s">
        <v>103</v>
      </c>
      <c r="W996" s="11">
        <v>56</v>
      </c>
      <c r="X996" s="13">
        <f>W996/60</f>
        <v>0.93333333333333335</v>
      </c>
      <c r="Y996" s="2" t="s">
        <v>76</v>
      </c>
      <c r="Z996" s="2">
        <v>64</v>
      </c>
      <c r="AA996" s="2">
        <f>ProductionData[[#This Row],[Rejected_Qty]]*ProductionData[[#This Row],[Unit_Cost_INR]]</f>
        <v>1216</v>
      </c>
      <c r="AB996" s="4">
        <v>8804</v>
      </c>
      <c r="AC996" s="4">
        <v>3260</v>
      </c>
      <c r="AD996" s="4">
        <v>3260</v>
      </c>
      <c r="AE996" s="4">
        <v>8635</v>
      </c>
      <c r="AF996" s="4">
        <v>5250</v>
      </c>
    </row>
    <row r="997" spans="1:32">
      <c r="A997" s="2" t="s">
        <v>2123</v>
      </c>
      <c r="B997" s="3">
        <v>46188</v>
      </c>
      <c r="C997" s="36" t="s">
        <v>1459</v>
      </c>
      <c r="D997" s="2">
        <f>MONTH(ProductionData[[#This Row],[Month]])</f>
        <v>6</v>
      </c>
      <c r="E997" s="2" t="s">
        <v>116</v>
      </c>
      <c r="F997" s="2" t="s">
        <v>80</v>
      </c>
      <c r="G997" s="2" t="s">
        <v>81</v>
      </c>
      <c r="H997" s="2" t="s">
        <v>82</v>
      </c>
      <c r="I997" s="2" t="s">
        <v>83</v>
      </c>
      <c r="J997" s="2" t="s">
        <v>721</v>
      </c>
      <c r="K997" s="2" t="s">
        <v>722</v>
      </c>
      <c r="L997" s="2" t="s">
        <v>2124</v>
      </c>
      <c r="M997" s="2" t="s">
        <v>87</v>
      </c>
      <c r="N997" s="2" t="s">
        <v>88</v>
      </c>
      <c r="O997" s="2">
        <v>18</v>
      </c>
      <c r="P997" s="2">
        <v>17</v>
      </c>
      <c r="Q997" s="4">
        <v>3710</v>
      </c>
      <c r="R997" s="4">
        <v>3430</v>
      </c>
      <c r="S997" s="4">
        <v>101</v>
      </c>
      <c r="T997" s="19">
        <f>(ProductionData[[#This Row],[Rejected_Qty]])/ProductionData[[#This Row],[Produced_Qty]]</f>
        <v>2.9446064139941691E-2</v>
      </c>
      <c r="U997" s="19">
        <f>ProductionData[[#This Row],[Produced_Qty]]/ProductionData[[#This Row],[Planned_Qty]]</f>
        <v>0.92452830188679247</v>
      </c>
      <c r="V997" s="2" t="s">
        <v>89</v>
      </c>
      <c r="W997" s="11">
        <v>0</v>
      </c>
      <c r="X997" s="13">
        <f>W997/60</f>
        <v>0</v>
      </c>
      <c r="Y997" s="2" t="s">
        <v>90</v>
      </c>
      <c r="Z997" s="2">
        <v>64</v>
      </c>
      <c r="AA997" s="2">
        <f>ProductionData[[#This Row],[Rejected_Qty]]*ProductionData[[#This Row],[Unit_Cost_INR]]</f>
        <v>6464</v>
      </c>
      <c r="AB997" s="4">
        <v>8824</v>
      </c>
      <c r="AC997" s="4">
        <v>3560</v>
      </c>
      <c r="AD997" s="4">
        <v>3560</v>
      </c>
      <c r="AE997" s="4">
        <v>8593</v>
      </c>
      <c r="AF997" s="4">
        <v>5250</v>
      </c>
    </row>
    <row r="998" spans="1:32">
      <c r="A998" s="2" t="s">
        <v>2125</v>
      </c>
      <c r="B998" s="3">
        <v>46189</v>
      </c>
      <c r="C998" s="36" t="s">
        <v>1459</v>
      </c>
      <c r="D998" s="2">
        <f>MONTH(ProductionData[[#This Row],[Month]])</f>
        <v>6</v>
      </c>
      <c r="E998" s="2" t="s">
        <v>92</v>
      </c>
      <c r="F998" s="2" t="s">
        <v>80</v>
      </c>
      <c r="G998" s="2" t="s">
        <v>81</v>
      </c>
      <c r="H998" s="2" t="s">
        <v>82</v>
      </c>
      <c r="I998" s="2" t="s">
        <v>83</v>
      </c>
      <c r="J998" s="2" t="s">
        <v>721</v>
      </c>
      <c r="K998" s="2" t="s">
        <v>722</v>
      </c>
      <c r="L998" s="2" t="s">
        <v>2126</v>
      </c>
      <c r="M998" s="2" t="s">
        <v>102</v>
      </c>
      <c r="N998" s="2" t="s">
        <v>88</v>
      </c>
      <c r="O998" s="2">
        <v>18</v>
      </c>
      <c r="P998" s="2">
        <v>13</v>
      </c>
      <c r="Q998" s="4">
        <v>3240</v>
      </c>
      <c r="R998" s="4">
        <v>2800</v>
      </c>
      <c r="S998" s="4">
        <v>41</v>
      </c>
      <c r="T998" s="19">
        <f>(ProductionData[[#This Row],[Rejected_Qty]])/ProductionData[[#This Row],[Produced_Qty]]</f>
        <v>1.4642857142857143E-2</v>
      </c>
      <c r="U998" s="19">
        <f>ProductionData[[#This Row],[Produced_Qty]]/ProductionData[[#This Row],[Planned_Qty]]</f>
        <v>0.86419753086419748</v>
      </c>
      <c r="V998" s="2" t="s">
        <v>75</v>
      </c>
      <c r="W998" s="11">
        <v>0</v>
      </c>
      <c r="X998" s="13">
        <f>W998/60</f>
        <v>0</v>
      </c>
      <c r="Y998" s="2" t="s">
        <v>90</v>
      </c>
      <c r="Z998" s="2">
        <v>64</v>
      </c>
      <c r="AA998" s="2">
        <f>ProductionData[[#This Row],[Rejected_Qty]]*ProductionData[[#This Row],[Unit_Cost_INR]]</f>
        <v>2624</v>
      </c>
      <c r="AB998" s="4">
        <v>8593</v>
      </c>
      <c r="AC998" s="4">
        <v>2980</v>
      </c>
      <c r="AD998" s="4">
        <v>2980</v>
      </c>
      <c r="AE998" s="4">
        <v>8372</v>
      </c>
      <c r="AF998" s="4">
        <v>5250</v>
      </c>
    </row>
    <row r="999" spans="1:32">
      <c r="A999" s="2" t="s">
        <v>2127</v>
      </c>
      <c r="B999" s="3">
        <v>46234</v>
      </c>
      <c r="C999" s="36" t="s">
        <v>2128</v>
      </c>
      <c r="D999" s="2">
        <f>MONTH(ProductionData[[#This Row],[Month]])</f>
        <v>7</v>
      </c>
      <c r="E999" s="2" t="s">
        <v>125</v>
      </c>
      <c r="F999" s="2" t="s">
        <v>93</v>
      </c>
      <c r="G999" s="2" t="s">
        <v>81</v>
      </c>
      <c r="H999" s="2" t="s">
        <v>82</v>
      </c>
      <c r="I999" s="2" t="s">
        <v>83</v>
      </c>
      <c r="J999" s="2" t="s">
        <v>84</v>
      </c>
      <c r="K999" s="2" t="s">
        <v>85</v>
      </c>
      <c r="L999" s="2" t="s">
        <v>2129</v>
      </c>
      <c r="M999" s="2" t="s">
        <v>133</v>
      </c>
      <c r="N999" s="2" t="s">
        <v>96</v>
      </c>
      <c r="O999" s="2">
        <v>18</v>
      </c>
      <c r="P999" s="2">
        <v>14</v>
      </c>
      <c r="Q999" s="4">
        <v>9300</v>
      </c>
      <c r="R999" s="4">
        <v>7870</v>
      </c>
      <c r="S999" s="4">
        <v>134</v>
      </c>
      <c r="T999" s="19">
        <f>(ProductionData[[#This Row],[Rejected_Qty]])/ProductionData[[#This Row],[Produced_Qty]]</f>
        <v>1.7026683608640406E-2</v>
      </c>
      <c r="U999" s="19">
        <f>ProductionData[[#This Row],[Produced_Qty]]/ProductionData[[#This Row],[Planned_Qty]]</f>
        <v>0.84623655913978491</v>
      </c>
      <c r="V999" s="2" t="s">
        <v>75</v>
      </c>
      <c r="W999" s="11">
        <v>0</v>
      </c>
      <c r="X999" s="13">
        <f>W999/60</f>
        <v>0</v>
      </c>
      <c r="Y999" s="2" t="s">
        <v>90</v>
      </c>
      <c r="Z999" s="2">
        <v>18</v>
      </c>
      <c r="AA999" s="2">
        <f>ProductionData[[#This Row],[Rejected_Qty]]*ProductionData[[#This Row],[Unit_Cost_INR]]</f>
        <v>2412</v>
      </c>
      <c r="AB999" s="4">
        <v>41826</v>
      </c>
      <c r="AC999" s="4">
        <v>7520</v>
      </c>
      <c r="AD999" s="4">
        <v>7520</v>
      </c>
      <c r="AE999" s="4">
        <v>42042</v>
      </c>
      <c r="AF999" s="4">
        <v>15000</v>
      </c>
    </row>
    <row r="1000" spans="1:32">
      <c r="A1000" s="2" t="s">
        <v>2130</v>
      </c>
      <c r="B1000" s="3">
        <v>46234</v>
      </c>
      <c r="C1000" s="36" t="s">
        <v>2128</v>
      </c>
      <c r="D1000" s="2">
        <f>MONTH(ProductionData[[#This Row],[Month]])</f>
        <v>7</v>
      </c>
      <c r="E1000" s="2" t="s">
        <v>125</v>
      </c>
      <c r="F1000" s="2" t="s">
        <v>66</v>
      </c>
      <c r="G1000" s="2" t="s">
        <v>81</v>
      </c>
      <c r="H1000" s="2" t="s">
        <v>82</v>
      </c>
      <c r="I1000" s="2" t="s">
        <v>83</v>
      </c>
      <c r="J1000" s="2" t="s">
        <v>84</v>
      </c>
      <c r="K1000" s="2" t="s">
        <v>85</v>
      </c>
      <c r="L1000" s="2" t="s">
        <v>2131</v>
      </c>
      <c r="M1000" s="2" t="s">
        <v>73</v>
      </c>
      <c r="N1000" s="2" t="s">
        <v>96</v>
      </c>
      <c r="O1000" s="2">
        <v>18</v>
      </c>
      <c r="P1000" s="2">
        <v>18</v>
      </c>
      <c r="Q1000" s="4">
        <v>9940</v>
      </c>
      <c r="R1000" s="4">
        <v>9400</v>
      </c>
      <c r="S1000" s="4">
        <v>283</v>
      </c>
      <c r="T1000" s="19">
        <f>(ProductionData[[#This Row],[Rejected_Qty]])/ProductionData[[#This Row],[Produced_Qty]]</f>
        <v>3.0106382978723405E-2</v>
      </c>
      <c r="U1000" s="19">
        <f>ProductionData[[#This Row],[Produced_Qty]]/ProductionData[[#This Row],[Planned_Qty]]</f>
        <v>0.94567404426559354</v>
      </c>
      <c r="V1000" s="2" t="s">
        <v>89</v>
      </c>
      <c r="W1000" s="11">
        <v>68</v>
      </c>
      <c r="X1000" s="13">
        <f>W1000/60</f>
        <v>1.1333333333333333</v>
      </c>
      <c r="Y1000" s="2" t="s">
        <v>110</v>
      </c>
      <c r="Z1000" s="2">
        <v>18</v>
      </c>
      <c r="AA1000" s="2">
        <f>ProductionData[[#This Row],[Rejected_Qty]]*ProductionData[[#This Row],[Unit_Cost_INR]]</f>
        <v>5094</v>
      </c>
      <c r="AB1000" s="4">
        <v>41219</v>
      </c>
      <c r="AC1000" s="4">
        <v>8510</v>
      </c>
      <c r="AD1000" s="4">
        <v>8510</v>
      </c>
      <c r="AE1000" s="4">
        <v>41826</v>
      </c>
      <c r="AF1000" s="4">
        <v>15000</v>
      </c>
    </row>
    <row r="1001" spans="1:32">
      <c r="A1001" s="2" t="s">
        <v>2132</v>
      </c>
      <c r="B1001" s="3">
        <v>46213</v>
      </c>
      <c r="C1001" s="36" t="s">
        <v>2128</v>
      </c>
      <c r="D1001" s="2">
        <f>MONTH(ProductionData[[#This Row],[Month]])</f>
        <v>7</v>
      </c>
      <c r="E1001" s="2" t="s">
        <v>125</v>
      </c>
      <c r="F1001" s="2" t="s">
        <v>66</v>
      </c>
      <c r="G1001" s="2" t="s">
        <v>81</v>
      </c>
      <c r="H1001" s="2" t="s">
        <v>82</v>
      </c>
      <c r="I1001" s="2" t="s">
        <v>83</v>
      </c>
      <c r="J1001" s="2" t="s">
        <v>84</v>
      </c>
      <c r="K1001" s="2" t="s">
        <v>85</v>
      </c>
      <c r="L1001" s="2" t="s">
        <v>2133</v>
      </c>
      <c r="M1001" s="2" t="s">
        <v>99</v>
      </c>
      <c r="N1001" s="2" t="s">
        <v>88</v>
      </c>
      <c r="O1001" s="2">
        <v>18</v>
      </c>
      <c r="P1001" s="2">
        <v>17</v>
      </c>
      <c r="Q1001" s="4">
        <v>9560</v>
      </c>
      <c r="R1001" s="4">
        <v>9020</v>
      </c>
      <c r="S1001" s="4">
        <v>276</v>
      </c>
      <c r="T1001" s="19">
        <f>(ProductionData[[#This Row],[Rejected_Qty]])/ProductionData[[#This Row],[Produced_Qty]]</f>
        <v>3.0598669623059866E-2</v>
      </c>
      <c r="U1001" s="19">
        <f>ProductionData[[#This Row],[Produced_Qty]]/ProductionData[[#This Row],[Planned_Qty]]</f>
        <v>0.94351464435146448</v>
      </c>
      <c r="V1001" s="2" t="s">
        <v>89</v>
      </c>
      <c r="W1001" s="11">
        <v>28</v>
      </c>
      <c r="X1001" s="13">
        <f>W1001/60</f>
        <v>0.46666666666666667</v>
      </c>
      <c r="Y1001" s="2" t="s">
        <v>110</v>
      </c>
      <c r="Z1001" s="2">
        <v>18</v>
      </c>
      <c r="AA1001" s="2">
        <f>ProductionData[[#This Row],[Rejected_Qty]]*ProductionData[[#This Row],[Unit_Cost_INR]]</f>
        <v>4968</v>
      </c>
      <c r="AB1001" s="4">
        <v>41407</v>
      </c>
      <c r="AC1001" s="4">
        <v>8460</v>
      </c>
      <c r="AD1001" s="4">
        <v>8460</v>
      </c>
      <c r="AE1001" s="4">
        <v>41691</v>
      </c>
      <c r="AF1001" s="4">
        <v>15000</v>
      </c>
    </row>
    <row r="1002" spans="1:32">
      <c r="A1002" s="2" t="s">
        <v>2134</v>
      </c>
      <c r="B1002" s="3">
        <v>46212</v>
      </c>
      <c r="C1002" s="36" t="s">
        <v>2128</v>
      </c>
      <c r="D1002" s="2">
        <f>MONTH(ProductionData[[#This Row],[Month]])</f>
        <v>7</v>
      </c>
      <c r="E1002" s="2" t="s">
        <v>107</v>
      </c>
      <c r="F1002" s="2" t="s">
        <v>93</v>
      </c>
      <c r="G1002" s="2" t="s">
        <v>81</v>
      </c>
      <c r="H1002" s="2" t="s">
        <v>82</v>
      </c>
      <c r="I1002" s="2" t="s">
        <v>83</v>
      </c>
      <c r="J1002" s="2" t="s">
        <v>84</v>
      </c>
      <c r="K1002" s="2" t="s">
        <v>85</v>
      </c>
      <c r="L1002" s="2" t="s">
        <v>2135</v>
      </c>
      <c r="M1002" s="2" t="s">
        <v>95</v>
      </c>
      <c r="N1002" s="2" t="s">
        <v>88</v>
      </c>
      <c r="O1002" s="2">
        <v>18</v>
      </c>
      <c r="P1002" s="2">
        <v>17</v>
      </c>
      <c r="Q1002" s="4">
        <v>9380</v>
      </c>
      <c r="R1002" s="4">
        <v>8960</v>
      </c>
      <c r="S1002" s="4">
        <v>136</v>
      </c>
      <c r="T1002" s="19">
        <f>(ProductionData[[#This Row],[Rejected_Qty]])/ProductionData[[#This Row],[Produced_Qty]]</f>
        <v>1.5178571428571428E-2</v>
      </c>
      <c r="U1002" s="19">
        <f>ProductionData[[#This Row],[Produced_Qty]]/ProductionData[[#This Row],[Planned_Qty]]</f>
        <v>0.95522388059701491</v>
      </c>
      <c r="V1002" s="2" t="s">
        <v>109</v>
      </c>
      <c r="W1002" s="11">
        <v>0</v>
      </c>
      <c r="X1002" s="13">
        <f>W1002/60</f>
        <v>0</v>
      </c>
      <c r="Y1002" s="2" t="s">
        <v>90</v>
      </c>
      <c r="Z1002" s="2">
        <v>18</v>
      </c>
      <c r="AA1002" s="2">
        <f>ProductionData[[#This Row],[Rejected_Qty]]*ProductionData[[#This Row],[Unit_Cost_INR]]</f>
        <v>2448</v>
      </c>
      <c r="AB1002" s="4">
        <v>40353</v>
      </c>
      <c r="AC1002" s="4">
        <v>7770</v>
      </c>
      <c r="AD1002" s="4">
        <v>7770</v>
      </c>
      <c r="AE1002" s="4">
        <v>41407</v>
      </c>
      <c r="AF1002" s="4">
        <v>15000</v>
      </c>
    </row>
    <row r="1003" spans="1:32">
      <c r="A1003" s="2" t="s">
        <v>2136</v>
      </c>
      <c r="B1003" s="3">
        <v>46214</v>
      </c>
      <c r="C1003" s="36" t="s">
        <v>2128</v>
      </c>
      <c r="D1003" s="2">
        <f>MONTH(ProductionData[[#This Row],[Month]])</f>
        <v>7</v>
      </c>
      <c r="E1003" s="2" t="s">
        <v>65</v>
      </c>
      <c r="F1003" s="2" t="s">
        <v>80</v>
      </c>
      <c r="G1003" s="2" t="s">
        <v>81</v>
      </c>
      <c r="H1003" s="2" t="s">
        <v>82</v>
      </c>
      <c r="I1003" s="2" t="s">
        <v>83</v>
      </c>
      <c r="J1003" s="2" t="s">
        <v>84</v>
      </c>
      <c r="K1003" s="2" t="s">
        <v>85</v>
      </c>
      <c r="L1003" s="2" t="s">
        <v>2137</v>
      </c>
      <c r="M1003" s="2" t="s">
        <v>102</v>
      </c>
      <c r="N1003" s="2" t="s">
        <v>96</v>
      </c>
      <c r="O1003" s="2">
        <v>18</v>
      </c>
      <c r="P1003" s="2">
        <v>17</v>
      </c>
      <c r="Q1003" s="4">
        <v>9430</v>
      </c>
      <c r="R1003" s="4">
        <v>8570</v>
      </c>
      <c r="S1003" s="4">
        <v>101</v>
      </c>
      <c r="T1003" s="19">
        <f>(ProductionData[[#This Row],[Rejected_Qty]])/ProductionData[[#This Row],[Produced_Qty]]</f>
        <v>1.1785297549591598E-2</v>
      </c>
      <c r="U1003" s="19">
        <f>ProductionData[[#This Row],[Produced_Qty]]/ProductionData[[#This Row],[Planned_Qty]]</f>
        <v>0.90880169671261934</v>
      </c>
      <c r="V1003" s="2" t="s">
        <v>109</v>
      </c>
      <c r="W1003" s="11">
        <v>18</v>
      </c>
      <c r="X1003" s="13">
        <f>W1003/60</f>
        <v>0.3</v>
      </c>
      <c r="Y1003" s="2" t="s">
        <v>182</v>
      </c>
      <c r="Z1003" s="2">
        <v>18</v>
      </c>
      <c r="AA1003" s="2">
        <f>ProductionData[[#This Row],[Rejected_Qty]]*ProductionData[[#This Row],[Unit_Cost_INR]]</f>
        <v>1818</v>
      </c>
      <c r="AB1003" s="4">
        <v>41691</v>
      </c>
      <c r="AC1003" s="4">
        <v>8850</v>
      </c>
      <c r="AD1003" s="4">
        <v>8850</v>
      </c>
      <c r="AE1003" s="4">
        <v>41310</v>
      </c>
      <c r="AF1003" s="4">
        <v>15000</v>
      </c>
    </row>
    <row r="1004" spans="1:32">
      <c r="A1004" s="2" t="s">
        <v>2138</v>
      </c>
      <c r="B1004" s="3">
        <v>46229</v>
      </c>
      <c r="C1004" s="36" t="s">
        <v>2128</v>
      </c>
      <c r="D1004" s="2">
        <f>MONTH(ProductionData[[#This Row],[Month]])</f>
        <v>7</v>
      </c>
      <c r="E1004" s="2" t="s">
        <v>186</v>
      </c>
      <c r="F1004" s="2" t="s">
        <v>80</v>
      </c>
      <c r="G1004" s="2" t="s">
        <v>81</v>
      </c>
      <c r="H1004" s="2" t="s">
        <v>82</v>
      </c>
      <c r="I1004" s="2" t="s">
        <v>83</v>
      </c>
      <c r="J1004" s="2" t="s">
        <v>84</v>
      </c>
      <c r="K1004" s="2" t="s">
        <v>85</v>
      </c>
      <c r="L1004" s="2" t="s">
        <v>2139</v>
      </c>
      <c r="M1004" s="2" t="s">
        <v>102</v>
      </c>
      <c r="N1004" s="2" t="s">
        <v>88</v>
      </c>
      <c r="O1004" s="2">
        <v>18</v>
      </c>
      <c r="P1004" s="2">
        <v>17</v>
      </c>
      <c r="Q1004" s="4">
        <v>7290</v>
      </c>
      <c r="R1004" s="4">
        <v>7270</v>
      </c>
      <c r="S1004" s="4">
        <v>123</v>
      </c>
      <c r="T1004" s="19">
        <f>(ProductionData[[#This Row],[Rejected_Qty]])/ProductionData[[#This Row],[Produced_Qty]]</f>
        <v>1.6918844566712516E-2</v>
      </c>
      <c r="U1004" s="19">
        <f>ProductionData[[#This Row],[Produced_Qty]]/ProductionData[[#This Row],[Planned_Qty]]</f>
        <v>0.99725651577503427</v>
      </c>
      <c r="V1004" s="2" t="s">
        <v>113</v>
      </c>
      <c r="W1004" s="11">
        <v>0</v>
      </c>
      <c r="X1004" s="13">
        <f>W1004/60</f>
        <v>0</v>
      </c>
      <c r="Y1004" s="2" t="s">
        <v>90</v>
      </c>
      <c r="Z1004" s="2">
        <v>18</v>
      </c>
      <c r="AA1004" s="2">
        <f>ProductionData[[#This Row],[Rejected_Qty]]*ProductionData[[#This Row],[Unit_Cost_INR]]</f>
        <v>2214</v>
      </c>
      <c r="AB1004" s="4">
        <v>40131</v>
      </c>
      <c r="AC1004" s="4">
        <v>6040</v>
      </c>
      <c r="AD1004" s="4">
        <v>6040</v>
      </c>
      <c r="AE1004" s="4">
        <v>41238</v>
      </c>
      <c r="AF1004" s="4">
        <v>15000</v>
      </c>
    </row>
    <row r="1005" spans="1:32">
      <c r="A1005" s="2" t="s">
        <v>2140</v>
      </c>
      <c r="B1005" s="3">
        <v>46232</v>
      </c>
      <c r="C1005" s="36" t="s">
        <v>2128</v>
      </c>
      <c r="D1005" s="2">
        <f>MONTH(ProductionData[[#This Row],[Month]])</f>
        <v>7</v>
      </c>
      <c r="E1005" s="2" t="s">
        <v>79</v>
      </c>
      <c r="F1005" s="2" t="s">
        <v>66</v>
      </c>
      <c r="G1005" s="2" t="s">
        <v>81</v>
      </c>
      <c r="H1005" s="2" t="s">
        <v>82</v>
      </c>
      <c r="I1005" s="2" t="s">
        <v>83</v>
      </c>
      <c r="J1005" s="2" t="s">
        <v>84</v>
      </c>
      <c r="K1005" s="2" t="s">
        <v>85</v>
      </c>
      <c r="L1005" s="2" t="s">
        <v>2141</v>
      </c>
      <c r="M1005" s="2" t="s">
        <v>99</v>
      </c>
      <c r="N1005" s="2" t="s">
        <v>88</v>
      </c>
      <c r="O1005" s="2">
        <v>18</v>
      </c>
      <c r="P1005" s="2">
        <v>18</v>
      </c>
      <c r="Q1005" s="4">
        <v>9890</v>
      </c>
      <c r="R1005" s="4">
        <v>9460</v>
      </c>
      <c r="S1005" s="4">
        <v>429</v>
      </c>
      <c r="T1005" s="19">
        <f>(ProductionData[[#This Row],[Rejected_Qty]])/ProductionData[[#This Row],[Produced_Qty]]</f>
        <v>4.5348837209302328E-2</v>
      </c>
      <c r="U1005" s="19">
        <f>ProductionData[[#This Row],[Produced_Qty]]/ProductionData[[#This Row],[Planned_Qty]]</f>
        <v>0.95652173913043481</v>
      </c>
      <c r="V1005" s="2" t="s">
        <v>109</v>
      </c>
      <c r="W1005" s="11">
        <v>57</v>
      </c>
      <c r="X1005" s="13">
        <f>W1005/60</f>
        <v>0.95</v>
      </c>
      <c r="Y1005" s="2" t="s">
        <v>182</v>
      </c>
      <c r="Z1005" s="2">
        <v>18</v>
      </c>
      <c r="AA1005" s="2">
        <f>ProductionData[[#This Row],[Rejected_Qty]]*ProductionData[[#This Row],[Unit_Cost_INR]]</f>
        <v>7722</v>
      </c>
      <c r="AB1005" s="4">
        <v>41238</v>
      </c>
      <c r="AC1005" s="4">
        <v>9050</v>
      </c>
      <c r="AD1005" s="4">
        <v>9050</v>
      </c>
      <c r="AE1005" s="4">
        <v>41219</v>
      </c>
      <c r="AF1005" s="4">
        <v>15000</v>
      </c>
    </row>
    <row r="1006" spans="1:32">
      <c r="A1006" s="2" t="s">
        <v>2142</v>
      </c>
      <c r="B1006" s="3">
        <v>46211</v>
      </c>
      <c r="C1006" s="36" t="s">
        <v>2128</v>
      </c>
      <c r="D1006" s="2">
        <f>MONTH(ProductionData[[#This Row],[Month]])</f>
        <v>7</v>
      </c>
      <c r="E1006" s="2" t="s">
        <v>79</v>
      </c>
      <c r="F1006" s="2" t="s">
        <v>66</v>
      </c>
      <c r="G1006" s="2" t="s">
        <v>81</v>
      </c>
      <c r="H1006" s="2" t="s">
        <v>82</v>
      </c>
      <c r="I1006" s="2" t="s">
        <v>83</v>
      </c>
      <c r="J1006" s="2" t="s">
        <v>84</v>
      </c>
      <c r="K1006" s="2" t="s">
        <v>85</v>
      </c>
      <c r="L1006" s="2" t="s">
        <v>2143</v>
      </c>
      <c r="M1006" s="2" t="s">
        <v>99</v>
      </c>
      <c r="N1006" s="2" t="s">
        <v>88</v>
      </c>
      <c r="O1006" s="2">
        <v>18</v>
      </c>
      <c r="P1006" s="2">
        <v>16</v>
      </c>
      <c r="Q1006" s="4">
        <v>10440</v>
      </c>
      <c r="R1006" s="4">
        <v>10040</v>
      </c>
      <c r="S1006" s="4">
        <v>178</v>
      </c>
      <c r="T1006" s="19">
        <f>(ProductionData[[#This Row],[Rejected_Qty]])/ProductionData[[#This Row],[Produced_Qty]]</f>
        <v>1.7729083665338645E-2</v>
      </c>
      <c r="U1006" s="19">
        <f>ProductionData[[#This Row],[Produced_Qty]]/ProductionData[[#This Row],[Planned_Qty]]</f>
        <v>0.96168582375478928</v>
      </c>
      <c r="V1006" s="2" t="s">
        <v>109</v>
      </c>
      <c r="W1006" s="11">
        <v>0</v>
      </c>
      <c r="X1006" s="13">
        <f>W1006/60</f>
        <v>0</v>
      </c>
      <c r="Y1006" s="2" t="s">
        <v>90</v>
      </c>
      <c r="Z1006" s="2">
        <v>18</v>
      </c>
      <c r="AA1006" s="2">
        <f>ProductionData[[#This Row],[Rejected_Qty]]*ProductionData[[#This Row],[Unit_Cost_INR]]</f>
        <v>3204</v>
      </c>
      <c r="AB1006" s="4">
        <v>39551</v>
      </c>
      <c r="AC1006" s="4">
        <v>9060</v>
      </c>
      <c r="AD1006" s="4">
        <v>9060</v>
      </c>
      <c r="AE1006" s="4">
        <v>40353</v>
      </c>
      <c r="AF1006" s="4">
        <v>15000</v>
      </c>
    </row>
    <row r="1007" spans="1:32">
      <c r="A1007" s="2" t="s">
        <v>2144</v>
      </c>
      <c r="B1007" s="3">
        <v>46214</v>
      </c>
      <c r="C1007" s="36" t="s">
        <v>2128</v>
      </c>
      <c r="D1007" s="2">
        <f>MONTH(ProductionData[[#This Row],[Month]])</f>
        <v>7</v>
      </c>
      <c r="E1007" s="2" t="s">
        <v>65</v>
      </c>
      <c r="F1007" s="2" t="s">
        <v>93</v>
      </c>
      <c r="G1007" s="2" t="s">
        <v>81</v>
      </c>
      <c r="H1007" s="2" t="s">
        <v>82</v>
      </c>
      <c r="I1007" s="2" t="s">
        <v>83</v>
      </c>
      <c r="J1007" s="2" t="s">
        <v>84</v>
      </c>
      <c r="K1007" s="2" t="s">
        <v>85</v>
      </c>
      <c r="L1007" s="2" t="s">
        <v>2145</v>
      </c>
      <c r="M1007" s="2" t="s">
        <v>133</v>
      </c>
      <c r="N1007" s="2" t="s">
        <v>88</v>
      </c>
      <c r="O1007" s="2">
        <v>18</v>
      </c>
      <c r="P1007" s="2">
        <v>16</v>
      </c>
      <c r="Q1007" s="4">
        <v>10130</v>
      </c>
      <c r="R1007" s="4">
        <v>8810</v>
      </c>
      <c r="S1007" s="4">
        <v>247</v>
      </c>
      <c r="T1007" s="19">
        <f>(ProductionData[[#This Row],[Rejected_Qty]])/ProductionData[[#This Row],[Produced_Qty]]</f>
        <v>2.8036322360953461E-2</v>
      </c>
      <c r="U1007" s="19">
        <f>ProductionData[[#This Row],[Produced_Qty]]/ProductionData[[#This Row],[Planned_Qty]]</f>
        <v>0.86969397828232975</v>
      </c>
      <c r="V1007" s="2" t="s">
        <v>109</v>
      </c>
      <c r="W1007" s="11">
        <v>16</v>
      </c>
      <c r="X1007" s="13">
        <f>W1007/60</f>
        <v>0.26666666666666666</v>
      </c>
      <c r="Y1007" s="2" t="s">
        <v>76</v>
      </c>
      <c r="Z1007" s="2">
        <v>18</v>
      </c>
      <c r="AA1007" s="2">
        <f>ProductionData[[#This Row],[Rejected_Qty]]*ProductionData[[#This Row],[Unit_Cost_INR]]</f>
        <v>4446</v>
      </c>
      <c r="AB1007" s="4">
        <v>41310</v>
      </c>
      <c r="AC1007" s="4">
        <v>9720</v>
      </c>
      <c r="AD1007" s="4">
        <v>9720</v>
      </c>
      <c r="AE1007" s="4">
        <v>40153</v>
      </c>
      <c r="AF1007" s="4">
        <v>15000</v>
      </c>
    </row>
    <row r="1008" spans="1:32">
      <c r="A1008" s="2" t="s">
        <v>2146</v>
      </c>
      <c r="B1008" s="3">
        <v>46227</v>
      </c>
      <c r="C1008" s="36" t="s">
        <v>2128</v>
      </c>
      <c r="D1008" s="2">
        <f>MONTH(ProductionData[[#This Row],[Month]])</f>
        <v>7</v>
      </c>
      <c r="E1008" s="2" t="s">
        <v>125</v>
      </c>
      <c r="F1008" s="2" t="s">
        <v>80</v>
      </c>
      <c r="G1008" s="2" t="s">
        <v>81</v>
      </c>
      <c r="H1008" s="2" t="s">
        <v>82</v>
      </c>
      <c r="I1008" s="2" t="s">
        <v>83</v>
      </c>
      <c r="J1008" s="2" t="s">
        <v>84</v>
      </c>
      <c r="K1008" s="2" t="s">
        <v>85</v>
      </c>
      <c r="L1008" s="2" t="s">
        <v>2147</v>
      </c>
      <c r="M1008" s="2" t="s">
        <v>102</v>
      </c>
      <c r="N1008" s="2" t="s">
        <v>88</v>
      </c>
      <c r="O1008" s="2">
        <v>18</v>
      </c>
      <c r="P1008" s="2">
        <v>18</v>
      </c>
      <c r="Q1008" s="4">
        <v>10330</v>
      </c>
      <c r="R1008" s="4">
        <v>10170</v>
      </c>
      <c r="S1008" s="4">
        <v>231</v>
      </c>
      <c r="T1008" s="19">
        <f>(ProductionData[[#This Row],[Rejected_Qty]])/ProductionData[[#This Row],[Produced_Qty]]</f>
        <v>2.271386430678466E-2</v>
      </c>
      <c r="U1008" s="19">
        <f>ProductionData[[#This Row],[Produced_Qty]]/ProductionData[[#This Row],[Planned_Qty]]</f>
        <v>0.98451113262342693</v>
      </c>
      <c r="V1008" s="2" t="s">
        <v>109</v>
      </c>
      <c r="W1008" s="11">
        <v>0</v>
      </c>
      <c r="X1008" s="13">
        <f>W1008/60</f>
        <v>0</v>
      </c>
      <c r="Y1008" s="2" t="s">
        <v>90</v>
      </c>
      <c r="Z1008" s="2">
        <v>18</v>
      </c>
      <c r="AA1008" s="2">
        <f>ProductionData[[#This Row],[Rejected_Qty]]*ProductionData[[#This Row],[Unit_Cost_INR]]</f>
        <v>4158</v>
      </c>
      <c r="AB1008" s="4">
        <v>39322</v>
      </c>
      <c r="AC1008" s="4">
        <v>9130</v>
      </c>
      <c r="AD1008" s="4">
        <v>9130</v>
      </c>
      <c r="AE1008" s="4">
        <v>40131</v>
      </c>
      <c r="AF1008" s="4">
        <v>15000</v>
      </c>
    </row>
    <row r="1009" spans="1:32">
      <c r="A1009" s="2" t="s">
        <v>2148</v>
      </c>
      <c r="B1009" s="3">
        <v>46215</v>
      </c>
      <c r="C1009" s="36" t="s">
        <v>2128</v>
      </c>
      <c r="D1009" s="2">
        <f>MONTH(ProductionData[[#This Row],[Month]])</f>
        <v>7</v>
      </c>
      <c r="E1009" s="2" t="s">
        <v>186</v>
      </c>
      <c r="F1009" s="2" t="s">
        <v>66</v>
      </c>
      <c r="G1009" s="2" t="s">
        <v>81</v>
      </c>
      <c r="H1009" s="2" t="s">
        <v>82</v>
      </c>
      <c r="I1009" s="2" t="s">
        <v>83</v>
      </c>
      <c r="J1009" s="2" t="s">
        <v>84</v>
      </c>
      <c r="K1009" s="2" t="s">
        <v>85</v>
      </c>
      <c r="L1009" s="2" t="s">
        <v>2149</v>
      </c>
      <c r="M1009" s="2" t="s">
        <v>99</v>
      </c>
      <c r="N1009" s="2" t="s">
        <v>96</v>
      </c>
      <c r="O1009" s="2">
        <v>18</v>
      </c>
      <c r="P1009" s="2">
        <v>17</v>
      </c>
      <c r="Q1009" s="4">
        <v>7240</v>
      </c>
      <c r="R1009" s="4">
        <v>6410</v>
      </c>
      <c r="S1009" s="4">
        <v>186</v>
      </c>
      <c r="T1009" s="19">
        <f>(ProductionData[[#This Row],[Rejected_Qty]])/ProductionData[[#This Row],[Produced_Qty]]</f>
        <v>2.9017160686427457E-2</v>
      </c>
      <c r="U1009" s="19">
        <f>ProductionData[[#This Row],[Produced_Qty]]/ProductionData[[#This Row],[Planned_Qty]]</f>
        <v>0.88535911602209949</v>
      </c>
      <c r="V1009" s="2" t="s">
        <v>109</v>
      </c>
      <c r="W1009" s="11">
        <v>52</v>
      </c>
      <c r="X1009" s="13">
        <f>W1009/60</f>
        <v>0.8666666666666667</v>
      </c>
      <c r="Y1009" s="2" t="s">
        <v>136</v>
      </c>
      <c r="Z1009" s="2">
        <v>18</v>
      </c>
      <c r="AA1009" s="2">
        <f>ProductionData[[#This Row],[Rejected_Qty]]*ProductionData[[#This Row],[Unit_Cost_INR]]</f>
        <v>3348</v>
      </c>
      <c r="AB1009" s="4">
        <v>40153</v>
      </c>
      <c r="AC1009" s="4">
        <v>6710</v>
      </c>
      <c r="AD1009" s="4">
        <v>6710</v>
      </c>
      <c r="AE1009" s="4">
        <v>39667</v>
      </c>
      <c r="AF1009" s="4">
        <v>15000</v>
      </c>
    </row>
    <row r="1010" spans="1:32">
      <c r="A1010" s="2" t="s">
        <v>2150</v>
      </c>
      <c r="B1010" s="3">
        <v>46210</v>
      </c>
      <c r="C1010" s="36" t="s">
        <v>2128</v>
      </c>
      <c r="D1010" s="2">
        <f>MONTH(ProductionData[[#This Row],[Month]])</f>
        <v>7</v>
      </c>
      <c r="E1010" s="2" t="s">
        <v>92</v>
      </c>
      <c r="F1010" s="2" t="s">
        <v>93</v>
      </c>
      <c r="G1010" s="2" t="s">
        <v>81</v>
      </c>
      <c r="H1010" s="2" t="s">
        <v>82</v>
      </c>
      <c r="I1010" s="2" t="s">
        <v>83</v>
      </c>
      <c r="J1010" s="2" t="s">
        <v>84</v>
      </c>
      <c r="K1010" s="2" t="s">
        <v>85</v>
      </c>
      <c r="L1010" s="2" t="s">
        <v>2151</v>
      </c>
      <c r="M1010" s="2" t="s">
        <v>133</v>
      </c>
      <c r="N1010" s="2" t="s">
        <v>88</v>
      </c>
      <c r="O1010" s="2">
        <v>18</v>
      </c>
      <c r="P1010" s="2">
        <v>16</v>
      </c>
      <c r="Q1010" s="4">
        <v>10100</v>
      </c>
      <c r="R1010" s="4">
        <v>9460</v>
      </c>
      <c r="S1010" s="4">
        <v>220</v>
      </c>
      <c r="T1010" s="19">
        <f>(ProductionData[[#This Row],[Rejected_Qty]])/ProductionData[[#This Row],[Produced_Qty]]</f>
        <v>2.3255813953488372E-2</v>
      </c>
      <c r="U1010" s="19">
        <f>ProductionData[[#This Row],[Produced_Qty]]/ProductionData[[#This Row],[Planned_Qty]]</f>
        <v>0.93663366336633669</v>
      </c>
      <c r="V1010" s="2" t="s">
        <v>113</v>
      </c>
      <c r="W1010" s="11">
        <v>0</v>
      </c>
      <c r="X1010" s="13">
        <f>W1010/60</f>
        <v>0</v>
      </c>
      <c r="Y1010" s="2" t="s">
        <v>90</v>
      </c>
      <c r="Z1010" s="2">
        <v>18</v>
      </c>
      <c r="AA1010" s="2">
        <f>ProductionData[[#This Row],[Rejected_Qty]]*ProductionData[[#This Row],[Unit_Cost_INR]]</f>
        <v>3960</v>
      </c>
      <c r="AB1010" s="4">
        <v>39211</v>
      </c>
      <c r="AC1010" s="4">
        <v>8900</v>
      </c>
      <c r="AD1010" s="4">
        <v>8900</v>
      </c>
      <c r="AE1010" s="4">
        <v>39551</v>
      </c>
      <c r="AF1010" s="4">
        <v>15000</v>
      </c>
    </row>
    <row r="1011" spans="1:32">
      <c r="A1011" s="2" t="s">
        <v>2152</v>
      </c>
      <c r="B1011" s="3">
        <v>46218</v>
      </c>
      <c r="C1011" s="36" t="s">
        <v>2128</v>
      </c>
      <c r="D1011" s="2">
        <f>MONTH(ProductionData[[#This Row],[Month]])</f>
        <v>7</v>
      </c>
      <c r="E1011" s="2" t="s">
        <v>79</v>
      </c>
      <c r="F1011" s="2" t="s">
        <v>93</v>
      </c>
      <c r="G1011" s="2" t="s">
        <v>81</v>
      </c>
      <c r="H1011" s="2" t="s">
        <v>82</v>
      </c>
      <c r="I1011" s="2" t="s">
        <v>83</v>
      </c>
      <c r="J1011" s="2" t="s">
        <v>84</v>
      </c>
      <c r="K1011" s="2" t="s">
        <v>85</v>
      </c>
      <c r="L1011" s="2" t="s">
        <v>2153</v>
      </c>
      <c r="M1011" s="2" t="s">
        <v>95</v>
      </c>
      <c r="N1011" s="2" t="s">
        <v>96</v>
      </c>
      <c r="O1011" s="2">
        <v>18</v>
      </c>
      <c r="P1011" s="2">
        <v>17</v>
      </c>
      <c r="Q1011" s="4">
        <v>9190</v>
      </c>
      <c r="R1011" s="4">
        <v>8820</v>
      </c>
      <c r="S1011" s="4">
        <v>344</v>
      </c>
      <c r="T1011" s="19">
        <f>(ProductionData[[#This Row],[Rejected_Qty]])/ProductionData[[#This Row],[Produced_Qty]]</f>
        <v>3.9002267573696146E-2</v>
      </c>
      <c r="U1011" s="19">
        <f>ProductionData[[#This Row],[Produced_Qty]]/ProductionData[[#This Row],[Planned_Qty]]</f>
        <v>0.9597388465723613</v>
      </c>
      <c r="V1011" s="2" t="s">
        <v>113</v>
      </c>
      <c r="W1011" s="11">
        <v>60</v>
      </c>
      <c r="X1011" s="13">
        <f>W1011/60</f>
        <v>1</v>
      </c>
      <c r="Y1011" s="2" t="s">
        <v>136</v>
      </c>
      <c r="Z1011" s="2">
        <v>18</v>
      </c>
      <c r="AA1011" s="2">
        <f>ProductionData[[#This Row],[Rejected_Qty]]*ProductionData[[#This Row],[Unit_Cost_INR]]</f>
        <v>6192</v>
      </c>
      <c r="AB1011" s="4">
        <v>39667</v>
      </c>
      <c r="AC1011" s="4">
        <v>8800</v>
      </c>
      <c r="AD1011" s="4">
        <v>8800</v>
      </c>
      <c r="AE1011" s="4">
        <v>39343</v>
      </c>
      <c r="AF1011" s="4">
        <v>15000</v>
      </c>
    </row>
    <row r="1012" spans="1:32">
      <c r="A1012" s="2" t="s">
        <v>2154</v>
      </c>
      <c r="B1012" s="3">
        <v>46227</v>
      </c>
      <c r="C1012" s="36" t="s">
        <v>2128</v>
      </c>
      <c r="D1012" s="2">
        <f>MONTH(ProductionData[[#This Row],[Month]])</f>
        <v>7</v>
      </c>
      <c r="E1012" s="2" t="s">
        <v>125</v>
      </c>
      <c r="F1012" s="2" t="s">
        <v>66</v>
      </c>
      <c r="G1012" s="2" t="s">
        <v>81</v>
      </c>
      <c r="H1012" s="2" t="s">
        <v>82</v>
      </c>
      <c r="I1012" s="2" t="s">
        <v>83</v>
      </c>
      <c r="J1012" s="2" t="s">
        <v>84</v>
      </c>
      <c r="K1012" s="2" t="s">
        <v>85</v>
      </c>
      <c r="L1012" s="2" t="s">
        <v>2155</v>
      </c>
      <c r="M1012" s="2" t="s">
        <v>99</v>
      </c>
      <c r="N1012" s="2" t="s">
        <v>96</v>
      </c>
      <c r="O1012" s="2">
        <v>18</v>
      </c>
      <c r="P1012" s="2">
        <v>18</v>
      </c>
      <c r="Q1012" s="4">
        <v>10560</v>
      </c>
      <c r="R1012" s="4">
        <v>10100</v>
      </c>
      <c r="S1012" s="4">
        <v>148</v>
      </c>
      <c r="T1012" s="19">
        <f>(ProductionData[[#This Row],[Rejected_Qty]])/ProductionData[[#This Row],[Produced_Qty]]</f>
        <v>1.4653465346534653E-2</v>
      </c>
      <c r="U1012" s="19">
        <f>ProductionData[[#This Row],[Produced_Qty]]/ProductionData[[#This Row],[Planned_Qty]]</f>
        <v>0.95643939393939392</v>
      </c>
      <c r="V1012" s="2" t="s">
        <v>103</v>
      </c>
      <c r="W1012" s="11">
        <v>57</v>
      </c>
      <c r="X1012" s="13">
        <f>W1012/60</f>
        <v>0.95</v>
      </c>
      <c r="Y1012" s="2" t="s">
        <v>110</v>
      </c>
      <c r="Z1012" s="2">
        <v>18</v>
      </c>
      <c r="AA1012" s="2">
        <f>ProductionData[[#This Row],[Rejected_Qty]]*ProductionData[[#This Row],[Unit_Cost_INR]]</f>
        <v>2664</v>
      </c>
      <c r="AB1012" s="4">
        <v>39270</v>
      </c>
      <c r="AC1012" s="4">
        <v>9900</v>
      </c>
      <c r="AD1012" s="4">
        <v>9900</v>
      </c>
      <c r="AE1012" s="4">
        <v>39322</v>
      </c>
      <c r="AF1012" s="4">
        <v>15000</v>
      </c>
    </row>
    <row r="1013" spans="1:32">
      <c r="A1013" s="2" t="s">
        <v>2156</v>
      </c>
      <c r="B1013" s="3">
        <v>46226</v>
      </c>
      <c r="C1013" s="36" t="s">
        <v>2128</v>
      </c>
      <c r="D1013" s="2">
        <f>MONTH(ProductionData[[#This Row],[Month]])</f>
        <v>7</v>
      </c>
      <c r="E1013" s="2" t="s">
        <v>107</v>
      </c>
      <c r="F1013" s="2" t="s">
        <v>80</v>
      </c>
      <c r="G1013" s="2" t="s">
        <v>81</v>
      </c>
      <c r="H1013" s="2" t="s">
        <v>82</v>
      </c>
      <c r="I1013" s="2" t="s">
        <v>83</v>
      </c>
      <c r="J1013" s="2" t="s">
        <v>84</v>
      </c>
      <c r="K1013" s="2" t="s">
        <v>85</v>
      </c>
      <c r="L1013" s="2" t="s">
        <v>2157</v>
      </c>
      <c r="M1013" s="2" t="s">
        <v>87</v>
      </c>
      <c r="N1013" s="2" t="s">
        <v>96</v>
      </c>
      <c r="O1013" s="2">
        <v>18</v>
      </c>
      <c r="P1013" s="2">
        <v>17</v>
      </c>
      <c r="Q1013" s="4">
        <v>10190</v>
      </c>
      <c r="R1013" s="4">
        <v>9320</v>
      </c>
      <c r="S1013" s="4">
        <v>232</v>
      </c>
      <c r="T1013" s="19">
        <f>(ProductionData[[#This Row],[Rejected_Qty]])/ProductionData[[#This Row],[Produced_Qty]]</f>
        <v>2.4892703862660945E-2</v>
      </c>
      <c r="U1013" s="19">
        <f>ProductionData[[#This Row],[Produced_Qty]]/ProductionData[[#This Row],[Planned_Qty]]</f>
        <v>0.91462217860647699</v>
      </c>
      <c r="V1013" s="2" t="s">
        <v>89</v>
      </c>
      <c r="W1013" s="11">
        <v>10</v>
      </c>
      <c r="X1013" s="13">
        <f>W1013/60</f>
        <v>0.16666666666666666</v>
      </c>
      <c r="Y1013" s="2" t="s">
        <v>76</v>
      </c>
      <c r="Z1013" s="2">
        <v>18</v>
      </c>
      <c r="AA1013" s="2">
        <f>ProductionData[[#This Row],[Rejected_Qty]]*ProductionData[[#This Row],[Unit_Cost_INR]]</f>
        <v>4176</v>
      </c>
      <c r="AB1013" s="4">
        <v>39132</v>
      </c>
      <c r="AC1013" s="4">
        <v>8950</v>
      </c>
      <c r="AD1013" s="4">
        <v>8950</v>
      </c>
      <c r="AE1013" s="4">
        <v>39270</v>
      </c>
      <c r="AF1013" s="4">
        <v>15000</v>
      </c>
    </row>
    <row r="1014" spans="1:32">
      <c r="A1014" s="2" t="s">
        <v>2158</v>
      </c>
      <c r="B1014" s="3">
        <v>46209</v>
      </c>
      <c r="C1014" s="36" t="s">
        <v>2128</v>
      </c>
      <c r="D1014" s="2">
        <f>MONTH(ProductionData[[#This Row],[Month]])</f>
        <v>7</v>
      </c>
      <c r="E1014" s="2" t="s">
        <v>116</v>
      </c>
      <c r="F1014" s="2" t="s">
        <v>93</v>
      </c>
      <c r="G1014" s="2" t="s">
        <v>81</v>
      </c>
      <c r="H1014" s="2" t="s">
        <v>82</v>
      </c>
      <c r="I1014" s="2" t="s">
        <v>83</v>
      </c>
      <c r="J1014" s="2" t="s">
        <v>84</v>
      </c>
      <c r="K1014" s="2" t="s">
        <v>85</v>
      </c>
      <c r="L1014" s="2" t="s">
        <v>2159</v>
      </c>
      <c r="M1014" s="2" t="s">
        <v>133</v>
      </c>
      <c r="N1014" s="2" t="s">
        <v>88</v>
      </c>
      <c r="O1014" s="2">
        <v>18</v>
      </c>
      <c r="P1014" s="2">
        <v>17</v>
      </c>
      <c r="Q1014" s="4">
        <v>8780</v>
      </c>
      <c r="R1014" s="4">
        <v>8460</v>
      </c>
      <c r="S1014" s="4">
        <v>134</v>
      </c>
      <c r="T1014" s="19">
        <f>(ProductionData[[#This Row],[Rejected_Qty]])/ProductionData[[#This Row],[Produced_Qty]]</f>
        <v>1.5839243498817965E-2</v>
      </c>
      <c r="U1014" s="19">
        <f>ProductionData[[#This Row],[Produced_Qty]]/ProductionData[[#This Row],[Planned_Qty]]</f>
        <v>0.96355353075170846</v>
      </c>
      <c r="V1014" s="2" t="s">
        <v>75</v>
      </c>
      <c r="W1014" s="11">
        <v>0</v>
      </c>
      <c r="X1014" s="13">
        <f>W1014/60</f>
        <v>0</v>
      </c>
      <c r="Y1014" s="2" t="s">
        <v>90</v>
      </c>
      <c r="Z1014" s="2">
        <v>18</v>
      </c>
      <c r="AA1014" s="2">
        <f>ProductionData[[#This Row],[Rejected_Qty]]*ProductionData[[#This Row],[Unit_Cost_INR]]</f>
        <v>2412</v>
      </c>
      <c r="AB1014" s="4">
        <v>37525</v>
      </c>
      <c r="AC1014" s="4">
        <v>6640</v>
      </c>
      <c r="AD1014" s="4">
        <v>6640</v>
      </c>
      <c r="AE1014" s="4">
        <v>39211</v>
      </c>
      <c r="AF1014" s="4">
        <v>15000</v>
      </c>
    </row>
    <row r="1015" spans="1:32">
      <c r="A1015" s="2" t="s">
        <v>2160</v>
      </c>
      <c r="B1015" s="3">
        <v>46220</v>
      </c>
      <c r="C1015" s="36" t="s">
        <v>2128</v>
      </c>
      <c r="D1015" s="2">
        <f>MONTH(ProductionData[[#This Row],[Month]])</f>
        <v>7</v>
      </c>
      <c r="E1015" s="2" t="s">
        <v>125</v>
      </c>
      <c r="F1015" s="2" t="s">
        <v>93</v>
      </c>
      <c r="G1015" s="2" t="s">
        <v>81</v>
      </c>
      <c r="H1015" s="2" t="s">
        <v>82</v>
      </c>
      <c r="I1015" s="2" t="s">
        <v>83</v>
      </c>
      <c r="J1015" s="2" t="s">
        <v>84</v>
      </c>
      <c r="K1015" s="2" t="s">
        <v>85</v>
      </c>
      <c r="L1015" s="2" t="s">
        <v>2161</v>
      </c>
      <c r="M1015" s="2" t="s">
        <v>133</v>
      </c>
      <c r="N1015" s="2" t="s">
        <v>88</v>
      </c>
      <c r="O1015" s="2">
        <v>18</v>
      </c>
      <c r="P1015" s="2">
        <v>15</v>
      </c>
      <c r="Q1015" s="4">
        <v>9270</v>
      </c>
      <c r="R1015" s="4">
        <v>8490</v>
      </c>
      <c r="S1015" s="4">
        <v>321</v>
      </c>
      <c r="T1015" s="19">
        <f>(ProductionData[[#This Row],[Rejected_Qty]])/ProductionData[[#This Row],[Produced_Qty]]</f>
        <v>3.7809187279151946E-2</v>
      </c>
      <c r="U1015" s="19">
        <f>ProductionData[[#This Row],[Produced_Qty]]/ProductionData[[#This Row],[Planned_Qty]]</f>
        <v>0.91585760517799353</v>
      </c>
      <c r="V1015" s="2" t="s">
        <v>89</v>
      </c>
      <c r="W1015" s="11">
        <v>29</v>
      </c>
      <c r="X1015" s="13">
        <f>W1015/60</f>
        <v>0.48333333333333334</v>
      </c>
      <c r="Y1015" s="2" t="s">
        <v>110</v>
      </c>
      <c r="Z1015" s="2">
        <v>18</v>
      </c>
      <c r="AA1015" s="2">
        <f>ProductionData[[#This Row],[Rejected_Qty]]*ProductionData[[#This Row],[Unit_Cost_INR]]</f>
        <v>5778</v>
      </c>
      <c r="AB1015" s="4">
        <v>39343</v>
      </c>
      <c r="AC1015" s="4">
        <v>8380</v>
      </c>
      <c r="AD1015" s="4">
        <v>8380</v>
      </c>
      <c r="AE1015" s="4">
        <v>39132</v>
      </c>
      <c r="AF1015" s="4">
        <v>15000</v>
      </c>
    </row>
    <row r="1016" spans="1:32">
      <c r="A1016" s="2" t="s">
        <v>2162</v>
      </c>
      <c r="B1016" s="3">
        <v>46222</v>
      </c>
      <c r="C1016" s="36" t="s">
        <v>2128</v>
      </c>
      <c r="D1016" s="2">
        <f>MONTH(ProductionData[[#This Row],[Month]])</f>
        <v>7</v>
      </c>
      <c r="E1016" s="2" t="s">
        <v>186</v>
      </c>
      <c r="F1016" s="2" t="s">
        <v>80</v>
      </c>
      <c r="G1016" s="2" t="s">
        <v>195</v>
      </c>
      <c r="H1016" s="2" t="s">
        <v>196</v>
      </c>
      <c r="I1016" s="2" t="s">
        <v>197</v>
      </c>
      <c r="J1016" s="2" t="s">
        <v>198</v>
      </c>
      <c r="K1016" s="2" t="s">
        <v>199</v>
      </c>
      <c r="L1016" s="2" t="s">
        <v>2163</v>
      </c>
      <c r="M1016" s="2" t="s">
        <v>102</v>
      </c>
      <c r="N1016" s="2" t="s">
        <v>96</v>
      </c>
      <c r="O1016" s="2">
        <v>14</v>
      </c>
      <c r="P1016" s="2">
        <v>12</v>
      </c>
      <c r="Q1016" s="4">
        <v>6380</v>
      </c>
      <c r="R1016" s="4">
        <v>5880</v>
      </c>
      <c r="S1016" s="4">
        <v>110</v>
      </c>
      <c r="T1016" s="19">
        <f>(ProductionData[[#This Row],[Rejected_Qty]])/ProductionData[[#This Row],[Produced_Qty]]</f>
        <v>1.8707482993197279E-2</v>
      </c>
      <c r="U1016" s="19">
        <f>ProductionData[[#This Row],[Produced_Qty]]/ProductionData[[#This Row],[Planned_Qty]]</f>
        <v>0.92163009404388718</v>
      </c>
      <c r="V1016" s="2" t="s">
        <v>75</v>
      </c>
      <c r="W1016" s="11">
        <v>48</v>
      </c>
      <c r="X1016" s="13">
        <f>W1016/60</f>
        <v>0.8</v>
      </c>
      <c r="Y1016" s="2" t="s">
        <v>136</v>
      </c>
      <c r="Z1016" s="2">
        <v>38</v>
      </c>
      <c r="AA1016" s="2">
        <f>ProductionData[[#This Row],[Rejected_Qty]]*ProductionData[[#This Row],[Unit_Cost_INR]]</f>
        <v>4180</v>
      </c>
      <c r="AB1016" s="4">
        <v>38952</v>
      </c>
      <c r="AC1016" s="4">
        <v>5660</v>
      </c>
      <c r="AD1016" s="4">
        <v>5660</v>
      </c>
      <c r="AE1016" s="4">
        <v>39062</v>
      </c>
      <c r="AF1016" s="4">
        <v>13500</v>
      </c>
    </row>
    <row r="1017" spans="1:32">
      <c r="A1017" s="2" t="s">
        <v>2164</v>
      </c>
      <c r="B1017" s="3">
        <v>46221</v>
      </c>
      <c r="C1017" s="36" t="s">
        <v>2128</v>
      </c>
      <c r="D1017" s="2">
        <f>MONTH(ProductionData[[#This Row],[Month]])</f>
        <v>7</v>
      </c>
      <c r="E1017" s="2" t="s">
        <v>65</v>
      </c>
      <c r="F1017" s="2" t="s">
        <v>80</v>
      </c>
      <c r="G1017" s="2" t="s">
        <v>195</v>
      </c>
      <c r="H1017" s="2" t="s">
        <v>196</v>
      </c>
      <c r="I1017" s="2" t="s">
        <v>197</v>
      </c>
      <c r="J1017" s="2" t="s">
        <v>198</v>
      </c>
      <c r="K1017" s="2" t="s">
        <v>199</v>
      </c>
      <c r="L1017" s="2" t="s">
        <v>2165</v>
      </c>
      <c r="M1017" s="2" t="s">
        <v>87</v>
      </c>
      <c r="N1017" s="2" t="s">
        <v>96</v>
      </c>
      <c r="O1017" s="2">
        <v>14</v>
      </c>
      <c r="P1017" s="2">
        <v>14</v>
      </c>
      <c r="Q1017" s="4">
        <v>9670</v>
      </c>
      <c r="R1017" s="4">
        <v>9200</v>
      </c>
      <c r="S1017" s="4">
        <v>192</v>
      </c>
      <c r="T1017" s="19">
        <f>(ProductionData[[#This Row],[Rejected_Qty]])/ProductionData[[#This Row],[Produced_Qty]]</f>
        <v>2.0869565217391306E-2</v>
      </c>
      <c r="U1017" s="19">
        <f>ProductionData[[#This Row],[Produced_Qty]]/ProductionData[[#This Row],[Planned_Qty]]</f>
        <v>0.95139607032057916</v>
      </c>
      <c r="V1017" s="2" t="s">
        <v>109</v>
      </c>
      <c r="W1017" s="11">
        <v>0</v>
      </c>
      <c r="X1017" s="13">
        <f>W1017/60</f>
        <v>0</v>
      </c>
      <c r="Y1017" s="2" t="s">
        <v>90</v>
      </c>
      <c r="Z1017" s="2">
        <v>38</v>
      </c>
      <c r="AA1017" s="2">
        <f>ProductionData[[#This Row],[Rejected_Qty]]*ProductionData[[#This Row],[Unit_Cost_INR]]</f>
        <v>7296</v>
      </c>
      <c r="AB1017" s="4">
        <v>38664</v>
      </c>
      <c r="AC1017" s="4">
        <v>8720</v>
      </c>
      <c r="AD1017" s="4">
        <v>8720</v>
      </c>
      <c r="AE1017" s="4">
        <v>38952</v>
      </c>
      <c r="AF1017" s="4">
        <v>13500</v>
      </c>
    </row>
    <row r="1018" spans="1:32">
      <c r="A1018" s="2" t="s">
        <v>2166</v>
      </c>
      <c r="B1018" s="3">
        <v>46221</v>
      </c>
      <c r="C1018" s="36" t="s">
        <v>2128</v>
      </c>
      <c r="D1018" s="2">
        <f>MONTH(ProductionData[[#This Row],[Month]])</f>
        <v>7</v>
      </c>
      <c r="E1018" s="2" t="s">
        <v>65</v>
      </c>
      <c r="F1018" s="2" t="s">
        <v>66</v>
      </c>
      <c r="G1018" s="2" t="s">
        <v>195</v>
      </c>
      <c r="H1018" s="2" t="s">
        <v>196</v>
      </c>
      <c r="I1018" s="2" t="s">
        <v>197</v>
      </c>
      <c r="J1018" s="2" t="s">
        <v>198</v>
      </c>
      <c r="K1018" s="2" t="s">
        <v>199</v>
      </c>
      <c r="L1018" s="2" t="s">
        <v>2167</v>
      </c>
      <c r="M1018" s="2" t="s">
        <v>73</v>
      </c>
      <c r="N1018" s="2" t="s">
        <v>96</v>
      </c>
      <c r="O1018" s="2">
        <v>14</v>
      </c>
      <c r="P1018" s="2">
        <v>12</v>
      </c>
      <c r="Q1018" s="4">
        <v>9510</v>
      </c>
      <c r="R1018" s="4">
        <v>9110</v>
      </c>
      <c r="S1018" s="4">
        <v>281</v>
      </c>
      <c r="T1018" s="19">
        <f>(ProductionData[[#This Row],[Rejected_Qty]])/ProductionData[[#This Row],[Produced_Qty]]</f>
        <v>3.0845225027442372E-2</v>
      </c>
      <c r="U1018" s="19">
        <f>ProductionData[[#This Row],[Produced_Qty]]/ProductionData[[#This Row],[Planned_Qty]]</f>
        <v>0.95793901156677186</v>
      </c>
      <c r="V1018" s="2" t="s">
        <v>113</v>
      </c>
      <c r="W1018" s="11">
        <v>0</v>
      </c>
      <c r="X1018" s="13">
        <f>W1018/60</f>
        <v>0</v>
      </c>
      <c r="Y1018" s="2" t="s">
        <v>90</v>
      </c>
      <c r="Z1018" s="2">
        <v>38</v>
      </c>
      <c r="AA1018" s="2">
        <f>ProductionData[[#This Row],[Rejected_Qty]]*ProductionData[[#This Row],[Unit_Cost_INR]]</f>
        <v>10678</v>
      </c>
      <c r="AB1018" s="4">
        <v>37725</v>
      </c>
      <c r="AC1018" s="4">
        <v>7890</v>
      </c>
      <c r="AD1018" s="4">
        <v>7890</v>
      </c>
      <c r="AE1018" s="4">
        <v>38664</v>
      </c>
      <c r="AF1018" s="4">
        <v>13500</v>
      </c>
    </row>
    <row r="1019" spans="1:32">
      <c r="A1019" s="2" t="s">
        <v>2168</v>
      </c>
      <c r="B1019" s="3">
        <v>46211</v>
      </c>
      <c r="C1019" s="36" t="s">
        <v>2128</v>
      </c>
      <c r="D1019" s="2">
        <f>MONTH(ProductionData[[#This Row],[Month]])</f>
        <v>7</v>
      </c>
      <c r="E1019" s="2" t="s">
        <v>79</v>
      </c>
      <c r="F1019" s="2" t="s">
        <v>66</v>
      </c>
      <c r="G1019" s="2" t="s">
        <v>195</v>
      </c>
      <c r="H1019" s="2" t="s">
        <v>196</v>
      </c>
      <c r="I1019" s="2" t="s">
        <v>197</v>
      </c>
      <c r="J1019" s="2" t="s">
        <v>198</v>
      </c>
      <c r="K1019" s="2" t="s">
        <v>199</v>
      </c>
      <c r="L1019" s="2" t="s">
        <v>2169</v>
      </c>
      <c r="M1019" s="2" t="s">
        <v>99</v>
      </c>
      <c r="N1019" s="2" t="s">
        <v>88</v>
      </c>
      <c r="O1019" s="2">
        <v>14</v>
      </c>
      <c r="P1019" s="2">
        <v>14</v>
      </c>
      <c r="Q1019" s="4">
        <v>9580</v>
      </c>
      <c r="R1019" s="4">
        <v>9700</v>
      </c>
      <c r="S1019" s="4">
        <v>277</v>
      </c>
      <c r="T1019" s="19">
        <f>(ProductionData[[#This Row],[Rejected_Qty]])/ProductionData[[#This Row],[Produced_Qty]]</f>
        <v>2.8556701030927834E-2</v>
      </c>
      <c r="U1019" s="19">
        <f>ProductionData[[#This Row],[Produced_Qty]]/ProductionData[[#This Row],[Planned_Qty]]</f>
        <v>1.0125260960334028</v>
      </c>
      <c r="V1019" s="2" t="s">
        <v>113</v>
      </c>
      <c r="W1019" s="11">
        <v>0</v>
      </c>
      <c r="X1019" s="13">
        <f>W1019/60</f>
        <v>0</v>
      </c>
      <c r="Y1019" s="2" t="s">
        <v>90</v>
      </c>
      <c r="Z1019" s="2">
        <v>38</v>
      </c>
      <c r="AA1019" s="2">
        <f>ProductionData[[#This Row],[Rejected_Qty]]*ProductionData[[#This Row],[Unit_Cost_INR]]</f>
        <v>10526</v>
      </c>
      <c r="AB1019" s="4">
        <v>36758</v>
      </c>
      <c r="AC1019" s="4">
        <v>7650</v>
      </c>
      <c r="AD1019" s="4">
        <v>7650</v>
      </c>
      <c r="AE1019" s="4">
        <v>38531</v>
      </c>
      <c r="AF1019" s="4">
        <v>13500</v>
      </c>
    </row>
    <row r="1020" spans="1:32">
      <c r="A1020" s="2" t="s">
        <v>2170</v>
      </c>
      <c r="B1020" s="3">
        <v>46217</v>
      </c>
      <c r="C1020" s="36" t="s">
        <v>2128</v>
      </c>
      <c r="D1020" s="2">
        <f>MONTH(ProductionData[[#This Row],[Month]])</f>
        <v>7</v>
      </c>
      <c r="E1020" s="2" t="s">
        <v>92</v>
      </c>
      <c r="F1020" s="2" t="s">
        <v>66</v>
      </c>
      <c r="G1020" s="2" t="s">
        <v>195</v>
      </c>
      <c r="H1020" s="2" t="s">
        <v>196</v>
      </c>
      <c r="I1020" s="2" t="s">
        <v>197</v>
      </c>
      <c r="J1020" s="2" t="s">
        <v>198</v>
      </c>
      <c r="K1020" s="2" t="s">
        <v>199</v>
      </c>
      <c r="L1020" s="2" t="s">
        <v>2171</v>
      </c>
      <c r="M1020" s="2" t="s">
        <v>99</v>
      </c>
      <c r="N1020" s="2" t="s">
        <v>88</v>
      </c>
      <c r="O1020" s="2">
        <v>14</v>
      </c>
      <c r="P1020" s="2">
        <v>14</v>
      </c>
      <c r="Q1020" s="4">
        <v>8510</v>
      </c>
      <c r="R1020" s="4">
        <v>8550</v>
      </c>
      <c r="S1020" s="4">
        <v>182</v>
      </c>
      <c r="T1020" s="19">
        <f>(ProductionData[[#This Row],[Rejected_Qty]])/ProductionData[[#This Row],[Produced_Qty]]</f>
        <v>2.128654970760234E-2</v>
      </c>
      <c r="U1020" s="19">
        <f>ProductionData[[#This Row],[Produced_Qty]]/ProductionData[[#This Row],[Planned_Qty]]</f>
        <v>1.0047003525264395</v>
      </c>
      <c r="V1020" s="2" t="s">
        <v>75</v>
      </c>
      <c r="W1020" s="11">
        <v>29</v>
      </c>
      <c r="X1020" s="13">
        <f>W1020/60</f>
        <v>0.48333333333333334</v>
      </c>
      <c r="Y1020" s="2" t="s">
        <v>76</v>
      </c>
      <c r="Z1020" s="2">
        <v>38</v>
      </c>
      <c r="AA1020" s="2">
        <f>ProductionData[[#This Row],[Rejected_Qty]]*ProductionData[[#This Row],[Unit_Cost_INR]]</f>
        <v>6916</v>
      </c>
      <c r="AB1020" s="4">
        <v>37981</v>
      </c>
      <c r="AC1020" s="4">
        <v>7920</v>
      </c>
      <c r="AD1020" s="4">
        <v>7920</v>
      </c>
      <c r="AE1020" s="4">
        <v>38429</v>
      </c>
      <c r="AF1020" s="4">
        <v>13500</v>
      </c>
    </row>
    <row r="1021" spans="1:32">
      <c r="A1021" s="2" t="s">
        <v>2172</v>
      </c>
      <c r="B1021" s="3">
        <v>46227</v>
      </c>
      <c r="C1021" s="36" t="s">
        <v>2128</v>
      </c>
      <c r="D1021" s="2">
        <f>MONTH(ProductionData[[#This Row],[Month]])</f>
        <v>7</v>
      </c>
      <c r="E1021" s="2" t="s">
        <v>125</v>
      </c>
      <c r="F1021" s="2" t="s">
        <v>80</v>
      </c>
      <c r="G1021" s="2" t="s">
        <v>195</v>
      </c>
      <c r="H1021" s="2" t="s">
        <v>196</v>
      </c>
      <c r="I1021" s="2" t="s">
        <v>197</v>
      </c>
      <c r="J1021" s="2" t="s">
        <v>198</v>
      </c>
      <c r="K1021" s="2" t="s">
        <v>199</v>
      </c>
      <c r="L1021" s="2" t="s">
        <v>2173</v>
      </c>
      <c r="M1021" s="2" t="s">
        <v>87</v>
      </c>
      <c r="N1021" s="2" t="s">
        <v>96</v>
      </c>
      <c r="O1021" s="2">
        <v>14</v>
      </c>
      <c r="P1021" s="2">
        <v>14</v>
      </c>
      <c r="Q1021" s="4">
        <v>9180</v>
      </c>
      <c r="R1021" s="4">
        <v>8990</v>
      </c>
      <c r="S1021" s="4">
        <v>217</v>
      </c>
      <c r="T1021" s="19">
        <f>(ProductionData[[#This Row],[Rejected_Qty]])/ProductionData[[#This Row],[Produced_Qty]]</f>
        <v>2.4137931034482758E-2</v>
      </c>
      <c r="U1021" s="19">
        <f>ProductionData[[#This Row],[Produced_Qty]]/ProductionData[[#This Row],[Planned_Qty]]</f>
        <v>0.97930283224400871</v>
      </c>
      <c r="V1021" s="2" t="s">
        <v>113</v>
      </c>
      <c r="W1021" s="11">
        <v>0</v>
      </c>
      <c r="X1021" s="13">
        <f>W1021/60</f>
        <v>0</v>
      </c>
      <c r="Y1021" s="2" t="s">
        <v>90</v>
      </c>
      <c r="Z1021" s="2">
        <v>38</v>
      </c>
      <c r="AA1021" s="2">
        <f>ProductionData[[#This Row],[Rejected_Qty]]*ProductionData[[#This Row],[Unit_Cost_INR]]</f>
        <v>8246</v>
      </c>
      <c r="AB1021" s="4">
        <v>37439</v>
      </c>
      <c r="AC1021" s="4">
        <v>7890</v>
      </c>
      <c r="AD1021" s="4">
        <v>7890</v>
      </c>
      <c r="AE1021" s="4">
        <v>38322</v>
      </c>
      <c r="AF1021" s="4">
        <v>13500</v>
      </c>
    </row>
    <row r="1022" spans="1:32">
      <c r="A1022" s="2" t="s">
        <v>2174</v>
      </c>
      <c r="B1022" s="3">
        <v>46224</v>
      </c>
      <c r="C1022" s="36" t="s">
        <v>2128</v>
      </c>
      <c r="D1022" s="2">
        <f>MONTH(ProductionData[[#This Row],[Month]])</f>
        <v>7</v>
      </c>
      <c r="E1022" s="2" t="s">
        <v>92</v>
      </c>
      <c r="F1022" s="2" t="s">
        <v>93</v>
      </c>
      <c r="G1022" s="2" t="s">
        <v>195</v>
      </c>
      <c r="H1022" s="2" t="s">
        <v>196</v>
      </c>
      <c r="I1022" s="2" t="s">
        <v>197</v>
      </c>
      <c r="J1022" s="2" t="s">
        <v>198</v>
      </c>
      <c r="K1022" s="2" t="s">
        <v>199</v>
      </c>
      <c r="L1022" s="2" t="s">
        <v>2175</v>
      </c>
      <c r="M1022" s="2" t="s">
        <v>133</v>
      </c>
      <c r="N1022" s="2" t="s">
        <v>88</v>
      </c>
      <c r="O1022" s="2">
        <v>14</v>
      </c>
      <c r="P1022" s="2">
        <v>10</v>
      </c>
      <c r="Q1022" s="4">
        <v>9100</v>
      </c>
      <c r="R1022" s="4">
        <v>8040</v>
      </c>
      <c r="S1022" s="4">
        <v>223</v>
      </c>
      <c r="T1022" s="19">
        <f>(ProductionData[[#This Row],[Rejected_Qty]])/ProductionData[[#This Row],[Produced_Qty]]</f>
        <v>2.77363184079602E-2</v>
      </c>
      <c r="U1022" s="19">
        <f>ProductionData[[#This Row],[Produced_Qty]]/ProductionData[[#This Row],[Planned_Qty]]</f>
        <v>0.88351648351648349</v>
      </c>
      <c r="V1022" s="2" t="s">
        <v>89</v>
      </c>
      <c r="W1022" s="11">
        <v>0</v>
      </c>
      <c r="X1022" s="13">
        <f>W1022/60</f>
        <v>0</v>
      </c>
      <c r="Y1022" s="2" t="s">
        <v>90</v>
      </c>
      <c r="Z1022" s="2">
        <v>38</v>
      </c>
      <c r="AA1022" s="2">
        <f>ProductionData[[#This Row],[Rejected_Qty]]*ProductionData[[#This Row],[Unit_Cost_INR]]</f>
        <v>8474</v>
      </c>
      <c r="AB1022" s="4">
        <v>39062</v>
      </c>
      <c r="AC1022" s="4">
        <v>8640</v>
      </c>
      <c r="AD1022" s="4">
        <v>8640</v>
      </c>
      <c r="AE1022" s="4">
        <v>38239</v>
      </c>
      <c r="AF1022" s="4">
        <v>13500</v>
      </c>
    </row>
    <row r="1023" spans="1:32">
      <c r="A1023" s="2" t="s">
        <v>2176</v>
      </c>
      <c r="B1023" s="3">
        <v>46228</v>
      </c>
      <c r="C1023" s="36" t="s">
        <v>2128</v>
      </c>
      <c r="D1023" s="2">
        <f>MONTH(ProductionData[[#This Row],[Month]])</f>
        <v>7</v>
      </c>
      <c r="E1023" s="2" t="s">
        <v>65</v>
      </c>
      <c r="F1023" s="2" t="s">
        <v>66</v>
      </c>
      <c r="G1023" s="2" t="s">
        <v>195</v>
      </c>
      <c r="H1023" s="2" t="s">
        <v>196</v>
      </c>
      <c r="I1023" s="2" t="s">
        <v>197</v>
      </c>
      <c r="J1023" s="2" t="s">
        <v>198</v>
      </c>
      <c r="K1023" s="2" t="s">
        <v>199</v>
      </c>
      <c r="L1023" s="2" t="s">
        <v>2177</v>
      </c>
      <c r="M1023" s="2" t="s">
        <v>73</v>
      </c>
      <c r="N1023" s="2" t="s">
        <v>96</v>
      </c>
      <c r="O1023" s="2">
        <v>14</v>
      </c>
      <c r="P1023" s="2">
        <v>13</v>
      </c>
      <c r="Q1023" s="4">
        <v>8820</v>
      </c>
      <c r="R1023" s="4">
        <v>7840</v>
      </c>
      <c r="S1023" s="4">
        <v>219</v>
      </c>
      <c r="T1023" s="19">
        <f>(ProductionData[[#This Row],[Rejected_Qty]])/ProductionData[[#This Row],[Produced_Qty]]</f>
        <v>2.7933673469387754E-2</v>
      </c>
      <c r="U1023" s="19">
        <f>ProductionData[[#This Row],[Produced_Qty]]/ProductionData[[#This Row],[Planned_Qty]]</f>
        <v>0.88888888888888884</v>
      </c>
      <c r="V1023" s="2" t="s">
        <v>103</v>
      </c>
      <c r="W1023" s="11">
        <v>45</v>
      </c>
      <c r="X1023" s="13">
        <f>W1023/60</f>
        <v>0.75</v>
      </c>
      <c r="Y1023" s="2" t="s">
        <v>182</v>
      </c>
      <c r="Z1023" s="2">
        <v>38</v>
      </c>
      <c r="AA1023" s="2">
        <f>ProductionData[[#This Row],[Rejected_Qty]]*ProductionData[[#This Row],[Unit_Cost_INR]]</f>
        <v>8322</v>
      </c>
      <c r="AB1023" s="4">
        <v>38322</v>
      </c>
      <c r="AC1023" s="4">
        <v>7890</v>
      </c>
      <c r="AD1023" s="4">
        <v>7890</v>
      </c>
      <c r="AE1023" s="4">
        <v>38053</v>
      </c>
      <c r="AF1023" s="4">
        <v>13500</v>
      </c>
    </row>
    <row r="1024" spans="1:32">
      <c r="A1024" s="2" t="s">
        <v>2178</v>
      </c>
      <c r="B1024" s="3">
        <v>46217</v>
      </c>
      <c r="C1024" s="36" t="s">
        <v>2128</v>
      </c>
      <c r="D1024" s="2">
        <f>MONTH(ProductionData[[#This Row],[Month]])</f>
        <v>7</v>
      </c>
      <c r="E1024" s="2" t="s">
        <v>92</v>
      </c>
      <c r="F1024" s="2" t="s">
        <v>80</v>
      </c>
      <c r="G1024" s="2" t="s">
        <v>195</v>
      </c>
      <c r="H1024" s="2" t="s">
        <v>196</v>
      </c>
      <c r="I1024" s="2" t="s">
        <v>197</v>
      </c>
      <c r="J1024" s="2" t="s">
        <v>198</v>
      </c>
      <c r="K1024" s="2" t="s">
        <v>199</v>
      </c>
      <c r="L1024" s="2" t="s">
        <v>2179</v>
      </c>
      <c r="M1024" s="2" t="s">
        <v>102</v>
      </c>
      <c r="N1024" s="2" t="s">
        <v>96</v>
      </c>
      <c r="O1024" s="2">
        <v>14</v>
      </c>
      <c r="P1024" s="2">
        <v>14</v>
      </c>
      <c r="Q1024" s="4">
        <v>9700</v>
      </c>
      <c r="R1024" s="4">
        <v>9180</v>
      </c>
      <c r="S1024" s="4">
        <v>239</v>
      </c>
      <c r="T1024" s="19">
        <f>(ProductionData[[#This Row],[Rejected_Qty]])/ProductionData[[#This Row],[Produced_Qty]]</f>
        <v>2.6034858387799564E-2</v>
      </c>
      <c r="U1024" s="19">
        <f>ProductionData[[#This Row],[Produced_Qty]]/ProductionData[[#This Row],[Planned_Qty]]</f>
        <v>0.94639175257731956</v>
      </c>
      <c r="V1024" s="2" t="s">
        <v>89</v>
      </c>
      <c r="W1024" s="11">
        <v>0</v>
      </c>
      <c r="X1024" s="13">
        <f>W1024/60</f>
        <v>0</v>
      </c>
      <c r="Y1024" s="2" t="s">
        <v>90</v>
      </c>
      <c r="Z1024" s="2">
        <v>38</v>
      </c>
      <c r="AA1024" s="2">
        <f>ProductionData[[#This Row],[Rejected_Qty]]*ProductionData[[#This Row],[Unit_Cost_INR]]</f>
        <v>9082</v>
      </c>
      <c r="AB1024" s="4">
        <v>38429</v>
      </c>
      <c r="AC1024" s="4">
        <v>9380</v>
      </c>
      <c r="AD1024" s="4">
        <v>9380</v>
      </c>
      <c r="AE1024" s="4">
        <v>37990</v>
      </c>
      <c r="AF1024" s="4">
        <v>13500</v>
      </c>
    </row>
    <row r="1025" spans="1:32">
      <c r="A1025" s="2" t="s">
        <v>2180</v>
      </c>
      <c r="B1025" s="3">
        <v>46216</v>
      </c>
      <c r="C1025" s="36" t="s">
        <v>2128</v>
      </c>
      <c r="D1025" s="2">
        <f>MONTH(ProductionData[[#This Row],[Month]])</f>
        <v>7</v>
      </c>
      <c r="E1025" s="2" t="s">
        <v>116</v>
      </c>
      <c r="F1025" s="2" t="s">
        <v>66</v>
      </c>
      <c r="G1025" s="2" t="s">
        <v>195</v>
      </c>
      <c r="H1025" s="2" t="s">
        <v>196</v>
      </c>
      <c r="I1025" s="2" t="s">
        <v>197</v>
      </c>
      <c r="J1025" s="2" t="s">
        <v>198</v>
      </c>
      <c r="K1025" s="2" t="s">
        <v>199</v>
      </c>
      <c r="L1025" s="2" t="s">
        <v>2181</v>
      </c>
      <c r="M1025" s="2" t="s">
        <v>73</v>
      </c>
      <c r="N1025" s="2" t="s">
        <v>88</v>
      </c>
      <c r="O1025" s="2">
        <v>14</v>
      </c>
      <c r="P1025" s="2">
        <v>13</v>
      </c>
      <c r="Q1025" s="4">
        <v>9120</v>
      </c>
      <c r="R1025" s="4">
        <v>8550</v>
      </c>
      <c r="S1025" s="4">
        <v>230</v>
      </c>
      <c r="T1025" s="19">
        <f>(ProductionData[[#This Row],[Rejected_Qty]])/ProductionData[[#This Row],[Produced_Qty]]</f>
        <v>2.6900584795321637E-2</v>
      </c>
      <c r="U1025" s="19">
        <f>ProductionData[[#This Row],[Produced_Qty]]/ProductionData[[#This Row],[Planned_Qty]]</f>
        <v>0.9375</v>
      </c>
      <c r="V1025" s="2" t="s">
        <v>103</v>
      </c>
      <c r="W1025" s="11">
        <v>0</v>
      </c>
      <c r="X1025" s="13">
        <f>W1025/60</f>
        <v>0</v>
      </c>
      <c r="Y1025" s="2" t="s">
        <v>90</v>
      </c>
      <c r="Z1025" s="2">
        <v>38</v>
      </c>
      <c r="AA1025" s="2">
        <f>ProductionData[[#This Row],[Rejected_Qty]]*ProductionData[[#This Row],[Unit_Cost_INR]]</f>
        <v>8740</v>
      </c>
      <c r="AB1025" s="4">
        <v>37891</v>
      </c>
      <c r="AC1025" s="4">
        <v>8230</v>
      </c>
      <c r="AD1025" s="4">
        <v>8230</v>
      </c>
      <c r="AE1025" s="4">
        <v>37981</v>
      </c>
      <c r="AF1025" s="4">
        <v>13500</v>
      </c>
    </row>
    <row r="1026" spans="1:32">
      <c r="A1026" s="2" t="s">
        <v>2182</v>
      </c>
      <c r="B1026" s="3">
        <v>46212</v>
      </c>
      <c r="C1026" s="36" t="s">
        <v>2128</v>
      </c>
      <c r="D1026" s="2">
        <f>MONTH(ProductionData[[#This Row],[Month]])</f>
        <v>7</v>
      </c>
      <c r="E1026" s="2" t="s">
        <v>107</v>
      </c>
      <c r="F1026" s="2" t="s">
        <v>66</v>
      </c>
      <c r="G1026" s="2" t="s">
        <v>195</v>
      </c>
      <c r="H1026" s="2" t="s">
        <v>196</v>
      </c>
      <c r="I1026" s="2" t="s">
        <v>197</v>
      </c>
      <c r="J1026" s="2" t="s">
        <v>198</v>
      </c>
      <c r="K1026" s="2" t="s">
        <v>199</v>
      </c>
      <c r="L1026" s="2" t="s">
        <v>2183</v>
      </c>
      <c r="M1026" s="2" t="s">
        <v>99</v>
      </c>
      <c r="N1026" s="2" t="s">
        <v>96</v>
      </c>
      <c r="O1026" s="2">
        <v>14</v>
      </c>
      <c r="P1026" s="2">
        <v>13</v>
      </c>
      <c r="Q1026" s="4">
        <v>9310</v>
      </c>
      <c r="R1026" s="4">
        <v>8260</v>
      </c>
      <c r="S1026" s="4">
        <v>200</v>
      </c>
      <c r="T1026" s="19">
        <f>(ProductionData[[#This Row],[Rejected_Qty]])/ProductionData[[#This Row],[Produced_Qty]]</f>
        <v>2.4213075060532687E-2</v>
      </c>
      <c r="U1026" s="19">
        <f>ProductionData[[#This Row],[Produced_Qty]]/ProductionData[[#This Row],[Planned_Qty]]</f>
        <v>0.88721804511278191</v>
      </c>
      <c r="V1026" s="2" t="s">
        <v>109</v>
      </c>
      <c r="W1026" s="11">
        <v>0</v>
      </c>
      <c r="X1026" s="13">
        <f>W1026/60</f>
        <v>0</v>
      </c>
      <c r="Y1026" s="2" t="s">
        <v>90</v>
      </c>
      <c r="Z1026" s="2">
        <v>38</v>
      </c>
      <c r="AA1026" s="2">
        <f>ProductionData[[#This Row],[Rejected_Qty]]*ProductionData[[#This Row],[Unit_Cost_INR]]</f>
        <v>7600</v>
      </c>
      <c r="AB1026" s="4">
        <v>38531</v>
      </c>
      <c r="AC1026" s="4">
        <v>8700</v>
      </c>
      <c r="AD1026" s="4">
        <v>8700</v>
      </c>
      <c r="AE1026" s="4">
        <v>37891</v>
      </c>
      <c r="AF1026" s="4">
        <v>13500</v>
      </c>
    </row>
    <row r="1027" spans="1:32">
      <c r="A1027" s="2" t="s">
        <v>2184</v>
      </c>
      <c r="B1027" s="3">
        <v>46219</v>
      </c>
      <c r="C1027" s="36" t="s">
        <v>2128</v>
      </c>
      <c r="D1027" s="2">
        <f>MONTH(ProductionData[[#This Row],[Month]])</f>
        <v>7</v>
      </c>
      <c r="E1027" s="2" t="s">
        <v>107</v>
      </c>
      <c r="F1027" s="2" t="s">
        <v>66</v>
      </c>
      <c r="G1027" s="2" t="s">
        <v>195</v>
      </c>
      <c r="H1027" s="2" t="s">
        <v>196</v>
      </c>
      <c r="I1027" s="2" t="s">
        <v>197</v>
      </c>
      <c r="J1027" s="2" t="s">
        <v>198</v>
      </c>
      <c r="K1027" s="2" t="s">
        <v>199</v>
      </c>
      <c r="L1027" s="2" t="s">
        <v>2185</v>
      </c>
      <c r="M1027" s="2" t="s">
        <v>73</v>
      </c>
      <c r="N1027" s="2" t="s">
        <v>96</v>
      </c>
      <c r="O1027" s="2">
        <v>14</v>
      </c>
      <c r="P1027" s="2">
        <v>13</v>
      </c>
      <c r="Q1027" s="4">
        <v>8440</v>
      </c>
      <c r="R1027" s="4">
        <v>7580</v>
      </c>
      <c r="S1027" s="4">
        <v>165</v>
      </c>
      <c r="T1027" s="19">
        <f>(ProductionData[[#This Row],[Rejected_Qty]])/ProductionData[[#This Row],[Produced_Qty]]</f>
        <v>2.1767810026385226E-2</v>
      </c>
      <c r="U1027" s="19">
        <f>ProductionData[[#This Row],[Produced_Qty]]/ProductionData[[#This Row],[Planned_Qty]]</f>
        <v>0.8981042654028436</v>
      </c>
      <c r="V1027" s="2" t="s">
        <v>103</v>
      </c>
      <c r="W1027" s="11">
        <v>36</v>
      </c>
      <c r="X1027" s="13">
        <f>W1027/60</f>
        <v>0.6</v>
      </c>
      <c r="Y1027" s="2" t="s">
        <v>76</v>
      </c>
      <c r="Z1027" s="2">
        <v>38</v>
      </c>
      <c r="AA1027" s="2">
        <f>ProductionData[[#This Row],[Rejected_Qty]]*ProductionData[[#This Row],[Unit_Cost_INR]]</f>
        <v>6270</v>
      </c>
      <c r="AB1027" s="4">
        <v>37990</v>
      </c>
      <c r="AC1027" s="4">
        <v>7680</v>
      </c>
      <c r="AD1027" s="4">
        <v>7680</v>
      </c>
      <c r="AE1027" s="4">
        <v>37725</v>
      </c>
      <c r="AF1027" s="4">
        <v>13500</v>
      </c>
    </row>
    <row r="1028" spans="1:32">
      <c r="A1028" s="2" t="s">
        <v>2186</v>
      </c>
      <c r="B1028" s="3">
        <v>46228</v>
      </c>
      <c r="C1028" s="36" t="s">
        <v>2128</v>
      </c>
      <c r="D1028" s="2">
        <f>MONTH(ProductionData[[#This Row],[Month]])</f>
        <v>7</v>
      </c>
      <c r="E1028" s="2" t="s">
        <v>65</v>
      </c>
      <c r="F1028" s="2" t="s">
        <v>80</v>
      </c>
      <c r="G1028" s="2" t="s">
        <v>195</v>
      </c>
      <c r="H1028" s="2" t="s">
        <v>196</v>
      </c>
      <c r="I1028" s="2" t="s">
        <v>197</v>
      </c>
      <c r="J1028" s="2" t="s">
        <v>198</v>
      </c>
      <c r="K1028" s="2" t="s">
        <v>199</v>
      </c>
      <c r="L1028" s="2" t="s">
        <v>2187</v>
      </c>
      <c r="M1028" s="2" t="s">
        <v>102</v>
      </c>
      <c r="N1028" s="2" t="s">
        <v>88</v>
      </c>
      <c r="O1028" s="2">
        <v>14</v>
      </c>
      <c r="P1028" s="2">
        <v>14</v>
      </c>
      <c r="Q1028" s="4">
        <v>9320</v>
      </c>
      <c r="R1028" s="4">
        <v>9000</v>
      </c>
      <c r="S1028" s="4">
        <v>263</v>
      </c>
      <c r="T1028" s="19">
        <f>(ProductionData[[#This Row],[Rejected_Qty]])/ProductionData[[#This Row],[Produced_Qty]]</f>
        <v>2.9222222222222222E-2</v>
      </c>
      <c r="U1028" s="19">
        <f>ProductionData[[#This Row],[Produced_Qty]]/ProductionData[[#This Row],[Planned_Qty]]</f>
        <v>0.96566523605150212</v>
      </c>
      <c r="V1028" s="2" t="s">
        <v>75</v>
      </c>
      <c r="W1028" s="11">
        <v>14</v>
      </c>
      <c r="X1028" s="13">
        <f>W1028/60</f>
        <v>0.23333333333333334</v>
      </c>
      <c r="Y1028" s="2" t="s">
        <v>182</v>
      </c>
      <c r="Z1028" s="2">
        <v>38</v>
      </c>
      <c r="AA1028" s="2">
        <f>ProductionData[[#This Row],[Rejected_Qty]]*ProductionData[[#This Row],[Unit_Cost_INR]]</f>
        <v>9994</v>
      </c>
      <c r="AB1028" s="4">
        <v>38053</v>
      </c>
      <c r="AC1028" s="4">
        <v>9120</v>
      </c>
      <c r="AD1028" s="4">
        <v>9120</v>
      </c>
      <c r="AE1028" s="4">
        <v>37670</v>
      </c>
      <c r="AF1028" s="4">
        <v>13500</v>
      </c>
    </row>
    <row r="1029" spans="1:32">
      <c r="A1029" s="2" t="s">
        <v>2188</v>
      </c>
      <c r="B1029" s="3">
        <v>46208</v>
      </c>
      <c r="C1029" s="36" t="s">
        <v>2128</v>
      </c>
      <c r="D1029" s="2">
        <f>MONTH(ProductionData[[#This Row],[Month]])</f>
        <v>7</v>
      </c>
      <c r="E1029" s="2" t="s">
        <v>186</v>
      </c>
      <c r="F1029" s="2" t="s">
        <v>66</v>
      </c>
      <c r="G1029" s="2" t="s">
        <v>81</v>
      </c>
      <c r="H1029" s="2" t="s">
        <v>82</v>
      </c>
      <c r="I1029" s="2" t="s">
        <v>83</v>
      </c>
      <c r="J1029" s="2" t="s">
        <v>84</v>
      </c>
      <c r="K1029" s="2" t="s">
        <v>85</v>
      </c>
      <c r="L1029" s="2" t="s">
        <v>2189</v>
      </c>
      <c r="M1029" s="2" t="s">
        <v>99</v>
      </c>
      <c r="N1029" s="2" t="s">
        <v>96</v>
      </c>
      <c r="O1029" s="2">
        <v>18</v>
      </c>
      <c r="P1029" s="2">
        <v>18</v>
      </c>
      <c r="Q1029" s="4">
        <v>6900</v>
      </c>
      <c r="R1029" s="4">
        <v>6950</v>
      </c>
      <c r="S1029" s="4">
        <v>201</v>
      </c>
      <c r="T1029" s="19">
        <f>(ProductionData[[#This Row],[Rejected_Qty]])/ProductionData[[#This Row],[Produced_Qty]]</f>
        <v>2.8920863309352517E-2</v>
      </c>
      <c r="U1029" s="19">
        <f>ProductionData[[#This Row],[Produced_Qty]]/ProductionData[[#This Row],[Planned_Qty]]</f>
        <v>1.0072463768115942</v>
      </c>
      <c r="V1029" s="2" t="s">
        <v>89</v>
      </c>
      <c r="W1029" s="11">
        <v>0</v>
      </c>
      <c r="X1029" s="13">
        <f>W1029/60</f>
        <v>0</v>
      </c>
      <c r="Y1029" s="2" t="s">
        <v>90</v>
      </c>
      <c r="Z1029" s="2">
        <v>18</v>
      </c>
      <c r="AA1029" s="2">
        <f>ProductionData[[#This Row],[Rejected_Qty]]*ProductionData[[#This Row],[Unit_Cost_INR]]</f>
        <v>3618</v>
      </c>
      <c r="AB1029" s="4">
        <v>36526</v>
      </c>
      <c r="AC1029" s="4">
        <v>5750</v>
      </c>
      <c r="AD1029" s="4">
        <v>5750</v>
      </c>
      <c r="AE1029" s="4">
        <v>37525</v>
      </c>
      <c r="AF1029" s="4">
        <v>15000</v>
      </c>
    </row>
    <row r="1030" spans="1:32">
      <c r="A1030" s="2" t="s">
        <v>2190</v>
      </c>
      <c r="B1030" s="3">
        <v>46225</v>
      </c>
      <c r="C1030" s="36" t="s">
        <v>2128</v>
      </c>
      <c r="D1030" s="2">
        <f>MONTH(ProductionData[[#This Row],[Month]])</f>
        <v>7</v>
      </c>
      <c r="E1030" s="2" t="s">
        <v>79</v>
      </c>
      <c r="F1030" s="2" t="s">
        <v>66</v>
      </c>
      <c r="G1030" s="2" t="s">
        <v>195</v>
      </c>
      <c r="H1030" s="2" t="s">
        <v>196</v>
      </c>
      <c r="I1030" s="2" t="s">
        <v>197</v>
      </c>
      <c r="J1030" s="2" t="s">
        <v>198</v>
      </c>
      <c r="K1030" s="2" t="s">
        <v>199</v>
      </c>
      <c r="L1030" s="2" t="s">
        <v>2191</v>
      </c>
      <c r="M1030" s="2" t="s">
        <v>99</v>
      </c>
      <c r="N1030" s="2" t="s">
        <v>96</v>
      </c>
      <c r="O1030" s="2">
        <v>14</v>
      </c>
      <c r="P1030" s="2">
        <v>13</v>
      </c>
      <c r="Q1030" s="4">
        <v>9190</v>
      </c>
      <c r="R1030" s="4">
        <v>8590</v>
      </c>
      <c r="S1030" s="4">
        <v>270</v>
      </c>
      <c r="T1030" s="19">
        <f>(ProductionData[[#This Row],[Rejected_Qty]])/ProductionData[[#This Row],[Produced_Qty]]</f>
        <v>3.1431897555296857E-2</v>
      </c>
      <c r="U1030" s="19">
        <f>ProductionData[[#This Row],[Produced_Qty]]/ProductionData[[#This Row],[Planned_Qty]]</f>
        <v>0.93471164309031551</v>
      </c>
      <c r="V1030" s="2" t="s">
        <v>113</v>
      </c>
      <c r="W1030" s="11">
        <v>0</v>
      </c>
      <c r="X1030" s="13">
        <f>W1030/60</f>
        <v>0</v>
      </c>
      <c r="Y1030" s="2" t="s">
        <v>90</v>
      </c>
      <c r="Z1030" s="2">
        <v>38</v>
      </c>
      <c r="AA1030" s="2">
        <f>ProductionData[[#This Row],[Rejected_Qty]]*ProductionData[[#This Row],[Unit_Cost_INR]]</f>
        <v>10260</v>
      </c>
      <c r="AB1030" s="4">
        <v>38239</v>
      </c>
      <c r="AC1030" s="4">
        <v>9120</v>
      </c>
      <c r="AD1030" s="4">
        <v>9120</v>
      </c>
      <c r="AE1030" s="4">
        <v>37439</v>
      </c>
      <c r="AF1030" s="4">
        <v>13500</v>
      </c>
    </row>
    <row r="1031" spans="1:32">
      <c r="A1031" s="2" t="s">
        <v>2192</v>
      </c>
      <c r="B1031" s="3">
        <v>46230</v>
      </c>
      <c r="C1031" s="36" t="s">
        <v>2128</v>
      </c>
      <c r="D1031" s="2">
        <f>MONTH(ProductionData[[#This Row],[Month]])</f>
        <v>7</v>
      </c>
      <c r="E1031" s="2" t="s">
        <v>116</v>
      </c>
      <c r="F1031" s="2" t="s">
        <v>80</v>
      </c>
      <c r="G1031" s="2" t="s">
        <v>195</v>
      </c>
      <c r="H1031" s="2" t="s">
        <v>196</v>
      </c>
      <c r="I1031" s="2" t="s">
        <v>197</v>
      </c>
      <c r="J1031" s="2" t="s">
        <v>198</v>
      </c>
      <c r="K1031" s="2" t="s">
        <v>199</v>
      </c>
      <c r="L1031" s="2" t="s">
        <v>2193</v>
      </c>
      <c r="M1031" s="2" t="s">
        <v>102</v>
      </c>
      <c r="N1031" s="2" t="s">
        <v>88</v>
      </c>
      <c r="O1031" s="2">
        <v>14</v>
      </c>
      <c r="P1031" s="2">
        <v>14</v>
      </c>
      <c r="Q1031" s="4">
        <v>8940</v>
      </c>
      <c r="R1031" s="4">
        <v>8550</v>
      </c>
      <c r="S1031" s="4">
        <v>172</v>
      </c>
      <c r="T1031" s="19">
        <f>(ProductionData[[#This Row],[Rejected_Qty]])/ProductionData[[#This Row],[Produced_Qty]]</f>
        <v>2.0116959064327485E-2</v>
      </c>
      <c r="U1031" s="19">
        <f>ProductionData[[#This Row],[Produced_Qty]]/ProductionData[[#This Row],[Planned_Qty]]</f>
        <v>0.9563758389261745</v>
      </c>
      <c r="V1031" s="2" t="s">
        <v>75</v>
      </c>
      <c r="W1031" s="11">
        <v>0</v>
      </c>
      <c r="X1031" s="13">
        <f>W1031/60</f>
        <v>0</v>
      </c>
      <c r="Y1031" s="2" t="s">
        <v>90</v>
      </c>
      <c r="Z1031" s="2">
        <v>38</v>
      </c>
      <c r="AA1031" s="2">
        <f>ProductionData[[#This Row],[Rejected_Qty]]*ProductionData[[#This Row],[Unit_Cost_INR]]</f>
        <v>6536</v>
      </c>
      <c r="AB1031" s="4">
        <v>37670</v>
      </c>
      <c r="AC1031" s="4">
        <v>8650</v>
      </c>
      <c r="AD1031" s="4">
        <v>8650</v>
      </c>
      <c r="AE1031" s="4">
        <v>37398</v>
      </c>
      <c r="AF1031" s="4">
        <v>13500</v>
      </c>
    </row>
    <row r="1032" spans="1:32">
      <c r="A1032" s="2" t="s">
        <v>2194</v>
      </c>
      <c r="B1032" s="3">
        <v>46233</v>
      </c>
      <c r="C1032" s="36" t="s">
        <v>2128</v>
      </c>
      <c r="D1032" s="2">
        <f>MONTH(ProductionData[[#This Row],[Month]])</f>
        <v>7</v>
      </c>
      <c r="E1032" s="2" t="s">
        <v>107</v>
      </c>
      <c r="F1032" s="2" t="s">
        <v>93</v>
      </c>
      <c r="G1032" s="2" t="s">
        <v>195</v>
      </c>
      <c r="H1032" s="2" t="s">
        <v>196</v>
      </c>
      <c r="I1032" s="2" t="s">
        <v>197</v>
      </c>
      <c r="J1032" s="2" t="s">
        <v>198</v>
      </c>
      <c r="K1032" s="2" t="s">
        <v>199</v>
      </c>
      <c r="L1032" s="2" t="s">
        <v>2195</v>
      </c>
      <c r="M1032" s="2" t="s">
        <v>133</v>
      </c>
      <c r="N1032" s="2" t="s">
        <v>88</v>
      </c>
      <c r="O1032" s="2">
        <v>14</v>
      </c>
      <c r="P1032" s="2">
        <v>13</v>
      </c>
      <c r="Q1032" s="4">
        <v>7880</v>
      </c>
      <c r="R1032" s="4">
        <v>7340</v>
      </c>
      <c r="S1032" s="4">
        <v>283</v>
      </c>
      <c r="T1032" s="19">
        <f>(ProductionData[[#This Row],[Rejected_Qty]])/ProductionData[[#This Row],[Produced_Qty]]</f>
        <v>3.8555858310626703E-2</v>
      </c>
      <c r="U1032" s="19">
        <f>ProductionData[[#This Row],[Produced_Qty]]/ProductionData[[#This Row],[Planned_Qty]]</f>
        <v>0.93147208121827407</v>
      </c>
      <c r="V1032" s="2" t="s">
        <v>109</v>
      </c>
      <c r="W1032" s="11">
        <v>0</v>
      </c>
      <c r="X1032" s="13">
        <f>W1032/60</f>
        <v>0</v>
      </c>
      <c r="Y1032" s="2" t="s">
        <v>90</v>
      </c>
      <c r="Z1032" s="2">
        <v>38</v>
      </c>
      <c r="AA1032" s="2">
        <f>ProductionData[[#This Row],[Rejected_Qty]]*ProductionData[[#This Row],[Unit_Cost_INR]]</f>
        <v>10754</v>
      </c>
      <c r="AB1032" s="4">
        <v>36469</v>
      </c>
      <c r="AC1032" s="4">
        <v>6650</v>
      </c>
      <c r="AD1032" s="4">
        <v>6650</v>
      </c>
      <c r="AE1032" s="4">
        <v>36876</v>
      </c>
      <c r="AF1032" s="4">
        <v>13500</v>
      </c>
    </row>
    <row r="1033" spans="1:32">
      <c r="A1033" s="2" t="s">
        <v>2196</v>
      </c>
      <c r="B1033" s="3">
        <v>46230</v>
      </c>
      <c r="C1033" s="36" t="s">
        <v>2128</v>
      </c>
      <c r="D1033" s="2">
        <f>MONTH(ProductionData[[#This Row],[Month]])</f>
        <v>7</v>
      </c>
      <c r="E1033" s="2" t="s">
        <v>116</v>
      </c>
      <c r="F1033" s="2" t="s">
        <v>93</v>
      </c>
      <c r="G1033" s="2" t="s">
        <v>195</v>
      </c>
      <c r="H1033" s="2" t="s">
        <v>196</v>
      </c>
      <c r="I1033" s="2" t="s">
        <v>197</v>
      </c>
      <c r="J1033" s="2" t="s">
        <v>198</v>
      </c>
      <c r="K1033" s="2" t="s">
        <v>199</v>
      </c>
      <c r="L1033" s="2" t="s">
        <v>2197</v>
      </c>
      <c r="M1033" s="2" t="s">
        <v>133</v>
      </c>
      <c r="N1033" s="2" t="s">
        <v>96</v>
      </c>
      <c r="O1033" s="2">
        <v>14</v>
      </c>
      <c r="P1033" s="2">
        <v>11</v>
      </c>
      <c r="Q1033" s="4">
        <v>9150</v>
      </c>
      <c r="R1033" s="4">
        <v>7900</v>
      </c>
      <c r="S1033" s="4">
        <v>157</v>
      </c>
      <c r="T1033" s="19">
        <f>(ProductionData[[#This Row],[Rejected_Qty]])/ProductionData[[#This Row],[Produced_Qty]]</f>
        <v>1.9873417721518988E-2</v>
      </c>
      <c r="U1033" s="19">
        <f>ProductionData[[#This Row],[Produced_Qty]]/ProductionData[[#This Row],[Planned_Qty]]</f>
        <v>0.86338797814207646</v>
      </c>
      <c r="V1033" s="2" t="s">
        <v>89</v>
      </c>
      <c r="W1033" s="11">
        <v>0</v>
      </c>
      <c r="X1033" s="13">
        <f>W1033/60</f>
        <v>0</v>
      </c>
      <c r="Y1033" s="2" t="s">
        <v>90</v>
      </c>
      <c r="Z1033" s="2">
        <v>38</v>
      </c>
      <c r="AA1033" s="2">
        <f>ProductionData[[#This Row],[Rejected_Qty]]*ProductionData[[#This Row],[Unit_Cost_INR]]</f>
        <v>5966</v>
      </c>
      <c r="AB1033" s="4">
        <v>37398</v>
      </c>
      <c r="AC1033" s="4">
        <v>8290</v>
      </c>
      <c r="AD1033" s="4">
        <v>8290</v>
      </c>
      <c r="AE1033" s="4">
        <v>36851</v>
      </c>
      <c r="AF1033" s="4">
        <v>13500</v>
      </c>
    </row>
    <row r="1034" spans="1:32">
      <c r="A1034" s="2" t="s">
        <v>2198</v>
      </c>
      <c r="B1034" s="3">
        <v>46209</v>
      </c>
      <c r="C1034" s="36" t="s">
        <v>2128</v>
      </c>
      <c r="D1034" s="2">
        <f>MONTH(ProductionData[[#This Row],[Month]])</f>
        <v>7</v>
      </c>
      <c r="E1034" s="2" t="s">
        <v>116</v>
      </c>
      <c r="F1034" s="2" t="s">
        <v>93</v>
      </c>
      <c r="G1034" s="2" t="s">
        <v>195</v>
      </c>
      <c r="H1034" s="2" t="s">
        <v>196</v>
      </c>
      <c r="I1034" s="2" t="s">
        <v>197</v>
      </c>
      <c r="J1034" s="2" t="s">
        <v>198</v>
      </c>
      <c r="K1034" s="2" t="s">
        <v>199</v>
      </c>
      <c r="L1034" s="2" t="s">
        <v>2199</v>
      </c>
      <c r="M1034" s="2" t="s">
        <v>95</v>
      </c>
      <c r="N1034" s="2" t="s">
        <v>96</v>
      </c>
      <c r="O1034" s="2">
        <v>14</v>
      </c>
      <c r="P1034" s="2">
        <v>13</v>
      </c>
      <c r="Q1034" s="4">
        <v>8160</v>
      </c>
      <c r="R1034" s="4">
        <v>7510</v>
      </c>
      <c r="S1034" s="4">
        <v>186</v>
      </c>
      <c r="T1034" s="19">
        <f>(ProductionData[[#This Row],[Rejected_Qty]])/ProductionData[[#This Row],[Produced_Qty]]</f>
        <v>2.4766977363515314E-2</v>
      </c>
      <c r="U1034" s="19">
        <f>ProductionData[[#This Row],[Produced_Qty]]/ProductionData[[#This Row],[Planned_Qty]]</f>
        <v>0.92034313725490191</v>
      </c>
      <c r="V1034" s="2" t="s">
        <v>109</v>
      </c>
      <c r="W1034" s="11">
        <v>12</v>
      </c>
      <c r="X1034" s="13">
        <f>W1034/60</f>
        <v>0.2</v>
      </c>
      <c r="Y1034" s="2" t="s">
        <v>110</v>
      </c>
      <c r="Z1034" s="2">
        <v>38</v>
      </c>
      <c r="AA1034" s="2">
        <f>ProductionData[[#This Row],[Rejected_Qty]]*ProductionData[[#This Row],[Unit_Cost_INR]]</f>
        <v>7068</v>
      </c>
      <c r="AB1034" s="4">
        <v>36664</v>
      </c>
      <c r="AC1034" s="4">
        <v>7230</v>
      </c>
      <c r="AD1034" s="4">
        <v>7230</v>
      </c>
      <c r="AE1034" s="4">
        <v>36758</v>
      </c>
      <c r="AF1034" s="4">
        <v>13500</v>
      </c>
    </row>
    <row r="1035" spans="1:32">
      <c r="A1035" s="2" t="s">
        <v>2200</v>
      </c>
      <c r="B1035" s="3">
        <v>46208</v>
      </c>
      <c r="C1035" s="36" t="s">
        <v>2128</v>
      </c>
      <c r="D1035" s="2">
        <f>MONTH(ProductionData[[#This Row],[Month]])</f>
        <v>7</v>
      </c>
      <c r="E1035" s="2" t="s">
        <v>186</v>
      </c>
      <c r="F1035" s="2" t="s">
        <v>80</v>
      </c>
      <c r="G1035" s="2" t="s">
        <v>195</v>
      </c>
      <c r="H1035" s="2" t="s">
        <v>196</v>
      </c>
      <c r="I1035" s="2" t="s">
        <v>197</v>
      </c>
      <c r="J1035" s="2" t="s">
        <v>198</v>
      </c>
      <c r="K1035" s="2" t="s">
        <v>199</v>
      </c>
      <c r="L1035" s="2" t="s">
        <v>2201</v>
      </c>
      <c r="M1035" s="2" t="s">
        <v>87</v>
      </c>
      <c r="N1035" s="2" t="s">
        <v>88</v>
      </c>
      <c r="O1035" s="2">
        <v>14</v>
      </c>
      <c r="P1035" s="2">
        <v>10</v>
      </c>
      <c r="Q1035" s="4">
        <v>6380</v>
      </c>
      <c r="R1035" s="4">
        <v>5540</v>
      </c>
      <c r="S1035" s="4">
        <v>117</v>
      </c>
      <c r="T1035" s="19">
        <f>(ProductionData[[#This Row],[Rejected_Qty]])/ProductionData[[#This Row],[Produced_Qty]]</f>
        <v>2.1119133574007218E-2</v>
      </c>
      <c r="U1035" s="19">
        <f>ProductionData[[#This Row],[Produced_Qty]]/ProductionData[[#This Row],[Planned_Qty]]</f>
        <v>0.86833855799373039</v>
      </c>
      <c r="V1035" s="2" t="s">
        <v>75</v>
      </c>
      <c r="W1035" s="11">
        <v>0</v>
      </c>
      <c r="X1035" s="13">
        <f>W1035/60</f>
        <v>0</v>
      </c>
      <c r="Y1035" s="2" t="s">
        <v>90</v>
      </c>
      <c r="Z1035" s="2">
        <v>38</v>
      </c>
      <c r="AA1035" s="2">
        <f>ProductionData[[#This Row],[Rejected_Qty]]*ProductionData[[#This Row],[Unit_Cost_INR]]</f>
        <v>4446</v>
      </c>
      <c r="AB1035" s="4">
        <v>36541</v>
      </c>
      <c r="AC1035" s="4">
        <v>5300</v>
      </c>
      <c r="AD1035" s="4">
        <v>5300</v>
      </c>
      <c r="AE1035" s="4">
        <v>36664</v>
      </c>
      <c r="AF1035" s="4">
        <v>13500</v>
      </c>
    </row>
    <row r="1036" spans="1:32">
      <c r="A1036" s="2" t="s">
        <v>2202</v>
      </c>
      <c r="B1036" s="3">
        <v>46206</v>
      </c>
      <c r="C1036" s="36" t="s">
        <v>2128</v>
      </c>
      <c r="D1036" s="2">
        <f>MONTH(ProductionData[[#This Row],[Month]])</f>
        <v>7</v>
      </c>
      <c r="E1036" s="2" t="s">
        <v>125</v>
      </c>
      <c r="F1036" s="2" t="s">
        <v>93</v>
      </c>
      <c r="G1036" s="2" t="s">
        <v>195</v>
      </c>
      <c r="H1036" s="2" t="s">
        <v>196</v>
      </c>
      <c r="I1036" s="2" t="s">
        <v>197</v>
      </c>
      <c r="J1036" s="2" t="s">
        <v>198</v>
      </c>
      <c r="K1036" s="2" t="s">
        <v>199</v>
      </c>
      <c r="L1036" s="2" t="s">
        <v>2203</v>
      </c>
      <c r="M1036" s="2" t="s">
        <v>133</v>
      </c>
      <c r="N1036" s="2" t="s">
        <v>88</v>
      </c>
      <c r="O1036" s="2">
        <v>14</v>
      </c>
      <c r="P1036" s="2">
        <v>12</v>
      </c>
      <c r="Q1036" s="4">
        <v>8390</v>
      </c>
      <c r="R1036" s="4">
        <v>7720</v>
      </c>
      <c r="S1036" s="4">
        <v>163</v>
      </c>
      <c r="T1036" s="19">
        <f>(ProductionData[[#This Row],[Rejected_Qty]])/ProductionData[[#This Row],[Produced_Qty]]</f>
        <v>2.1113989637305701E-2</v>
      </c>
      <c r="U1036" s="19">
        <f>ProductionData[[#This Row],[Produced_Qty]]/ProductionData[[#This Row],[Planned_Qty]]</f>
        <v>0.92014302741358756</v>
      </c>
      <c r="V1036" s="2" t="s">
        <v>103</v>
      </c>
      <c r="W1036" s="11">
        <v>0</v>
      </c>
      <c r="X1036" s="13">
        <f>W1036/60</f>
        <v>0</v>
      </c>
      <c r="Y1036" s="2" t="s">
        <v>90</v>
      </c>
      <c r="Z1036" s="2">
        <v>38</v>
      </c>
      <c r="AA1036" s="2">
        <f>ProductionData[[#This Row],[Rejected_Qty]]*ProductionData[[#This Row],[Unit_Cost_INR]]</f>
        <v>6194</v>
      </c>
      <c r="AB1036" s="4">
        <v>35944</v>
      </c>
      <c r="AC1036" s="4">
        <v>6960</v>
      </c>
      <c r="AD1036" s="4">
        <v>6960</v>
      </c>
      <c r="AE1036" s="4">
        <v>36541</v>
      </c>
      <c r="AF1036" s="4">
        <v>13500</v>
      </c>
    </row>
    <row r="1037" spans="1:32">
      <c r="A1037" s="2" t="s">
        <v>2204</v>
      </c>
      <c r="B1037" s="3">
        <v>46207</v>
      </c>
      <c r="C1037" s="36" t="s">
        <v>2128</v>
      </c>
      <c r="D1037" s="2">
        <f>MONTH(ProductionData[[#This Row],[Month]])</f>
        <v>7</v>
      </c>
      <c r="E1037" s="2" t="s">
        <v>65</v>
      </c>
      <c r="F1037" s="2" t="s">
        <v>66</v>
      </c>
      <c r="G1037" s="2" t="s">
        <v>81</v>
      </c>
      <c r="H1037" s="2" t="s">
        <v>82</v>
      </c>
      <c r="I1037" s="2" t="s">
        <v>83</v>
      </c>
      <c r="J1037" s="2" t="s">
        <v>84</v>
      </c>
      <c r="K1037" s="2" t="s">
        <v>85</v>
      </c>
      <c r="L1037" s="2" t="s">
        <v>2205</v>
      </c>
      <c r="M1037" s="2" t="s">
        <v>73</v>
      </c>
      <c r="N1037" s="2" t="s">
        <v>96</v>
      </c>
      <c r="O1037" s="2">
        <v>18</v>
      </c>
      <c r="P1037" s="2">
        <v>18</v>
      </c>
      <c r="Q1037" s="4">
        <v>10430</v>
      </c>
      <c r="R1037" s="4">
        <v>10200</v>
      </c>
      <c r="S1037" s="4">
        <v>177</v>
      </c>
      <c r="T1037" s="19">
        <f>(ProductionData[[#This Row],[Rejected_Qty]])/ProductionData[[#This Row],[Produced_Qty]]</f>
        <v>1.7352941176470588E-2</v>
      </c>
      <c r="U1037" s="19">
        <f>ProductionData[[#This Row],[Produced_Qty]]/ProductionData[[#This Row],[Planned_Qty]]</f>
        <v>0.97794822627037392</v>
      </c>
      <c r="V1037" s="2" t="s">
        <v>109</v>
      </c>
      <c r="W1037" s="11">
        <v>0</v>
      </c>
      <c r="X1037" s="13">
        <f>W1037/60</f>
        <v>0</v>
      </c>
      <c r="Y1037" s="2" t="s">
        <v>90</v>
      </c>
      <c r="Z1037" s="2">
        <v>18</v>
      </c>
      <c r="AA1037" s="2">
        <f>ProductionData[[#This Row],[Rejected_Qty]]*ProductionData[[#This Row],[Unit_Cost_INR]]</f>
        <v>3186</v>
      </c>
      <c r="AB1037" s="4">
        <v>35773</v>
      </c>
      <c r="AC1037" s="4">
        <v>9270</v>
      </c>
      <c r="AD1037" s="4">
        <v>9270</v>
      </c>
      <c r="AE1037" s="4">
        <v>36526</v>
      </c>
      <c r="AF1037" s="4">
        <v>15000</v>
      </c>
    </row>
    <row r="1038" spans="1:32">
      <c r="A1038" s="2" t="s">
        <v>2206</v>
      </c>
      <c r="B1038" s="3">
        <v>46231</v>
      </c>
      <c r="C1038" s="36" t="s">
        <v>2128</v>
      </c>
      <c r="D1038" s="2">
        <f>MONTH(ProductionData[[#This Row],[Month]])</f>
        <v>7</v>
      </c>
      <c r="E1038" s="2" t="s">
        <v>92</v>
      </c>
      <c r="F1038" s="2" t="s">
        <v>80</v>
      </c>
      <c r="G1038" s="2" t="s">
        <v>195</v>
      </c>
      <c r="H1038" s="2" t="s">
        <v>196</v>
      </c>
      <c r="I1038" s="2" t="s">
        <v>197</v>
      </c>
      <c r="J1038" s="2" t="s">
        <v>198</v>
      </c>
      <c r="K1038" s="2" t="s">
        <v>199</v>
      </c>
      <c r="L1038" s="2" t="s">
        <v>2207</v>
      </c>
      <c r="M1038" s="2" t="s">
        <v>87</v>
      </c>
      <c r="N1038" s="2" t="s">
        <v>88</v>
      </c>
      <c r="O1038" s="2">
        <v>14</v>
      </c>
      <c r="P1038" s="2">
        <v>12</v>
      </c>
      <c r="Q1038" s="4">
        <v>8580</v>
      </c>
      <c r="R1038" s="4">
        <v>7530</v>
      </c>
      <c r="S1038" s="4">
        <v>156</v>
      </c>
      <c r="T1038" s="19">
        <f>(ProductionData[[#This Row],[Rejected_Qty]])/ProductionData[[#This Row],[Produced_Qty]]</f>
        <v>2.0717131474103586E-2</v>
      </c>
      <c r="U1038" s="19">
        <f>ProductionData[[#This Row],[Produced_Qty]]/ProductionData[[#This Row],[Planned_Qty]]</f>
        <v>0.8776223776223776</v>
      </c>
      <c r="V1038" s="2" t="s">
        <v>89</v>
      </c>
      <c r="W1038" s="11">
        <v>47</v>
      </c>
      <c r="X1038" s="13">
        <f>W1038/60</f>
        <v>0.78333333333333333</v>
      </c>
      <c r="Y1038" s="2" t="s">
        <v>76</v>
      </c>
      <c r="Z1038" s="2">
        <v>38</v>
      </c>
      <c r="AA1038" s="2">
        <f>ProductionData[[#This Row],[Rejected_Qty]]*ProductionData[[#This Row],[Unit_Cost_INR]]</f>
        <v>5928</v>
      </c>
      <c r="AB1038" s="4">
        <v>36851</v>
      </c>
      <c r="AC1038" s="4">
        <v>7750</v>
      </c>
      <c r="AD1038" s="4">
        <v>7750</v>
      </c>
      <c r="AE1038" s="4">
        <v>36475</v>
      </c>
      <c r="AF1038" s="4">
        <v>13500</v>
      </c>
    </row>
    <row r="1039" spans="1:32">
      <c r="A1039" s="2" t="s">
        <v>2208</v>
      </c>
      <c r="B1039" s="3">
        <v>46232</v>
      </c>
      <c r="C1039" s="36" t="s">
        <v>2128</v>
      </c>
      <c r="D1039" s="2">
        <f>MONTH(ProductionData[[#This Row],[Month]])</f>
        <v>7</v>
      </c>
      <c r="E1039" s="2" t="s">
        <v>79</v>
      </c>
      <c r="F1039" s="2" t="s">
        <v>80</v>
      </c>
      <c r="G1039" s="2" t="s">
        <v>195</v>
      </c>
      <c r="H1039" s="2" t="s">
        <v>196</v>
      </c>
      <c r="I1039" s="2" t="s">
        <v>197</v>
      </c>
      <c r="J1039" s="2" t="s">
        <v>198</v>
      </c>
      <c r="K1039" s="2" t="s">
        <v>199</v>
      </c>
      <c r="L1039" s="2" t="s">
        <v>2209</v>
      </c>
      <c r="M1039" s="2" t="s">
        <v>102</v>
      </c>
      <c r="N1039" s="2" t="s">
        <v>88</v>
      </c>
      <c r="O1039" s="2">
        <v>14</v>
      </c>
      <c r="P1039" s="2">
        <v>14</v>
      </c>
      <c r="Q1039" s="4">
        <v>8420</v>
      </c>
      <c r="R1039" s="4">
        <v>8260</v>
      </c>
      <c r="S1039" s="4">
        <v>216</v>
      </c>
      <c r="T1039" s="19">
        <f>(ProductionData[[#This Row],[Rejected_Qty]])/ProductionData[[#This Row],[Produced_Qty]]</f>
        <v>2.6150121065375304E-2</v>
      </c>
      <c r="U1039" s="19">
        <f>ProductionData[[#This Row],[Produced_Qty]]/ProductionData[[#This Row],[Planned_Qty]]</f>
        <v>0.98099762470308793</v>
      </c>
      <c r="V1039" s="2" t="s">
        <v>103</v>
      </c>
      <c r="W1039" s="11">
        <v>0</v>
      </c>
      <c r="X1039" s="13">
        <f>W1039/60</f>
        <v>0</v>
      </c>
      <c r="Y1039" s="2" t="s">
        <v>90</v>
      </c>
      <c r="Z1039" s="2">
        <v>38</v>
      </c>
      <c r="AA1039" s="2">
        <f>ProductionData[[#This Row],[Rejected_Qty]]*ProductionData[[#This Row],[Unit_Cost_INR]]</f>
        <v>8208</v>
      </c>
      <c r="AB1039" s="4">
        <v>36475</v>
      </c>
      <c r="AC1039" s="4">
        <v>8050</v>
      </c>
      <c r="AD1039" s="4">
        <v>8050</v>
      </c>
      <c r="AE1039" s="4">
        <v>36469</v>
      </c>
      <c r="AF1039" s="4">
        <v>13500</v>
      </c>
    </row>
    <row r="1040" spans="1:32">
      <c r="A1040" s="2" t="s">
        <v>2210</v>
      </c>
      <c r="B1040" s="3">
        <v>46205</v>
      </c>
      <c r="C1040" s="36" t="s">
        <v>2128</v>
      </c>
      <c r="D1040" s="2">
        <f>MONTH(ProductionData[[#This Row],[Month]])</f>
        <v>7</v>
      </c>
      <c r="E1040" s="2" t="s">
        <v>107</v>
      </c>
      <c r="F1040" s="2" t="s">
        <v>93</v>
      </c>
      <c r="G1040" s="2" t="s">
        <v>195</v>
      </c>
      <c r="H1040" s="2" t="s">
        <v>196</v>
      </c>
      <c r="I1040" s="2" t="s">
        <v>197</v>
      </c>
      <c r="J1040" s="2" t="s">
        <v>198</v>
      </c>
      <c r="K1040" s="2" t="s">
        <v>199</v>
      </c>
      <c r="L1040" s="2" t="s">
        <v>2211</v>
      </c>
      <c r="M1040" s="2" t="s">
        <v>95</v>
      </c>
      <c r="N1040" s="2" t="s">
        <v>88</v>
      </c>
      <c r="O1040" s="2">
        <v>14</v>
      </c>
      <c r="P1040" s="2">
        <v>9</v>
      </c>
      <c r="Q1040" s="4">
        <v>8950</v>
      </c>
      <c r="R1040" s="4">
        <v>7300</v>
      </c>
      <c r="S1040" s="4">
        <v>221</v>
      </c>
      <c r="T1040" s="19">
        <f>(ProductionData[[#This Row],[Rejected_Qty]])/ProductionData[[#This Row],[Produced_Qty]]</f>
        <v>3.0273972602739726E-2</v>
      </c>
      <c r="U1040" s="19">
        <f>ProductionData[[#This Row],[Produced_Qty]]/ProductionData[[#This Row],[Planned_Qty]]</f>
        <v>0.81564245810055869</v>
      </c>
      <c r="V1040" s="2" t="s">
        <v>75</v>
      </c>
      <c r="W1040" s="11">
        <v>0</v>
      </c>
      <c r="X1040" s="13">
        <f>W1040/60</f>
        <v>0</v>
      </c>
      <c r="Y1040" s="2" t="s">
        <v>90</v>
      </c>
      <c r="Z1040" s="2">
        <v>38</v>
      </c>
      <c r="AA1040" s="2">
        <f>ProductionData[[#This Row],[Rejected_Qty]]*ProductionData[[#This Row],[Unit_Cost_INR]]</f>
        <v>8398</v>
      </c>
      <c r="AB1040" s="4">
        <v>36225</v>
      </c>
      <c r="AC1040" s="4">
        <v>7360</v>
      </c>
      <c r="AD1040" s="4">
        <v>7360</v>
      </c>
      <c r="AE1040" s="4">
        <v>35944</v>
      </c>
      <c r="AF1040" s="4">
        <v>13500</v>
      </c>
    </row>
    <row r="1041" spans="1:32">
      <c r="A1041" s="2" t="s">
        <v>2212</v>
      </c>
      <c r="B1041" s="3">
        <v>46204</v>
      </c>
      <c r="C1041" s="36" t="s">
        <v>2128</v>
      </c>
      <c r="D1041" s="2">
        <f>MONTH(ProductionData[[#This Row],[Month]])</f>
        <v>7</v>
      </c>
      <c r="E1041" s="2" t="s">
        <v>79</v>
      </c>
      <c r="F1041" s="2" t="s">
        <v>80</v>
      </c>
      <c r="G1041" s="2" t="s">
        <v>81</v>
      </c>
      <c r="H1041" s="2" t="s">
        <v>82</v>
      </c>
      <c r="I1041" s="2" t="s">
        <v>83</v>
      </c>
      <c r="J1041" s="2" t="s">
        <v>84</v>
      </c>
      <c r="K1041" s="2" t="s">
        <v>85</v>
      </c>
      <c r="L1041" s="2" t="s">
        <v>2213</v>
      </c>
      <c r="M1041" s="2" t="s">
        <v>87</v>
      </c>
      <c r="N1041" s="2" t="s">
        <v>96</v>
      </c>
      <c r="O1041" s="2">
        <v>18</v>
      </c>
      <c r="P1041" s="2">
        <v>16</v>
      </c>
      <c r="Q1041" s="4">
        <v>9900</v>
      </c>
      <c r="R1041" s="4">
        <v>9210</v>
      </c>
      <c r="S1041" s="4">
        <v>169</v>
      </c>
      <c r="T1041" s="19">
        <f>(ProductionData[[#This Row],[Rejected_Qty]])/ProductionData[[#This Row],[Produced_Qty]]</f>
        <v>1.8349619978284472E-2</v>
      </c>
      <c r="U1041" s="19">
        <f>ProductionData[[#This Row],[Produced_Qty]]/ProductionData[[#This Row],[Planned_Qty]]</f>
        <v>0.9303030303030303</v>
      </c>
      <c r="V1041" s="2" t="s">
        <v>113</v>
      </c>
      <c r="W1041" s="11">
        <v>0</v>
      </c>
      <c r="X1041" s="13">
        <f>W1041/60</f>
        <v>0</v>
      </c>
      <c r="Y1041" s="2" t="s">
        <v>90</v>
      </c>
      <c r="Z1041" s="2">
        <v>18</v>
      </c>
      <c r="AA1041" s="2">
        <f>ProductionData[[#This Row],[Rejected_Qty]]*ProductionData[[#This Row],[Unit_Cost_INR]]</f>
        <v>3042</v>
      </c>
      <c r="AB1041" s="4">
        <v>35042</v>
      </c>
      <c r="AC1041" s="4">
        <v>8310</v>
      </c>
      <c r="AD1041" s="4">
        <v>8310</v>
      </c>
      <c r="AE1041" s="4">
        <v>35773</v>
      </c>
      <c r="AF1041" s="4">
        <v>15000</v>
      </c>
    </row>
    <row r="1042" spans="1:32">
      <c r="A1042" s="2" t="s">
        <v>2214</v>
      </c>
      <c r="B1042" s="3">
        <v>46224</v>
      </c>
      <c r="C1042" s="36" t="s">
        <v>2128</v>
      </c>
      <c r="D1042" s="2">
        <f>MONTH(ProductionData[[#This Row],[Month]])</f>
        <v>7</v>
      </c>
      <c r="E1042" s="2" t="s">
        <v>92</v>
      </c>
      <c r="F1042" s="2" t="s">
        <v>66</v>
      </c>
      <c r="G1042" s="2" t="s">
        <v>174</v>
      </c>
      <c r="H1042" s="2" t="s">
        <v>175</v>
      </c>
      <c r="I1042" s="2" t="s">
        <v>176</v>
      </c>
      <c r="J1042" s="2" t="s">
        <v>443</v>
      </c>
      <c r="K1042" s="2" t="s">
        <v>444</v>
      </c>
      <c r="L1042" s="2" t="s">
        <v>2215</v>
      </c>
      <c r="M1042" s="2" t="s">
        <v>99</v>
      </c>
      <c r="N1042" s="2" t="s">
        <v>96</v>
      </c>
      <c r="O1042" s="2">
        <v>10</v>
      </c>
      <c r="P1042" s="2">
        <v>10</v>
      </c>
      <c r="Q1042" s="4">
        <v>5190</v>
      </c>
      <c r="R1042" s="4">
        <v>5050</v>
      </c>
      <c r="S1042" s="4">
        <v>104</v>
      </c>
      <c r="T1042" s="19">
        <f>(ProductionData[[#This Row],[Rejected_Qty]])/ProductionData[[#This Row],[Produced_Qty]]</f>
        <v>2.0594059405940595E-2</v>
      </c>
      <c r="U1042" s="19">
        <f>ProductionData[[#This Row],[Produced_Qty]]/ProductionData[[#This Row],[Planned_Qty]]</f>
        <v>0.97302504816955682</v>
      </c>
      <c r="V1042" s="2" t="s">
        <v>113</v>
      </c>
      <c r="W1042" s="11">
        <v>0</v>
      </c>
      <c r="X1042" s="13">
        <f>W1042/60</f>
        <v>0</v>
      </c>
      <c r="Y1042" s="2" t="s">
        <v>90</v>
      </c>
      <c r="Z1042" s="2">
        <v>33</v>
      </c>
      <c r="AA1042" s="2">
        <f>ProductionData[[#This Row],[Rejected_Qty]]*ProductionData[[#This Row],[Unit_Cost_INR]]</f>
        <v>3432</v>
      </c>
      <c r="AB1042" s="4">
        <v>35293</v>
      </c>
      <c r="AC1042" s="4">
        <v>4680</v>
      </c>
      <c r="AD1042" s="4">
        <v>4680</v>
      </c>
      <c r="AE1042" s="4">
        <v>35559</v>
      </c>
      <c r="AF1042" s="4">
        <v>9750</v>
      </c>
    </row>
    <row r="1043" spans="1:32">
      <c r="A1043" s="2" t="s">
        <v>2216</v>
      </c>
      <c r="B1043" s="3">
        <v>46226</v>
      </c>
      <c r="C1043" s="36" t="s">
        <v>2128</v>
      </c>
      <c r="D1043" s="2">
        <f>MONTH(ProductionData[[#This Row],[Month]])</f>
        <v>7</v>
      </c>
      <c r="E1043" s="2" t="s">
        <v>107</v>
      </c>
      <c r="F1043" s="2" t="s">
        <v>66</v>
      </c>
      <c r="G1043" s="2" t="s">
        <v>174</v>
      </c>
      <c r="H1043" s="2" t="s">
        <v>175</v>
      </c>
      <c r="I1043" s="2" t="s">
        <v>176</v>
      </c>
      <c r="J1043" s="2" t="s">
        <v>443</v>
      </c>
      <c r="K1043" s="2" t="s">
        <v>444</v>
      </c>
      <c r="L1043" s="2" t="s">
        <v>2217</v>
      </c>
      <c r="M1043" s="2" t="s">
        <v>99</v>
      </c>
      <c r="N1043" s="2" t="s">
        <v>88</v>
      </c>
      <c r="O1043" s="2">
        <v>10</v>
      </c>
      <c r="P1043" s="2">
        <v>9</v>
      </c>
      <c r="Q1043" s="4">
        <v>5640</v>
      </c>
      <c r="R1043" s="4">
        <v>5530</v>
      </c>
      <c r="S1043" s="4">
        <v>87</v>
      </c>
      <c r="T1043" s="19">
        <f>(ProductionData[[#This Row],[Rejected_Qty]])/ProductionData[[#This Row],[Produced_Qty]]</f>
        <v>1.573236889692586E-2</v>
      </c>
      <c r="U1043" s="19">
        <f>ProductionData[[#This Row],[Produced_Qty]]/ProductionData[[#This Row],[Planned_Qty]]</f>
        <v>0.98049645390070927</v>
      </c>
      <c r="V1043" s="2" t="s">
        <v>109</v>
      </c>
      <c r="W1043" s="11">
        <v>0</v>
      </c>
      <c r="X1043" s="13">
        <f>W1043/60</f>
        <v>0</v>
      </c>
      <c r="Y1043" s="2" t="s">
        <v>90</v>
      </c>
      <c r="Z1043" s="2">
        <v>33</v>
      </c>
      <c r="AA1043" s="2">
        <f>ProductionData[[#This Row],[Rejected_Qty]]*ProductionData[[#This Row],[Unit_Cost_INR]]</f>
        <v>2871</v>
      </c>
      <c r="AB1043" s="4">
        <v>35559</v>
      </c>
      <c r="AC1043" s="4">
        <v>5470</v>
      </c>
      <c r="AD1043" s="4">
        <v>5470</v>
      </c>
      <c r="AE1043" s="4">
        <v>35532</v>
      </c>
      <c r="AF1043" s="4">
        <v>9750</v>
      </c>
    </row>
    <row r="1044" spans="1:32">
      <c r="A1044" s="2" t="s">
        <v>2218</v>
      </c>
      <c r="B1044" s="3">
        <v>46223</v>
      </c>
      <c r="C1044" s="36" t="s">
        <v>2128</v>
      </c>
      <c r="D1044" s="2">
        <f>MONTH(ProductionData[[#This Row],[Month]])</f>
        <v>7</v>
      </c>
      <c r="E1044" s="2" t="s">
        <v>116</v>
      </c>
      <c r="F1044" s="2" t="s">
        <v>93</v>
      </c>
      <c r="G1044" s="2" t="s">
        <v>174</v>
      </c>
      <c r="H1044" s="2" t="s">
        <v>175</v>
      </c>
      <c r="I1044" s="2" t="s">
        <v>176</v>
      </c>
      <c r="J1044" s="2" t="s">
        <v>443</v>
      </c>
      <c r="K1044" s="2" t="s">
        <v>444</v>
      </c>
      <c r="L1044" s="2" t="s">
        <v>2219</v>
      </c>
      <c r="M1044" s="2" t="s">
        <v>133</v>
      </c>
      <c r="N1044" s="2" t="s">
        <v>88</v>
      </c>
      <c r="O1044" s="2">
        <v>10</v>
      </c>
      <c r="P1044" s="2">
        <v>10</v>
      </c>
      <c r="Q1044" s="4">
        <v>5270</v>
      </c>
      <c r="R1044" s="4">
        <v>5280</v>
      </c>
      <c r="S1044" s="4">
        <v>133</v>
      </c>
      <c r="T1044" s="19">
        <f>(ProductionData[[#This Row],[Rejected_Qty]])/ProductionData[[#This Row],[Produced_Qty]]</f>
        <v>2.5189393939393939E-2</v>
      </c>
      <c r="U1044" s="19">
        <f>ProductionData[[#This Row],[Produced_Qty]]/ProductionData[[#This Row],[Planned_Qty]]</f>
        <v>1.0018975332068312</v>
      </c>
      <c r="V1044" s="2" t="s">
        <v>103</v>
      </c>
      <c r="W1044" s="11">
        <v>0</v>
      </c>
      <c r="X1044" s="13">
        <f>W1044/60</f>
        <v>0</v>
      </c>
      <c r="Y1044" s="2" t="s">
        <v>90</v>
      </c>
      <c r="Z1044" s="2">
        <v>33</v>
      </c>
      <c r="AA1044" s="2">
        <f>ProductionData[[#This Row],[Rejected_Qty]]*ProductionData[[#This Row],[Unit_Cost_INR]]</f>
        <v>4389</v>
      </c>
      <c r="AB1044" s="4">
        <v>34576</v>
      </c>
      <c r="AC1044" s="4">
        <v>4430</v>
      </c>
      <c r="AD1044" s="4">
        <v>4430</v>
      </c>
      <c r="AE1044" s="4">
        <v>35293</v>
      </c>
      <c r="AF1044" s="4">
        <v>9750</v>
      </c>
    </row>
    <row r="1045" spans="1:32">
      <c r="A1045" s="2" t="s">
        <v>2220</v>
      </c>
      <c r="B1045" s="3">
        <v>46204</v>
      </c>
      <c r="C1045" s="36" t="s">
        <v>2128</v>
      </c>
      <c r="D1045" s="2">
        <f>MONTH(ProductionData[[#This Row],[Month]])</f>
        <v>7</v>
      </c>
      <c r="E1045" s="2" t="s">
        <v>79</v>
      </c>
      <c r="F1045" s="2" t="s">
        <v>66</v>
      </c>
      <c r="G1045" s="2" t="s">
        <v>81</v>
      </c>
      <c r="H1045" s="2" t="s">
        <v>82</v>
      </c>
      <c r="I1045" s="2" t="s">
        <v>83</v>
      </c>
      <c r="J1045" s="2" t="s">
        <v>84</v>
      </c>
      <c r="K1045" s="2" t="s">
        <v>85</v>
      </c>
      <c r="L1045" s="2" t="s">
        <v>2221</v>
      </c>
      <c r="M1045" s="2" t="s">
        <v>99</v>
      </c>
      <c r="N1045" s="2" t="s">
        <v>88</v>
      </c>
      <c r="O1045" s="2">
        <v>18</v>
      </c>
      <c r="P1045" s="2">
        <v>17</v>
      </c>
      <c r="Q1045" s="4">
        <v>10520</v>
      </c>
      <c r="R1045" s="4">
        <v>10180</v>
      </c>
      <c r="S1045" s="4">
        <v>158</v>
      </c>
      <c r="T1045" s="19">
        <f>(ProductionData[[#This Row],[Rejected_Qty]])/ProductionData[[#This Row],[Produced_Qty]]</f>
        <v>1.5520628683693517E-2</v>
      </c>
      <c r="U1045" s="19">
        <f>ProductionData[[#This Row],[Produced_Qty]]/ProductionData[[#This Row],[Planned_Qty]]</f>
        <v>0.96768060836501901</v>
      </c>
      <c r="V1045" s="2" t="s">
        <v>75</v>
      </c>
      <c r="W1045" s="11">
        <v>34</v>
      </c>
      <c r="X1045" s="13">
        <f>W1045/60</f>
        <v>0.56666666666666665</v>
      </c>
      <c r="Y1045" s="2" t="s">
        <v>76</v>
      </c>
      <c r="Z1045" s="2">
        <v>18</v>
      </c>
      <c r="AA1045" s="2">
        <f>ProductionData[[#This Row],[Rejected_Qty]]*ProductionData[[#This Row],[Unit_Cost_INR]]</f>
        <v>2844</v>
      </c>
      <c r="AB1045" s="4">
        <v>34210</v>
      </c>
      <c r="AC1045" s="4">
        <v>9190</v>
      </c>
      <c r="AD1045" s="4">
        <v>9190</v>
      </c>
      <c r="AE1045" s="4">
        <v>35042</v>
      </c>
      <c r="AF1045" s="4">
        <v>15000</v>
      </c>
    </row>
    <row r="1046" spans="1:32">
      <c r="A1046" s="2" t="s">
        <v>2222</v>
      </c>
      <c r="B1046" s="3">
        <v>46230</v>
      </c>
      <c r="C1046" s="36" t="s">
        <v>2128</v>
      </c>
      <c r="D1046" s="2">
        <f>MONTH(ProductionData[[#This Row],[Month]])</f>
        <v>7</v>
      </c>
      <c r="E1046" s="2" t="s">
        <v>116</v>
      </c>
      <c r="F1046" s="2" t="s">
        <v>93</v>
      </c>
      <c r="G1046" s="2" t="s">
        <v>174</v>
      </c>
      <c r="H1046" s="2" t="s">
        <v>175</v>
      </c>
      <c r="I1046" s="2" t="s">
        <v>176</v>
      </c>
      <c r="J1046" s="2" t="s">
        <v>443</v>
      </c>
      <c r="K1046" s="2" t="s">
        <v>444</v>
      </c>
      <c r="L1046" s="2" t="s">
        <v>2223</v>
      </c>
      <c r="M1046" s="2" t="s">
        <v>95</v>
      </c>
      <c r="N1046" s="2" t="s">
        <v>96</v>
      </c>
      <c r="O1046" s="2">
        <v>10</v>
      </c>
      <c r="P1046" s="2">
        <v>10</v>
      </c>
      <c r="Q1046" s="4">
        <v>5040</v>
      </c>
      <c r="R1046" s="4">
        <v>4950</v>
      </c>
      <c r="S1046" s="4">
        <v>96</v>
      </c>
      <c r="T1046" s="19">
        <f>(ProductionData[[#This Row],[Rejected_Qty]])/ProductionData[[#This Row],[Produced_Qty]]</f>
        <v>1.9393939393939394E-2</v>
      </c>
      <c r="U1046" s="19">
        <f>ProductionData[[#This Row],[Produced_Qty]]/ProductionData[[#This Row],[Planned_Qty]]</f>
        <v>0.9821428571428571</v>
      </c>
      <c r="V1046" s="2" t="s">
        <v>103</v>
      </c>
      <c r="W1046" s="11">
        <v>50</v>
      </c>
      <c r="X1046" s="13">
        <f>W1046/60</f>
        <v>0.83333333333333337</v>
      </c>
      <c r="Y1046" s="2" t="s">
        <v>182</v>
      </c>
      <c r="Z1046" s="2">
        <v>33</v>
      </c>
      <c r="AA1046" s="2">
        <f>ProductionData[[#This Row],[Rejected_Qty]]*ProductionData[[#This Row],[Unit_Cost_INR]]</f>
        <v>3168</v>
      </c>
      <c r="AB1046" s="4">
        <v>34304</v>
      </c>
      <c r="AC1046" s="4">
        <v>4430</v>
      </c>
      <c r="AD1046" s="4">
        <v>4430</v>
      </c>
      <c r="AE1046" s="4">
        <v>34728</v>
      </c>
      <c r="AF1046" s="4">
        <v>9750</v>
      </c>
    </row>
    <row r="1047" spans="1:32">
      <c r="A1047" s="2" t="s">
        <v>2224</v>
      </c>
      <c r="B1047" s="3">
        <v>46220</v>
      </c>
      <c r="C1047" s="36" t="s">
        <v>2128</v>
      </c>
      <c r="D1047" s="2">
        <f>MONTH(ProductionData[[#This Row],[Month]])</f>
        <v>7</v>
      </c>
      <c r="E1047" s="2" t="s">
        <v>125</v>
      </c>
      <c r="F1047" s="2" t="s">
        <v>93</v>
      </c>
      <c r="G1047" s="2" t="s">
        <v>174</v>
      </c>
      <c r="H1047" s="2" t="s">
        <v>175</v>
      </c>
      <c r="I1047" s="2" t="s">
        <v>176</v>
      </c>
      <c r="J1047" s="2" t="s">
        <v>443</v>
      </c>
      <c r="K1047" s="2" t="s">
        <v>444</v>
      </c>
      <c r="L1047" s="2" t="s">
        <v>2225</v>
      </c>
      <c r="M1047" s="2" t="s">
        <v>95</v>
      </c>
      <c r="N1047" s="2" t="s">
        <v>96</v>
      </c>
      <c r="O1047" s="2">
        <v>10</v>
      </c>
      <c r="P1047" s="2">
        <v>8</v>
      </c>
      <c r="Q1047" s="4">
        <v>5500</v>
      </c>
      <c r="R1047" s="4">
        <v>4950</v>
      </c>
      <c r="S1047" s="4">
        <v>148</v>
      </c>
      <c r="T1047" s="19">
        <f>(ProductionData[[#This Row],[Rejected_Qty]])/ProductionData[[#This Row],[Produced_Qty]]</f>
        <v>2.9898989898989901E-2</v>
      </c>
      <c r="U1047" s="19">
        <f>ProductionData[[#This Row],[Produced_Qty]]/ProductionData[[#This Row],[Planned_Qty]]</f>
        <v>0.9</v>
      </c>
      <c r="V1047" s="2" t="s">
        <v>103</v>
      </c>
      <c r="W1047" s="11">
        <v>0</v>
      </c>
      <c r="X1047" s="13">
        <f>W1047/60</f>
        <v>0</v>
      </c>
      <c r="Y1047" s="2" t="s">
        <v>90</v>
      </c>
      <c r="Z1047" s="2">
        <v>33</v>
      </c>
      <c r="AA1047" s="2">
        <f>ProductionData[[#This Row],[Rejected_Qty]]*ProductionData[[#This Row],[Unit_Cost_INR]]</f>
        <v>4884</v>
      </c>
      <c r="AB1047" s="4">
        <v>34214</v>
      </c>
      <c r="AC1047" s="4">
        <v>4440</v>
      </c>
      <c r="AD1047" s="4">
        <v>4440</v>
      </c>
      <c r="AE1047" s="4">
        <v>34576</v>
      </c>
      <c r="AF1047" s="4">
        <v>9750</v>
      </c>
    </row>
    <row r="1048" spans="1:32">
      <c r="A1048" s="2" t="s">
        <v>2226</v>
      </c>
      <c r="B1048" s="3">
        <v>46226</v>
      </c>
      <c r="C1048" s="36" t="s">
        <v>2128</v>
      </c>
      <c r="D1048" s="2">
        <f>MONTH(ProductionData[[#This Row],[Month]])</f>
        <v>7</v>
      </c>
      <c r="E1048" s="2" t="s">
        <v>107</v>
      </c>
      <c r="F1048" s="2" t="s">
        <v>93</v>
      </c>
      <c r="G1048" s="2" t="s">
        <v>174</v>
      </c>
      <c r="H1048" s="2" t="s">
        <v>175</v>
      </c>
      <c r="I1048" s="2" t="s">
        <v>176</v>
      </c>
      <c r="J1048" s="2" t="s">
        <v>443</v>
      </c>
      <c r="K1048" s="2" t="s">
        <v>444</v>
      </c>
      <c r="L1048" s="2" t="s">
        <v>2227</v>
      </c>
      <c r="M1048" s="2" t="s">
        <v>133</v>
      </c>
      <c r="N1048" s="2" t="s">
        <v>88</v>
      </c>
      <c r="O1048" s="2">
        <v>10</v>
      </c>
      <c r="P1048" s="2">
        <v>6</v>
      </c>
      <c r="Q1048" s="4">
        <v>5100</v>
      </c>
      <c r="R1048" s="4">
        <v>3820</v>
      </c>
      <c r="S1048" s="4">
        <v>49</v>
      </c>
      <c r="T1048" s="19">
        <f>(ProductionData[[#This Row],[Rejected_Qty]])/ProductionData[[#This Row],[Produced_Qty]]</f>
        <v>1.2827225130890052E-2</v>
      </c>
      <c r="U1048" s="19">
        <f>ProductionData[[#This Row],[Produced_Qty]]/ProductionData[[#This Row],[Planned_Qty]]</f>
        <v>0.74901960784313726</v>
      </c>
      <c r="V1048" s="2" t="s">
        <v>75</v>
      </c>
      <c r="W1048" s="11">
        <v>0</v>
      </c>
      <c r="X1048" s="13">
        <f>W1048/60</f>
        <v>0</v>
      </c>
      <c r="Y1048" s="2" t="s">
        <v>90</v>
      </c>
      <c r="Z1048" s="2">
        <v>33</v>
      </c>
      <c r="AA1048" s="2">
        <f>ProductionData[[#This Row],[Rejected_Qty]]*ProductionData[[#This Row],[Unit_Cost_INR]]</f>
        <v>1617</v>
      </c>
      <c r="AB1048" s="4">
        <v>35532</v>
      </c>
      <c r="AC1048" s="4">
        <v>4770</v>
      </c>
      <c r="AD1048" s="4">
        <v>4770</v>
      </c>
      <c r="AE1048" s="4">
        <v>34533</v>
      </c>
      <c r="AF1048" s="4">
        <v>9750</v>
      </c>
    </row>
    <row r="1049" spans="1:32">
      <c r="A1049" s="2" t="s">
        <v>2228</v>
      </c>
      <c r="B1049" s="3">
        <v>46227</v>
      </c>
      <c r="C1049" s="36" t="s">
        <v>2128</v>
      </c>
      <c r="D1049" s="2">
        <f>MONTH(ProductionData[[#This Row],[Month]])</f>
        <v>7</v>
      </c>
      <c r="E1049" s="2" t="s">
        <v>125</v>
      </c>
      <c r="F1049" s="2" t="s">
        <v>93</v>
      </c>
      <c r="G1049" s="2" t="s">
        <v>174</v>
      </c>
      <c r="H1049" s="2" t="s">
        <v>175</v>
      </c>
      <c r="I1049" s="2" t="s">
        <v>176</v>
      </c>
      <c r="J1049" s="2" t="s">
        <v>443</v>
      </c>
      <c r="K1049" s="2" t="s">
        <v>444</v>
      </c>
      <c r="L1049" s="2" t="s">
        <v>2229</v>
      </c>
      <c r="M1049" s="2" t="s">
        <v>95</v>
      </c>
      <c r="N1049" s="2" t="s">
        <v>96</v>
      </c>
      <c r="O1049" s="2">
        <v>10</v>
      </c>
      <c r="P1049" s="2">
        <v>9</v>
      </c>
      <c r="Q1049" s="4">
        <v>5430</v>
      </c>
      <c r="R1049" s="4">
        <v>4900</v>
      </c>
      <c r="S1049" s="4">
        <v>98</v>
      </c>
      <c r="T1049" s="19">
        <f>(ProductionData[[#This Row],[Rejected_Qty]])/ProductionData[[#This Row],[Produced_Qty]]</f>
        <v>0.02</v>
      </c>
      <c r="U1049" s="19">
        <f>ProductionData[[#This Row],[Produced_Qty]]/ProductionData[[#This Row],[Planned_Qty]]</f>
        <v>0.90239410681399634</v>
      </c>
      <c r="V1049" s="2" t="s">
        <v>89</v>
      </c>
      <c r="W1049" s="11">
        <v>59</v>
      </c>
      <c r="X1049" s="13">
        <f>W1049/60</f>
        <v>0.98333333333333328</v>
      </c>
      <c r="Y1049" s="2" t="s">
        <v>182</v>
      </c>
      <c r="Z1049" s="2">
        <v>33</v>
      </c>
      <c r="AA1049" s="2">
        <f>ProductionData[[#This Row],[Rejected_Qty]]*ProductionData[[#This Row],[Unit_Cost_INR]]</f>
        <v>3234</v>
      </c>
      <c r="AB1049" s="4">
        <v>34533</v>
      </c>
      <c r="AC1049" s="4">
        <v>5000</v>
      </c>
      <c r="AD1049" s="4">
        <v>5000</v>
      </c>
      <c r="AE1049" s="4">
        <v>34335</v>
      </c>
      <c r="AF1049" s="4">
        <v>9750</v>
      </c>
    </row>
    <row r="1050" spans="1:32">
      <c r="A1050" s="2" t="s">
        <v>2230</v>
      </c>
      <c r="B1050" s="3">
        <v>46228</v>
      </c>
      <c r="C1050" s="36" t="s">
        <v>2128</v>
      </c>
      <c r="D1050" s="2">
        <f>MONTH(ProductionData[[#This Row],[Month]])</f>
        <v>7</v>
      </c>
      <c r="E1050" s="2" t="s">
        <v>65</v>
      </c>
      <c r="F1050" s="2" t="s">
        <v>93</v>
      </c>
      <c r="G1050" s="2" t="s">
        <v>174</v>
      </c>
      <c r="H1050" s="2" t="s">
        <v>175</v>
      </c>
      <c r="I1050" s="2" t="s">
        <v>176</v>
      </c>
      <c r="J1050" s="2" t="s">
        <v>443</v>
      </c>
      <c r="K1050" s="2" t="s">
        <v>444</v>
      </c>
      <c r="L1050" s="2" t="s">
        <v>2231</v>
      </c>
      <c r="M1050" s="2" t="s">
        <v>95</v>
      </c>
      <c r="N1050" s="2" t="s">
        <v>96</v>
      </c>
      <c r="O1050" s="2">
        <v>10</v>
      </c>
      <c r="P1050" s="2">
        <v>7</v>
      </c>
      <c r="Q1050" s="4">
        <v>5090</v>
      </c>
      <c r="R1050" s="4">
        <v>4120</v>
      </c>
      <c r="S1050" s="4">
        <v>131</v>
      </c>
      <c r="T1050" s="19">
        <f>(ProductionData[[#This Row],[Rejected_Qty]])/ProductionData[[#This Row],[Produced_Qty]]</f>
        <v>3.1796116504854366E-2</v>
      </c>
      <c r="U1050" s="19">
        <f>ProductionData[[#This Row],[Produced_Qty]]/ProductionData[[#This Row],[Planned_Qty]]</f>
        <v>0.80943025540275049</v>
      </c>
      <c r="V1050" s="2" t="s">
        <v>113</v>
      </c>
      <c r="W1050" s="11">
        <v>10</v>
      </c>
      <c r="X1050" s="13">
        <f>W1050/60</f>
        <v>0.16666666666666666</v>
      </c>
      <c r="Y1050" s="2" t="s">
        <v>259</v>
      </c>
      <c r="Z1050" s="2">
        <v>33</v>
      </c>
      <c r="AA1050" s="2">
        <f>ProductionData[[#This Row],[Rejected_Qty]]*ProductionData[[#This Row],[Unit_Cost_INR]]</f>
        <v>4323</v>
      </c>
      <c r="AB1050" s="4">
        <v>34335</v>
      </c>
      <c r="AC1050" s="4">
        <v>4020</v>
      </c>
      <c r="AD1050" s="4">
        <v>4020</v>
      </c>
      <c r="AE1050" s="4">
        <v>34304</v>
      </c>
      <c r="AF1050" s="4">
        <v>9750</v>
      </c>
    </row>
    <row r="1051" spans="1:32">
      <c r="A1051" s="2" t="s">
        <v>2232</v>
      </c>
      <c r="B1051" s="3">
        <v>46219</v>
      </c>
      <c r="C1051" s="36" t="s">
        <v>2128</v>
      </c>
      <c r="D1051" s="2">
        <f>MONTH(ProductionData[[#This Row],[Month]])</f>
        <v>7</v>
      </c>
      <c r="E1051" s="2" t="s">
        <v>107</v>
      </c>
      <c r="F1051" s="2" t="s">
        <v>80</v>
      </c>
      <c r="G1051" s="2" t="s">
        <v>174</v>
      </c>
      <c r="H1051" s="2" t="s">
        <v>175</v>
      </c>
      <c r="I1051" s="2" t="s">
        <v>176</v>
      </c>
      <c r="J1051" s="2" t="s">
        <v>443</v>
      </c>
      <c r="K1051" s="2" t="s">
        <v>444</v>
      </c>
      <c r="L1051" s="2" t="s">
        <v>2233</v>
      </c>
      <c r="M1051" s="2" t="s">
        <v>102</v>
      </c>
      <c r="N1051" s="2" t="s">
        <v>88</v>
      </c>
      <c r="O1051" s="2">
        <v>10</v>
      </c>
      <c r="P1051" s="2">
        <v>10</v>
      </c>
      <c r="Q1051" s="4">
        <v>5350</v>
      </c>
      <c r="R1051" s="4">
        <v>5300</v>
      </c>
      <c r="S1051" s="4">
        <v>127</v>
      </c>
      <c r="T1051" s="19">
        <f>(ProductionData[[#This Row],[Rejected_Qty]])/ProductionData[[#This Row],[Produced_Qty]]</f>
        <v>2.3962264150943397E-2</v>
      </c>
      <c r="U1051" s="19">
        <f>ProductionData[[#This Row],[Produced_Qty]]/ProductionData[[#This Row],[Planned_Qty]]</f>
        <v>0.99065420560747663</v>
      </c>
      <c r="V1051" s="2" t="s">
        <v>75</v>
      </c>
      <c r="W1051" s="11">
        <v>0</v>
      </c>
      <c r="X1051" s="13">
        <f>W1051/60</f>
        <v>0</v>
      </c>
      <c r="Y1051" s="2" t="s">
        <v>90</v>
      </c>
      <c r="Z1051" s="2">
        <v>33</v>
      </c>
      <c r="AA1051" s="2">
        <f>ProductionData[[#This Row],[Rejected_Qty]]*ProductionData[[#This Row],[Unit_Cost_INR]]</f>
        <v>4191</v>
      </c>
      <c r="AB1051" s="4">
        <v>33536</v>
      </c>
      <c r="AC1051" s="4">
        <v>4460</v>
      </c>
      <c r="AD1051" s="4">
        <v>4460</v>
      </c>
      <c r="AE1051" s="4">
        <v>34249</v>
      </c>
      <c r="AF1051" s="4">
        <v>9750</v>
      </c>
    </row>
    <row r="1052" spans="1:32">
      <c r="A1052" s="2" t="s">
        <v>2234</v>
      </c>
      <c r="B1052" s="3">
        <v>46231</v>
      </c>
      <c r="C1052" s="36" t="s">
        <v>2128</v>
      </c>
      <c r="D1052" s="2">
        <f>MONTH(ProductionData[[#This Row],[Month]])</f>
        <v>7</v>
      </c>
      <c r="E1052" s="2" t="s">
        <v>92</v>
      </c>
      <c r="F1052" s="2" t="s">
        <v>80</v>
      </c>
      <c r="G1052" s="2" t="s">
        <v>174</v>
      </c>
      <c r="H1052" s="2" t="s">
        <v>175</v>
      </c>
      <c r="I1052" s="2" t="s">
        <v>176</v>
      </c>
      <c r="J1052" s="2" t="s">
        <v>443</v>
      </c>
      <c r="K1052" s="2" t="s">
        <v>444</v>
      </c>
      <c r="L1052" s="2" t="s">
        <v>2235</v>
      </c>
      <c r="M1052" s="2" t="s">
        <v>102</v>
      </c>
      <c r="N1052" s="2" t="s">
        <v>88</v>
      </c>
      <c r="O1052" s="2">
        <v>10</v>
      </c>
      <c r="P1052" s="2">
        <v>9</v>
      </c>
      <c r="Q1052" s="4">
        <v>5760</v>
      </c>
      <c r="R1052" s="4">
        <v>5300</v>
      </c>
      <c r="S1052" s="4">
        <v>138</v>
      </c>
      <c r="T1052" s="19">
        <f>(ProductionData[[#This Row],[Rejected_Qty]])/ProductionData[[#This Row],[Produced_Qty]]</f>
        <v>2.6037735849056602E-2</v>
      </c>
      <c r="U1052" s="19">
        <f>ProductionData[[#This Row],[Produced_Qty]]/ProductionData[[#This Row],[Planned_Qty]]</f>
        <v>0.92013888888888884</v>
      </c>
      <c r="V1052" s="2" t="s">
        <v>109</v>
      </c>
      <c r="W1052" s="11">
        <v>0</v>
      </c>
      <c r="X1052" s="13">
        <f>W1052/60</f>
        <v>0</v>
      </c>
      <c r="Y1052" s="2" t="s">
        <v>90</v>
      </c>
      <c r="Z1052" s="2">
        <v>33</v>
      </c>
      <c r="AA1052" s="2">
        <f>ProductionData[[#This Row],[Rejected_Qty]]*ProductionData[[#This Row],[Unit_Cost_INR]]</f>
        <v>4554</v>
      </c>
      <c r="AB1052" s="4">
        <v>34728</v>
      </c>
      <c r="AC1052" s="4">
        <v>5650</v>
      </c>
      <c r="AD1052" s="4">
        <v>5650</v>
      </c>
      <c r="AE1052" s="4">
        <v>34240</v>
      </c>
      <c r="AF1052" s="4">
        <v>9750</v>
      </c>
    </row>
    <row r="1053" spans="1:32">
      <c r="A1053" s="2" t="s">
        <v>2236</v>
      </c>
      <c r="B1053" s="3">
        <v>46220</v>
      </c>
      <c r="C1053" s="36" t="s">
        <v>2128</v>
      </c>
      <c r="D1053" s="2">
        <f>MONTH(ProductionData[[#This Row],[Month]])</f>
        <v>7</v>
      </c>
      <c r="E1053" s="2" t="s">
        <v>125</v>
      </c>
      <c r="F1053" s="2" t="s">
        <v>66</v>
      </c>
      <c r="G1053" s="2" t="s">
        <v>174</v>
      </c>
      <c r="H1053" s="2" t="s">
        <v>175</v>
      </c>
      <c r="I1053" s="2" t="s">
        <v>176</v>
      </c>
      <c r="J1053" s="2" t="s">
        <v>443</v>
      </c>
      <c r="K1053" s="2" t="s">
        <v>444</v>
      </c>
      <c r="L1053" s="2" t="s">
        <v>2237</v>
      </c>
      <c r="M1053" s="2" t="s">
        <v>99</v>
      </c>
      <c r="N1053" s="2" t="s">
        <v>96</v>
      </c>
      <c r="O1053" s="2">
        <v>10</v>
      </c>
      <c r="P1053" s="2">
        <v>10</v>
      </c>
      <c r="Q1053" s="4">
        <v>5900</v>
      </c>
      <c r="R1053" s="4">
        <v>5710</v>
      </c>
      <c r="S1053" s="4">
        <v>215</v>
      </c>
      <c r="T1053" s="19">
        <f>(ProductionData[[#This Row],[Rejected_Qty]])/ProductionData[[#This Row],[Produced_Qty]]</f>
        <v>3.7653239929947457E-2</v>
      </c>
      <c r="U1053" s="19">
        <f>ProductionData[[#This Row],[Produced_Qty]]/ProductionData[[#This Row],[Planned_Qty]]</f>
        <v>0.96779661016949148</v>
      </c>
      <c r="V1053" s="2" t="s">
        <v>75</v>
      </c>
      <c r="W1053" s="11">
        <v>0</v>
      </c>
      <c r="X1053" s="13">
        <f>W1053/60</f>
        <v>0</v>
      </c>
      <c r="Y1053" s="2" t="s">
        <v>90</v>
      </c>
      <c r="Z1053" s="2">
        <v>33</v>
      </c>
      <c r="AA1053" s="2">
        <f>ProductionData[[#This Row],[Rejected_Qty]]*ProductionData[[#This Row],[Unit_Cost_INR]]</f>
        <v>7095</v>
      </c>
      <c r="AB1053" s="4">
        <v>34249</v>
      </c>
      <c r="AC1053" s="4">
        <v>5530</v>
      </c>
      <c r="AD1053" s="4">
        <v>5530</v>
      </c>
      <c r="AE1053" s="4">
        <v>34214</v>
      </c>
      <c r="AF1053" s="4">
        <v>9750</v>
      </c>
    </row>
    <row r="1054" spans="1:32">
      <c r="A1054" s="2" t="s">
        <v>2238</v>
      </c>
      <c r="B1054" s="3">
        <v>46232</v>
      </c>
      <c r="C1054" s="36" t="s">
        <v>2128</v>
      </c>
      <c r="D1054" s="2">
        <f>MONTH(ProductionData[[#This Row],[Month]])</f>
        <v>7</v>
      </c>
      <c r="E1054" s="2" t="s">
        <v>79</v>
      </c>
      <c r="F1054" s="2" t="s">
        <v>93</v>
      </c>
      <c r="G1054" s="2" t="s">
        <v>174</v>
      </c>
      <c r="H1054" s="2" t="s">
        <v>175</v>
      </c>
      <c r="I1054" s="2" t="s">
        <v>176</v>
      </c>
      <c r="J1054" s="2" t="s">
        <v>443</v>
      </c>
      <c r="K1054" s="2" t="s">
        <v>444</v>
      </c>
      <c r="L1054" s="2" t="s">
        <v>2239</v>
      </c>
      <c r="M1054" s="2" t="s">
        <v>95</v>
      </c>
      <c r="N1054" s="2" t="s">
        <v>96</v>
      </c>
      <c r="O1054" s="2">
        <v>10</v>
      </c>
      <c r="P1054" s="2">
        <v>9</v>
      </c>
      <c r="Q1054" s="4">
        <v>5120</v>
      </c>
      <c r="R1054" s="4">
        <v>4650</v>
      </c>
      <c r="S1054" s="4">
        <v>181</v>
      </c>
      <c r="T1054" s="19">
        <f>(ProductionData[[#This Row],[Rejected_Qty]])/ProductionData[[#This Row],[Produced_Qty]]</f>
        <v>3.8924731182795699E-2</v>
      </c>
      <c r="U1054" s="19">
        <f>ProductionData[[#This Row],[Produced_Qty]]/ProductionData[[#This Row],[Planned_Qty]]</f>
        <v>0.908203125</v>
      </c>
      <c r="V1054" s="2" t="s">
        <v>89</v>
      </c>
      <c r="W1054" s="11">
        <v>0</v>
      </c>
      <c r="X1054" s="13">
        <f>W1054/60</f>
        <v>0</v>
      </c>
      <c r="Y1054" s="2" t="s">
        <v>90</v>
      </c>
      <c r="Z1054" s="2">
        <v>33</v>
      </c>
      <c r="AA1054" s="2">
        <f>ProductionData[[#This Row],[Rejected_Qty]]*ProductionData[[#This Row],[Unit_Cost_INR]]</f>
        <v>5973</v>
      </c>
      <c r="AB1054" s="4">
        <v>34240</v>
      </c>
      <c r="AC1054" s="4">
        <v>4680</v>
      </c>
      <c r="AD1054" s="4">
        <v>4680</v>
      </c>
      <c r="AE1054" s="4">
        <v>34029</v>
      </c>
      <c r="AF1054" s="4">
        <v>9750</v>
      </c>
    </row>
    <row r="1055" spans="1:32">
      <c r="A1055" s="2" t="s">
        <v>2240</v>
      </c>
      <c r="B1055" s="3">
        <v>46233</v>
      </c>
      <c r="C1055" s="36" t="s">
        <v>2128</v>
      </c>
      <c r="D1055" s="2">
        <f>MONTH(ProductionData[[#This Row],[Month]])</f>
        <v>7</v>
      </c>
      <c r="E1055" s="2" t="s">
        <v>107</v>
      </c>
      <c r="F1055" s="2" t="s">
        <v>80</v>
      </c>
      <c r="G1055" s="2" t="s">
        <v>174</v>
      </c>
      <c r="H1055" s="2" t="s">
        <v>175</v>
      </c>
      <c r="I1055" s="2" t="s">
        <v>176</v>
      </c>
      <c r="J1055" s="2" t="s">
        <v>443</v>
      </c>
      <c r="K1055" s="2" t="s">
        <v>444</v>
      </c>
      <c r="L1055" s="2" t="s">
        <v>2241</v>
      </c>
      <c r="M1055" s="2" t="s">
        <v>102</v>
      </c>
      <c r="N1055" s="2" t="s">
        <v>88</v>
      </c>
      <c r="O1055" s="2">
        <v>10</v>
      </c>
      <c r="P1055" s="2">
        <v>10</v>
      </c>
      <c r="Q1055" s="4">
        <v>5180</v>
      </c>
      <c r="R1055" s="4">
        <v>4830</v>
      </c>
      <c r="S1055" s="4">
        <v>136</v>
      </c>
      <c r="T1055" s="19">
        <f>(ProductionData[[#This Row],[Rejected_Qty]])/ProductionData[[#This Row],[Produced_Qty]]</f>
        <v>2.8157349896480333E-2</v>
      </c>
      <c r="U1055" s="19">
        <f>ProductionData[[#This Row],[Produced_Qty]]/ProductionData[[#This Row],[Planned_Qty]]</f>
        <v>0.93243243243243246</v>
      </c>
      <c r="V1055" s="2" t="s">
        <v>103</v>
      </c>
      <c r="W1055" s="11">
        <v>0</v>
      </c>
      <c r="X1055" s="13">
        <f>W1055/60</f>
        <v>0</v>
      </c>
      <c r="Y1055" s="2" t="s">
        <v>90</v>
      </c>
      <c r="Z1055" s="2">
        <v>33</v>
      </c>
      <c r="AA1055" s="2">
        <f>ProductionData[[#This Row],[Rejected_Qty]]*ProductionData[[#This Row],[Unit_Cost_INR]]</f>
        <v>4488</v>
      </c>
      <c r="AB1055" s="4">
        <v>34029</v>
      </c>
      <c r="AC1055" s="4">
        <v>5070</v>
      </c>
      <c r="AD1055" s="4">
        <v>5070</v>
      </c>
      <c r="AE1055" s="4">
        <v>33653</v>
      </c>
      <c r="AF1055" s="4">
        <v>9750</v>
      </c>
    </row>
    <row r="1056" spans="1:32">
      <c r="A1056" s="2" t="s">
        <v>2242</v>
      </c>
      <c r="B1056" s="3">
        <v>46219</v>
      </c>
      <c r="C1056" s="36" t="s">
        <v>2128</v>
      </c>
      <c r="D1056" s="2">
        <f>MONTH(ProductionData[[#This Row],[Month]])</f>
        <v>7</v>
      </c>
      <c r="E1056" s="2" t="s">
        <v>107</v>
      </c>
      <c r="F1056" s="2" t="s">
        <v>66</v>
      </c>
      <c r="G1056" s="2" t="s">
        <v>174</v>
      </c>
      <c r="H1056" s="2" t="s">
        <v>175</v>
      </c>
      <c r="I1056" s="2" t="s">
        <v>176</v>
      </c>
      <c r="J1056" s="2" t="s">
        <v>443</v>
      </c>
      <c r="K1056" s="2" t="s">
        <v>444</v>
      </c>
      <c r="L1056" s="2" t="s">
        <v>2243</v>
      </c>
      <c r="M1056" s="2" t="s">
        <v>99</v>
      </c>
      <c r="N1056" s="2" t="s">
        <v>96</v>
      </c>
      <c r="O1056" s="2">
        <v>10</v>
      </c>
      <c r="P1056" s="2">
        <v>10</v>
      </c>
      <c r="Q1056" s="4">
        <v>5970</v>
      </c>
      <c r="R1056" s="4">
        <v>5920</v>
      </c>
      <c r="S1056" s="4">
        <v>164</v>
      </c>
      <c r="T1056" s="19">
        <f>(ProductionData[[#This Row],[Rejected_Qty]])/ProductionData[[#This Row],[Produced_Qty]]</f>
        <v>2.7702702702702704E-2</v>
      </c>
      <c r="U1056" s="19">
        <f>ProductionData[[#This Row],[Produced_Qty]]/ProductionData[[#This Row],[Planned_Qty]]</f>
        <v>0.99162479061976549</v>
      </c>
      <c r="V1056" s="2" t="s">
        <v>109</v>
      </c>
      <c r="W1056" s="11">
        <v>24</v>
      </c>
      <c r="X1056" s="13">
        <f>W1056/60</f>
        <v>0.4</v>
      </c>
      <c r="Y1056" s="2" t="s">
        <v>136</v>
      </c>
      <c r="Z1056" s="2">
        <v>33</v>
      </c>
      <c r="AA1056" s="2">
        <f>ProductionData[[#This Row],[Rejected_Qty]]*ProductionData[[#This Row],[Unit_Cost_INR]]</f>
        <v>5412</v>
      </c>
      <c r="AB1056" s="4">
        <v>32820</v>
      </c>
      <c r="AC1056" s="4">
        <v>5040</v>
      </c>
      <c r="AD1056" s="4">
        <v>5040</v>
      </c>
      <c r="AE1056" s="4">
        <v>33536</v>
      </c>
      <c r="AF1056" s="4">
        <v>9750</v>
      </c>
    </row>
    <row r="1057" spans="1:32">
      <c r="A1057" s="2" t="s">
        <v>2244</v>
      </c>
      <c r="B1057" s="3">
        <v>46218</v>
      </c>
      <c r="C1057" s="36" t="s">
        <v>2128</v>
      </c>
      <c r="D1057" s="2">
        <f>MONTH(ProductionData[[#This Row],[Month]])</f>
        <v>7</v>
      </c>
      <c r="E1057" s="2" t="s">
        <v>79</v>
      </c>
      <c r="F1057" s="2" t="s">
        <v>93</v>
      </c>
      <c r="G1057" s="2" t="s">
        <v>174</v>
      </c>
      <c r="H1057" s="2" t="s">
        <v>175</v>
      </c>
      <c r="I1057" s="2" t="s">
        <v>176</v>
      </c>
      <c r="J1057" s="2" t="s">
        <v>443</v>
      </c>
      <c r="K1057" s="2" t="s">
        <v>444</v>
      </c>
      <c r="L1057" s="2" t="s">
        <v>2245</v>
      </c>
      <c r="M1057" s="2" t="s">
        <v>95</v>
      </c>
      <c r="N1057" s="2" t="s">
        <v>96</v>
      </c>
      <c r="O1057" s="2">
        <v>10</v>
      </c>
      <c r="P1057" s="2">
        <v>9</v>
      </c>
      <c r="Q1057" s="4">
        <v>5470</v>
      </c>
      <c r="R1057" s="4">
        <v>5190</v>
      </c>
      <c r="S1057" s="4">
        <v>119</v>
      </c>
      <c r="T1057" s="19">
        <f>(ProductionData[[#This Row],[Rejected_Qty]])/ProductionData[[#This Row],[Produced_Qty]]</f>
        <v>2.2928709055876687E-2</v>
      </c>
      <c r="U1057" s="19">
        <f>ProductionData[[#This Row],[Produced_Qty]]/ProductionData[[#This Row],[Planned_Qty]]</f>
        <v>0.94881170018281535</v>
      </c>
      <c r="V1057" s="2" t="s">
        <v>113</v>
      </c>
      <c r="W1057" s="11">
        <v>10</v>
      </c>
      <c r="X1057" s="13">
        <f>W1057/60</f>
        <v>0.16666666666666666</v>
      </c>
      <c r="Y1057" s="2" t="s">
        <v>76</v>
      </c>
      <c r="Z1057" s="2">
        <v>33</v>
      </c>
      <c r="AA1057" s="2">
        <f>ProductionData[[#This Row],[Rejected_Qty]]*ProductionData[[#This Row],[Unit_Cost_INR]]</f>
        <v>3927</v>
      </c>
      <c r="AB1057" s="4">
        <v>32319</v>
      </c>
      <c r="AC1057" s="4">
        <v>4570</v>
      </c>
      <c r="AD1057" s="4">
        <v>4570</v>
      </c>
      <c r="AE1057" s="4">
        <v>32820</v>
      </c>
      <c r="AF1057" s="4">
        <v>9750</v>
      </c>
    </row>
    <row r="1058" spans="1:32">
      <c r="A1058" s="2" t="s">
        <v>2246</v>
      </c>
      <c r="B1058" s="3">
        <v>46218</v>
      </c>
      <c r="C1058" s="36" t="s">
        <v>2128</v>
      </c>
      <c r="D1058" s="2">
        <f>MONTH(ProductionData[[#This Row],[Month]])</f>
        <v>7</v>
      </c>
      <c r="E1058" s="2" t="s">
        <v>79</v>
      </c>
      <c r="F1058" s="2" t="s">
        <v>66</v>
      </c>
      <c r="G1058" s="2" t="s">
        <v>174</v>
      </c>
      <c r="H1058" s="2" t="s">
        <v>175</v>
      </c>
      <c r="I1058" s="2" t="s">
        <v>176</v>
      </c>
      <c r="J1058" s="2" t="s">
        <v>443</v>
      </c>
      <c r="K1058" s="2" t="s">
        <v>444</v>
      </c>
      <c r="L1058" s="2" t="s">
        <v>2247</v>
      </c>
      <c r="M1058" s="2" t="s">
        <v>73</v>
      </c>
      <c r="N1058" s="2" t="s">
        <v>96</v>
      </c>
      <c r="O1058" s="2">
        <v>10</v>
      </c>
      <c r="P1058" s="2">
        <v>9</v>
      </c>
      <c r="Q1058" s="4">
        <v>5160</v>
      </c>
      <c r="R1058" s="4">
        <v>4940</v>
      </c>
      <c r="S1058" s="4">
        <v>176</v>
      </c>
      <c r="T1058" s="19">
        <f>(ProductionData[[#This Row],[Rejected_Qty]])/ProductionData[[#This Row],[Produced_Qty]]</f>
        <v>3.5627530364372467E-2</v>
      </c>
      <c r="U1058" s="19">
        <f>ProductionData[[#This Row],[Produced_Qty]]/ProductionData[[#This Row],[Planned_Qty]]</f>
        <v>0.95736434108527135</v>
      </c>
      <c r="V1058" s="2" t="s">
        <v>75</v>
      </c>
      <c r="W1058" s="11">
        <v>0</v>
      </c>
      <c r="X1058" s="13">
        <f>W1058/60</f>
        <v>0</v>
      </c>
      <c r="Y1058" s="2" t="s">
        <v>90</v>
      </c>
      <c r="Z1058" s="2">
        <v>33</v>
      </c>
      <c r="AA1058" s="2">
        <f>ProductionData[[#This Row],[Rejected_Qty]]*ProductionData[[#This Row],[Unit_Cost_INR]]</f>
        <v>5808</v>
      </c>
      <c r="AB1058" s="4">
        <v>32025</v>
      </c>
      <c r="AC1058" s="4">
        <v>4470</v>
      </c>
      <c r="AD1058" s="4">
        <v>4470</v>
      </c>
      <c r="AE1058" s="4">
        <v>32319</v>
      </c>
      <c r="AF1058" s="4">
        <v>9750</v>
      </c>
    </row>
    <row r="1059" spans="1:32">
      <c r="A1059" s="2" t="s">
        <v>2248</v>
      </c>
      <c r="B1059" s="3">
        <v>46212</v>
      </c>
      <c r="C1059" s="36" t="s">
        <v>2128</v>
      </c>
      <c r="D1059" s="2">
        <f>MONTH(ProductionData[[#This Row],[Month]])</f>
        <v>7</v>
      </c>
      <c r="E1059" s="2" t="s">
        <v>107</v>
      </c>
      <c r="F1059" s="2" t="s">
        <v>66</v>
      </c>
      <c r="G1059" s="2" t="s">
        <v>174</v>
      </c>
      <c r="H1059" s="2" t="s">
        <v>175</v>
      </c>
      <c r="I1059" s="2" t="s">
        <v>176</v>
      </c>
      <c r="J1059" s="2" t="s">
        <v>177</v>
      </c>
      <c r="K1059" s="2" t="s">
        <v>178</v>
      </c>
      <c r="L1059" s="2" t="s">
        <v>2249</v>
      </c>
      <c r="M1059" s="2" t="s">
        <v>73</v>
      </c>
      <c r="N1059" s="2" t="s">
        <v>96</v>
      </c>
      <c r="O1059" s="2">
        <v>10</v>
      </c>
      <c r="P1059" s="2">
        <v>10</v>
      </c>
      <c r="Q1059" s="4">
        <v>8140</v>
      </c>
      <c r="R1059" s="4">
        <v>7660</v>
      </c>
      <c r="S1059" s="4">
        <v>109</v>
      </c>
      <c r="T1059" s="19">
        <f>(ProductionData[[#This Row],[Rejected_Qty]])/ProductionData[[#This Row],[Produced_Qty]]</f>
        <v>1.422976501305483E-2</v>
      </c>
      <c r="U1059" s="19">
        <f>ProductionData[[#This Row],[Produced_Qty]]/ProductionData[[#This Row],[Planned_Qty]]</f>
        <v>0.94103194103194099</v>
      </c>
      <c r="V1059" s="2" t="s">
        <v>103</v>
      </c>
      <c r="W1059" s="11">
        <v>69</v>
      </c>
      <c r="X1059" s="13">
        <f>W1059/60</f>
        <v>1.1499999999999999</v>
      </c>
      <c r="Y1059" s="2" t="s">
        <v>76</v>
      </c>
      <c r="Z1059" s="2">
        <v>24</v>
      </c>
      <c r="AA1059" s="2">
        <f>ProductionData[[#This Row],[Rejected_Qty]]*ProductionData[[#This Row],[Unit_Cost_INR]]</f>
        <v>2616</v>
      </c>
      <c r="AB1059" s="4">
        <v>32112</v>
      </c>
      <c r="AC1059" s="4">
        <v>7460</v>
      </c>
      <c r="AD1059" s="4">
        <v>7460</v>
      </c>
      <c r="AE1059" s="4">
        <v>32203</v>
      </c>
      <c r="AF1059" s="4">
        <v>12000</v>
      </c>
    </row>
    <row r="1060" spans="1:32">
      <c r="A1060" s="2" t="s">
        <v>2250</v>
      </c>
      <c r="B1060" s="3">
        <v>46211</v>
      </c>
      <c r="C1060" s="36" t="s">
        <v>2128</v>
      </c>
      <c r="D1060" s="2">
        <f>MONTH(ProductionData[[#This Row],[Month]])</f>
        <v>7</v>
      </c>
      <c r="E1060" s="2" t="s">
        <v>79</v>
      </c>
      <c r="F1060" s="2" t="s">
        <v>66</v>
      </c>
      <c r="G1060" s="2" t="s">
        <v>174</v>
      </c>
      <c r="H1060" s="2" t="s">
        <v>175</v>
      </c>
      <c r="I1060" s="2" t="s">
        <v>176</v>
      </c>
      <c r="J1060" s="2" t="s">
        <v>177</v>
      </c>
      <c r="K1060" s="2" t="s">
        <v>178</v>
      </c>
      <c r="L1060" s="2" t="s">
        <v>2251</v>
      </c>
      <c r="M1060" s="2" t="s">
        <v>99</v>
      </c>
      <c r="N1060" s="2" t="s">
        <v>96</v>
      </c>
      <c r="O1060" s="2">
        <v>10</v>
      </c>
      <c r="P1060" s="2">
        <v>10</v>
      </c>
      <c r="Q1060" s="4">
        <v>7540</v>
      </c>
      <c r="R1060" s="4">
        <v>7300</v>
      </c>
      <c r="S1060" s="4">
        <v>199</v>
      </c>
      <c r="T1060" s="19">
        <f>(ProductionData[[#This Row],[Rejected_Qty]])/ProductionData[[#This Row],[Produced_Qty]]</f>
        <v>2.7260273972602739E-2</v>
      </c>
      <c r="U1060" s="19">
        <f>ProductionData[[#This Row],[Produced_Qty]]/ProductionData[[#This Row],[Planned_Qty]]</f>
        <v>0.96816976127320953</v>
      </c>
      <c r="V1060" s="2" t="s">
        <v>89</v>
      </c>
      <c r="W1060" s="11">
        <v>0</v>
      </c>
      <c r="X1060" s="13">
        <f>W1060/60</f>
        <v>0</v>
      </c>
      <c r="Y1060" s="2" t="s">
        <v>90</v>
      </c>
      <c r="Z1060" s="2">
        <v>24</v>
      </c>
      <c r="AA1060" s="2">
        <f>ProductionData[[#This Row],[Rejected_Qty]]*ProductionData[[#This Row],[Unit_Cost_INR]]</f>
        <v>4776</v>
      </c>
      <c r="AB1060" s="4">
        <v>31791</v>
      </c>
      <c r="AC1060" s="4">
        <v>6780</v>
      </c>
      <c r="AD1060" s="4">
        <v>6780</v>
      </c>
      <c r="AE1060" s="4">
        <v>32112</v>
      </c>
      <c r="AF1060" s="4">
        <v>12000</v>
      </c>
    </row>
    <row r="1061" spans="1:32">
      <c r="A1061" s="2" t="s">
        <v>2252</v>
      </c>
      <c r="B1061" s="3">
        <v>46224</v>
      </c>
      <c r="C1061" s="36" t="s">
        <v>2128</v>
      </c>
      <c r="D1061" s="2">
        <f>MONTH(ProductionData[[#This Row],[Month]])</f>
        <v>7</v>
      </c>
      <c r="E1061" s="2" t="s">
        <v>92</v>
      </c>
      <c r="F1061" s="2" t="s">
        <v>93</v>
      </c>
      <c r="G1061" s="2" t="s">
        <v>81</v>
      </c>
      <c r="H1061" s="2" t="s">
        <v>82</v>
      </c>
      <c r="I1061" s="2" t="s">
        <v>83</v>
      </c>
      <c r="J1061" s="2" t="s">
        <v>166</v>
      </c>
      <c r="K1061" s="2" t="s">
        <v>167</v>
      </c>
      <c r="L1061" s="2" t="s">
        <v>2253</v>
      </c>
      <c r="M1061" s="2" t="s">
        <v>133</v>
      </c>
      <c r="N1061" s="2" t="s">
        <v>88</v>
      </c>
      <c r="O1061" s="2">
        <v>18</v>
      </c>
      <c r="P1061" s="2">
        <v>17</v>
      </c>
      <c r="Q1061" s="4">
        <v>9160</v>
      </c>
      <c r="R1061" s="4">
        <v>8880</v>
      </c>
      <c r="S1061" s="4">
        <v>199</v>
      </c>
      <c r="T1061" s="19">
        <f>(ProductionData[[#This Row],[Rejected_Qty]])/ProductionData[[#This Row],[Produced_Qty]]</f>
        <v>2.240990990990991E-2</v>
      </c>
      <c r="U1061" s="19">
        <f>ProductionData[[#This Row],[Produced_Qty]]/ProductionData[[#This Row],[Planned_Qty]]</f>
        <v>0.96943231441048039</v>
      </c>
      <c r="V1061" s="2" t="s">
        <v>109</v>
      </c>
      <c r="W1061" s="11">
        <v>48</v>
      </c>
      <c r="X1061" s="13">
        <f>W1061/60</f>
        <v>0.8</v>
      </c>
      <c r="Y1061" s="2" t="s">
        <v>136</v>
      </c>
      <c r="Z1061" s="2">
        <v>17</v>
      </c>
      <c r="AA1061" s="2">
        <f>ProductionData[[#This Row],[Rejected_Qty]]*ProductionData[[#This Row],[Unit_Cost_INR]]</f>
        <v>3383</v>
      </c>
      <c r="AB1061" s="4">
        <v>30823</v>
      </c>
      <c r="AC1061" s="4">
        <v>7400</v>
      </c>
      <c r="AD1061" s="4">
        <v>7400</v>
      </c>
      <c r="AE1061" s="4">
        <v>32104</v>
      </c>
      <c r="AF1061" s="4">
        <v>13500</v>
      </c>
    </row>
    <row r="1062" spans="1:32">
      <c r="A1062" s="2" t="s">
        <v>2254</v>
      </c>
      <c r="B1062" s="3">
        <v>46204</v>
      </c>
      <c r="C1062" s="36" t="s">
        <v>2128</v>
      </c>
      <c r="D1062" s="2">
        <f>MONTH(ProductionData[[#This Row],[Month]])</f>
        <v>7</v>
      </c>
      <c r="E1062" s="2" t="s">
        <v>79</v>
      </c>
      <c r="F1062" s="2" t="s">
        <v>80</v>
      </c>
      <c r="G1062" s="2" t="s">
        <v>174</v>
      </c>
      <c r="H1062" s="2" t="s">
        <v>175</v>
      </c>
      <c r="I1062" s="2" t="s">
        <v>176</v>
      </c>
      <c r="J1062" s="2" t="s">
        <v>443</v>
      </c>
      <c r="K1062" s="2" t="s">
        <v>444</v>
      </c>
      <c r="L1062" s="2" t="s">
        <v>2255</v>
      </c>
      <c r="M1062" s="2" t="s">
        <v>87</v>
      </c>
      <c r="N1062" s="2" t="s">
        <v>88</v>
      </c>
      <c r="O1062" s="2">
        <v>10</v>
      </c>
      <c r="P1062" s="2">
        <v>10</v>
      </c>
      <c r="Q1062" s="4">
        <v>5120</v>
      </c>
      <c r="R1062" s="4">
        <v>5030</v>
      </c>
      <c r="S1062" s="4">
        <v>76</v>
      </c>
      <c r="T1062" s="19">
        <f>(ProductionData[[#This Row],[Rejected_Qty]])/ProductionData[[#This Row],[Produced_Qty]]</f>
        <v>1.5109343936381709E-2</v>
      </c>
      <c r="U1062" s="19">
        <f>ProductionData[[#This Row],[Produced_Qty]]/ProductionData[[#This Row],[Planned_Qty]]</f>
        <v>0.982421875</v>
      </c>
      <c r="V1062" s="2" t="s">
        <v>109</v>
      </c>
      <c r="W1062" s="11">
        <v>0</v>
      </c>
      <c r="X1062" s="13">
        <f>W1062/60</f>
        <v>0</v>
      </c>
      <c r="Y1062" s="2" t="s">
        <v>90</v>
      </c>
      <c r="Z1062" s="2">
        <v>33</v>
      </c>
      <c r="AA1062" s="2">
        <f>ProductionData[[#This Row],[Rejected_Qty]]*ProductionData[[#This Row],[Unit_Cost_INR]]</f>
        <v>2508</v>
      </c>
      <c r="AB1062" s="4">
        <v>32038</v>
      </c>
      <c r="AC1062" s="4">
        <v>4920</v>
      </c>
      <c r="AD1062" s="4">
        <v>4920</v>
      </c>
      <c r="AE1062" s="4">
        <v>32072</v>
      </c>
      <c r="AF1062" s="4">
        <v>9750</v>
      </c>
    </row>
    <row r="1063" spans="1:32">
      <c r="A1063" s="2" t="s">
        <v>2256</v>
      </c>
      <c r="B1063" s="3">
        <v>46204</v>
      </c>
      <c r="C1063" s="36" t="s">
        <v>2128</v>
      </c>
      <c r="D1063" s="2">
        <f>MONTH(ProductionData[[#This Row],[Month]])</f>
        <v>7</v>
      </c>
      <c r="E1063" s="2" t="s">
        <v>79</v>
      </c>
      <c r="F1063" s="2" t="s">
        <v>66</v>
      </c>
      <c r="G1063" s="2" t="s">
        <v>174</v>
      </c>
      <c r="H1063" s="2" t="s">
        <v>175</v>
      </c>
      <c r="I1063" s="2" t="s">
        <v>176</v>
      </c>
      <c r="J1063" s="2" t="s">
        <v>443</v>
      </c>
      <c r="K1063" s="2" t="s">
        <v>444</v>
      </c>
      <c r="L1063" s="2" t="s">
        <v>2257</v>
      </c>
      <c r="M1063" s="2" t="s">
        <v>99</v>
      </c>
      <c r="N1063" s="2" t="s">
        <v>88</v>
      </c>
      <c r="O1063" s="2">
        <v>10</v>
      </c>
      <c r="P1063" s="2">
        <v>9</v>
      </c>
      <c r="Q1063" s="4">
        <v>5340</v>
      </c>
      <c r="R1063" s="4">
        <v>5080</v>
      </c>
      <c r="S1063" s="4">
        <v>95</v>
      </c>
      <c r="T1063" s="19">
        <f>(ProductionData[[#This Row],[Rejected_Qty]])/ProductionData[[#This Row],[Produced_Qty]]</f>
        <v>1.8700787401574805E-2</v>
      </c>
      <c r="U1063" s="19">
        <f>ProductionData[[#This Row],[Produced_Qty]]/ProductionData[[#This Row],[Planned_Qty]]</f>
        <v>0.95131086142322097</v>
      </c>
      <c r="V1063" s="2" t="s">
        <v>89</v>
      </c>
      <c r="W1063" s="11">
        <v>0</v>
      </c>
      <c r="X1063" s="13">
        <f>W1063/60</f>
        <v>0</v>
      </c>
      <c r="Y1063" s="2" t="s">
        <v>90</v>
      </c>
      <c r="Z1063" s="2">
        <v>33</v>
      </c>
      <c r="AA1063" s="2">
        <f>ProductionData[[#This Row],[Rejected_Qty]]*ProductionData[[#This Row],[Unit_Cost_INR]]</f>
        <v>3135</v>
      </c>
      <c r="AB1063" s="4">
        <v>32033</v>
      </c>
      <c r="AC1063" s="4">
        <v>4980</v>
      </c>
      <c r="AD1063" s="4">
        <v>4980</v>
      </c>
      <c r="AE1063" s="4">
        <v>32038</v>
      </c>
      <c r="AF1063" s="4">
        <v>9750</v>
      </c>
    </row>
    <row r="1064" spans="1:32">
      <c r="A1064" s="2" t="s">
        <v>2258</v>
      </c>
      <c r="B1064" s="3">
        <v>46214</v>
      </c>
      <c r="C1064" s="36" t="s">
        <v>2128</v>
      </c>
      <c r="D1064" s="2">
        <f>MONTH(ProductionData[[#This Row],[Month]])</f>
        <v>7</v>
      </c>
      <c r="E1064" s="2" t="s">
        <v>65</v>
      </c>
      <c r="F1064" s="2" t="s">
        <v>80</v>
      </c>
      <c r="G1064" s="2" t="s">
        <v>174</v>
      </c>
      <c r="H1064" s="2" t="s">
        <v>175</v>
      </c>
      <c r="I1064" s="2" t="s">
        <v>176</v>
      </c>
      <c r="J1064" s="2" t="s">
        <v>443</v>
      </c>
      <c r="K1064" s="2" t="s">
        <v>444</v>
      </c>
      <c r="L1064" s="2" t="s">
        <v>2259</v>
      </c>
      <c r="M1064" s="2" t="s">
        <v>102</v>
      </c>
      <c r="N1064" s="2" t="s">
        <v>96</v>
      </c>
      <c r="O1064" s="2">
        <v>10</v>
      </c>
      <c r="P1064" s="2">
        <v>10</v>
      </c>
      <c r="Q1064" s="4">
        <v>5220</v>
      </c>
      <c r="R1064" s="4">
        <v>5030</v>
      </c>
      <c r="S1064" s="4">
        <v>120</v>
      </c>
      <c r="T1064" s="19">
        <f>(ProductionData[[#This Row],[Rejected_Qty]])/ProductionData[[#This Row],[Produced_Qty]]</f>
        <v>2.3856858846918488E-2</v>
      </c>
      <c r="U1064" s="19">
        <f>ProductionData[[#This Row],[Produced_Qty]]/ProductionData[[#This Row],[Planned_Qty]]</f>
        <v>0.96360153256704983</v>
      </c>
      <c r="V1064" s="2" t="s">
        <v>75</v>
      </c>
      <c r="W1064" s="11">
        <v>0</v>
      </c>
      <c r="X1064" s="13">
        <f>W1064/60</f>
        <v>0</v>
      </c>
      <c r="Y1064" s="2" t="s">
        <v>90</v>
      </c>
      <c r="Z1064" s="2">
        <v>33</v>
      </c>
      <c r="AA1064" s="2">
        <f>ProductionData[[#This Row],[Rejected_Qty]]*ProductionData[[#This Row],[Unit_Cost_INR]]</f>
        <v>3960</v>
      </c>
      <c r="AB1064" s="4">
        <v>31714</v>
      </c>
      <c r="AC1064" s="4">
        <v>4590</v>
      </c>
      <c r="AD1064" s="4">
        <v>4590</v>
      </c>
      <c r="AE1064" s="4">
        <v>32034</v>
      </c>
      <c r="AF1064" s="4">
        <v>9750</v>
      </c>
    </row>
    <row r="1065" spans="1:32">
      <c r="A1065" s="2" t="s">
        <v>2260</v>
      </c>
      <c r="B1065" s="3">
        <v>46217</v>
      </c>
      <c r="C1065" s="36" t="s">
        <v>2128</v>
      </c>
      <c r="D1065" s="2">
        <f>MONTH(ProductionData[[#This Row],[Month]])</f>
        <v>7</v>
      </c>
      <c r="E1065" s="2" t="s">
        <v>92</v>
      </c>
      <c r="F1065" s="2" t="s">
        <v>66</v>
      </c>
      <c r="G1065" s="2" t="s">
        <v>174</v>
      </c>
      <c r="H1065" s="2" t="s">
        <v>175</v>
      </c>
      <c r="I1065" s="2" t="s">
        <v>176</v>
      </c>
      <c r="J1065" s="2" t="s">
        <v>443</v>
      </c>
      <c r="K1065" s="2" t="s">
        <v>444</v>
      </c>
      <c r="L1065" s="2" t="s">
        <v>2261</v>
      </c>
      <c r="M1065" s="2" t="s">
        <v>99</v>
      </c>
      <c r="N1065" s="2" t="s">
        <v>96</v>
      </c>
      <c r="O1065" s="2">
        <v>10</v>
      </c>
      <c r="P1065" s="2">
        <v>10</v>
      </c>
      <c r="Q1065" s="4">
        <v>5870</v>
      </c>
      <c r="R1065" s="4">
        <v>5380</v>
      </c>
      <c r="S1065" s="4">
        <v>146</v>
      </c>
      <c r="T1065" s="19">
        <f>(ProductionData[[#This Row],[Rejected_Qty]])/ProductionData[[#This Row],[Produced_Qty]]</f>
        <v>2.7137546468401486E-2</v>
      </c>
      <c r="U1065" s="19">
        <f>ProductionData[[#This Row],[Produced_Qty]]/ProductionData[[#This Row],[Planned_Qty]]</f>
        <v>0.91652470187393531</v>
      </c>
      <c r="V1065" s="2" t="s">
        <v>113</v>
      </c>
      <c r="W1065" s="11">
        <v>53</v>
      </c>
      <c r="X1065" s="13">
        <f>W1065/60</f>
        <v>0.8833333333333333</v>
      </c>
      <c r="Y1065" s="2" t="s">
        <v>114</v>
      </c>
      <c r="Z1065" s="2">
        <v>33</v>
      </c>
      <c r="AA1065" s="2">
        <f>ProductionData[[#This Row],[Rejected_Qty]]*ProductionData[[#This Row],[Unit_Cost_INR]]</f>
        <v>4818</v>
      </c>
      <c r="AB1065" s="4">
        <v>31951</v>
      </c>
      <c r="AC1065" s="4">
        <v>5160</v>
      </c>
      <c r="AD1065" s="4">
        <v>5160</v>
      </c>
      <c r="AE1065" s="4">
        <v>32025</v>
      </c>
      <c r="AF1065" s="4">
        <v>9750</v>
      </c>
    </row>
    <row r="1066" spans="1:32">
      <c r="A1066" s="2" t="s">
        <v>2262</v>
      </c>
      <c r="B1066" s="3">
        <v>46214</v>
      </c>
      <c r="C1066" s="36" t="s">
        <v>2128</v>
      </c>
      <c r="D1066" s="2">
        <f>MONTH(ProductionData[[#This Row],[Month]])</f>
        <v>7</v>
      </c>
      <c r="E1066" s="2" t="s">
        <v>65</v>
      </c>
      <c r="F1066" s="2" t="s">
        <v>93</v>
      </c>
      <c r="G1066" s="2" t="s">
        <v>174</v>
      </c>
      <c r="H1066" s="2" t="s">
        <v>175</v>
      </c>
      <c r="I1066" s="2" t="s">
        <v>176</v>
      </c>
      <c r="J1066" s="2" t="s">
        <v>177</v>
      </c>
      <c r="K1066" s="2" t="s">
        <v>178</v>
      </c>
      <c r="L1066" s="2" t="s">
        <v>2263</v>
      </c>
      <c r="M1066" s="2" t="s">
        <v>133</v>
      </c>
      <c r="N1066" s="2" t="s">
        <v>96</v>
      </c>
      <c r="O1066" s="2">
        <v>10</v>
      </c>
      <c r="P1066" s="2">
        <v>9</v>
      </c>
      <c r="Q1066" s="4">
        <v>8060</v>
      </c>
      <c r="R1066" s="4">
        <v>7790</v>
      </c>
      <c r="S1066" s="4">
        <v>152</v>
      </c>
      <c r="T1066" s="19">
        <f>(ProductionData[[#This Row],[Rejected_Qty]])/ProductionData[[#This Row],[Produced_Qty]]</f>
        <v>1.9512195121951219E-2</v>
      </c>
      <c r="U1066" s="19">
        <f>ProductionData[[#This Row],[Produced_Qty]]/ProductionData[[#This Row],[Planned_Qty]]</f>
        <v>0.96650124069478904</v>
      </c>
      <c r="V1066" s="2" t="s">
        <v>109</v>
      </c>
      <c r="W1066" s="11">
        <v>0</v>
      </c>
      <c r="X1066" s="13">
        <f>W1066/60</f>
        <v>0</v>
      </c>
      <c r="Y1066" s="2" t="s">
        <v>90</v>
      </c>
      <c r="Z1066" s="2">
        <v>24</v>
      </c>
      <c r="AA1066" s="2">
        <f>ProductionData[[#This Row],[Rejected_Qty]]*ProductionData[[#This Row],[Unit_Cost_INR]]</f>
        <v>3648</v>
      </c>
      <c r="AB1066" s="4">
        <v>32203</v>
      </c>
      <c r="AC1066" s="4">
        <v>7850</v>
      </c>
      <c r="AD1066" s="4">
        <v>7850</v>
      </c>
      <c r="AE1066" s="4">
        <v>31991</v>
      </c>
      <c r="AF1066" s="4">
        <v>12000</v>
      </c>
    </row>
    <row r="1067" spans="1:32">
      <c r="A1067" s="2" t="s">
        <v>2264</v>
      </c>
      <c r="B1067" s="3">
        <v>46216</v>
      </c>
      <c r="C1067" s="36" t="s">
        <v>2128</v>
      </c>
      <c r="D1067" s="2">
        <f>MONTH(ProductionData[[#This Row],[Month]])</f>
        <v>7</v>
      </c>
      <c r="E1067" s="2" t="s">
        <v>116</v>
      </c>
      <c r="F1067" s="2" t="s">
        <v>93</v>
      </c>
      <c r="G1067" s="2" t="s">
        <v>174</v>
      </c>
      <c r="H1067" s="2" t="s">
        <v>175</v>
      </c>
      <c r="I1067" s="2" t="s">
        <v>176</v>
      </c>
      <c r="J1067" s="2" t="s">
        <v>443</v>
      </c>
      <c r="K1067" s="2" t="s">
        <v>444</v>
      </c>
      <c r="L1067" s="2" t="s">
        <v>2265</v>
      </c>
      <c r="M1067" s="2" t="s">
        <v>133</v>
      </c>
      <c r="N1067" s="2" t="s">
        <v>88</v>
      </c>
      <c r="O1067" s="2">
        <v>10</v>
      </c>
      <c r="P1067" s="2">
        <v>9</v>
      </c>
      <c r="Q1067" s="4">
        <v>4860</v>
      </c>
      <c r="R1067" s="4">
        <v>4750</v>
      </c>
      <c r="S1067" s="4">
        <v>124</v>
      </c>
      <c r="T1067" s="19">
        <f>(ProductionData[[#This Row],[Rejected_Qty]])/ProductionData[[#This Row],[Produced_Qty]]</f>
        <v>2.6105263157894736E-2</v>
      </c>
      <c r="U1067" s="19">
        <f>ProductionData[[#This Row],[Produced_Qty]]/ProductionData[[#This Row],[Planned_Qty]]</f>
        <v>0.97736625514403297</v>
      </c>
      <c r="V1067" s="2" t="s">
        <v>109</v>
      </c>
      <c r="W1067" s="11">
        <v>0</v>
      </c>
      <c r="X1067" s="13">
        <f>W1067/60</f>
        <v>0</v>
      </c>
      <c r="Y1067" s="2" t="s">
        <v>90</v>
      </c>
      <c r="Z1067" s="2">
        <v>33</v>
      </c>
      <c r="AA1067" s="2">
        <f>ProductionData[[#This Row],[Rejected_Qty]]*ProductionData[[#This Row],[Unit_Cost_INR]]</f>
        <v>4092</v>
      </c>
      <c r="AB1067" s="4">
        <v>31765</v>
      </c>
      <c r="AC1067" s="4">
        <v>4440</v>
      </c>
      <c r="AD1067" s="4">
        <v>4440</v>
      </c>
      <c r="AE1067" s="4">
        <v>31951</v>
      </c>
      <c r="AF1067" s="4">
        <v>9750</v>
      </c>
    </row>
    <row r="1068" spans="1:32">
      <c r="A1068" s="2" t="s">
        <v>2266</v>
      </c>
      <c r="B1068" s="3">
        <v>46215</v>
      </c>
      <c r="C1068" s="36" t="s">
        <v>2128</v>
      </c>
      <c r="D1068" s="2">
        <f>MONTH(ProductionData[[#This Row],[Month]])</f>
        <v>7</v>
      </c>
      <c r="E1068" s="2" t="s">
        <v>186</v>
      </c>
      <c r="F1068" s="2" t="s">
        <v>80</v>
      </c>
      <c r="G1068" s="2" t="s">
        <v>174</v>
      </c>
      <c r="H1068" s="2" t="s">
        <v>175</v>
      </c>
      <c r="I1068" s="2" t="s">
        <v>176</v>
      </c>
      <c r="J1068" s="2" t="s">
        <v>177</v>
      </c>
      <c r="K1068" s="2" t="s">
        <v>178</v>
      </c>
      <c r="L1068" s="2" t="s">
        <v>2267</v>
      </c>
      <c r="M1068" s="2" t="s">
        <v>87</v>
      </c>
      <c r="N1068" s="2" t="s">
        <v>88</v>
      </c>
      <c r="O1068" s="2">
        <v>10</v>
      </c>
      <c r="P1068" s="2">
        <v>9</v>
      </c>
      <c r="Q1068" s="4">
        <v>5840</v>
      </c>
      <c r="R1068" s="4">
        <v>5420</v>
      </c>
      <c r="S1068" s="4">
        <v>159</v>
      </c>
      <c r="T1068" s="19">
        <f>(ProductionData[[#This Row],[Rejected_Qty]])/ProductionData[[#This Row],[Produced_Qty]]</f>
        <v>2.9335793357933581E-2</v>
      </c>
      <c r="U1068" s="19">
        <f>ProductionData[[#This Row],[Produced_Qty]]/ProductionData[[#This Row],[Planned_Qty]]</f>
        <v>0.92808219178082196</v>
      </c>
      <c r="V1068" s="2" t="s">
        <v>89</v>
      </c>
      <c r="W1068" s="11">
        <v>49</v>
      </c>
      <c r="X1068" s="13">
        <f>W1068/60</f>
        <v>0.81666666666666665</v>
      </c>
      <c r="Y1068" s="2" t="s">
        <v>110</v>
      </c>
      <c r="Z1068" s="2">
        <v>24</v>
      </c>
      <c r="AA1068" s="2">
        <f>ProductionData[[#This Row],[Rejected_Qty]]*ProductionData[[#This Row],[Unit_Cost_INR]]</f>
        <v>3816</v>
      </c>
      <c r="AB1068" s="4">
        <v>31991</v>
      </c>
      <c r="AC1068" s="4">
        <v>5450</v>
      </c>
      <c r="AD1068" s="4">
        <v>5450</v>
      </c>
      <c r="AE1068" s="4">
        <v>31802</v>
      </c>
      <c r="AF1068" s="4">
        <v>12000</v>
      </c>
    </row>
    <row r="1069" spans="1:32">
      <c r="A1069" s="2" t="s">
        <v>2268</v>
      </c>
      <c r="B1069" s="3">
        <v>46209</v>
      </c>
      <c r="C1069" s="36" t="s">
        <v>2128</v>
      </c>
      <c r="D1069" s="2">
        <f>MONTH(ProductionData[[#This Row],[Month]])</f>
        <v>7</v>
      </c>
      <c r="E1069" s="2" t="s">
        <v>116</v>
      </c>
      <c r="F1069" s="2" t="s">
        <v>80</v>
      </c>
      <c r="G1069" s="2" t="s">
        <v>174</v>
      </c>
      <c r="H1069" s="2" t="s">
        <v>175</v>
      </c>
      <c r="I1069" s="2" t="s">
        <v>176</v>
      </c>
      <c r="J1069" s="2" t="s">
        <v>177</v>
      </c>
      <c r="K1069" s="2" t="s">
        <v>178</v>
      </c>
      <c r="L1069" s="2" t="s">
        <v>2269</v>
      </c>
      <c r="M1069" s="2" t="s">
        <v>87</v>
      </c>
      <c r="N1069" s="2" t="s">
        <v>88</v>
      </c>
      <c r="O1069" s="2">
        <v>10</v>
      </c>
      <c r="P1069" s="2">
        <v>10</v>
      </c>
      <c r="Q1069" s="4">
        <v>7700</v>
      </c>
      <c r="R1069" s="4">
        <v>7490</v>
      </c>
      <c r="S1069" s="4">
        <v>261</v>
      </c>
      <c r="T1069" s="19">
        <f>(ProductionData[[#This Row],[Rejected_Qty]])/ProductionData[[#This Row],[Produced_Qty]]</f>
        <v>3.4846461949265689E-2</v>
      </c>
      <c r="U1069" s="19">
        <f>ProductionData[[#This Row],[Produced_Qty]]/ProductionData[[#This Row],[Planned_Qty]]</f>
        <v>0.97272727272727277</v>
      </c>
      <c r="V1069" s="2" t="s">
        <v>113</v>
      </c>
      <c r="W1069" s="11">
        <v>0</v>
      </c>
      <c r="X1069" s="13">
        <f>W1069/60</f>
        <v>0</v>
      </c>
      <c r="Y1069" s="2" t="s">
        <v>90</v>
      </c>
      <c r="Z1069" s="2">
        <v>24</v>
      </c>
      <c r="AA1069" s="2">
        <f>ProductionData[[#This Row],[Rejected_Qty]]*ProductionData[[#This Row],[Unit_Cost_INR]]</f>
        <v>6264</v>
      </c>
      <c r="AB1069" s="4">
        <v>30802</v>
      </c>
      <c r="AC1069" s="4">
        <v>6240</v>
      </c>
      <c r="AD1069" s="4">
        <v>6240</v>
      </c>
      <c r="AE1069" s="4">
        <v>31791</v>
      </c>
      <c r="AF1069" s="4">
        <v>12000</v>
      </c>
    </row>
    <row r="1070" spans="1:32">
      <c r="A1070" s="2" t="s">
        <v>2270</v>
      </c>
      <c r="B1070" s="3">
        <v>46216</v>
      </c>
      <c r="C1070" s="36" t="s">
        <v>2128</v>
      </c>
      <c r="D1070" s="2">
        <f>MONTH(ProductionData[[#This Row],[Month]])</f>
        <v>7</v>
      </c>
      <c r="E1070" s="2" t="s">
        <v>116</v>
      </c>
      <c r="F1070" s="2" t="s">
        <v>80</v>
      </c>
      <c r="G1070" s="2" t="s">
        <v>174</v>
      </c>
      <c r="H1070" s="2" t="s">
        <v>175</v>
      </c>
      <c r="I1070" s="2" t="s">
        <v>176</v>
      </c>
      <c r="J1070" s="2" t="s">
        <v>443</v>
      </c>
      <c r="K1070" s="2" t="s">
        <v>444</v>
      </c>
      <c r="L1070" s="2" t="s">
        <v>2271</v>
      </c>
      <c r="M1070" s="2" t="s">
        <v>102</v>
      </c>
      <c r="N1070" s="2" t="s">
        <v>96</v>
      </c>
      <c r="O1070" s="2">
        <v>10</v>
      </c>
      <c r="P1070" s="2">
        <v>10</v>
      </c>
      <c r="Q1070" s="4">
        <v>5890</v>
      </c>
      <c r="R1070" s="4">
        <v>5660</v>
      </c>
      <c r="S1070" s="4">
        <v>159</v>
      </c>
      <c r="T1070" s="19">
        <f>(ProductionData[[#This Row],[Rejected_Qty]])/ProductionData[[#This Row],[Produced_Qty]]</f>
        <v>2.8091872791519434E-2</v>
      </c>
      <c r="U1070" s="19">
        <f>ProductionData[[#This Row],[Produced_Qty]]/ProductionData[[#This Row],[Planned_Qty]]</f>
        <v>0.96095076400679114</v>
      </c>
      <c r="V1070" s="2" t="s">
        <v>103</v>
      </c>
      <c r="W1070" s="11">
        <v>73</v>
      </c>
      <c r="X1070" s="13">
        <f>W1070/60</f>
        <v>1.2166666666666666</v>
      </c>
      <c r="Y1070" s="2" t="s">
        <v>110</v>
      </c>
      <c r="Z1070" s="2">
        <v>33</v>
      </c>
      <c r="AA1070" s="2">
        <f>ProductionData[[#This Row],[Rejected_Qty]]*ProductionData[[#This Row],[Unit_Cost_INR]]</f>
        <v>5247</v>
      </c>
      <c r="AB1070" s="4">
        <v>32034</v>
      </c>
      <c r="AC1070" s="4">
        <v>5770</v>
      </c>
      <c r="AD1070" s="4">
        <v>5770</v>
      </c>
      <c r="AE1070" s="4">
        <v>31765</v>
      </c>
      <c r="AF1070" s="4">
        <v>9750</v>
      </c>
    </row>
    <row r="1071" spans="1:32">
      <c r="A1071" s="2" t="s">
        <v>2272</v>
      </c>
      <c r="B1071" s="3">
        <v>46206</v>
      </c>
      <c r="C1071" s="36" t="s">
        <v>2128</v>
      </c>
      <c r="D1071" s="2">
        <f>MONTH(ProductionData[[#This Row],[Month]])</f>
        <v>7</v>
      </c>
      <c r="E1071" s="2" t="s">
        <v>125</v>
      </c>
      <c r="F1071" s="2" t="s">
        <v>80</v>
      </c>
      <c r="G1071" s="2" t="s">
        <v>67</v>
      </c>
      <c r="H1071" s="2" t="s">
        <v>68</v>
      </c>
      <c r="I1071" s="2" t="s">
        <v>69</v>
      </c>
      <c r="J1071" s="2" t="s">
        <v>70</v>
      </c>
      <c r="K1071" s="2" t="s">
        <v>71</v>
      </c>
      <c r="L1071" s="2" t="s">
        <v>2273</v>
      </c>
      <c r="M1071" s="2" t="s">
        <v>102</v>
      </c>
      <c r="N1071" s="2" t="s">
        <v>96</v>
      </c>
      <c r="O1071" s="2">
        <v>16</v>
      </c>
      <c r="P1071" s="2">
        <v>15</v>
      </c>
      <c r="Q1071" s="4">
        <v>6290</v>
      </c>
      <c r="R1071" s="4">
        <v>6060</v>
      </c>
      <c r="S1071" s="4">
        <v>160</v>
      </c>
      <c r="T1071" s="19">
        <f>(ProductionData[[#This Row],[Rejected_Qty]])/ProductionData[[#This Row],[Produced_Qty]]</f>
        <v>2.6402640264026403E-2</v>
      </c>
      <c r="U1071" s="19">
        <f>ProductionData[[#This Row],[Produced_Qty]]/ProductionData[[#This Row],[Planned_Qty]]</f>
        <v>0.9634340222575517</v>
      </c>
      <c r="V1071" s="2" t="s">
        <v>75</v>
      </c>
      <c r="W1071" s="11">
        <v>0</v>
      </c>
      <c r="X1071" s="13">
        <f>W1071/60</f>
        <v>0</v>
      </c>
      <c r="Y1071" s="2" t="s">
        <v>90</v>
      </c>
      <c r="Z1071" s="2">
        <v>46</v>
      </c>
      <c r="AA1071" s="2">
        <f>ProductionData[[#This Row],[Rejected_Qty]]*ProductionData[[#This Row],[Unit_Cost_INR]]</f>
        <v>7360</v>
      </c>
      <c r="AB1071" s="4">
        <v>31598</v>
      </c>
      <c r="AC1071" s="4">
        <v>5780</v>
      </c>
      <c r="AD1071" s="4">
        <v>5780</v>
      </c>
      <c r="AE1071" s="4">
        <v>31718</v>
      </c>
      <c r="AF1071" s="4">
        <v>10500</v>
      </c>
    </row>
    <row r="1072" spans="1:32">
      <c r="A1072" s="2" t="s">
        <v>2274</v>
      </c>
      <c r="B1072" s="3">
        <v>46213</v>
      </c>
      <c r="C1072" s="36" t="s">
        <v>2128</v>
      </c>
      <c r="D1072" s="2">
        <f>MONTH(ProductionData[[#This Row],[Month]])</f>
        <v>7</v>
      </c>
      <c r="E1072" s="2" t="s">
        <v>125</v>
      </c>
      <c r="F1072" s="2" t="s">
        <v>93</v>
      </c>
      <c r="G1072" s="2" t="s">
        <v>174</v>
      </c>
      <c r="H1072" s="2" t="s">
        <v>175</v>
      </c>
      <c r="I1072" s="2" t="s">
        <v>176</v>
      </c>
      <c r="J1072" s="2" t="s">
        <v>443</v>
      </c>
      <c r="K1072" s="2" t="s">
        <v>444</v>
      </c>
      <c r="L1072" s="2" t="s">
        <v>2275</v>
      </c>
      <c r="M1072" s="2" t="s">
        <v>133</v>
      </c>
      <c r="N1072" s="2" t="s">
        <v>96</v>
      </c>
      <c r="O1072" s="2">
        <v>10</v>
      </c>
      <c r="P1072" s="2">
        <v>10</v>
      </c>
      <c r="Q1072" s="4">
        <v>5150</v>
      </c>
      <c r="R1072" s="4">
        <v>4980</v>
      </c>
      <c r="S1072" s="4">
        <v>87</v>
      </c>
      <c r="T1072" s="19">
        <f>(ProductionData[[#This Row],[Rejected_Qty]])/ProductionData[[#This Row],[Produced_Qty]]</f>
        <v>1.7469879518072291E-2</v>
      </c>
      <c r="U1072" s="19">
        <f>ProductionData[[#This Row],[Produced_Qty]]/ProductionData[[#This Row],[Planned_Qty]]</f>
        <v>0.96699029126213587</v>
      </c>
      <c r="V1072" s="2" t="s">
        <v>103</v>
      </c>
      <c r="W1072" s="11">
        <v>0</v>
      </c>
      <c r="X1072" s="13">
        <f>W1072/60</f>
        <v>0</v>
      </c>
      <c r="Y1072" s="2" t="s">
        <v>90</v>
      </c>
      <c r="Z1072" s="2">
        <v>33</v>
      </c>
      <c r="AA1072" s="2">
        <f>ProductionData[[#This Row],[Rejected_Qty]]*ProductionData[[#This Row],[Unit_Cost_INR]]</f>
        <v>2871</v>
      </c>
      <c r="AB1072" s="4">
        <v>31391</v>
      </c>
      <c r="AC1072" s="4">
        <v>4570</v>
      </c>
      <c r="AD1072" s="4">
        <v>4570</v>
      </c>
      <c r="AE1072" s="4">
        <v>31714</v>
      </c>
      <c r="AF1072" s="4">
        <v>9750</v>
      </c>
    </row>
    <row r="1073" spans="1:32">
      <c r="A1073" s="2" t="s">
        <v>2276</v>
      </c>
      <c r="B1073" s="3">
        <v>46206</v>
      </c>
      <c r="C1073" s="36" t="s">
        <v>2128</v>
      </c>
      <c r="D1073" s="2">
        <f>MONTH(ProductionData[[#This Row],[Month]])</f>
        <v>7</v>
      </c>
      <c r="E1073" s="2" t="s">
        <v>125</v>
      </c>
      <c r="F1073" s="2" t="s">
        <v>66</v>
      </c>
      <c r="G1073" s="2" t="s">
        <v>67</v>
      </c>
      <c r="H1073" s="2" t="s">
        <v>68</v>
      </c>
      <c r="I1073" s="2" t="s">
        <v>69</v>
      </c>
      <c r="J1073" s="2" t="s">
        <v>70</v>
      </c>
      <c r="K1073" s="2" t="s">
        <v>71</v>
      </c>
      <c r="L1073" s="2" t="s">
        <v>2277</v>
      </c>
      <c r="M1073" s="2" t="s">
        <v>99</v>
      </c>
      <c r="N1073" s="2" t="s">
        <v>88</v>
      </c>
      <c r="O1073" s="2">
        <v>16</v>
      </c>
      <c r="P1073" s="2">
        <v>15</v>
      </c>
      <c r="Q1073" s="4">
        <v>6800</v>
      </c>
      <c r="R1073" s="4">
        <v>6190</v>
      </c>
      <c r="S1073" s="4">
        <v>92</v>
      </c>
      <c r="T1073" s="19">
        <f>(ProductionData[[#This Row],[Rejected_Qty]])/ProductionData[[#This Row],[Produced_Qty]]</f>
        <v>1.4862681744749596E-2</v>
      </c>
      <c r="U1073" s="19">
        <f>ProductionData[[#This Row],[Produced_Qty]]/ProductionData[[#This Row],[Planned_Qty]]</f>
        <v>0.91029411764705881</v>
      </c>
      <c r="V1073" s="2" t="s">
        <v>75</v>
      </c>
      <c r="W1073" s="11">
        <v>0</v>
      </c>
      <c r="X1073" s="13">
        <f>W1073/60</f>
        <v>0</v>
      </c>
      <c r="Y1073" s="2" t="s">
        <v>90</v>
      </c>
      <c r="Z1073" s="2">
        <v>46</v>
      </c>
      <c r="AA1073" s="2">
        <f>ProductionData[[#This Row],[Rejected_Qty]]*ProductionData[[#This Row],[Unit_Cost_INR]]</f>
        <v>4232</v>
      </c>
      <c r="AB1073" s="4">
        <v>31370</v>
      </c>
      <c r="AC1073" s="4">
        <v>5870</v>
      </c>
      <c r="AD1073" s="4">
        <v>5870</v>
      </c>
      <c r="AE1073" s="4">
        <v>31598</v>
      </c>
      <c r="AF1073" s="4">
        <v>10500</v>
      </c>
    </row>
    <row r="1074" spans="1:32">
      <c r="A1074" s="2" t="s">
        <v>2278</v>
      </c>
      <c r="B1074" s="3">
        <v>46213</v>
      </c>
      <c r="C1074" s="36" t="s">
        <v>2128</v>
      </c>
      <c r="D1074" s="2">
        <f>MONTH(ProductionData[[#This Row],[Month]])</f>
        <v>7</v>
      </c>
      <c r="E1074" s="2" t="s">
        <v>125</v>
      </c>
      <c r="F1074" s="2" t="s">
        <v>66</v>
      </c>
      <c r="G1074" s="2" t="s">
        <v>174</v>
      </c>
      <c r="H1074" s="2" t="s">
        <v>175</v>
      </c>
      <c r="I1074" s="2" t="s">
        <v>176</v>
      </c>
      <c r="J1074" s="2" t="s">
        <v>443</v>
      </c>
      <c r="K1074" s="2" t="s">
        <v>444</v>
      </c>
      <c r="L1074" s="2" t="s">
        <v>2279</v>
      </c>
      <c r="M1074" s="2" t="s">
        <v>99</v>
      </c>
      <c r="N1074" s="2" t="s">
        <v>96</v>
      </c>
      <c r="O1074" s="2">
        <v>10</v>
      </c>
      <c r="P1074" s="2">
        <v>9</v>
      </c>
      <c r="Q1074" s="4">
        <v>5290</v>
      </c>
      <c r="R1074" s="4">
        <v>5120</v>
      </c>
      <c r="S1074" s="4">
        <v>168</v>
      </c>
      <c r="T1074" s="19">
        <f>(ProductionData[[#This Row],[Rejected_Qty]])/ProductionData[[#This Row],[Produced_Qty]]</f>
        <v>3.2812500000000001E-2</v>
      </c>
      <c r="U1074" s="19">
        <f>ProductionData[[#This Row],[Produced_Qty]]/ProductionData[[#This Row],[Planned_Qty]]</f>
        <v>0.9678638941398866</v>
      </c>
      <c r="V1074" s="2" t="s">
        <v>103</v>
      </c>
      <c r="W1074" s="11">
        <v>13</v>
      </c>
      <c r="X1074" s="13">
        <f>W1074/60</f>
        <v>0.21666666666666667</v>
      </c>
      <c r="Y1074" s="2" t="s">
        <v>110</v>
      </c>
      <c r="Z1074" s="2">
        <v>33</v>
      </c>
      <c r="AA1074" s="2">
        <f>ProductionData[[#This Row],[Rejected_Qty]]*ProductionData[[#This Row],[Unit_Cost_INR]]</f>
        <v>5544</v>
      </c>
      <c r="AB1074" s="4">
        <v>31059</v>
      </c>
      <c r="AC1074" s="4">
        <v>4620</v>
      </c>
      <c r="AD1074" s="4">
        <v>4620</v>
      </c>
      <c r="AE1074" s="4">
        <v>31391</v>
      </c>
      <c r="AF1074" s="4">
        <v>9750</v>
      </c>
    </row>
    <row r="1075" spans="1:32">
      <c r="A1075" s="2" t="s">
        <v>2280</v>
      </c>
      <c r="B1075" s="3">
        <v>46221</v>
      </c>
      <c r="C1075" s="36" t="s">
        <v>2128</v>
      </c>
      <c r="D1075" s="2">
        <f>MONTH(ProductionData[[#This Row],[Month]])</f>
        <v>7</v>
      </c>
      <c r="E1075" s="2" t="s">
        <v>65</v>
      </c>
      <c r="F1075" s="2" t="s">
        <v>66</v>
      </c>
      <c r="G1075" s="2" t="s">
        <v>81</v>
      </c>
      <c r="H1075" s="2" t="s">
        <v>82</v>
      </c>
      <c r="I1075" s="2" t="s">
        <v>83</v>
      </c>
      <c r="J1075" s="2" t="s">
        <v>166</v>
      </c>
      <c r="K1075" s="2" t="s">
        <v>167</v>
      </c>
      <c r="L1075" s="2" t="s">
        <v>2281</v>
      </c>
      <c r="M1075" s="2" t="s">
        <v>73</v>
      </c>
      <c r="N1075" s="2" t="s">
        <v>96</v>
      </c>
      <c r="O1075" s="2">
        <v>18</v>
      </c>
      <c r="P1075" s="2">
        <v>18</v>
      </c>
      <c r="Q1075" s="4">
        <v>9430</v>
      </c>
      <c r="R1075" s="4">
        <v>9070</v>
      </c>
      <c r="S1075" s="4">
        <v>203</v>
      </c>
      <c r="T1075" s="19">
        <f>(ProductionData[[#This Row],[Rejected_Qty]])/ProductionData[[#This Row],[Produced_Qty]]</f>
        <v>2.2381477398015437E-2</v>
      </c>
      <c r="U1075" s="19">
        <f>ProductionData[[#This Row],[Produced_Qty]]/ProductionData[[#This Row],[Planned_Qty]]</f>
        <v>0.9618239660657476</v>
      </c>
      <c r="V1075" s="2" t="s">
        <v>109</v>
      </c>
      <c r="W1075" s="11">
        <v>0</v>
      </c>
      <c r="X1075" s="13">
        <f>W1075/60</f>
        <v>0</v>
      </c>
      <c r="Y1075" s="2" t="s">
        <v>90</v>
      </c>
      <c r="Z1075" s="2">
        <v>17</v>
      </c>
      <c r="AA1075" s="2">
        <f>ProductionData[[#This Row],[Rejected_Qty]]*ProductionData[[#This Row],[Unit_Cost_INR]]</f>
        <v>3451</v>
      </c>
      <c r="AB1075" s="4">
        <v>31273</v>
      </c>
      <c r="AC1075" s="4">
        <v>8760</v>
      </c>
      <c r="AD1075" s="4">
        <v>8760</v>
      </c>
      <c r="AE1075" s="4">
        <v>31380</v>
      </c>
      <c r="AF1075" s="4">
        <v>13500</v>
      </c>
    </row>
    <row r="1076" spans="1:32">
      <c r="A1076" s="2" t="s">
        <v>2282</v>
      </c>
      <c r="B1076" s="3">
        <v>46205</v>
      </c>
      <c r="C1076" s="36" t="s">
        <v>2128</v>
      </c>
      <c r="D1076" s="2">
        <f>MONTH(ProductionData[[#This Row],[Month]])</f>
        <v>7</v>
      </c>
      <c r="E1076" s="2" t="s">
        <v>107</v>
      </c>
      <c r="F1076" s="2" t="s">
        <v>66</v>
      </c>
      <c r="G1076" s="2" t="s">
        <v>67</v>
      </c>
      <c r="H1076" s="2" t="s">
        <v>68</v>
      </c>
      <c r="I1076" s="2" t="s">
        <v>69</v>
      </c>
      <c r="J1076" s="2" t="s">
        <v>70</v>
      </c>
      <c r="K1076" s="2" t="s">
        <v>71</v>
      </c>
      <c r="L1076" s="2" t="s">
        <v>2283</v>
      </c>
      <c r="M1076" s="2" t="s">
        <v>73</v>
      </c>
      <c r="N1076" s="2" t="s">
        <v>74</v>
      </c>
      <c r="O1076" s="2">
        <v>16</v>
      </c>
      <c r="P1076" s="2">
        <v>16</v>
      </c>
      <c r="Q1076" s="4">
        <v>5990</v>
      </c>
      <c r="R1076" s="4">
        <v>5780</v>
      </c>
      <c r="S1076" s="4">
        <v>761</v>
      </c>
      <c r="T1076" s="19">
        <f>(ProductionData[[#This Row],[Rejected_Qty]])/ProductionData[[#This Row],[Produced_Qty]]</f>
        <v>0.13166089965397923</v>
      </c>
      <c r="U1076" s="19">
        <f>ProductionData[[#This Row],[Produced_Qty]]/ProductionData[[#This Row],[Planned_Qty]]</f>
        <v>0.96494156928213692</v>
      </c>
      <c r="V1076" s="2" t="s">
        <v>2284</v>
      </c>
      <c r="W1076" s="11">
        <v>46</v>
      </c>
      <c r="X1076" s="13">
        <f>W1076/60</f>
        <v>0.76666666666666672</v>
      </c>
      <c r="Y1076" s="2" t="s">
        <v>110</v>
      </c>
      <c r="Z1076" s="2">
        <v>46</v>
      </c>
      <c r="AA1076" s="2">
        <f>ProductionData[[#This Row],[Rejected_Qty]]*ProductionData[[#This Row],[Unit_Cost_INR]]</f>
        <v>35006</v>
      </c>
      <c r="AB1076" s="4">
        <v>32121</v>
      </c>
      <c r="AC1076" s="4">
        <v>5770</v>
      </c>
      <c r="AD1076" s="4">
        <v>5770</v>
      </c>
      <c r="AE1076" s="4">
        <v>31370</v>
      </c>
      <c r="AF1076" s="4">
        <v>10500</v>
      </c>
    </row>
    <row r="1077" spans="1:32">
      <c r="A1077" s="2" t="s">
        <v>2285</v>
      </c>
      <c r="B1077" s="3">
        <v>46220</v>
      </c>
      <c r="C1077" s="36" t="s">
        <v>2128</v>
      </c>
      <c r="D1077" s="2">
        <f>MONTH(ProductionData[[#This Row],[Month]])</f>
        <v>7</v>
      </c>
      <c r="E1077" s="2" t="s">
        <v>125</v>
      </c>
      <c r="F1077" s="2" t="s">
        <v>80</v>
      </c>
      <c r="G1077" s="2" t="s">
        <v>81</v>
      </c>
      <c r="H1077" s="2" t="s">
        <v>82</v>
      </c>
      <c r="I1077" s="2" t="s">
        <v>83</v>
      </c>
      <c r="J1077" s="2" t="s">
        <v>166</v>
      </c>
      <c r="K1077" s="2" t="s">
        <v>167</v>
      </c>
      <c r="L1077" s="2" t="s">
        <v>2286</v>
      </c>
      <c r="M1077" s="2" t="s">
        <v>87</v>
      </c>
      <c r="N1077" s="2" t="s">
        <v>88</v>
      </c>
      <c r="O1077" s="2">
        <v>18</v>
      </c>
      <c r="P1077" s="2">
        <v>16</v>
      </c>
      <c r="Q1077" s="4">
        <v>9540</v>
      </c>
      <c r="R1077" s="4">
        <v>8720</v>
      </c>
      <c r="S1077" s="4">
        <v>158</v>
      </c>
      <c r="T1077" s="19">
        <f>(ProductionData[[#This Row],[Rejected_Qty]])/ProductionData[[#This Row],[Produced_Qty]]</f>
        <v>1.8119266055045873E-2</v>
      </c>
      <c r="U1077" s="19">
        <f>ProductionData[[#This Row],[Produced_Qty]]/ProductionData[[#This Row],[Planned_Qty]]</f>
        <v>0.91404612159329135</v>
      </c>
      <c r="V1077" s="2" t="s">
        <v>109</v>
      </c>
      <c r="W1077" s="11">
        <v>0</v>
      </c>
      <c r="X1077" s="13">
        <f>W1077/60</f>
        <v>0</v>
      </c>
      <c r="Y1077" s="2" t="s">
        <v>90</v>
      </c>
      <c r="Z1077" s="2">
        <v>17</v>
      </c>
      <c r="AA1077" s="2">
        <f>ProductionData[[#This Row],[Rejected_Qty]]*ProductionData[[#This Row],[Unit_Cost_INR]]</f>
        <v>2686</v>
      </c>
      <c r="AB1077" s="4">
        <v>31201</v>
      </c>
      <c r="AC1077" s="4">
        <v>8490</v>
      </c>
      <c r="AD1077" s="4">
        <v>8490</v>
      </c>
      <c r="AE1077" s="4">
        <v>31273</v>
      </c>
      <c r="AF1077" s="4">
        <v>13500</v>
      </c>
    </row>
    <row r="1078" spans="1:32">
      <c r="A1078" s="2" t="s">
        <v>2287</v>
      </c>
      <c r="B1078" s="3">
        <v>46211</v>
      </c>
      <c r="C1078" s="36" t="s">
        <v>2128</v>
      </c>
      <c r="D1078" s="2">
        <f>MONTH(ProductionData[[#This Row],[Month]])</f>
        <v>7</v>
      </c>
      <c r="E1078" s="2" t="s">
        <v>79</v>
      </c>
      <c r="F1078" s="2" t="s">
        <v>93</v>
      </c>
      <c r="G1078" s="2" t="s">
        <v>174</v>
      </c>
      <c r="H1078" s="2" t="s">
        <v>175</v>
      </c>
      <c r="I1078" s="2" t="s">
        <v>176</v>
      </c>
      <c r="J1078" s="2" t="s">
        <v>443</v>
      </c>
      <c r="K1078" s="2" t="s">
        <v>444</v>
      </c>
      <c r="L1078" s="2" t="s">
        <v>2288</v>
      </c>
      <c r="M1078" s="2" t="s">
        <v>133</v>
      </c>
      <c r="N1078" s="2" t="s">
        <v>96</v>
      </c>
      <c r="O1078" s="2">
        <v>10</v>
      </c>
      <c r="P1078" s="2">
        <v>8</v>
      </c>
      <c r="Q1078" s="4">
        <v>5470</v>
      </c>
      <c r="R1078" s="4">
        <v>4770</v>
      </c>
      <c r="S1078" s="4">
        <v>90</v>
      </c>
      <c r="T1078" s="19">
        <f>(ProductionData[[#This Row],[Rejected_Qty]])/ProductionData[[#This Row],[Produced_Qty]]</f>
        <v>1.8867924528301886E-2</v>
      </c>
      <c r="U1078" s="19">
        <f>ProductionData[[#This Row],[Produced_Qty]]/ProductionData[[#This Row],[Planned_Qty]]</f>
        <v>0.87202925045703839</v>
      </c>
      <c r="V1078" s="2" t="s">
        <v>113</v>
      </c>
      <c r="W1078" s="11">
        <v>0</v>
      </c>
      <c r="X1078" s="13">
        <f>W1078/60</f>
        <v>0</v>
      </c>
      <c r="Y1078" s="2" t="s">
        <v>90</v>
      </c>
      <c r="Z1078" s="2">
        <v>33</v>
      </c>
      <c r="AA1078" s="2">
        <f>ProductionData[[#This Row],[Rejected_Qty]]*ProductionData[[#This Row],[Unit_Cost_INR]]</f>
        <v>2970</v>
      </c>
      <c r="AB1078" s="4">
        <v>31056</v>
      </c>
      <c r="AC1078" s="4">
        <v>4530</v>
      </c>
      <c r="AD1078" s="4">
        <v>4530</v>
      </c>
      <c r="AE1078" s="4">
        <v>31206</v>
      </c>
      <c r="AF1078" s="4">
        <v>9750</v>
      </c>
    </row>
    <row r="1079" spans="1:32">
      <c r="A1079" s="2" t="s">
        <v>2289</v>
      </c>
      <c r="B1079" s="3">
        <v>46220</v>
      </c>
      <c r="C1079" s="36" t="s">
        <v>2128</v>
      </c>
      <c r="D1079" s="2">
        <f>MONTH(ProductionData[[#This Row],[Month]])</f>
        <v>7</v>
      </c>
      <c r="E1079" s="2" t="s">
        <v>125</v>
      </c>
      <c r="F1079" s="2" t="s">
        <v>66</v>
      </c>
      <c r="G1079" s="2" t="s">
        <v>81</v>
      </c>
      <c r="H1079" s="2" t="s">
        <v>82</v>
      </c>
      <c r="I1079" s="2" t="s">
        <v>83</v>
      </c>
      <c r="J1079" s="2" t="s">
        <v>166</v>
      </c>
      <c r="K1079" s="2" t="s">
        <v>167</v>
      </c>
      <c r="L1079" s="2" t="s">
        <v>2290</v>
      </c>
      <c r="M1079" s="2" t="s">
        <v>99</v>
      </c>
      <c r="N1079" s="2" t="s">
        <v>96</v>
      </c>
      <c r="O1079" s="2">
        <v>18</v>
      </c>
      <c r="P1079" s="2">
        <v>16</v>
      </c>
      <c r="Q1079" s="4">
        <v>8690</v>
      </c>
      <c r="R1079" s="4">
        <v>7980</v>
      </c>
      <c r="S1079" s="4">
        <v>128</v>
      </c>
      <c r="T1079" s="19">
        <f>(ProductionData[[#This Row],[Rejected_Qty]])/ProductionData[[#This Row],[Produced_Qty]]</f>
        <v>1.6040100250626566E-2</v>
      </c>
      <c r="U1079" s="19">
        <f>ProductionData[[#This Row],[Produced_Qty]]/ProductionData[[#This Row],[Planned_Qty]]</f>
        <v>0.91829689298043726</v>
      </c>
      <c r="V1079" s="2" t="s">
        <v>109</v>
      </c>
      <c r="W1079" s="11">
        <v>57</v>
      </c>
      <c r="X1079" s="13">
        <f>W1079/60</f>
        <v>0.95</v>
      </c>
      <c r="Y1079" s="2" t="s">
        <v>114</v>
      </c>
      <c r="Z1079" s="2">
        <v>17</v>
      </c>
      <c r="AA1079" s="2">
        <f>ProductionData[[#This Row],[Rejected_Qty]]*ProductionData[[#This Row],[Unit_Cost_INR]]</f>
        <v>2176</v>
      </c>
      <c r="AB1079" s="4">
        <v>30999</v>
      </c>
      <c r="AC1079" s="4">
        <v>7650</v>
      </c>
      <c r="AD1079" s="4">
        <v>7650</v>
      </c>
      <c r="AE1079" s="4">
        <v>31201</v>
      </c>
      <c r="AF1079" s="4">
        <v>13500</v>
      </c>
    </row>
    <row r="1080" spans="1:32">
      <c r="A1080" s="2" t="s">
        <v>2291</v>
      </c>
      <c r="B1080" s="3">
        <v>46223</v>
      </c>
      <c r="C1080" s="36" t="s">
        <v>2128</v>
      </c>
      <c r="D1080" s="2">
        <f>MONTH(ProductionData[[#This Row],[Month]])</f>
        <v>7</v>
      </c>
      <c r="E1080" s="2" t="s">
        <v>116</v>
      </c>
      <c r="F1080" s="2" t="s">
        <v>80</v>
      </c>
      <c r="G1080" s="2" t="s">
        <v>81</v>
      </c>
      <c r="H1080" s="2" t="s">
        <v>82</v>
      </c>
      <c r="I1080" s="2" t="s">
        <v>83</v>
      </c>
      <c r="J1080" s="2" t="s">
        <v>166</v>
      </c>
      <c r="K1080" s="2" t="s">
        <v>167</v>
      </c>
      <c r="L1080" s="2" t="s">
        <v>2292</v>
      </c>
      <c r="M1080" s="2" t="s">
        <v>102</v>
      </c>
      <c r="N1080" s="2" t="s">
        <v>88</v>
      </c>
      <c r="O1080" s="2">
        <v>18</v>
      </c>
      <c r="P1080" s="2">
        <v>17</v>
      </c>
      <c r="Q1080" s="4">
        <v>9540</v>
      </c>
      <c r="R1080" s="4">
        <v>8930</v>
      </c>
      <c r="S1080" s="4">
        <v>242</v>
      </c>
      <c r="T1080" s="19">
        <f>(ProductionData[[#This Row],[Rejected_Qty]])/ProductionData[[#This Row],[Produced_Qty]]</f>
        <v>2.7099664053751398E-2</v>
      </c>
      <c r="U1080" s="19">
        <f>ProductionData[[#This Row],[Produced_Qty]]/ProductionData[[#This Row],[Planned_Qty]]</f>
        <v>0.93605870020964366</v>
      </c>
      <c r="V1080" s="2" t="s">
        <v>109</v>
      </c>
      <c r="W1080" s="11">
        <v>0</v>
      </c>
      <c r="X1080" s="13">
        <f>W1080/60</f>
        <v>0</v>
      </c>
      <c r="Y1080" s="2" t="s">
        <v>90</v>
      </c>
      <c r="Z1080" s="2">
        <v>17</v>
      </c>
      <c r="AA1080" s="2">
        <f>ProductionData[[#This Row],[Rejected_Qty]]*ProductionData[[#This Row],[Unit_Cost_INR]]</f>
        <v>4114</v>
      </c>
      <c r="AB1080" s="4">
        <v>31380</v>
      </c>
      <c r="AC1080" s="4">
        <v>8960</v>
      </c>
      <c r="AD1080" s="4">
        <v>8960</v>
      </c>
      <c r="AE1080" s="4">
        <v>31108</v>
      </c>
      <c r="AF1080" s="4">
        <v>13500</v>
      </c>
    </row>
    <row r="1081" spans="1:32">
      <c r="A1081" s="2" t="s">
        <v>2293</v>
      </c>
      <c r="B1081" s="3">
        <v>46205</v>
      </c>
      <c r="C1081" s="36" t="s">
        <v>2128</v>
      </c>
      <c r="D1081" s="2">
        <f>MONTH(ProductionData[[#This Row],[Month]])</f>
        <v>7</v>
      </c>
      <c r="E1081" s="2" t="s">
        <v>107</v>
      </c>
      <c r="F1081" s="2" t="s">
        <v>80</v>
      </c>
      <c r="G1081" s="2" t="s">
        <v>174</v>
      </c>
      <c r="H1081" s="2" t="s">
        <v>175</v>
      </c>
      <c r="I1081" s="2" t="s">
        <v>176</v>
      </c>
      <c r="J1081" s="2" t="s">
        <v>443</v>
      </c>
      <c r="K1081" s="2" t="s">
        <v>444</v>
      </c>
      <c r="L1081" s="2" t="s">
        <v>2294</v>
      </c>
      <c r="M1081" s="2" t="s">
        <v>87</v>
      </c>
      <c r="N1081" s="2" t="s">
        <v>96</v>
      </c>
      <c r="O1081" s="2">
        <v>10</v>
      </c>
      <c r="P1081" s="2">
        <v>8</v>
      </c>
      <c r="Q1081" s="4">
        <v>5460</v>
      </c>
      <c r="R1081" s="4">
        <v>4680</v>
      </c>
      <c r="S1081" s="4">
        <v>90</v>
      </c>
      <c r="T1081" s="19">
        <f>(ProductionData[[#This Row],[Rejected_Qty]])/ProductionData[[#This Row],[Produced_Qty]]</f>
        <v>1.9230769230769232E-2</v>
      </c>
      <c r="U1081" s="19">
        <f>ProductionData[[#This Row],[Produced_Qty]]/ProductionData[[#This Row],[Planned_Qty]]</f>
        <v>0.8571428571428571</v>
      </c>
      <c r="V1081" s="2" t="s">
        <v>103</v>
      </c>
      <c r="W1081" s="11">
        <v>73</v>
      </c>
      <c r="X1081" s="13">
        <f>W1081/60</f>
        <v>1.2166666666666666</v>
      </c>
      <c r="Y1081" s="2" t="s">
        <v>110</v>
      </c>
      <c r="Z1081" s="2">
        <v>33</v>
      </c>
      <c r="AA1081" s="2">
        <f>ProductionData[[#This Row],[Rejected_Qty]]*ProductionData[[#This Row],[Unit_Cost_INR]]</f>
        <v>2970</v>
      </c>
      <c r="AB1081" s="4">
        <v>32072</v>
      </c>
      <c r="AC1081" s="4">
        <v>5580</v>
      </c>
      <c r="AD1081" s="4">
        <v>5580</v>
      </c>
      <c r="AE1081" s="4">
        <v>31082</v>
      </c>
      <c r="AF1081" s="4">
        <v>9750</v>
      </c>
    </row>
    <row r="1082" spans="1:32">
      <c r="A1082" s="2" t="s">
        <v>2295</v>
      </c>
      <c r="B1082" s="3">
        <v>46212</v>
      </c>
      <c r="C1082" s="36" t="s">
        <v>2128</v>
      </c>
      <c r="D1082" s="2">
        <f>MONTH(ProductionData[[#This Row],[Month]])</f>
        <v>7</v>
      </c>
      <c r="E1082" s="2" t="s">
        <v>107</v>
      </c>
      <c r="F1082" s="2" t="s">
        <v>93</v>
      </c>
      <c r="G1082" s="2" t="s">
        <v>174</v>
      </c>
      <c r="H1082" s="2" t="s">
        <v>175</v>
      </c>
      <c r="I1082" s="2" t="s">
        <v>176</v>
      </c>
      <c r="J1082" s="2" t="s">
        <v>443</v>
      </c>
      <c r="K1082" s="2" t="s">
        <v>444</v>
      </c>
      <c r="L1082" s="2" t="s">
        <v>2296</v>
      </c>
      <c r="M1082" s="2" t="s">
        <v>95</v>
      </c>
      <c r="N1082" s="2" t="s">
        <v>88</v>
      </c>
      <c r="O1082" s="2">
        <v>10</v>
      </c>
      <c r="P1082" s="2">
        <v>7</v>
      </c>
      <c r="Q1082" s="4">
        <v>5650</v>
      </c>
      <c r="R1082" s="4">
        <v>4690</v>
      </c>
      <c r="S1082" s="4">
        <v>127</v>
      </c>
      <c r="T1082" s="19">
        <f>(ProductionData[[#This Row],[Rejected_Qty]])/ProductionData[[#This Row],[Produced_Qty]]</f>
        <v>2.7078891257995737E-2</v>
      </c>
      <c r="U1082" s="19">
        <f>ProductionData[[#This Row],[Produced_Qty]]/ProductionData[[#This Row],[Planned_Qty]]</f>
        <v>0.83008849557522124</v>
      </c>
      <c r="V1082" s="2" t="s">
        <v>89</v>
      </c>
      <c r="W1082" s="11">
        <v>0</v>
      </c>
      <c r="X1082" s="13">
        <f>W1082/60</f>
        <v>0</v>
      </c>
      <c r="Y1082" s="2" t="s">
        <v>90</v>
      </c>
      <c r="Z1082" s="2">
        <v>33</v>
      </c>
      <c r="AA1082" s="2">
        <f>ProductionData[[#This Row],[Rejected_Qty]]*ProductionData[[#This Row],[Unit_Cost_INR]]</f>
        <v>4191</v>
      </c>
      <c r="AB1082" s="4">
        <v>31206</v>
      </c>
      <c r="AC1082" s="4">
        <v>4710</v>
      </c>
      <c r="AD1082" s="4">
        <v>4710</v>
      </c>
      <c r="AE1082" s="4">
        <v>31059</v>
      </c>
      <c r="AF1082" s="4">
        <v>9750</v>
      </c>
    </row>
    <row r="1083" spans="1:32">
      <c r="A1083" s="2" t="s">
        <v>2297</v>
      </c>
      <c r="B1083" s="3">
        <v>46206</v>
      </c>
      <c r="C1083" s="36" t="s">
        <v>2128</v>
      </c>
      <c r="D1083" s="2">
        <f>MONTH(ProductionData[[#This Row],[Month]])</f>
        <v>7</v>
      </c>
      <c r="E1083" s="2" t="s">
        <v>125</v>
      </c>
      <c r="F1083" s="2" t="s">
        <v>80</v>
      </c>
      <c r="G1083" s="2" t="s">
        <v>174</v>
      </c>
      <c r="H1083" s="2" t="s">
        <v>175</v>
      </c>
      <c r="I1083" s="2" t="s">
        <v>176</v>
      </c>
      <c r="J1083" s="2" t="s">
        <v>443</v>
      </c>
      <c r="K1083" s="2" t="s">
        <v>444</v>
      </c>
      <c r="L1083" s="2" t="s">
        <v>2298</v>
      </c>
      <c r="M1083" s="2" t="s">
        <v>102</v>
      </c>
      <c r="N1083" s="2" t="s">
        <v>88</v>
      </c>
      <c r="O1083" s="2">
        <v>10</v>
      </c>
      <c r="P1083" s="2">
        <v>8</v>
      </c>
      <c r="Q1083" s="4">
        <v>5910</v>
      </c>
      <c r="R1083" s="4">
        <v>5260</v>
      </c>
      <c r="S1083" s="4">
        <v>106</v>
      </c>
      <c r="T1083" s="19">
        <f>(ProductionData[[#This Row],[Rejected_Qty]])/ProductionData[[#This Row],[Produced_Qty]]</f>
        <v>2.0152091254752851E-2</v>
      </c>
      <c r="U1083" s="19">
        <f>ProductionData[[#This Row],[Produced_Qty]]/ProductionData[[#This Row],[Planned_Qty]]</f>
        <v>0.89001692047377323</v>
      </c>
      <c r="V1083" s="2" t="s">
        <v>75</v>
      </c>
      <c r="W1083" s="11">
        <v>0</v>
      </c>
      <c r="X1083" s="13">
        <f>W1083/60</f>
        <v>0</v>
      </c>
      <c r="Y1083" s="2" t="s">
        <v>90</v>
      </c>
      <c r="Z1083" s="2">
        <v>33</v>
      </c>
      <c r="AA1083" s="2">
        <f>ProductionData[[#This Row],[Rejected_Qty]]*ProductionData[[#This Row],[Unit_Cost_INR]]</f>
        <v>3498</v>
      </c>
      <c r="AB1083" s="4">
        <v>31042</v>
      </c>
      <c r="AC1083" s="4">
        <v>5140</v>
      </c>
      <c r="AD1083" s="4">
        <v>5140</v>
      </c>
      <c r="AE1083" s="4">
        <v>31056</v>
      </c>
      <c r="AF1083" s="4">
        <v>9750</v>
      </c>
    </row>
    <row r="1084" spans="1:32">
      <c r="A1084" s="2" t="s">
        <v>2299</v>
      </c>
      <c r="B1084" s="3">
        <v>46225</v>
      </c>
      <c r="C1084" s="36" t="s">
        <v>2128</v>
      </c>
      <c r="D1084" s="2">
        <f>MONTH(ProductionData[[#This Row],[Month]])</f>
        <v>7</v>
      </c>
      <c r="E1084" s="2" t="s">
        <v>79</v>
      </c>
      <c r="F1084" s="2" t="s">
        <v>80</v>
      </c>
      <c r="G1084" s="2" t="s">
        <v>81</v>
      </c>
      <c r="H1084" s="2" t="s">
        <v>82</v>
      </c>
      <c r="I1084" s="2" t="s">
        <v>83</v>
      </c>
      <c r="J1084" s="2" t="s">
        <v>166</v>
      </c>
      <c r="K1084" s="2" t="s">
        <v>167</v>
      </c>
      <c r="L1084" s="2" t="s">
        <v>2300</v>
      </c>
      <c r="M1084" s="2" t="s">
        <v>87</v>
      </c>
      <c r="N1084" s="2" t="s">
        <v>88</v>
      </c>
      <c r="O1084" s="2">
        <v>18</v>
      </c>
      <c r="P1084" s="2">
        <v>17</v>
      </c>
      <c r="Q1084" s="4">
        <v>9100</v>
      </c>
      <c r="R1084" s="4">
        <v>8240</v>
      </c>
      <c r="S1084" s="4">
        <v>279</v>
      </c>
      <c r="T1084" s="19">
        <f>(ProductionData[[#This Row],[Rejected_Qty]])/ProductionData[[#This Row],[Produced_Qty]]</f>
        <v>3.3859223300970874E-2</v>
      </c>
      <c r="U1084" s="19">
        <f>ProductionData[[#This Row],[Produced_Qty]]/ProductionData[[#This Row],[Planned_Qty]]</f>
        <v>0.9054945054945055</v>
      </c>
      <c r="V1084" s="2" t="s">
        <v>109</v>
      </c>
      <c r="W1084" s="11">
        <v>0</v>
      </c>
      <c r="X1084" s="13">
        <f>W1084/60</f>
        <v>0</v>
      </c>
      <c r="Y1084" s="2" t="s">
        <v>90</v>
      </c>
      <c r="Z1084" s="2">
        <v>17</v>
      </c>
      <c r="AA1084" s="2">
        <f>ProductionData[[#This Row],[Rejected_Qty]]*ProductionData[[#This Row],[Unit_Cost_INR]]</f>
        <v>4743</v>
      </c>
      <c r="AB1084" s="4">
        <v>32104</v>
      </c>
      <c r="AC1084" s="4">
        <v>9010</v>
      </c>
      <c r="AD1084" s="4">
        <v>9010</v>
      </c>
      <c r="AE1084" s="4">
        <v>31055</v>
      </c>
      <c r="AF1084" s="4">
        <v>13500</v>
      </c>
    </row>
    <row r="1085" spans="1:32">
      <c r="A1085" s="2" t="s">
        <v>2301</v>
      </c>
      <c r="B1085" s="3">
        <v>46205</v>
      </c>
      <c r="C1085" s="36" t="s">
        <v>2128</v>
      </c>
      <c r="D1085" s="2">
        <f>MONTH(ProductionData[[#This Row],[Month]])</f>
        <v>7</v>
      </c>
      <c r="E1085" s="2" t="s">
        <v>107</v>
      </c>
      <c r="F1085" s="2" t="s">
        <v>93</v>
      </c>
      <c r="G1085" s="2" t="s">
        <v>174</v>
      </c>
      <c r="H1085" s="2" t="s">
        <v>175</v>
      </c>
      <c r="I1085" s="2" t="s">
        <v>176</v>
      </c>
      <c r="J1085" s="2" t="s">
        <v>443</v>
      </c>
      <c r="K1085" s="2" t="s">
        <v>444</v>
      </c>
      <c r="L1085" s="2" t="s">
        <v>2302</v>
      </c>
      <c r="M1085" s="2" t="s">
        <v>133</v>
      </c>
      <c r="N1085" s="2" t="s">
        <v>96</v>
      </c>
      <c r="O1085" s="2">
        <v>10</v>
      </c>
      <c r="P1085" s="2">
        <v>9</v>
      </c>
      <c r="Q1085" s="4">
        <v>5180</v>
      </c>
      <c r="R1085" s="4">
        <v>4910</v>
      </c>
      <c r="S1085" s="4">
        <v>130</v>
      </c>
      <c r="T1085" s="19">
        <f>(ProductionData[[#This Row],[Rejected_Qty]])/ProductionData[[#This Row],[Produced_Qty]]</f>
        <v>2.6476578411405296E-2</v>
      </c>
      <c r="U1085" s="19">
        <f>ProductionData[[#This Row],[Produced_Qty]]/ProductionData[[#This Row],[Planned_Qty]]</f>
        <v>0.94787644787644787</v>
      </c>
      <c r="V1085" s="2" t="s">
        <v>113</v>
      </c>
      <c r="W1085" s="11">
        <v>0</v>
      </c>
      <c r="X1085" s="13">
        <f>W1085/60</f>
        <v>0</v>
      </c>
      <c r="Y1085" s="2" t="s">
        <v>90</v>
      </c>
      <c r="Z1085" s="2">
        <v>33</v>
      </c>
      <c r="AA1085" s="2">
        <f>ProductionData[[#This Row],[Rejected_Qty]]*ProductionData[[#This Row],[Unit_Cost_INR]]</f>
        <v>4290</v>
      </c>
      <c r="AB1085" s="4">
        <v>31082</v>
      </c>
      <c r="AC1085" s="4">
        <v>4820</v>
      </c>
      <c r="AD1085" s="4">
        <v>4820</v>
      </c>
      <c r="AE1085" s="4">
        <v>31042</v>
      </c>
      <c r="AF1085" s="4">
        <v>9750</v>
      </c>
    </row>
    <row r="1086" spans="1:32">
      <c r="A1086" s="2" t="s">
        <v>2303</v>
      </c>
      <c r="B1086" s="3">
        <v>46219</v>
      </c>
      <c r="C1086" s="36" t="s">
        <v>2128</v>
      </c>
      <c r="D1086" s="2">
        <f>MONTH(ProductionData[[#This Row],[Month]])</f>
        <v>7</v>
      </c>
      <c r="E1086" s="2" t="s">
        <v>107</v>
      </c>
      <c r="F1086" s="2" t="s">
        <v>80</v>
      </c>
      <c r="G1086" s="2" t="s">
        <v>81</v>
      </c>
      <c r="H1086" s="2" t="s">
        <v>82</v>
      </c>
      <c r="I1086" s="2" t="s">
        <v>83</v>
      </c>
      <c r="J1086" s="2" t="s">
        <v>166</v>
      </c>
      <c r="K1086" s="2" t="s">
        <v>167</v>
      </c>
      <c r="L1086" s="2" t="s">
        <v>2304</v>
      </c>
      <c r="M1086" s="2" t="s">
        <v>102</v>
      </c>
      <c r="N1086" s="2" t="s">
        <v>88</v>
      </c>
      <c r="O1086" s="2">
        <v>18</v>
      </c>
      <c r="P1086" s="2">
        <v>16</v>
      </c>
      <c r="Q1086" s="4">
        <v>8540</v>
      </c>
      <c r="R1086" s="4">
        <v>8150</v>
      </c>
      <c r="S1086" s="4">
        <v>266</v>
      </c>
      <c r="T1086" s="19">
        <f>(ProductionData[[#This Row],[Rejected_Qty]])/ProductionData[[#This Row],[Produced_Qty]]</f>
        <v>3.2638036809815953E-2</v>
      </c>
      <c r="U1086" s="19">
        <f>ProductionData[[#This Row],[Produced_Qty]]/ProductionData[[#This Row],[Planned_Qty]]</f>
        <v>0.95433255269320838</v>
      </c>
      <c r="V1086" s="2" t="s">
        <v>75</v>
      </c>
      <c r="W1086" s="11">
        <v>46</v>
      </c>
      <c r="X1086" s="13">
        <f>W1086/60</f>
        <v>0.76666666666666672</v>
      </c>
      <c r="Y1086" s="2" t="s">
        <v>182</v>
      </c>
      <c r="Z1086" s="2">
        <v>17</v>
      </c>
      <c r="AA1086" s="2">
        <f>ProductionData[[#This Row],[Rejected_Qty]]*ProductionData[[#This Row],[Unit_Cost_INR]]</f>
        <v>4522</v>
      </c>
      <c r="AB1086" s="4">
        <v>30435</v>
      </c>
      <c r="AC1086" s="4">
        <v>7320</v>
      </c>
      <c r="AD1086" s="4">
        <v>7320</v>
      </c>
      <c r="AE1086" s="4">
        <v>30999</v>
      </c>
      <c r="AF1086" s="4">
        <v>13500</v>
      </c>
    </row>
    <row r="1087" spans="1:32">
      <c r="A1087" s="2" t="s">
        <v>2305</v>
      </c>
      <c r="B1087" s="3">
        <v>46223</v>
      </c>
      <c r="C1087" s="36" t="s">
        <v>2128</v>
      </c>
      <c r="D1087" s="2">
        <f>MONTH(ProductionData[[#This Row],[Month]])</f>
        <v>7</v>
      </c>
      <c r="E1087" s="2" t="s">
        <v>116</v>
      </c>
      <c r="F1087" s="2" t="s">
        <v>93</v>
      </c>
      <c r="G1087" s="2" t="s">
        <v>81</v>
      </c>
      <c r="H1087" s="2" t="s">
        <v>82</v>
      </c>
      <c r="I1087" s="2" t="s">
        <v>83</v>
      </c>
      <c r="J1087" s="2" t="s">
        <v>166</v>
      </c>
      <c r="K1087" s="2" t="s">
        <v>167</v>
      </c>
      <c r="L1087" s="2" t="s">
        <v>2306</v>
      </c>
      <c r="M1087" s="2" t="s">
        <v>95</v>
      </c>
      <c r="N1087" s="2" t="s">
        <v>96</v>
      </c>
      <c r="O1087" s="2">
        <v>18</v>
      </c>
      <c r="P1087" s="2">
        <v>16</v>
      </c>
      <c r="Q1087" s="4">
        <v>8660</v>
      </c>
      <c r="R1087" s="4">
        <v>7770</v>
      </c>
      <c r="S1087" s="4">
        <v>305</v>
      </c>
      <c r="T1087" s="19">
        <f>(ProductionData[[#This Row],[Rejected_Qty]])/ProductionData[[#This Row],[Produced_Qty]]</f>
        <v>3.9253539253539256E-2</v>
      </c>
      <c r="U1087" s="19">
        <f>ProductionData[[#This Row],[Produced_Qty]]/ProductionData[[#This Row],[Planned_Qty]]</f>
        <v>0.89722863741339487</v>
      </c>
      <c r="V1087" s="2" t="s">
        <v>113</v>
      </c>
      <c r="W1087" s="11">
        <v>0</v>
      </c>
      <c r="X1087" s="13">
        <f>W1087/60</f>
        <v>0</v>
      </c>
      <c r="Y1087" s="2" t="s">
        <v>90</v>
      </c>
      <c r="Z1087" s="2">
        <v>17</v>
      </c>
      <c r="AA1087" s="2">
        <f>ProductionData[[#This Row],[Rejected_Qty]]*ProductionData[[#This Row],[Unit_Cost_INR]]</f>
        <v>5185</v>
      </c>
      <c r="AB1087" s="4">
        <v>31108</v>
      </c>
      <c r="AC1087" s="4">
        <v>7750</v>
      </c>
      <c r="AD1087" s="4">
        <v>7750</v>
      </c>
      <c r="AE1087" s="4">
        <v>30823</v>
      </c>
      <c r="AF1087" s="4">
        <v>13500</v>
      </c>
    </row>
    <row r="1088" spans="1:32">
      <c r="A1088" s="2" t="s">
        <v>2307</v>
      </c>
      <c r="B1088" s="3">
        <v>46209</v>
      </c>
      <c r="C1088" s="36" t="s">
        <v>2128</v>
      </c>
      <c r="D1088" s="2">
        <f>MONTH(ProductionData[[#This Row],[Month]])</f>
        <v>7</v>
      </c>
      <c r="E1088" s="2" t="s">
        <v>116</v>
      </c>
      <c r="F1088" s="2" t="s">
        <v>66</v>
      </c>
      <c r="G1088" s="2" t="s">
        <v>174</v>
      </c>
      <c r="H1088" s="2" t="s">
        <v>175</v>
      </c>
      <c r="I1088" s="2" t="s">
        <v>176</v>
      </c>
      <c r="J1088" s="2" t="s">
        <v>177</v>
      </c>
      <c r="K1088" s="2" t="s">
        <v>178</v>
      </c>
      <c r="L1088" s="2" t="s">
        <v>2308</v>
      </c>
      <c r="M1088" s="2" t="s">
        <v>73</v>
      </c>
      <c r="N1088" s="2" t="s">
        <v>96</v>
      </c>
      <c r="O1088" s="2">
        <v>10</v>
      </c>
      <c r="P1088" s="2">
        <v>10</v>
      </c>
      <c r="Q1088" s="4">
        <v>8270</v>
      </c>
      <c r="R1088" s="4">
        <v>7890</v>
      </c>
      <c r="S1088" s="4">
        <v>166</v>
      </c>
      <c r="T1088" s="19">
        <f>(ProductionData[[#This Row],[Rejected_Qty]])/ProductionData[[#This Row],[Produced_Qty]]</f>
        <v>2.1039290240811154E-2</v>
      </c>
      <c r="U1088" s="19">
        <f>ProductionData[[#This Row],[Produced_Qty]]/ProductionData[[#This Row],[Planned_Qty]]</f>
        <v>0.95405078597339787</v>
      </c>
      <c r="V1088" s="2" t="s">
        <v>109</v>
      </c>
      <c r="W1088" s="11">
        <v>0</v>
      </c>
      <c r="X1088" s="13">
        <f>W1088/60</f>
        <v>0</v>
      </c>
      <c r="Y1088" s="2" t="s">
        <v>90</v>
      </c>
      <c r="Z1088" s="2">
        <v>24</v>
      </c>
      <c r="AA1088" s="2">
        <f>ProductionData[[#This Row],[Rejected_Qty]]*ProductionData[[#This Row],[Unit_Cost_INR]]</f>
        <v>3984</v>
      </c>
      <c r="AB1088" s="4">
        <v>30098</v>
      </c>
      <c r="AC1088" s="4">
        <v>7020</v>
      </c>
      <c r="AD1088" s="4">
        <v>7020</v>
      </c>
      <c r="AE1088" s="4">
        <v>30802</v>
      </c>
      <c r="AF1088" s="4">
        <v>12000</v>
      </c>
    </row>
    <row r="1089" spans="1:32">
      <c r="A1089" s="2" t="s">
        <v>2309</v>
      </c>
      <c r="B1089" s="3">
        <v>46207</v>
      </c>
      <c r="C1089" s="36" t="s">
        <v>2128</v>
      </c>
      <c r="D1089" s="2">
        <f>MONTH(ProductionData[[#This Row],[Month]])</f>
        <v>7</v>
      </c>
      <c r="E1089" s="2" t="s">
        <v>65</v>
      </c>
      <c r="F1089" s="2" t="s">
        <v>93</v>
      </c>
      <c r="G1089" s="2" t="s">
        <v>67</v>
      </c>
      <c r="H1089" s="2" t="s">
        <v>68</v>
      </c>
      <c r="I1089" s="2" t="s">
        <v>69</v>
      </c>
      <c r="J1089" s="2" t="s">
        <v>70</v>
      </c>
      <c r="K1089" s="2" t="s">
        <v>71</v>
      </c>
      <c r="L1089" s="2" t="s">
        <v>2310</v>
      </c>
      <c r="M1089" s="2" t="s">
        <v>133</v>
      </c>
      <c r="N1089" s="2" t="s">
        <v>74</v>
      </c>
      <c r="O1089" s="2">
        <v>16</v>
      </c>
      <c r="P1089" s="2">
        <v>14</v>
      </c>
      <c r="Q1089" s="4">
        <v>5210</v>
      </c>
      <c r="R1089" s="4">
        <v>4710</v>
      </c>
      <c r="S1089" s="4">
        <v>593</v>
      </c>
      <c r="T1089" s="19">
        <f>(ProductionData[[#This Row],[Rejected_Qty]])/ProductionData[[#This Row],[Produced_Qty]]</f>
        <v>0.12590233545647558</v>
      </c>
      <c r="U1089" s="19">
        <f>ProductionData[[#This Row],[Produced_Qty]]/ProductionData[[#This Row],[Planned_Qty]]</f>
        <v>0.90403071017274472</v>
      </c>
      <c r="V1089" s="2" t="s">
        <v>75</v>
      </c>
      <c r="W1089" s="11">
        <v>0</v>
      </c>
      <c r="X1089" s="13">
        <f>W1089/60</f>
        <v>0</v>
      </c>
      <c r="Y1089" s="2" t="s">
        <v>90</v>
      </c>
      <c r="Z1089" s="2">
        <v>46</v>
      </c>
      <c r="AA1089" s="2">
        <f>ProductionData[[#This Row],[Rejected_Qty]]*ProductionData[[#This Row],[Unit_Cost_INR]]</f>
        <v>27278</v>
      </c>
      <c r="AB1089" s="4">
        <v>31718</v>
      </c>
      <c r="AC1089" s="4">
        <v>5240</v>
      </c>
      <c r="AD1089" s="4">
        <v>5240</v>
      </c>
      <c r="AE1089" s="4">
        <v>30595</v>
      </c>
      <c r="AF1089" s="4">
        <v>10500</v>
      </c>
    </row>
    <row r="1090" spans="1:32">
      <c r="A1090" s="2" t="s">
        <v>2311</v>
      </c>
      <c r="B1090" s="3">
        <v>46217</v>
      </c>
      <c r="C1090" s="36" t="s">
        <v>2128</v>
      </c>
      <c r="D1090" s="2">
        <f>MONTH(ProductionData[[#This Row],[Month]])</f>
        <v>7</v>
      </c>
      <c r="E1090" s="2" t="s">
        <v>92</v>
      </c>
      <c r="F1090" s="2" t="s">
        <v>80</v>
      </c>
      <c r="G1090" s="2" t="s">
        <v>174</v>
      </c>
      <c r="H1090" s="2" t="s">
        <v>175</v>
      </c>
      <c r="I1090" s="2" t="s">
        <v>176</v>
      </c>
      <c r="J1090" s="2" t="s">
        <v>177</v>
      </c>
      <c r="K1090" s="2" t="s">
        <v>178</v>
      </c>
      <c r="L1090" s="2" t="s">
        <v>2312</v>
      </c>
      <c r="M1090" s="2" t="s">
        <v>102</v>
      </c>
      <c r="N1090" s="2" t="s">
        <v>96</v>
      </c>
      <c r="O1090" s="2">
        <v>10</v>
      </c>
      <c r="P1090" s="2">
        <v>9</v>
      </c>
      <c r="Q1090" s="4">
        <v>8540</v>
      </c>
      <c r="R1090" s="4">
        <v>7780</v>
      </c>
      <c r="S1090" s="4">
        <v>185</v>
      </c>
      <c r="T1090" s="19">
        <f>(ProductionData[[#This Row],[Rejected_Qty]])/ProductionData[[#This Row],[Produced_Qty]]</f>
        <v>2.377892030848329E-2</v>
      </c>
      <c r="U1090" s="19">
        <f>ProductionData[[#This Row],[Produced_Qty]]/ProductionData[[#This Row],[Planned_Qty]]</f>
        <v>0.91100702576112413</v>
      </c>
      <c r="V1090" s="2" t="s">
        <v>103</v>
      </c>
      <c r="W1090" s="11">
        <v>49</v>
      </c>
      <c r="X1090" s="13">
        <f>W1090/60</f>
        <v>0.81666666666666665</v>
      </c>
      <c r="Y1090" s="2" t="s">
        <v>110</v>
      </c>
      <c r="Z1090" s="2">
        <v>24</v>
      </c>
      <c r="AA1090" s="2">
        <f>ProductionData[[#This Row],[Rejected_Qty]]*ProductionData[[#This Row],[Unit_Cost_INR]]</f>
        <v>4440</v>
      </c>
      <c r="AB1090" s="4">
        <v>31802</v>
      </c>
      <c r="AC1090" s="4">
        <v>8850</v>
      </c>
      <c r="AD1090" s="4">
        <v>8850</v>
      </c>
      <c r="AE1090" s="4">
        <v>30547</v>
      </c>
      <c r="AF1090" s="4">
        <v>12000</v>
      </c>
    </row>
    <row r="1091" spans="1:32">
      <c r="A1091" s="2" t="s">
        <v>2313</v>
      </c>
      <c r="B1091" s="3">
        <v>46206</v>
      </c>
      <c r="C1091" s="36" t="s">
        <v>2128</v>
      </c>
      <c r="D1091" s="2">
        <f>MONTH(ProductionData[[#This Row],[Month]])</f>
        <v>7</v>
      </c>
      <c r="E1091" s="2" t="s">
        <v>125</v>
      </c>
      <c r="F1091" s="2" t="s">
        <v>66</v>
      </c>
      <c r="G1091" s="2" t="s">
        <v>174</v>
      </c>
      <c r="H1091" s="2" t="s">
        <v>175</v>
      </c>
      <c r="I1091" s="2" t="s">
        <v>176</v>
      </c>
      <c r="J1091" s="2" t="s">
        <v>177</v>
      </c>
      <c r="K1091" s="2" t="s">
        <v>178</v>
      </c>
      <c r="L1091" s="2" t="s">
        <v>2314</v>
      </c>
      <c r="M1091" s="2" t="s">
        <v>99</v>
      </c>
      <c r="N1091" s="2" t="s">
        <v>88</v>
      </c>
      <c r="O1091" s="2">
        <v>10</v>
      </c>
      <c r="P1091" s="2">
        <v>10</v>
      </c>
      <c r="Q1091" s="4">
        <v>7500</v>
      </c>
      <c r="R1091" s="4">
        <v>7190</v>
      </c>
      <c r="S1091" s="4">
        <v>242</v>
      </c>
      <c r="T1091" s="19">
        <f>(ProductionData[[#This Row],[Rejected_Qty]])/ProductionData[[#This Row],[Produced_Qty]]</f>
        <v>3.3657858136300414E-2</v>
      </c>
      <c r="U1091" s="19">
        <f>ProductionData[[#This Row],[Produced_Qty]]/ProductionData[[#This Row],[Planned_Qty]]</f>
        <v>0.95866666666666667</v>
      </c>
      <c r="V1091" s="2" t="s">
        <v>113</v>
      </c>
      <c r="W1091" s="11">
        <v>0</v>
      </c>
      <c r="X1091" s="13">
        <f>W1091/60</f>
        <v>0</v>
      </c>
      <c r="Y1091" s="2" t="s">
        <v>90</v>
      </c>
      <c r="Z1091" s="2">
        <v>24</v>
      </c>
      <c r="AA1091" s="2">
        <f>ProductionData[[#This Row],[Rejected_Qty]]*ProductionData[[#This Row],[Unit_Cost_INR]]</f>
        <v>5808</v>
      </c>
      <c r="AB1091" s="4">
        <v>29920</v>
      </c>
      <c r="AC1091" s="4">
        <v>6400</v>
      </c>
      <c r="AD1091" s="4">
        <v>6400</v>
      </c>
      <c r="AE1091" s="4">
        <v>30468</v>
      </c>
      <c r="AF1091" s="4">
        <v>12000</v>
      </c>
    </row>
    <row r="1092" spans="1:32">
      <c r="A1092" s="2" t="s">
        <v>2315</v>
      </c>
      <c r="B1092" s="3">
        <v>46217</v>
      </c>
      <c r="C1092" s="36" t="s">
        <v>2128</v>
      </c>
      <c r="D1092" s="2">
        <f>MONTH(ProductionData[[#This Row],[Month]])</f>
        <v>7</v>
      </c>
      <c r="E1092" s="2" t="s">
        <v>92</v>
      </c>
      <c r="F1092" s="2" t="s">
        <v>93</v>
      </c>
      <c r="G1092" s="2" t="s">
        <v>81</v>
      </c>
      <c r="H1092" s="2" t="s">
        <v>82</v>
      </c>
      <c r="I1092" s="2" t="s">
        <v>83</v>
      </c>
      <c r="J1092" s="2" t="s">
        <v>166</v>
      </c>
      <c r="K1092" s="2" t="s">
        <v>167</v>
      </c>
      <c r="L1092" s="2" t="s">
        <v>2316</v>
      </c>
      <c r="M1092" s="2" t="s">
        <v>133</v>
      </c>
      <c r="N1092" s="2" t="s">
        <v>96</v>
      </c>
      <c r="O1092" s="2">
        <v>18</v>
      </c>
      <c r="P1092" s="2">
        <v>16</v>
      </c>
      <c r="Q1092" s="4">
        <v>8640</v>
      </c>
      <c r="R1092" s="4">
        <v>7880</v>
      </c>
      <c r="S1092" s="4">
        <v>205</v>
      </c>
      <c r="T1092" s="19">
        <f>(ProductionData[[#This Row],[Rejected_Qty]])/ProductionData[[#This Row],[Produced_Qty]]</f>
        <v>2.6015228426395941E-2</v>
      </c>
      <c r="U1092" s="19">
        <f>ProductionData[[#This Row],[Produced_Qty]]/ProductionData[[#This Row],[Planned_Qty]]</f>
        <v>0.91203703703703709</v>
      </c>
      <c r="V1092" s="2" t="s">
        <v>109</v>
      </c>
      <c r="W1092" s="11">
        <v>49</v>
      </c>
      <c r="X1092" s="13">
        <f>W1092/60</f>
        <v>0.81666666666666665</v>
      </c>
      <c r="Y1092" s="2" t="s">
        <v>114</v>
      </c>
      <c r="Z1092" s="2">
        <v>17</v>
      </c>
      <c r="AA1092" s="2">
        <f>ProductionData[[#This Row],[Rejected_Qty]]*ProductionData[[#This Row],[Unit_Cost_INR]]</f>
        <v>3485</v>
      </c>
      <c r="AB1092" s="4">
        <v>30080</v>
      </c>
      <c r="AC1092" s="4">
        <v>7320</v>
      </c>
      <c r="AD1092" s="4">
        <v>7320</v>
      </c>
      <c r="AE1092" s="4">
        <v>30435</v>
      </c>
      <c r="AF1092" s="4">
        <v>13500</v>
      </c>
    </row>
    <row r="1093" spans="1:32">
      <c r="A1093" s="2" t="s">
        <v>2317</v>
      </c>
      <c r="B1093" s="3">
        <v>46231</v>
      </c>
      <c r="C1093" s="36" t="s">
        <v>2128</v>
      </c>
      <c r="D1093" s="2">
        <f>MONTH(ProductionData[[#This Row],[Month]])</f>
        <v>7</v>
      </c>
      <c r="E1093" s="2" t="s">
        <v>92</v>
      </c>
      <c r="F1093" s="2" t="s">
        <v>93</v>
      </c>
      <c r="G1093" s="2" t="s">
        <v>81</v>
      </c>
      <c r="H1093" s="2" t="s">
        <v>82</v>
      </c>
      <c r="I1093" s="2" t="s">
        <v>83</v>
      </c>
      <c r="J1093" s="2" t="s">
        <v>166</v>
      </c>
      <c r="K1093" s="2" t="s">
        <v>167</v>
      </c>
      <c r="L1093" s="2" t="s">
        <v>2318</v>
      </c>
      <c r="M1093" s="2" t="s">
        <v>95</v>
      </c>
      <c r="N1093" s="2" t="s">
        <v>88</v>
      </c>
      <c r="O1093" s="2">
        <v>18</v>
      </c>
      <c r="P1093" s="2">
        <v>17</v>
      </c>
      <c r="Q1093" s="4">
        <v>9050</v>
      </c>
      <c r="R1093" s="4">
        <v>8580</v>
      </c>
      <c r="S1093" s="4">
        <v>223</v>
      </c>
      <c r="T1093" s="19">
        <f>(ProductionData[[#This Row],[Rejected_Qty]])/ProductionData[[#This Row],[Produced_Qty]]</f>
        <v>2.599067599067599E-2</v>
      </c>
      <c r="U1093" s="19">
        <f>ProductionData[[#This Row],[Produced_Qty]]/ProductionData[[#This Row],[Planned_Qty]]</f>
        <v>0.94806629834254141</v>
      </c>
      <c r="V1093" s="2" t="s">
        <v>103</v>
      </c>
      <c r="W1093" s="11">
        <v>0</v>
      </c>
      <c r="X1093" s="13">
        <f>W1093/60</f>
        <v>0</v>
      </c>
      <c r="Y1093" s="2" t="s">
        <v>90</v>
      </c>
      <c r="Z1093" s="2">
        <v>17</v>
      </c>
      <c r="AA1093" s="2">
        <f>ProductionData[[#This Row],[Rejected_Qty]]*ProductionData[[#This Row],[Unit_Cost_INR]]</f>
        <v>3791</v>
      </c>
      <c r="AB1093" s="4">
        <v>30252</v>
      </c>
      <c r="AC1093" s="4">
        <v>8200</v>
      </c>
      <c r="AD1093" s="4">
        <v>8200</v>
      </c>
      <c r="AE1093" s="4">
        <v>30409</v>
      </c>
      <c r="AF1093" s="4">
        <v>13500</v>
      </c>
    </row>
    <row r="1094" spans="1:32">
      <c r="A1094" s="2" t="s">
        <v>2319</v>
      </c>
      <c r="B1094" s="3">
        <v>46209</v>
      </c>
      <c r="C1094" s="36" t="s">
        <v>2128</v>
      </c>
      <c r="D1094" s="2">
        <f>MONTH(ProductionData[[#This Row],[Month]])</f>
        <v>7</v>
      </c>
      <c r="E1094" s="2" t="s">
        <v>116</v>
      </c>
      <c r="F1094" s="2" t="s">
        <v>66</v>
      </c>
      <c r="G1094" s="2" t="s">
        <v>67</v>
      </c>
      <c r="H1094" s="2" t="s">
        <v>68</v>
      </c>
      <c r="I1094" s="2" t="s">
        <v>69</v>
      </c>
      <c r="J1094" s="2" t="s">
        <v>70</v>
      </c>
      <c r="K1094" s="2" t="s">
        <v>71</v>
      </c>
      <c r="L1094" s="2" t="s">
        <v>2320</v>
      </c>
      <c r="M1094" s="2" t="s">
        <v>73</v>
      </c>
      <c r="N1094" s="2" t="s">
        <v>74</v>
      </c>
      <c r="O1094" s="2">
        <v>16</v>
      </c>
      <c r="P1094" s="2">
        <v>15</v>
      </c>
      <c r="Q1094" s="4">
        <v>7070</v>
      </c>
      <c r="R1094" s="4">
        <v>6630</v>
      </c>
      <c r="S1094" s="4">
        <v>661</v>
      </c>
      <c r="T1094" s="19">
        <f>(ProductionData[[#This Row],[Rejected_Qty]])/ProductionData[[#This Row],[Produced_Qty]]</f>
        <v>9.969834087481147E-2</v>
      </c>
      <c r="U1094" s="19">
        <f>ProductionData[[#This Row],[Produced_Qty]]/ProductionData[[#This Row],[Planned_Qty]]</f>
        <v>0.93776520509193773</v>
      </c>
      <c r="V1094" s="2" t="s">
        <v>2284</v>
      </c>
      <c r="W1094" s="11">
        <v>0</v>
      </c>
      <c r="X1094" s="13">
        <f>W1094/60</f>
        <v>0</v>
      </c>
      <c r="Y1094" s="2" t="s">
        <v>90</v>
      </c>
      <c r="Z1094" s="2">
        <v>46</v>
      </c>
      <c r="AA1094" s="2">
        <f>ProductionData[[#This Row],[Rejected_Qty]]*ProductionData[[#This Row],[Unit_Cost_INR]]</f>
        <v>30406</v>
      </c>
      <c r="AB1094" s="4">
        <v>30595</v>
      </c>
      <c r="AC1094" s="4">
        <v>6310</v>
      </c>
      <c r="AD1094" s="4">
        <v>6310</v>
      </c>
      <c r="AE1094" s="4">
        <v>30254</v>
      </c>
      <c r="AF1094" s="4">
        <v>10500</v>
      </c>
    </row>
    <row r="1095" spans="1:32">
      <c r="A1095" s="2" t="s">
        <v>2321</v>
      </c>
      <c r="B1095" s="3">
        <v>46231</v>
      </c>
      <c r="C1095" s="36" t="s">
        <v>2128</v>
      </c>
      <c r="D1095" s="2">
        <f>MONTH(ProductionData[[#This Row],[Month]])</f>
        <v>7</v>
      </c>
      <c r="E1095" s="2" t="s">
        <v>92</v>
      </c>
      <c r="F1095" s="2" t="s">
        <v>80</v>
      </c>
      <c r="G1095" s="2" t="s">
        <v>81</v>
      </c>
      <c r="H1095" s="2" t="s">
        <v>82</v>
      </c>
      <c r="I1095" s="2" t="s">
        <v>83</v>
      </c>
      <c r="J1095" s="2" t="s">
        <v>166</v>
      </c>
      <c r="K1095" s="2" t="s">
        <v>167</v>
      </c>
      <c r="L1095" s="2" t="s">
        <v>2322</v>
      </c>
      <c r="M1095" s="2" t="s">
        <v>87</v>
      </c>
      <c r="N1095" s="2" t="s">
        <v>88</v>
      </c>
      <c r="O1095" s="2">
        <v>18</v>
      </c>
      <c r="P1095" s="2">
        <v>15</v>
      </c>
      <c r="Q1095" s="4">
        <v>9570</v>
      </c>
      <c r="R1095" s="4">
        <v>8780</v>
      </c>
      <c r="S1095" s="4">
        <v>185</v>
      </c>
      <c r="T1095" s="19">
        <f>(ProductionData[[#This Row],[Rejected_Qty]])/ProductionData[[#This Row],[Produced_Qty]]</f>
        <v>2.1070615034168565E-2</v>
      </c>
      <c r="U1095" s="19">
        <f>ProductionData[[#This Row],[Produced_Qty]]/ProductionData[[#This Row],[Planned_Qty]]</f>
        <v>0.91745036572622785</v>
      </c>
      <c r="V1095" s="2" t="s">
        <v>75</v>
      </c>
      <c r="W1095" s="11">
        <v>0</v>
      </c>
      <c r="X1095" s="13">
        <f>W1095/60</f>
        <v>0</v>
      </c>
      <c r="Y1095" s="2" t="s">
        <v>90</v>
      </c>
      <c r="Z1095" s="2">
        <v>17</v>
      </c>
      <c r="AA1095" s="2">
        <f>ProductionData[[#This Row],[Rejected_Qty]]*ProductionData[[#This Row],[Unit_Cost_INR]]</f>
        <v>3145</v>
      </c>
      <c r="AB1095" s="4">
        <v>29137</v>
      </c>
      <c r="AC1095" s="4">
        <v>7480</v>
      </c>
      <c r="AD1095" s="4">
        <v>7480</v>
      </c>
      <c r="AE1095" s="4">
        <v>30252</v>
      </c>
      <c r="AF1095" s="4">
        <v>13500</v>
      </c>
    </row>
    <row r="1096" spans="1:32">
      <c r="A1096" s="2" t="s">
        <v>2323</v>
      </c>
      <c r="B1096" s="3">
        <v>46217</v>
      </c>
      <c r="C1096" s="36" t="s">
        <v>2128</v>
      </c>
      <c r="D1096" s="2">
        <f>MONTH(ProductionData[[#This Row],[Month]])</f>
        <v>7</v>
      </c>
      <c r="E1096" s="2" t="s">
        <v>92</v>
      </c>
      <c r="F1096" s="2" t="s">
        <v>93</v>
      </c>
      <c r="G1096" s="2" t="s">
        <v>174</v>
      </c>
      <c r="H1096" s="2" t="s">
        <v>175</v>
      </c>
      <c r="I1096" s="2" t="s">
        <v>176</v>
      </c>
      <c r="J1096" s="2" t="s">
        <v>177</v>
      </c>
      <c r="K1096" s="2" t="s">
        <v>178</v>
      </c>
      <c r="L1096" s="2" t="s">
        <v>2324</v>
      </c>
      <c r="M1096" s="2" t="s">
        <v>133</v>
      </c>
      <c r="N1096" s="2" t="s">
        <v>88</v>
      </c>
      <c r="O1096" s="2">
        <v>10</v>
      </c>
      <c r="P1096" s="2">
        <v>9</v>
      </c>
      <c r="Q1096" s="4">
        <v>7930</v>
      </c>
      <c r="R1096" s="4">
        <v>7160</v>
      </c>
      <c r="S1096" s="4">
        <v>132</v>
      </c>
      <c r="T1096" s="19">
        <f>(ProductionData[[#This Row],[Rejected_Qty]])/ProductionData[[#This Row],[Produced_Qty]]</f>
        <v>1.8435754189944135E-2</v>
      </c>
      <c r="U1096" s="19">
        <f>ProductionData[[#This Row],[Produced_Qty]]/ProductionData[[#This Row],[Planned_Qty]]</f>
        <v>0.90290037831021441</v>
      </c>
      <c r="V1096" s="2" t="s">
        <v>89</v>
      </c>
      <c r="W1096" s="11">
        <v>0</v>
      </c>
      <c r="X1096" s="13">
        <f>W1096/60</f>
        <v>0</v>
      </c>
      <c r="Y1096" s="2" t="s">
        <v>90</v>
      </c>
      <c r="Z1096" s="2">
        <v>24</v>
      </c>
      <c r="AA1096" s="2">
        <f>ProductionData[[#This Row],[Rejected_Qty]]*ProductionData[[#This Row],[Unit_Cost_INR]]</f>
        <v>3168</v>
      </c>
      <c r="AB1096" s="4">
        <v>30547</v>
      </c>
      <c r="AC1096" s="4">
        <v>7330</v>
      </c>
      <c r="AD1096" s="4">
        <v>7330</v>
      </c>
      <c r="AE1096" s="4">
        <v>30245</v>
      </c>
      <c r="AF1096" s="4">
        <v>12000</v>
      </c>
    </row>
    <row r="1097" spans="1:32">
      <c r="A1097" s="2" t="s">
        <v>2325</v>
      </c>
      <c r="B1097" s="3">
        <v>46206</v>
      </c>
      <c r="C1097" s="36" t="s">
        <v>2128</v>
      </c>
      <c r="D1097" s="2">
        <f>MONTH(ProductionData[[#This Row],[Month]])</f>
        <v>7</v>
      </c>
      <c r="E1097" s="2" t="s">
        <v>125</v>
      </c>
      <c r="F1097" s="2" t="s">
        <v>93</v>
      </c>
      <c r="G1097" s="2" t="s">
        <v>174</v>
      </c>
      <c r="H1097" s="2" t="s">
        <v>175</v>
      </c>
      <c r="I1097" s="2" t="s">
        <v>176</v>
      </c>
      <c r="J1097" s="2" t="s">
        <v>177</v>
      </c>
      <c r="K1097" s="2" t="s">
        <v>178</v>
      </c>
      <c r="L1097" s="2" t="s">
        <v>2326</v>
      </c>
      <c r="M1097" s="2" t="s">
        <v>133</v>
      </c>
      <c r="N1097" s="2" t="s">
        <v>88</v>
      </c>
      <c r="O1097" s="2">
        <v>10</v>
      </c>
      <c r="P1097" s="2">
        <v>10</v>
      </c>
      <c r="Q1097" s="4">
        <v>7270</v>
      </c>
      <c r="R1097" s="4">
        <v>6760</v>
      </c>
      <c r="S1097" s="4">
        <v>148</v>
      </c>
      <c r="T1097" s="19">
        <f>(ProductionData[[#This Row],[Rejected_Qty]])/ProductionData[[#This Row],[Produced_Qty]]</f>
        <v>2.1893491124260357E-2</v>
      </c>
      <c r="U1097" s="19">
        <f>ProductionData[[#This Row],[Produced_Qty]]/ProductionData[[#This Row],[Planned_Qty]]</f>
        <v>0.92984869325997244</v>
      </c>
      <c r="V1097" s="2" t="s">
        <v>113</v>
      </c>
      <c r="W1097" s="11">
        <v>56</v>
      </c>
      <c r="X1097" s="13">
        <f>W1097/60</f>
        <v>0.93333333333333335</v>
      </c>
      <c r="Y1097" s="2" t="s">
        <v>76</v>
      </c>
      <c r="Z1097" s="2">
        <v>24</v>
      </c>
      <c r="AA1097" s="2">
        <f>ProductionData[[#This Row],[Rejected_Qty]]*ProductionData[[#This Row],[Unit_Cost_INR]]</f>
        <v>3552</v>
      </c>
      <c r="AB1097" s="4">
        <v>30468</v>
      </c>
      <c r="AC1097" s="4">
        <v>6850</v>
      </c>
      <c r="AD1097" s="4">
        <v>6850</v>
      </c>
      <c r="AE1097" s="4">
        <v>30230</v>
      </c>
      <c r="AF1097" s="4">
        <v>12000</v>
      </c>
    </row>
    <row r="1098" spans="1:32">
      <c r="A1098" s="2" t="s">
        <v>2327</v>
      </c>
      <c r="B1098" s="3">
        <v>46215</v>
      </c>
      <c r="C1098" s="36" t="s">
        <v>2128</v>
      </c>
      <c r="D1098" s="2">
        <f>MONTH(ProductionData[[#This Row],[Month]])</f>
        <v>7</v>
      </c>
      <c r="E1098" s="2" t="s">
        <v>186</v>
      </c>
      <c r="F1098" s="2" t="s">
        <v>80</v>
      </c>
      <c r="G1098" s="2" t="s">
        <v>195</v>
      </c>
      <c r="H1098" s="2" t="s">
        <v>196</v>
      </c>
      <c r="I1098" s="2" t="s">
        <v>197</v>
      </c>
      <c r="J1098" s="2" t="s">
        <v>269</v>
      </c>
      <c r="K1098" s="2" t="s">
        <v>270</v>
      </c>
      <c r="L1098" s="2" t="s">
        <v>2328</v>
      </c>
      <c r="M1098" s="2" t="s">
        <v>87</v>
      </c>
      <c r="N1098" s="2" t="s">
        <v>88</v>
      </c>
      <c r="O1098" s="2">
        <v>14</v>
      </c>
      <c r="P1098" s="2">
        <v>13</v>
      </c>
      <c r="Q1098" s="4">
        <v>5340</v>
      </c>
      <c r="R1098" s="4">
        <v>4910</v>
      </c>
      <c r="S1098" s="4">
        <v>109</v>
      </c>
      <c r="T1098" s="19">
        <f>(ProductionData[[#This Row],[Rejected_Qty]])/ProductionData[[#This Row],[Produced_Qty]]</f>
        <v>2.2199592668024438E-2</v>
      </c>
      <c r="U1098" s="19">
        <f>ProductionData[[#This Row],[Produced_Qty]]/ProductionData[[#This Row],[Planned_Qty]]</f>
        <v>0.91947565543071164</v>
      </c>
      <c r="V1098" s="2" t="s">
        <v>103</v>
      </c>
      <c r="W1098" s="11">
        <v>0</v>
      </c>
      <c r="X1098" s="13">
        <f>W1098/60</f>
        <v>0</v>
      </c>
      <c r="Y1098" s="2" t="s">
        <v>90</v>
      </c>
      <c r="Z1098" s="2">
        <v>42</v>
      </c>
      <c r="AA1098" s="2">
        <f>ProductionData[[#This Row],[Rejected_Qty]]*ProductionData[[#This Row],[Unit_Cost_INR]]</f>
        <v>4578</v>
      </c>
      <c r="AB1098" s="4">
        <v>30030</v>
      </c>
      <c r="AC1098" s="4">
        <v>4650</v>
      </c>
      <c r="AD1098" s="4">
        <v>4650</v>
      </c>
      <c r="AE1098" s="4">
        <v>30181</v>
      </c>
      <c r="AF1098" s="4">
        <v>12000</v>
      </c>
    </row>
    <row r="1099" spans="1:32">
      <c r="A1099" s="2" t="s">
        <v>2329</v>
      </c>
      <c r="B1099" s="3">
        <v>46209</v>
      </c>
      <c r="C1099" s="36" t="s">
        <v>2128</v>
      </c>
      <c r="D1099" s="2">
        <f>MONTH(ProductionData[[#This Row],[Month]])</f>
        <v>7</v>
      </c>
      <c r="E1099" s="2" t="s">
        <v>116</v>
      </c>
      <c r="F1099" s="2" t="s">
        <v>80</v>
      </c>
      <c r="G1099" s="2" t="s">
        <v>67</v>
      </c>
      <c r="H1099" s="2" t="s">
        <v>68</v>
      </c>
      <c r="I1099" s="2" t="s">
        <v>69</v>
      </c>
      <c r="J1099" s="2" t="s">
        <v>70</v>
      </c>
      <c r="K1099" s="2" t="s">
        <v>71</v>
      </c>
      <c r="L1099" s="2" t="s">
        <v>2330</v>
      </c>
      <c r="M1099" s="2" t="s">
        <v>102</v>
      </c>
      <c r="N1099" s="2" t="s">
        <v>74</v>
      </c>
      <c r="O1099" s="2">
        <v>16</v>
      </c>
      <c r="P1099" s="2">
        <v>15</v>
      </c>
      <c r="Q1099" s="4">
        <v>7370</v>
      </c>
      <c r="R1099" s="4">
        <v>6890</v>
      </c>
      <c r="S1099" s="4">
        <v>626</v>
      </c>
      <c r="T1099" s="19">
        <f>(ProductionData[[#This Row],[Rejected_Qty]])/ProductionData[[#This Row],[Produced_Qty]]</f>
        <v>9.085631349782293E-2</v>
      </c>
      <c r="U1099" s="19">
        <f>ProductionData[[#This Row],[Produced_Qty]]/ProductionData[[#This Row],[Planned_Qty]]</f>
        <v>0.93487109905020349</v>
      </c>
      <c r="V1099" s="2" t="s">
        <v>2284</v>
      </c>
      <c r="W1099" s="11">
        <v>0</v>
      </c>
      <c r="X1099" s="13">
        <f>W1099/60</f>
        <v>0</v>
      </c>
      <c r="Y1099" s="2" t="s">
        <v>90</v>
      </c>
      <c r="Z1099" s="2">
        <v>46</v>
      </c>
      <c r="AA1099" s="2">
        <f>ProductionData[[#This Row],[Rejected_Qty]]*ProductionData[[#This Row],[Unit_Cost_INR]]</f>
        <v>28796</v>
      </c>
      <c r="AB1099" s="4">
        <v>30254</v>
      </c>
      <c r="AC1099" s="4">
        <v>6400</v>
      </c>
      <c r="AD1099" s="4">
        <v>6400</v>
      </c>
      <c r="AE1099" s="4">
        <v>30118</v>
      </c>
      <c r="AF1099" s="4">
        <v>10500</v>
      </c>
    </row>
    <row r="1100" spans="1:32">
      <c r="A1100" s="2" t="s">
        <v>2331</v>
      </c>
      <c r="B1100" s="3">
        <v>46207</v>
      </c>
      <c r="C1100" s="36" t="s">
        <v>2128</v>
      </c>
      <c r="D1100" s="2">
        <f>MONTH(ProductionData[[#This Row],[Month]])</f>
        <v>7</v>
      </c>
      <c r="E1100" s="2" t="s">
        <v>65</v>
      </c>
      <c r="F1100" s="2" t="s">
        <v>66</v>
      </c>
      <c r="G1100" s="2" t="s">
        <v>174</v>
      </c>
      <c r="H1100" s="2" t="s">
        <v>175</v>
      </c>
      <c r="I1100" s="2" t="s">
        <v>176</v>
      </c>
      <c r="J1100" s="2" t="s">
        <v>177</v>
      </c>
      <c r="K1100" s="2" t="s">
        <v>178</v>
      </c>
      <c r="L1100" s="2" t="s">
        <v>2332</v>
      </c>
      <c r="M1100" s="2" t="s">
        <v>99</v>
      </c>
      <c r="N1100" s="2" t="s">
        <v>96</v>
      </c>
      <c r="O1100" s="2">
        <v>10</v>
      </c>
      <c r="P1100" s="2">
        <v>10</v>
      </c>
      <c r="Q1100" s="4">
        <v>7400</v>
      </c>
      <c r="R1100" s="4">
        <v>6800</v>
      </c>
      <c r="S1100" s="4">
        <v>82</v>
      </c>
      <c r="T1100" s="19">
        <f>(ProductionData[[#This Row],[Rejected_Qty]])/ProductionData[[#This Row],[Produced_Qty]]</f>
        <v>1.2058823529411764E-2</v>
      </c>
      <c r="U1100" s="19">
        <f>ProductionData[[#This Row],[Produced_Qty]]/ProductionData[[#This Row],[Planned_Qty]]</f>
        <v>0.91891891891891897</v>
      </c>
      <c r="V1100" s="2" t="s">
        <v>89</v>
      </c>
      <c r="W1100" s="11">
        <v>53</v>
      </c>
      <c r="X1100" s="13">
        <f>W1100/60</f>
        <v>0.8833333333333333</v>
      </c>
      <c r="Y1100" s="2" t="s">
        <v>76</v>
      </c>
      <c r="Z1100" s="2">
        <v>24</v>
      </c>
      <c r="AA1100" s="2">
        <f>ProductionData[[#This Row],[Rejected_Qty]]*ProductionData[[#This Row],[Unit_Cost_INR]]</f>
        <v>1968</v>
      </c>
      <c r="AB1100" s="4">
        <v>30230</v>
      </c>
      <c r="AC1100" s="4">
        <v>6850</v>
      </c>
      <c r="AD1100" s="4">
        <v>6850</v>
      </c>
      <c r="AE1100" s="4">
        <v>30098</v>
      </c>
      <c r="AF1100" s="4">
        <v>12000</v>
      </c>
    </row>
    <row r="1101" spans="1:32">
      <c r="A1101" s="2" t="s">
        <v>2333</v>
      </c>
      <c r="B1101" s="3">
        <v>46217</v>
      </c>
      <c r="C1101" s="36" t="s">
        <v>2128</v>
      </c>
      <c r="D1101" s="2">
        <f>MONTH(ProductionData[[#This Row],[Month]])</f>
        <v>7</v>
      </c>
      <c r="E1101" s="2" t="s">
        <v>92</v>
      </c>
      <c r="F1101" s="2" t="s">
        <v>80</v>
      </c>
      <c r="G1101" s="2" t="s">
        <v>81</v>
      </c>
      <c r="H1101" s="2" t="s">
        <v>82</v>
      </c>
      <c r="I1101" s="2" t="s">
        <v>83</v>
      </c>
      <c r="J1101" s="2" t="s">
        <v>166</v>
      </c>
      <c r="K1101" s="2" t="s">
        <v>167</v>
      </c>
      <c r="L1101" s="2" t="s">
        <v>2334</v>
      </c>
      <c r="M1101" s="2" t="s">
        <v>102</v>
      </c>
      <c r="N1101" s="2" t="s">
        <v>96</v>
      </c>
      <c r="O1101" s="2">
        <v>18</v>
      </c>
      <c r="P1101" s="2">
        <v>18</v>
      </c>
      <c r="Q1101" s="4">
        <v>9300</v>
      </c>
      <c r="R1101" s="4">
        <v>8770</v>
      </c>
      <c r="S1101" s="4">
        <v>257</v>
      </c>
      <c r="T1101" s="19">
        <f>(ProductionData[[#This Row],[Rejected_Qty]])/ProductionData[[#This Row],[Produced_Qty]]</f>
        <v>2.9304446978335234E-2</v>
      </c>
      <c r="U1101" s="19">
        <f>ProductionData[[#This Row],[Produced_Qty]]/ProductionData[[#This Row],[Planned_Qty]]</f>
        <v>0.94301075268817203</v>
      </c>
      <c r="V1101" s="2" t="s">
        <v>75</v>
      </c>
      <c r="W1101" s="11">
        <v>0</v>
      </c>
      <c r="X1101" s="13">
        <f>W1101/60</f>
        <v>0</v>
      </c>
      <c r="Y1101" s="2" t="s">
        <v>90</v>
      </c>
      <c r="Z1101" s="2">
        <v>17</v>
      </c>
      <c r="AA1101" s="2">
        <f>ProductionData[[#This Row],[Rejected_Qty]]*ProductionData[[#This Row],[Unit_Cost_INR]]</f>
        <v>4369</v>
      </c>
      <c r="AB1101" s="4">
        <v>29197</v>
      </c>
      <c r="AC1101" s="4">
        <v>7630</v>
      </c>
      <c r="AD1101" s="4">
        <v>7630</v>
      </c>
      <c r="AE1101" s="4">
        <v>30080</v>
      </c>
      <c r="AF1101" s="4">
        <v>13500</v>
      </c>
    </row>
    <row r="1102" spans="1:32">
      <c r="A1102" s="2" t="s">
        <v>2335</v>
      </c>
      <c r="B1102" s="3">
        <v>46214</v>
      </c>
      <c r="C1102" s="36" t="s">
        <v>2128</v>
      </c>
      <c r="D1102" s="2">
        <f>MONTH(ProductionData[[#This Row],[Month]])</f>
        <v>7</v>
      </c>
      <c r="E1102" s="2" t="s">
        <v>65</v>
      </c>
      <c r="F1102" s="2" t="s">
        <v>66</v>
      </c>
      <c r="G1102" s="2" t="s">
        <v>195</v>
      </c>
      <c r="H1102" s="2" t="s">
        <v>196</v>
      </c>
      <c r="I1102" s="2" t="s">
        <v>197</v>
      </c>
      <c r="J1102" s="2" t="s">
        <v>269</v>
      </c>
      <c r="K1102" s="2" t="s">
        <v>270</v>
      </c>
      <c r="L1102" s="2" t="s">
        <v>2336</v>
      </c>
      <c r="M1102" s="2" t="s">
        <v>99</v>
      </c>
      <c r="N1102" s="2" t="s">
        <v>88</v>
      </c>
      <c r="O1102" s="2">
        <v>14</v>
      </c>
      <c r="P1102" s="2">
        <v>14</v>
      </c>
      <c r="Q1102" s="4">
        <v>8230</v>
      </c>
      <c r="R1102" s="4">
        <v>7930</v>
      </c>
      <c r="S1102" s="4">
        <v>134</v>
      </c>
      <c r="T1102" s="19">
        <f>(ProductionData[[#This Row],[Rejected_Qty]])/ProductionData[[#This Row],[Produced_Qty]]</f>
        <v>1.6897856242118536E-2</v>
      </c>
      <c r="U1102" s="19">
        <f>ProductionData[[#This Row],[Produced_Qty]]/ProductionData[[#This Row],[Planned_Qty]]</f>
        <v>0.96354799513973266</v>
      </c>
      <c r="V1102" s="2" t="s">
        <v>109</v>
      </c>
      <c r="W1102" s="11">
        <v>0</v>
      </c>
      <c r="X1102" s="13">
        <f>W1102/60</f>
        <v>0</v>
      </c>
      <c r="Y1102" s="2" t="s">
        <v>90</v>
      </c>
      <c r="Z1102" s="2">
        <v>42</v>
      </c>
      <c r="AA1102" s="2">
        <f>ProductionData[[#This Row],[Rejected_Qty]]*ProductionData[[#This Row],[Unit_Cost_INR]]</f>
        <v>5628</v>
      </c>
      <c r="AB1102" s="4">
        <v>29704</v>
      </c>
      <c r="AC1102" s="4">
        <v>7470</v>
      </c>
      <c r="AD1102" s="4">
        <v>7470</v>
      </c>
      <c r="AE1102" s="4">
        <v>30030</v>
      </c>
      <c r="AF1102" s="4">
        <v>12000</v>
      </c>
    </row>
    <row r="1103" spans="1:32">
      <c r="A1103" s="2" t="s">
        <v>2337</v>
      </c>
      <c r="B1103" s="3">
        <v>46232</v>
      </c>
      <c r="C1103" s="36" t="s">
        <v>2128</v>
      </c>
      <c r="D1103" s="2">
        <f>MONTH(ProductionData[[#This Row],[Month]])</f>
        <v>7</v>
      </c>
      <c r="E1103" s="2" t="s">
        <v>79</v>
      </c>
      <c r="F1103" s="2" t="s">
        <v>66</v>
      </c>
      <c r="G1103" s="2" t="s">
        <v>195</v>
      </c>
      <c r="H1103" s="2" t="s">
        <v>196</v>
      </c>
      <c r="I1103" s="2" t="s">
        <v>197</v>
      </c>
      <c r="J1103" s="2" t="s">
        <v>269</v>
      </c>
      <c r="K1103" s="2" t="s">
        <v>270</v>
      </c>
      <c r="L1103" s="2" t="s">
        <v>2338</v>
      </c>
      <c r="M1103" s="2" t="s">
        <v>73</v>
      </c>
      <c r="N1103" s="2" t="s">
        <v>88</v>
      </c>
      <c r="O1103" s="2">
        <v>14</v>
      </c>
      <c r="P1103" s="2">
        <v>14</v>
      </c>
      <c r="Q1103" s="4">
        <v>7800</v>
      </c>
      <c r="R1103" s="4">
        <v>7250</v>
      </c>
      <c r="S1103" s="4">
        <v>213</v>
      </c>
      <c r="T1103" s="19">
        <f>(ProductionData[[#This Row],[Rejected_Qty]])/ProductionData[[#This Row],[Produced_Qty]]</f>
        <v>2.9379310344827585E-2</v>
      </c>
      <c r="U1103" s="19">
        <f>ProductionData[[#This Row],[Produced_Qty]]/ProductionData[[#This Row],[Planned_Qty]]</f>
        <v>0.92948717948717952</v>
      </c>
      <c r="V1103" s="2" t="s">
        <v>113</v>
      </c>
      <c r="W1103" s="11">
        <v>72</v>
      </c>
      <c r="X1103" s="13">
        <f>W1103/60</f>
        <v>1.2</v>
      </c>
      <c r="Y1103" s="2" t="s">
        <v>110</v>
      </c>
      <c r="Z1103" s="2">
        <v>42</v>
      </c>
      <c r="AA1103" s="2">
        <f>ProductionData[[#This Row],[Rejected_Qty]]*ProductionData[[#This Row],[Unit_Cost_INR]]</f>
        <v>8946</v>
      </c>
      <c r="AB1103" s="4">
        <v>29857</v>
      </c>
      <c r="AC1103" s="4">
        <v>6900</v>
      </c>
      <c r="AD1103" s="4">
        <v>6900</v>
      </c>
      <c r="AE1103" s="4">
        <v>29994</v>
      </c>
      <c r="AF1103" s="4">
        <v>12000</v>
      </c>
    </row>
    <row r="1104" spans="1:32">
      <c r="A1104" s="2" t="s">
        <v>2339</v>
      </c>
      <c r="B1104" s="3">
        <v>46232</v>
      </c>
      <c r="C1104" s="36" t="s">
        <v>2128</v>
      </c>
      <c r="D1104" s="2">
        <f>MONTH(ProductionData[[#This Row],[Month]])</f>
        <v>7</v>
      </c>
      <c r="E1104" s="2" t="s">
        <v>79</v>
      </c>
      <c r="F1104" s="2" t="s">
        <v>93</v>
      </c>
      <c r="G1104" s="2" t="s">
        <v>195</v>
      </c>
      <c r="H1104" s="2" t="s">
        <v>196</v>
      </c>
      <c r="I1104" s="2" t="s">
        <v>197</v>
      </c>
      <c r="J1104" s="2" t="s">
        <v>269</v>
      </c>
      <c r="K1104" s="2" t="s">
        <v>270</v>
      </c>
      <c r="L1104" s="2" t="s">
        <v>2340</v>
      </c>
      <c r="M1104" s="2" t="s">
        <v>95</v>
      </c>
      <c r="N1104" s="2" t="s">
        <v>88</v>
      </c>
      <c r="O1104" s="2">
        <v>14</v>
      </c>
      <c r="P1104" s="2">
        <v>13</v>
      </c>
      <c r="Q1104" s="4">
        <v>7050</v>
      </c>
      <c r="R1104" s="4">
        <v>6690</v>
      </c>
      <c r="S1104" s="4">
        <v>208</v>
      </c>
      <c r="T1104" s="19">
        <f>(ProductionData[[#This Row],[Rejected_Qty]])/ProductionData[[#This Row],[Produced_Qty]]</f>
        <v>3.109118086696562E-2</v>
      </c>
      <c r="U1104" s="19">
        <f>ProductionData[[#This Row],[Produced_Qty]]/ProductionData[[#This Row],[Planned_Qty]]</f>
        <v>0.94893617021276599</v>
      </c>
      <c r="V1104" s="2" t="s">
        <v>89</v>
      </c>
      <c r="W1104" s="11">
        <v>65</v>
      </c>
      <c r="X1104" s="13">
        <f>W1104/60</f>
        <v>1.0833333333333333</v>
      </c>
      <c r="Y1104" s="2" t="s">
        <v>110</v>
      </c>
      <c r="Z1104" s="2">
        <v>42</v>
      </c>
      <c r="AA1104" s="2">
        <f>ProductionData[[#This Row],[Rejected_Qty]]*ProductionData[[#This Row],[Unit_Cost_INR]]</f>
        <v>8736</v>
      </c>
      <c r="AB1104" s="4">
        <v>29994</v>
      </c>
      <c r="AC1104" s="4">
        <v>6490</v>
      </c>
      <c r="AD1104" s="4">
        <v>6490</v>
      </c>
      <c r="AE1104" s="4">
        <v>29986</v>
      </c>
      <c r="AF1104" s="4">
        <v>12000</v>
      </c>
    </row>
    <row r="1105" spans="1:32">
      <c r="A1105" s="2" t="s">
        <v>2341</v>
      </c>
      <c r="B1105" s="3">
        <v>46226</v>
      </c>
      <c r="C1105" s="36" t="s">
        <v>2128</v>
      </c>
      <c r="D1105" s="2">
        <f>MONTH(ProductionData[[#This Row],[Month]])</f>
        <v>7</v>
      </c>
      <c r="E1105" s="2" t="s">
        <v>107</v>
      </c>
      <c r="F1105" s="2" t="s">
        <v>80</v>
      </c>
      <c r="G1105" s="2" t="s">
        <v>195</v>
      </c>
      <c r="H1105" s="2" t="s">
        <v>196</v>
      </c>
      <c r="I1105" s="2" t="s">
        <v>197</v>
      </c>
      <c r="J1105" s="2" t="s">
        <v>269</v>
      </c>
      <c r="K1105" s="2" t="s">
        <v>270</v>
      </c>
      <c r="L1105" s="2" t="s">
        <v>2342</v>
      </c>
      <c r="M1105" s="2" t="s">
        <v>87</v>
      </c>
      <c r="N1105" s="2" t="s">
        <v>96</v>
      </c>
      <c r="O1105" s="2">
        <v>14</v>
      </c>
      <c r="P1105" s="2">
        <v>13</v>
      </c>
      <c r="Q1105" s="4">
        <v>7630</v>
      </c>
      <c r="R1105" s="4">
        <v>7050</v>
      </c>
      <c r="S1105" s="4">
        <v>123</v>
      </c>
      <c r="T1105" s="19">
        <f>(ProductionData[[#This Row],[Rejected_Qty]])/ProductionData[[#This Row],[Produced_Qty]]</f>
        <v>1.7446808510638297E-2</v>
      </c>
      <c r="U1105" s="19">
        <f>ProductionData[[#This Row],[Produced_Qty]]/ProductionData[[#This Row],[Planned_Qty]]</f>
        <v>0.92398427260812577</v>
      </c>
      <c r="V1105" s="2" t="s">
        <v>113</v>
      </c>
      <c r="W1105" s="11">
        <v>0</v>
      </c>
      <c r="X1105" s="13">
        <f>W1105/60</f>
        <v>0</v>
      </c>
      <c r="Y1105" s="2" t="s">
        <v>90</v>
      </c>
      <c r="Z1105" s="2">
        <v>42</v>
      </c>
      <c r="AA1105" s="2">
        <f>ProductionData[[#This Row],[Rejected_Qty]]*ProductionData[[#This Row],[Unit_Cost_INR]]</f>
        <v>5166</v>
      </c>
      <c r="AB1105" s="4">
        <v>29627</v>
      </c>
      <c r="AC1105" s="4">
        <v>6570</v>
      </c>
      <c r="AD1105" s="4">
        <v>6570</v>
      </c>
      <c r="AE1105" s="4">
        <v>29984</v>
      </c>
      <c r="AF1105" s="4">
        <v>12000</v>
      </c>
    </row>
    <row r="1106" spans="1:32">
      <c r="A1106" s="2" t="s">
        <v>2343</v>
      </c>
      <c r="B1106" s="3">
        <v>46205</v>
      </c>
      <c r="C1106" s="36" t="s">
        <v>2128</v>
      </c>
      <c r="D1106" s="2">
        <f>MONTH(ProductionData[[#This Row],[Month]])</f>
        <v>7</v>
      </c>
      <c r="E1106" s="2" t="s">
        <v>107</v>
      </c>
      <c r="F1106" s="2" t="s">
        <v>66</v>
      </c>
      <c r="G1106" s="2" t="s">
        <v>174</v>
      </c>
      <c r="H1106" s="2" t="s">
        <v>175</v>
      </c>
      <c r="I1106" s="2" t="s">
        <v>176</v>
      </c>
      <c r="J1106" s="2" t="s">
        <v>177</v>
      </c>
      <c r="K1106" s="2" t="s">
        <v>178</v>
      </c>
      <c r="L1106" s="2" t="s">
        <v>2344</v>
      </c>
      <c r="M1106" s="2" t="s">
        <v>99</v>
      </c>
      <c r="N1106" s="2" t="s">
        <v>88</v>
      </c>
      <c r="O1106" s="2">
        <v>10</v>
      </c>
      <c r="P1106" s="2">
        <v>10</v>
      </c>
      <c r="Q1106" s="4">
        <v>7500</v>
      </c>
      <c r="R1106" s="4">
        <v>7400</v>
      </c>
      <c r="S1106" s="4">
        <v>242</v>
      </c>
      <c r="T1106" s="19">
        <f>(ProductionData[[#This Row],[Rejected_Qty]])/ProductionData[[#This Row],[Produced_Qty]]</f>
        <v>3.2702702702702702E-2</v>
      </c>
      <c r="U1106" s="19">
        <f>ProductionData[[#This Row],[Produced_Qty]]/ProductionData[[#This Row],[Planned_Qty]]</f>
        <v>0.98666666666666669</v>
      </c>
      <c r="V1106" s="2" t="s">
        <v>109</v>
      </c>
      <c r="W1106" s="11">
        <v>0</v>
      </c>
      <c r="X1106" s="13">
        <f>W1106/60</f>
        <v>0</v>
      </c>
      <c r="Y1106" s="2" t="s">
        <v>90</v>
      </c>
      <c r="Z1106" s="2">
        <v>24</v>
      </c>
      <c r="AA1106" s="2">
        <f>ProductionData[[#This Row],[Rejected_Qty]]*ProductionData[[#This Row],[Unit_Cost_INR]]</f>
        <v>5808</v>
      </c>
      <c r="AB1106" s="4">
        <v>29502</v>
      </c>
      <c r="AC1106" s="4">
        <v>6740</v>
      </c>
      <c r="AD1106" s="4">
        <v>6740</v>
      </c>
      <c r="AE1106" s="4">
        <v>29920</v>
      </c>
      <c r="AF1106" s="4">
        <v>12000</v>
      </c>
    </row>
    <row r="1107" spans="1:32">
      <c r="A1107" s="2" t="s">
        <v>2345</v>
      </c>
      <c r="B1107" s="3">
        <v>46224</v>
      </c>
      <c r="C1107" s="36" t="s">
        <v>2128</v>
      </c>
      <c r="D1107" s="2">
        <f>MONTH(ProductionData[[#This Row],[Month]])</f>
        <v>7</v>
      </c>
      <c r="E1107" s="2" t="s">
        <v>92</v>
      </c>
      <c r="F1107" s="2" t="s">
        <v>66</v>
      </c>
      <c r="G1107" s="2" t="s">
        <v>195</v>
      </c>
      <c r="H1107" s="2" t="s">
        <v>196</v>
      </c>
      <c r="I1107" s="2" t="s">
        <v>197</v>
      </c>
      <c r="J1107" s="2" t="s">
        <v>269</v>
      </c>
      <c r="K1107" s="2" t="s">
        <v>270</v>
      </c>
      <c r="L1107" s="2" t="s">
        <v>2346</v>
      </c>
      <c r="M1107" s="2" t="s">
        <v>99</v>
      </c>
      <c r="N1107" s="2" t="s">
        <v>88</v>
      </c>
      <c r="O1107" s="2">
        <v>14</v>
      </c>
      <c r="P1107" s="2">
        <v>13</v>
      </c>
      <c r="Q1107" s="4">
        <v>7830</v>
      </c>
      <c r="R1107" s="4">
        <v>7390</v>
      </c>
      <c r="S1107" s="4">
        <v>177</v>
      </c>
      <c r="T1107" s="19">
        <f>(ProductionData[[#This Row],[Rejected_Qty]])/ProductionData[[#This Row],[Produced_Qty]]</f>
        <v>2.3951285520974291E-2</v>
      </c>
      <c r="U1107" s="19">
        <f>ProductionData[[#This Row],[Produced_Qty]]/ProductionData[[#This Row],[Planned_Qty]]</f>
        <v>0.94380587484035761</v>
      </c>
      <c r="V1107" s="2" t="s">
        <v>103</v>
      </c>
      <c r="W1107" s="11">
        <v>0</v>
      </c>
      <c r="X1107" s="13">
        <f>W1107/60</f>
        <v>0</v>
      </c>
      <c r="Y1107" s="2" t="s">
        <v>90</v>
      </c>
      <c r="Z1107" s="2">
        <v>42</v>
      </c>
      <c r="AA1107" s="2">
        <f>ProductionData[[#This Row],[Rejected_Qty]]*ProductionData[[#This Row],[Unit_Cost_INR]]</f>
        <v>7434</v>
      </c>
      <c r="AB1107" s="4">
        <v>28816</v>
      </c>
      <c r="AC1107" s="4">
        <v>6130</v>
      </c>
      <c r="AD1107" s="4">
        <v>6130</v>
      </c>
      <c r="AE1107" s="4">
        <v>29899</v>
      </c>
      <c r="AF1107" s="4">
        <v>12000</v>
      </c>
    </row>
    <row r="1108" spans="1:32">
      <c r="A1108" s="2" t="s">
        <v>2347</v>
      </c>
      <c r="B1108" s="3">
        <v>46228</v>
      </c>
      <c r="C1108" s="36" t="s">
        <v>2128</v>
      </c>
      <c r="D1108" s="2">
        <f>MONTH(ProductionData[[#This Row],[Month]])</f>
        <v>7</v>
      </c>
      <c r="E1108" s="2" t="s">
        <v>65</v>
      </c>
      <c r="F1108" s="2" t="s">
        <v>93</v>
      </c>
      <c r="G1108" s="2" t="s">
        <v>195</v>
      </c>
      <c r="H1108" s="2" t="s">
        <v>196</v>
      </c>
      <c r="I1108" s="2" t="s">
        <v>197</v>
      </c>
      <c r="J1108" s="2" t="s">
        <v>269</v>
      </c>
      <c r="K1108" s="2" t="s">
        <v>270</v>
      </c>
      <c r="L1108" s="2" t="s">
        <v>2348</v>
      </c>
      <c r="M1108" s="2" t="s">
        <v>133</v>
      </c>
      <c r="N1108" s="2" t="s">
        <v>96</v>
      </c>
      <c r="O1108" s="2">
        <v>14</v>
      </c>
      <c r="P1108" s="2">
        <v>14</v>
      </c>
      <c r="Q1108" s="4">
        <v>7690</v>
      </c>
      <c r="R1108" s="4">
        <v>7150</v>
      </c>
      <c r="S1108" s="4">
        <v>196</v>
      </c>
      <c r="T1108" s="19">
        <f>(ProductionData[[#This Row],[Rejected_Qty]])/ProductionData[[#This Row],[Produced_Qty]]</f>
        <v>2.7412587412587414E-2</v>
      </c>
      <c r="U1108" s="19">
        <f>ProductionData[[#This Row],[Produced_Qty]]/ProductionData[[#This Row],[Planned_Qty]]</f>
        <v>0.929778933680104</v>
      </c>
      <c r="V1108" s="2" t="s">
        <v>89</v>
      </c>
      <c r="W1108" s="11">
        <v>0</v>
      </c>
      <c r="X1108" s="13">
        <f>W1108/60</f>
        <v>0</v>
      </c>
      <c r="Y1108" s="2" t="s">
        <v>90</v>
      </c>
      <c r="Z1108" s="2">
        <v>42</v>
      </c>
      <c r="AA1108" s="2">
        <f>ProductionData[[#This Row],[Rejected_Qty]]*ProductionData[[#This Row],[Unit_Cost_INR]]</f>
        <v>8232</v>
      </c>
      <c r="AB1108" s="4">
        <v>29293</v>
      </c>
      <c r="AC1108" s="4">
        <v>6390</v>
      </c>
      <c r="AD1108" s="4">
        <v>6390</v>
      </c>
      <c r="AE1108" s="4">
        <v>29857</v>
      </c>
      <c r="AF1108" s="4">
        <v>12000</v>
      </c>
    </row>
    <row r="1109" spans="1:32">
      <c r="A1109" s="2" t="s">
        <v>2349</v>
      </c>
      <c r="B1109" s="3">
        <v>46233</v>
      </c>
      <c r="C1109" s="36" t="s">
        <v>2128</v>
      </c>
      <c r="D1109" s="2">
        <f>MONTH(ProductionData[[#This Row],[Month]])</f>
        <v>7</v>
      </c>
      <c r="E1109" s="2" t="s">
        <v>107</v>
      </c>
      <c r="F1109" s="2" t="s">
        <v>66</v>
      </c>
      <c r="G1109" s="2" t="s">
        <v>195</v>
      </c>
      <c r="H1109" s="2" t="s">
        <v>196</v>
      </c>
      <c r="I1109" s="2" t="s">
        <v>197</v>
      </c>
      <c r="J1109" s="2" t="s">
        <v>269</v>
      </c>
      <c r="K1109" s="2" t="s">
        <v>270</v>
      </c>
      <c r="L1109" s="2" t="s">
        <v>2350</v>
      </c>
      <c r="M1109" s="2" t="s">
        <v>73</v>
      </c>
      <c r="N1109" s="2" t="s">
        <v>88</v>
      </c>
      <c r="O1109" s="2">
        <v>14</v>
      </c>
      <c r="P1109" s="2">
        <v>13</v>
      </c>
      <c r="Q1109" s="4">
        <v>7730</v>
      </c>
      <c r="R1109" s="4">
        <v>7170</v>
      </c>
      <c r="S1109" s="4">
        <v>200</v>
      </c>
      <c r="T1109" s="19">
        <f>(ProductionData[[#This Row],[Rejected_Qty]])/ProductionData[[#This Row],[Produced_Qty]]</f>
        <v>2.7894002789400279E-2</v>
      </c>
      <c r="U1109" s="19">
        <f>ProductionData[[#This Row],[Produced_Qty]]/ProductionData[[#This Row],[Planned_Qty]]</f>
        <v>0.92755498059508412</v>
      </c>
      <c r="V1109" s="2" t="s">
        <v>75</v>
      </c>
      <c r="W1109" s="11">
        <v>39</v>
      </c>
      <c r="X1109" s="13">
        <f>W1109/60</f>
        <v>0.65</v>
      </c>
      <c r="Y1109" s="2" t="s">
        <v>76</v>
      </c>
      <c r="Z1109" s="2">
        <v>42</v>
      </c>
      <c r="AA1109" s="2">
        <f>ProductionData[[#This Row],[Rejected_Qty]]*ProductionData[[#This Row],[Unit_Cost_INR]]</f>
        <v>8400</v>
      </c>
      <c r="AB1109" s="4">
        <v>29986</v>
      </c>
      <c r="AC1109" s="4">
        <v>7130</v>
      </c>
      <c r="AD1109" s="4">
        <v>7130</v>
      </c>
      <c r="AE1109" s="4">
        <v>29826</v>
      </c>
      <c r="AF1109" s="4">
        <v>12000</v>
      </c>
    </row>
    <row r="1110" spans="1:32">
      <c r="A1110" s="2" t="s">
        <v>2351</v>
      </c>
      <c r="B1110" s="3">
        <v>46212</v>
      </c>
      <c r="C1110" s="36" t="s">
        <v>2128</v>
      </c>
      <c r="D1110" s="2">
        <f>MONTH(ProductionData[[#This Row],[Month]])</f>
        <v>7</v>
      </c>
      <c r="E1110" s="2" t="s">
        <v>107</v>
      </c>
      <c r="F1110" s="2" t="s">
        <v>93</v>
      </c>
      <c r="G1110" s="2" t="s">
        <v>67</v>
      </c>
      <c r="H1110" s="2" t="s">
        <v>68</v>
      </c>
      <c r="I1110" s="2" t="s">
        <v>69</v>
      </c>
      <c r="J1110" s="2" t="s">
        <v>70</v>
      </c>
      <c r="K1110" s="2" t="s">
        <v>71</v>
      </c>
      <c r="L1110" s="2" t="s">
        <v>2352</v>
      </c>
      <c r="M1110" s="2" t="s">
        <v>95</v>
      </c>
      <c r="N1110" s="2" t="s">
        <v>74</v>
      </c>
      <c r="O1110" s="2">
        <v>16</v>
      </c>
      <c r="P1110" s="2">
        <v>16</v>
      </c>
      <c r="Q1110" s="4">
        <v>6290</v>
      </c>
      <c r="R1110" s="4">
        <v>6020</v>
      </c>
      <c r="S1110" s="4">
        <v>450</v>
      </c>
      <c r="T1110" s="19">
        <f>(ProductionData[[#This Row],[Rejected_Qty]])/ProductionData[[#This Row],[Produced_Qty]]</f>
        <v>7.4750830564784057E-2</v>
      </c>
      <c r="U1110" s="19">
        <f>ProductionData[[#This Row],[Produced_Qty]]/ProductionData[[#This Row],[Planned_Qty]]</f>
        <v>0.95707472178060415</v>
      </c>
      <c r="V1110" s="2" t="s">
        <v>2284</v>
      </c>
      <c r="W1110" s="11">
        <v>0</v>
      </c>
      <c r="X1110" s="13">
        <f>W1110/60</f>
        <v>0</v>
      </c>
      <c r="Y1110" s="2" t="s">
        <v>90</v>
      </c>
      <c r="Z1110" s="2">
        <v>46</v>
      </c>
      <c r="AA1110" s="2">
        <f>ProductionData[[#This Row],[Rejected_Qty]]*ProductionData[[#This Row],[Unit_Cost_INR]]</f>
        <v>20700</v>
      </c>
      <c r="AB1110" s="4">
        <v>30118</v>
      </c>
      <c r="AC1110" s="4">
        <v>5870</v>
      </c>
      <c r="AD1110" s="4">
        <v>5870</v>
      </c>
      <c r="AE1110" s="4">
        <v>29818</v>
      </c>
      <c r="AF1110" s="4">
        <v>10500</v>
      </c>
    </row>
    <row r="1111" spans="1:32">
      <c r="A1111" s="2" t="s">
        <v>2353</v>
      </c>
      <c r="B1111" s="3">
        <v>46228</v>
      </c>
      <c r="C1111" s="36" t="s">
        <v>2128</v>
      </c>
      <c r="D1111" s="2">
        <f>MONTH(ProductionData[[#This Row],[Month]])</f>
        <v>7</v>
      </c>
      <c r="E1111" s="2" t="s">
        <v>65</v>
      </c>
      <c r="F1111" s="2" t="s">
        <v>93</v>
      </c>
      <c r="G1111" s="2" t="s">
        <v>81</v>
      </c>
      <c r="H1111" s="2" t="s">
        <v>82</v>
      </c>
      <c r="I1111" s="2" t="s">
        <v>83</v>
      </c>
      <c r="J1111" s="2" t="s">
        <v>166</v>
      </c>
      <c r="K1111" s="2" t="s">
        <v>167</v>
      </c>
      <c r="L1111" s="2" t="s">
        <v>2354</v>
      </c>
      <c r="M1111" s="2" t="s">
        <v>95</v>
      </c>
      <c r="N1111" s="2" t="s">
        <v>96</v>
      </c>
      <c r="O1111" s="2">
        <v>18</v>
      </c>
      <c r="P1111" s="2">
        <v>16</v>
      </c>
      <c r="Q1111" s="4">
        <v>9070</v>
      </c>
      <c r="R1111" s="4">
        <v>8100</v>
      </c>
      <c r="S1111" s="4">
        <v>48</v>
      </c>
      <c r="T1111" s="19">
        <f>(ProductionData[[#This Row],[Rejected_Qty]])/ProductionData[[#This Row],[Produced_Qty]]</f>
        <v>5.9259259259259256E-3</v>
      </c>
      <c r="U1111" s="19">
        <f>ProductionData[[#This Row],[Produced_Qty]]/ProductionData[[#This Row],[Planned_Qty]]</f>
        <v>0.89305402425578828</v>
      </c>
      <c r="V1111" s="2" t="s">
        <v>109</v>
      </c>
      <c r="W1111" s="11">
        <v>0</v>
      </c>
      <c r="X1111" s="13">
        <f>W1111/60</f>
        <v>0</v>
      </c>
      <c r="Y1111" s="2" t="s">
        <v>90</v>
      </c>
      <c r="Z1111" s="2">
        <v>17</v>
      </c>
      <c r="AA1111" s="2">
        <f>ProductionData[[#This Row],[Rejected_Qty]]*ProductionData[[#This Row],[Unit_Cost_INR]]</f>
        <v>816</v>
      </c>
      <c r="AB1111" s="4">
        <v>29333</v>
      </c>
      <c r="AC1111" s="4">
        <v>7650</v>
      </c>
      <c r="AD1111" s="4">
        <v>7650</v>
      </c>
      <c r="AE1111" s="4">
        <v>29735</v>
      </c>
      <c r="AF1111" s="4">
        <v>13500</v>
      </c>
    </row>
    <row r="1112" spans="1:32">
      <c r="A1112" s="2" t="s">
        <v>2355</v>
      </c>
      <c r="B1112" s="3">
        <v>46211</v>
      </c>
      <c r="C1112" s="36" t="s">
        <v>2128</v>
      </c>
      <c r="D1112" s="2">
        <f>MONTH(ProductionData[[#This Row],[Month]])</f>
        <v>7</v>
      </c>
      <c r="E1112" s="2" t="s">
        <v>79</v>
      </c>
      <c r="F1112" s="2" t="s">
        <v>93</v>
      </c>
      <c r="G1112" s="2" t="s">
        <v>195</v>
      </c>
      <c r="H1112" s="2" t="s">
        <v>196</v>
      </c>
      <c r="I1112" s="2" t="s">
        <v>197</v>
      </c>
      <c r="J1112" s="2" t="s">
        <v>269</v>
      </c>
      <c r="K1112" s="2" t="s">
        <v>270</v>
      </c>
      <c r="L1112" s="2" t="s">
        <v>2356</v>
      </c>
      <c r="M1112" s="2" t="s">
        <v>133</v>
      </c>
      <c r="N1112" s="2" t="s">
        <v>96</v>
      </c>
      <c r="O1112" s="2">
        <v>14</v>
      </c>
      <c r="P1112" s="2">
        <v>13</v>
      </c>
      <c r="Q1112" s="4">
        <v>7740</v>
      </c>
      <c r="R1112" s="4">
        <v>7550</v>
      </c>
      <c r="S1112" s="4">
        <v>156</v>
      </c>
      <c r="T1112" s="19">
        <f>(ProductionData[[#This Row],[Rejected_Qty]])/ProductionData[[#This Row],[Produced_Qty]]</f>
        <v>2.0662251655629141E-2</v>
      </c>
      <c r="U1112" s="19">
        <f>ProductionData[[#This Row],[Produced_Qty]]/ProductionData[[#This Row],[Planned_Qty]]</f>
        <v>0.97545219638242897</v>
      </c>
      <c r="V1112" s="2" t="s">
        <v>113</v>
      </c>
      <c r="W1112" s="11">
        <v>23</v>
      </c>
      <c r="X1112" s="13">
        <f>W1112/60</f>
        <v>0.38333333333333336</v>
      </c>
      <c r="Y1112" s="2" t="s">
        <v>114</v>
      </c>
      <c r="Z1112" s="2">
        <v>42</v>
      </c>
      <c r="AA1112" s="2">
        <f>ProductionData[[#This Row],[Rejected_Qty]]*ProductionData[[#This Row],[Unit_Cost_INR]]</f>
        <v>6552</v>
      </c>
      <c r="AB1112" s="4">
        <v>29590</v>
      </c>
      <c r="AC1112" s="4">
        <v>7280</v>
      </c>
      <c r="AD1112" s="4">
        <v>7280</v>
      </c>
      <c r="AE1112" s="4">
        <v>29704</v>
      </c>
      <c r="AF1112" s="4">
        <v>12000</v>
      </c>
    </row>
    <row r="1113" spans="1:32">
      <c r="A1113" s="2" t="s">
        <v>2357</v>
      </c>
      <c r="B1113" s="3">
        <v>46204</v>
      </c>
      <c r="C1113" s="36" t="s">
        <v>2128</v>
      </c>
      <c r="D1113" s="2">
        <f>MONTH(ProductionData[[#This Row],[Month]])</f>
        <v>7</v>
      </c>
      <c r="E1113" s="2" t="s">
        <v>79</v>
      </c>
      <c r="F1113" s="2" t="s">
        <v>93</v>
      </c>
      <c r="G1113" s="2" t="s">
        <v>81</v>
      </c>
      <c r="H1113" s="2" t="s">
        <v>82</v>
      </c>
      <c r="I1113" s="2" t="s">
        <v>83</v>
      </c>
      <c r="J1113" s="2" t="s">
        <v>166</v>
      </c>
      <c r="K1113" s="2" t="s">
        <v>167</v>
      </c>
      <c r="L1113" s="2" t="s">
        <v>2358</v>
      </c>
      <c r="M1113" s="2" t="s">
        <v>95</v>
      </c>
      <c r="N1113" s="2" t="s">
        <v>96</v>
      </c>
      <c r="O1113" s="2">
        <v>18</v>
      </c>
      <c r="P1113" s="2">
        <v>15</v>
      </c>
      <c r="Q1113" s="4">
        <v>8930</v>
      </c>
      <c r="R1113" s="4">
        <v>8030</v>
      </c>
      <c r="S1113" s="4">
        <v>190</v>
      </c>
      <c r="T1113" s="19">
        <f>(ProductionData[[#This Row],[Rejected_Qty]])/ProductionData[[#This Row],[Produced_Qty]]</f>
        <v>2.3661270236612703E-2</v>
      </c>
      <c r="U1113" s="19">
        <f>ProductionData[[#This Row],[Produced_Qty]]/ProductionData[[#This Row],[Planned_Qty]]</f>
        <v>0.89921612541993279</v>
      </c>
      <c r="V1113" s="2" t="s">
        <v>113</v>
      </c>
      <c r="W1113" s="11">
        <v>0</v>
      </c>
      <c r="X1113" s="13">
        <f>W1113/60</f>
        <v>0</v>
      </c>
      <c r="Y1113" s="2" t="s">
        <v>90</v>
      </c>
      <c r="Z1113" s="2">
        <v>17</v>
      </c>
      <c r="AA1113" s="2">
        <f>ProductionData[[#This Row],[Rejected_Qty]]*ProductionData[[#This Row],[Unit_Cost_INR]]</f>
        <v>3230</v>
      </c>
      <c r="AB1113" s="4">
        <v>30053</v>
      </c>
      <c r="AC1113" s="4">
        <v>8200</v>
      </c>
      <c r="AD1113" s="4">
        <v>8200</v>
      </c>
      <c r="AE1113" s="4">
        <v>29693</v>
      </c>
      <c r="AF1113" s="4">
        <v>13500</v>
      </c>
    </row>
    <row r="1114" spans="1:32">
      <c r="A1114" s="2" t="s">
        <v>2359</v>
      </c>
      <c r="B1114" s="3">
        <v>46227</v>
      </c>
      <c r="C1114" s="36" t="s">
        <v>2128</v>
      </c>
      <c r="D1114" s="2">
        <f>MONTH(ProductionData[[#This Row],[Month]])</f>
        <v>7</v>
      </c>
      <c r="E1114" s="2" t="s">
        <v>125</v>
      </c>
      <c r="F1114" s="2" t="s">
        <v>93</v>
      </c>
      <c r="G1114" s="2" t="s">
        <v>81</v>
      </c>
      <c r="H1114" s="2" t="s">
        <v>82</v>
      </c>
      <c r="I1114" s="2" t="s">
        <v>83</v>
      </c>
      <c r="J1114" s="2" t="s">
        <v>166</v>
      </c>
      <c r="K1114" s="2" t="s">
        <v>167</v>
      </c>
      <c r="L1114" s="2" t="s">
        <v>2360</v>
      </c>
      <c r="M1114" s="2" t="s">
        <v>95</v>
      </c>
      <c r="N1114" s="2" t="s">
        <v>88</v>
      </c>
      <c r="O1114" s="2">
        <v>18</v>
      </c>
      <c r="P1114" s="2">
        <v>13</v>
      </c>
      <c r="Q1114" s="4">
        <v>8600</v>
      </c>
      <c r="R1114" s="4">
        <v>7100</v>
      </c>
      <c r="S1114" s="4">
        <v>193</v>
      </c>
      <c r="T1114" s="19">
        <f>(ProductionData[[#This Row],[Rejected_Qty]])/ProductionData[[#This Row],[Produced_Qty]]</f>
        <v>2.7183098591549295E-2</v>
      </c>
      <c r="U1114" s="19">
        <f>ProductionData[[#This Row],[Produced_Qty]]/ProductionData[[#This Row],[Planned_Qty]]</f>
        <v>0.82558139534883723</v>
      </c>
      <c r="V1114" s="2" t="s">
        <v>103</v>
      </c>
      <c r="W1114" s="11">
        <v>58</v>
      </c>
      <c r="X1114" s="13">
        <f>W1114/60</f>
        <v>0.96666666666666667</v>
      </c>
      <c r="Y1114" s="2" t="s">
        <v>182</v>
      </c>
      <c r="Z1114" s="2">
        <v>17</v>
      </c>
      <c r="AA1114" s="2">
        <f>ProductionData[[#This Row],[Rejected_Qty]]*ProductionData[[#This Row],[Unit_Cost_INR]]</f>
        <v>3281</v>
      </c>
      <c r="AB1114" s="4">
        <v>31055</v>
      </c>
      <c r="AC1114" s="4">
        <v>8290</v>
      </c>
      <c r="AD1114" s="4">
        <v>8290</v>
      </c>
      <c r="AE1114" s="4">
        <v>29672</v>
      </c>
      <c r="AF1114" s="4">
        <v>13500</v>
      </c>
    </row>
    <row r="1115" spans="1:32">
      <c r="A1115" s="2" t="s">
        <v>2361</v>
      </c>
      <c r="B1115" s="3">
        <v>46225</v>
      </c>
      <c r="C1115" s="36" t="s">
        <v>2128</v>
      </c>
      <c r="D1115" s="2">
        <f>MONTH(ProductionData[[#This Row],[Month]])</f>
        <v>7</v>
      </c>
      <c r="E1115" s="2" t="s">
        <v>79</v>
      </c>
      <c r="F1115" s="2" t="s">
        <v>93</v>
      </c>
      <c r="G1115" s="2" t="s">
        <v>195</v>
      </c>
      <c r="H1115" s="2" t="s">
        <v>196</v>
      </c>
      <c r="I1115" s="2" t="s">
        <v>197</v>
      </c>
      <c r="J1115" s="2" t="s">
        <v>269</v>
      </c>
      <c r="K1115" s="2" t="s">
        <v>270</v>
      </c>
      <c r="L1115" s="2" t="s">
        <v>2362</v>
      </c>
      <c r="M1115" s="2" t="s">
        <v>95</v>
      </c>
      <c r="N1115" s="2" t="s">
        <v>96</v>
      </c>
      <c r="O1115" s="2">
        <v>14</v>
      </c>
      <c r="P1115" s="2">
        <v>12</v>
      </c>
      <c r="Q1115" s="4">
        <v>7910</v>
      </c>
      <c r="R1115" s="4">
        <v>7400</v>
      </c>
      <c r="S1115" s="4">
        <v>152</v>
      </c>
      <c r="T1115" s="19">
        <f>(ProductionData[[#This Row],[Rejected_Qty]])/ProductionData[[#This Row],[Produced_Qty]]</f>
        <v>2.0540540540540539E-2</v>
      </c>
      <c r="U1115" s="19">
        <f>ProductionData[[#This Row],[Produced_Qty]]/ProductionData[[#This Row],[Planned_Qty]]</f>
        <v>0.93552465233881166</v>
      </c>
      <c r="V1115" s="2" t="s">
        <v>103</v>
      </c>
      <c r="W1115" s="11">
        <v>0</v>
      </c>
      <c r="X1115" s="13">
        <f>W1115/60</f>
        <v>0</v>
      </c>
      <c r="Y1115" s="2" t="s">
        <v>90</v>
      </c>
      <c r="Z1115" s="2">
        <v>42</v>
      </c>
      <c r="AA1115" s="2">
        <f>ProductionData[[#This Row],[Rejected_Qty]]*ProductionData[[#This Row],[Unit_Cost_INR]]</f>
        <v>6384</v>
      </c>
      <c r="AB1115" s="4">
        <v>29899</v>
      </c>
      <c r="AC1115" s="4">
        <v>7520</v>
      </c>
      <c r="AD1115" s="4">
        <v>7520</v>
      </c>
      <c r="AE1115" s="4">
        <v>29627</v>
      </c>
      <c r="AF1115" s="4">
        <v>12000</v>
      </c>
    </row>
    <row r="1116" spans="1:32">
      <c r="A1116" s="2" t="s">
        <v>2363</v>
      </c>
      <c r="B1116" s="3">
        <v>46228</v>
      </c>
      <c r="C1116" s="36" t="s">
        <v>2128</v>
      </c>
      <c r="D1116" s="2">
        <f>MONTH(ProductionData[[#This Row],[Month]])</f>
        <v>7</v>
      </c>
      <c r="E1116" s="2" t="s">
        <v>65</v>
      </c>
      <c r="F1116" s="2" t="s">
        <v>66</v>
      </c>
      <c r="G1116" s="2" t="s">
        <v>81</v>
      </c>
      <c r="H1116" s="2" t="s">
        <v>82</v>
      </c>
      <c r="I1116" s="2" t="s">
        <v>83</v>
      </c>
      <c r="J1116" s="2" t="s">
        <v>166</v>
      </c>
      <c r="K1116" s="2" t="s">
        <v>167</v>
      </c>
      <c r="L1116" s="2" t="s">
        <v>2364</v>
      </c>
      <c r="M1116" s="2" t="s">
        <v>73</v>
      </c>
      <c r="N1116" s="2" t="s">
        <v>88</v>
      </c>
      <c r="O1116" s="2">
        <v>18</v>
      </c>
      <c r="P1116" s="2">
        <v>16</v>
      </c>
      <c r="Q1116" s="4">
        <v>8630</v>
      </c>
      <c r="R1116" s="4">
        <v>7940</v>
      </c>
      <c r="S1116" s="4">
        <v>227</v>
      </c>
      <c r="T1116" s="19">
        <f>(ProductionData[[#This Row],[Rejected_Qty]])/ProductionData[[#This Row],[Produced_Qty]]</f>
        <v>2.8589420654911837E-2</v>
      </c>
      <c r="U1116" s="19">
        <f>ProductionData[[#This Row],[Produced_Qty]]/ProductionData[[#This Row],[Planned_Qty]]</f>
        <v>0.92004634994206258</v>
      </c>
      <c r="V1116" s="2" t="s">
        <v>75</v>
      </c>
      <c r="W1116" s="11">
        <v>0</v>
      </c>
      <c r="X1116" s="13">
        <f>W1116/60</f>
        <v>0</v>
      </c>
      <c r="Y1116" s="2" t="s">
        <v>90</v>
      </c>
      <c r="Z1116" s="2">
        <v>17</v>
      </c>
      <c r="AA1116" s="2">
        <f>ProductionData[[#This Row],[Rejected_Qty]]*ProductionData[[#This Row],[Unit_Cost_INR]]</f>
        <v>3859</v>
      </c>
      <c r="AB1116" s="4">
        <v>29672</v>
      </c>
      <c r="AC1116" s="4">
        <v>7770</v>
      </c>
      <c r="AD1116" s="4">
        <v>7770</v>
      </c>
      <c r="AE1116" s="4">
        <v>29615</v>
      </c>
      <c r="AF1116" s="4">
        <v>13500</v>
      </c>
    </row>
    <row r="1117" spans="1:32">
      <c r="A1117" s="2" t="s">
        <v>2365</v>
      </c>
      <c r="B1117" s="3">
        <v>46206</v>
      </c>
      <c r="C1117" s="36" t="s">
        <v>2128</v>
      </c>
      <c r="D1117" s="2">
        <f>MONTH(ProductionData[[#This Row],[Month]])</f>
        <v>7</v>
      </c>
      <c r="E1117" s="2" t="s">
        <v>125</v>
      </c>
      <c r="F1117" s="2" t="s">
        <v>80</v>
      </c>
      <c r="G1117" s="2" t="s">
        <v>81</v>
      </c>
      <c r="H1117" s="2" t="s">
        <v>82</v>
      </c>
      <c r="I1117" s="2" t="s">
        <v>83</v>
      </c>
      <c r="J1117" s="2" t="s">
        <v>166</v>
      </c>
      <c r="K1117" s="2" t="s">
        <v>167</v>
      </c>
      <c r="L1117" s="2" t="s">
        <v>2366</v>
      </c>
      <c r="M1117" s="2" t="s">
        <v>102</v>
      </c>
      <c r="N1117" s="2" t="s">
        <v>96</v>
      </c>
      <c r="O1117" s="2">
        <v>18</v>
      </c>
      <c r="P1117" s="2">
        <v>17</v>
      </c>
      <c r="Q1117" s="4">
        <v>9560</v>
      </c>
      <c r="R1117" s="4">
        <v>9100</v>
      </c>
      <c r="S1117" s="4">
        <v>194</v>
      </c>
      <c r="T1117" s="19">
        <f>(ProductionData[[#This Row],[Rejected_Qty]])/ProductionData[[#This Row],[Produced_Qty]]</f>
        <v>2.131868131868132E-2</v>
      </c>
      <c r="U1117" s="19">
        <f>ProductionData[[#This Row],[Produced_Qty]]/ProductionData[[#This Row],[Planned_Qty]]</f>
        <v>0.95188284518828448</v>
      </c>
      <c r="V1117" s="2" t="s">
        <v>109</v>
      </c>
      <c r="W1117" s="11">
        <v>0</v>
      </c>
      <c r="X1117" s="13">
        <f>W1117/60</f>
        <v>0</v>
      </c>
      <c r="Y1117" s="2" t="s">
        <v>90</v>
      </c>
      <c r="Z1117" s="2">
        <v>17</v>
      </c>
      <c r="AA1117" s="2">
        <f>ProductionData[[#This Row],[Rejected_Qty]]*ProductionData[[#This Row],[Unit_Cost_INR]]</f>
        <v>3298</v>
      </c>
      <c r="AB1117" s="4">
        <v>29693</v>
      </c>
      <c r="AC1117" s="4">
        <v>9000</v>
      </c>
      <c r="AD1117" s="4">
        <v>9000</v>
      </c>
      <c r="AE1117" s="4">
        <v>29599</v>
      </c>
      <c r="AF1117" s="4">
        <v>13500</v>
      </c>
    </row>
    <row r="1118" spans="1:32">
      <c r="A1118" s="2" t="s">
        <v>2367</v>
      </c>
      <c r="B1118" s="3">
        <v>46211</v>
      </c>
      <c r="C1118" s="36" t="s">
        <v>2128</v>
      </c>
      <c r="D1118" s="2">
        <f>MONTH(ProductionData[[#This Row],[Month]])</f>
        <v>7</v>
      </c>
      <c r="E1118" s="2" t="s">
        <v>79</v>
      </c>
      <c r="F1118" s="2" t="s">
        <v>80</v>
      </c>
      <c r="G1118" s="2" t="s">
        <v>195</v>
      </c>
      <c r="H1118" s="2" t="s">
        <v>196</v>
      </c>
      <c r="I1118" s="2" t="s">
        <v>197</v>
      </c>
      <c r="J1118" s="2" t="s">
        <v>269</v>
      </c>
      <c r="K1118" s="2" t="s">
        <v>270</v>
      </c>
      <c r="L1118" s="2" t="s">
        <v>2368</v>
      </c>
      <c r="M1118" s="2" t="s">
        <v>102</v>
      </c>
      <c r="N1118" s="2" t="s">
        <v>96</v>
      </c>
      <c r="O1118" s="2">
        <v>14</v>
      </c>
      <c r="P1118" s="2">
        <v>14</v>
      </c>
      <c r="Q1118" s="4">
        <v>8460</v>
      </c>
      <c r="R1118" s="4">
        <v>8340</v>
      </c>
      <c r="S1118" s="4">
        <v>298</v>
      </c>
      <c r="T1118" s="19">
        <f>(ProductionData[[#This Row],[Rejected_Qty]])/ProductionData[[#This Row],[Produced_Qty]]</f>
        <v>3.5731414868105514E-2</v>
      </c>
      <c r="U1118" s="19">
        <f>ProductionData[[#This Row],[Produced_Qty]]/ProductionData[[#This Row],[Planned_Qty]]</f>
        <v>0.98581560283687941</v>
      </c>
      <c r="V1118" s="2" t="s">
        <v>113</v>
      </c>
      <c r="W1118" s="11">
        <v>0</v>
      </c>
      <c r="X1118" s="13">
        <f>W1118/60</f>
        <v>0</v>
      </c>
      <c r="Y1118" s="2" t="s">
        <v>90</v>
      </c>
      <c r="Z1118" s="2">
        <v>42</v>
      </c>
      <c r="AA1118" s="2">
        <f>ProductionData[[#This Row],[Rejected_Qty]]*ProductionData[[#This Row],[Unit_Cost_INR]]</f>
        <v>12516</v>
      </c>
      <c r="AB1118" s="4">
        <v>28418</v>
      </c>
      <c r="AC1118" s="4">
        <v>6870</v>
      </c>
      <c r="AD1118" s="4">
        <v>6870</v>
      </c>
      <c r="AE1118" s="4">
        <v>29590</v>
      </c>
      <c r="AF1118" s="4">
        <v>12000</v>
      </c>
    </row>
    <row r="1119" spans="1:32">
      <c r="A1119" s="2" t="s">
        <v>2369</v>
      </c>
      <c r="B1119" s="3">
        <v>46218</v>
      </c>
      <c r="C1119" s="36" t="s">
        <v>2128</v>
      </c>
      <c r="D1119" s="2">
        <f>MONTH(ProductionData[[#This Row],[Month]])</f>
        <v>7</v>
      </c>
      <c r="E1119" s="2" t="s">
        <v>79</v>
      </c>
      <c r="F1119" s="2" t="s">
        <v>80</v>
      </c>
      <c r="G1119" s="2" t="s">
        <v>174</v>
      </c>
      <c r="H1119" s="2" t="s">
        <v>175</v>
      </c>
      <c r="I1119" s="2" t="s">
        <v>176</v>
      </c>
      <c r="J1119" s="2" t="s">
        <v>177</v>
      </c>
      <c r="K1119" s="2" t="s">
        <v>178</v>
      </c>
      <c r="L1119" s="2" t="s">
        <v>2370</v>
      </c>
      <c r="M1119" s="2" t="s">
        <v>87</v>
      </c>
      <c r="N1119" s="2" t="s">
        <v>88</v>
      </c>
      <c r="O1119" s="2">
        <v>10</v>
      </c>
      <c r="P1119" s="2">
        <v>9</v>
      </c>
      <c r="Q1119" s="4">
        <v>8300</v>
      </c>
      <c r="R1119" s="4">
        <v>7520</v>
      </c>
      <c r="S1119" s="4">
        <v>169</v>
      </c>
      <c r="T1119" s="19">
        <f>(ProductionData[[#This Row],[Rejected_Qty]])/ProductionData[[#This Row],[Produced_Qty]]</f>
        <v>2.247340425531915E-2</v>
      </c>
      <c r="U1119" s="19">
        <f>ProductionData[[#This Row],[Produced_Qty]]/ProductionData[[#This Row],[Planned_Qty]]</f>
        <v>0.90602409638554215</v>
      </c>
      <c r="V1119" s="2" t="s">
        <v>109</v>
      </c>
      <c r="W1119" s="11">
        <v>0</v>
      </c>
      <c r="X1119" s="13">
        <f>W1119/60</f>
        <v>0</v>
      </c>
      <c r="Y1119" s="2" t="s">
        <v>90</v>
      </c>
      <c r="Z1119" s="2">
        <v>24</v>
      </c>
      <c r="AA1119" s="2">
        <f>ProductionData[[#This Row],[Rejected_Qty]]*ProductionData[[#This Row],[Unit_Cost_INR]]</f>
        <v>4056</v>
      </c>
      <c r="AB1119" s="4">
        <v>30245</v>
      </c>
      <c r="AC1119" s="4">
        <v>8110</v>
      </c>
      <c r="AD1119" s="4">
        <v>8110</v>
      </c>
      <c r="AE1119" s="4">
        <v>29486</v>
      </c>
      <c r="AF1119" s="4">
        <v>12000</v>
      </c>
    </row>
    <row r="1120" spans="1:32">
      <c r="A1120" s="2" t="s">
        <v>2371</v>
      </c>
      <c r="B1120" s="3">
        <v>46232</v>
      </c>
      <c r="C1120" s="36" t="s">
        <v>2128</v>
      </c>
      <c r="D1120" s="2">
        <f>MONTH(ProductionData[[#This Row],[Month]])</f>
        <v>7</v>
      </c>
      <c r="E1120" s="2" t="s">
        <v>79</v>
      </c>
      <c r="F1120" s="2" t="s">
        <v>80</v>
      </c>
      <c r="G1120" s="2" t="s">
        <v>81</v>
      </c>
      <c r="H1120" s="2" t="s">
        <v>82</v>
      </c>
      <c r="I1120" s="2" t="s">
        <v>83</v>
      </c>
      <c r="J1120" s="2" t="s">
        <v>166</v>
      </c>
      <c r="K1120" s="2" t="s">
        <v>167</v>
      </c>
      <c r="L1120" s="2" t="s">
        <v>2372</v>
      </c>
      <c r="M1120" s="2" t="s">
        <v>87</v>
      </c>
      <c r="N1120" s="2" t="s">
        <v>88</v>
      </c>
      <c r="O1120" s="2">
        <v>18</v>
      </c>
      <c r="P1120" s="2">
        <v>18</v>
      </c>
      <c r="Q1120" s="4">
        <v>9290</v>
      </c>
      <c r="R1120" s="4">
        <v>8680</v>
      </c>
      <c r="S1120" s="4">
        <v>165</v>
      </c>
      <c r="T1120" s="19">
        <f>(ProductionData[[#This Row],[Rejected_Qty]])/ProductionData[[#This Row],[Produced_Qty]]</f>
        <v>1.9009216589861752E-2</v>
      </c>
      <c r="U1120" s="19">
        <f>ProductionData[[#This Row],[Produced_Qty]]/ProductionData[[#This Row],[Planned_Qty]]</f>
        <v>0.93433799784714744</v>
      </c>
      <c r="V1120" s="2" t="s">
        <v>113</v>
      </c>
      <c r="W1120" s="11">
        <v>0</v>
      </c>
      <c r="X1120" s="13">
        <f>W1120/60</f>
        <v>0</v>
      </c>
      <c r="Y1120" s="2" t="s">
        <v>90</v>
      </c>
      <c r="Z1120" s="2">
        <v>17</v>
      </c>
      <c r="AA1120" s="2">
        <f>ProductionData[[#This Row],[Rejected_Qty]]*ProductionData[[#This Row],[Unit_Cost_INR]]</f>
        <v>2805</v>
      </c>
      <c r="AB1120" s="4">
        <v>30409</v>
      </c>
      <c r="AC1120" s="4">
        <v>9510</v>
      </c>
      <c r="AD1120" s="4">
        <v>9510</v>
      </c>
      <c r="AE1120" s="4">
        <v>29414</v>
      </c>
      <c r="AF1120" s="4">
        <v>13500</v>
      </c>
    </row>
    <row r="1121" spans="1:32">
      <c r="A1121" s="2" t="s">
        <v>2373</v>
      </c>
      <c r="B1121" s="3">
        <v>46217</v>
      </c>
      <c r="C1121" s="36" t="s">
        <v>2128</v>
      </c>
      <c r="D1121" s="2">
        <f>MONTH(ProductionData[[#This Row],[Month]])</f>
        <v>7</v>
      </c>
      <c r="E1121" s="2" t="s">
        <v>92</v>
      </c>
      <c r="F1121" s="2" t="s">
        <v>93</v>
      </c>
      <c r="G1121" s="2" t="s">
        <v>195</v>
      </c>
      <c r="H1121" s="2" t="s">
        <v>196</v>
      </c>
      <c r="I1121" s="2" t="s">
        <v>197</v>
      </c>
      <c r="J1121" s="2" t="s">
        <v>269</v>
      </c>
      <c r="K1121" s="2" t="s">
        <v>270</v>
      </c>
      <c r="L1121" s="2" t="s">
        <v>2374</v>
      </c>
      <c r="M1121" s="2" t="s">
        <v>95</v>
      </c>
      <c r="N1121" s="2" t="s">
        <v>96</v>
      </c>
      <c r="O1121" s="2">
        <v>14</v>
      </c>
      <c r="P1121" s="2">
        <v>11</v>
      </c>
      <c r="Q1121" s="4">
        <v>8180</v>
      </c>
      <c r="R1121" s="4">
        <v>6980</v>
      </c>
      <c r="S1121" s="4">
        <v>187</v>
      </c>
      <c r="T1121" s="19">
        <f>(ProductionData[[#This Row],[Rejected_Qty]])/ProductionData[[#This Row],[Produced_Qty]]</f>
        <v>2.6790830945558741E-2</v>
      </c>
      <c r="U1121" s="19">
        <f>ProductionData[[#This Row],[Produced_Qty]]/ProductionData[[#This Row],[Planned_Qty]]</f>
        <v>0.85330073349633251</v>
      </c>
      <c r="V1121" s="2" t="s">
        <v>113</v>
      </c>
      <c r="W1121" s="11">
        <v>0</v>
      </c>
      <c r="X1121" s="13">
        <f>W1121/60</f>
        <v>0</v>
      </c>
      <c r="Y1121" s="2" t="s">
        <v>90</v>
      </c>
      <c r="Z1121" s="2">
        <v>42</v>
      </c>
      <c r="AA1121" s="2">
        <f>ProductionData[[#This Row],[Rejected_Qty]]*ProductionData[[#This Row],[Unit_Cost_INR]]</f>
        <v>7854</v>
      </c>
      <c r="AB1121" s="4">
        <v>30181</v>
      </c>
      <c r="AC1121" s="4">
        <v>7580</v>
      </c>
      <c r="AD1121" s="4">
        <v>7580</v>
      </c>
      <c r="AE1121" s="4">
        <v>29394</v>
      </c>
      <c r="AF1121" s="4">
        <v>12000</v>
      </c>
    </row>
    <row r="1122" spans="1:32">
      <c r="A1122" s="2" t="s">
        <v>2375</v>
      </c>
      <c r="B1122" s="3">
        <v>46221</v>
      </c>
      <c r="C1122" s="36" t="s">
        <v>2128</v>
      </c>
      <c r="D1122" s="2">
        <f>MONTH(ProductionData[[#This Row],[Month]])</f>
        <v>7</v>
      </c>
      <c r="E1122" s="2" t="s">
        <v>65</v>
      </c>
      <c r="F1122" s="2" t="s">
        <v>80</v>
      </c>
      <c r="G1122" s="2" t="s">
        <v>174</v>
      </c>
      <c r="H1122" s="2" t="s">
        <v>175</v>
      </c>
      <c r="I1122" s="2" t="s">
        <v>176</v>
      </c>
      <c r="J1122" s="2" t="s">
        <v>177</v>
      </c>
      <c r="K1122" s="2" t="s">
        <v>178</v>
      </c>
      <c r="L1122" s="2" t="s">
        <v>2376</v>
      </c>
      <c r="M1122" s="2" t="s">
        <v>87</v>
      </c>
      <c r="N1122" s="2" t="s">
        <v>96</v>
      </c>
      <c r="O1122" s="2">
        <v>10</v>
      </c>
      <c r="P1122" s="2">
        <v>10</v>
      </c>
      <c r="Q1122" s="4">
        <v>8450</v>
      </c>
      <c r="R1122" s="4">
        <v>8160</v>
      </c>
      <c r="S1122" s="4">
        <v>217</v>
      </c>
      <c r="T1122" s="19">
        <f>(ProductionData[[#This Row],[Rejected_Qty]])/ProductionData[[#This Row],[Produced_Qty]]</f>
        <v>2.659313725490196E-2</v>
      </c>
      <c r="U1122" s="19">
        <f>ProductionData[[#This Row],[Produced_Qty]]/ProductionData[[#This Row],[Planned_Qty]]</f>
        <v>0.96568047337278107</v>
      </c>
      <c r="V1122" s="2" t="s">
        <v>75</v>
      </c>
      <c r="W1122" s="11">
        <v>0</v>
      </c>
      <c r="X1122" s="13">
        <f>W1122/60</f>
        <v>0</v>
      </c>
      <c r="Y1122" s="2" t="s">
        <v>90</v>
      </c>
      <c r="Z1122" s="2">
        <v>24</v>
      </c>
      <c r="AA1122" s="2">
        <f>ProductionData[[#This Row],[Rejected_Qty]]*ProductionData[[#This Row],[Unit_Cost_INR]]</f>
        <v>5208</v>
      </c>
      <c r="AB1122" s="4">
        <v>29486</v>
      </c>
      <c r="AC1122" s="4">
        <v>8040</v>
      </c>
      <c r="AD1122" s="4">
        <v>8040</v>
      </c>
      <c r="AE1122" s="4">
        <v>29389</v>
      </c>
      <c r="AF1122" s="4">
        <v>12000</v>
      </c>
    </row>
    <row r="1123" spans="1:32">
      <c r="A1123" s="2" t="s">
        <v>2377</v>
      </c>
      <c r="B1123" s="3">
        <v>46228</v>
      </c>
      <c r="C1123" s="36" t="s">
        <v>2128</v>
      </c>
      <c r="D1123" s="2">
        <f>MONTH(ProductionData[[#This Row],[Month]])</f>
        <v>7</v>
      </c>
      <c r="E1123" s="2" t="s">
        <v>65</v>
      </c>
      <c r="F1123" s="2" t="s">
        <v>80</v>
      </c>
      <c r="G1123" s="2" t="s">
        <v>81</v>
      </c>
      <c r="H1123" s="2" t="s">
        <v>82</v>
      </c>
      <c r="I1123" s="2" t="s">
        <v>83</v>
      </c>
      <c r="J1123" s="2" t="s">
        <v>166</v>
      </c>
      <c r="K1123" s="2" t="s">
        <v>167</v>
      </c>
      <c r="L1123" s="2" t="s">
        <v>2378</v>
      </c>
      <c r="M1123" s="2" t="s">
        <v>102</v>
      </c>
      <c r="N1123" s="2" t="s">
        <v>88</v>
      </c>
      <c r="O1123" s="2">
        <v>18</v>
      </c>
      <c r="P1123" s="2">
        <v>17</v>
      </c>
      <c r="Q1123" s="4">
        <v>9320</v>
      </c>
      <c r="R1123" s="4">
        <v>8670</v>
      </c>
      <c r="S1123" s="4">
        <v>292</v>
      </c>
      <c r="T1123" s="19">
        <f>(ProductionData[[#This Row],[Rejected_Qty]])/ProductionData[[#This Row],[Produced_Qty]]</f>
        <v>3.3679354094579006E-2</v>
      </c>
      <c r="U1123" s="19">
        <f>ProductionData[[#This Row],[Produced_Qty]]/ProductionData[[#This Row],[Planned_Qty]]</f>
        <v>0.93025751072961371</v>
      </c>
      <c r="V1123" s="2" t="s">
        <v>89</v>
      </c>
      <c r="W1123" s="11">
        <v>0</v>
      </c>
      <c r="X1123" s="13">
        <f>W1123/60</f>
        <v>0</v>
      </c>
      <c r="Y1123" s="2" t="s">
        <v>90</v>
      </c>
      <c r="Z1123" s="2">
        <v>17</v>
      </c>
      <c r="AA1123" s="2">
        <f>ProductionData[[#This Row],[Rejected_Qty]]*ProductionData[[#This Row],[Unit_Cost_INR]]</f>
        <v>4964</v>
      </c>
      <c r="AB1123" s="4">
        <v>29615</v>
      </c>
      <c r="AC1123" s="4">
        <v>8660</v>
      </c>
      <c r="AD1123" s="4">
        <v>8660</v>
      </c>
      <c r="AE1123" s="4">
        <v>29333</v>
      </c>
      <c r="AF1123" s="4">
        <v>13500</v>
      </c>
    </row>
    <row r="1124" spans="1:32">
      <c r="A1124" s="2" t="s">
        <v>2379</v>
      </c>
      <c r="B1124" s="3">
        <v>46226</v>
      </c>
      <c r="C1124" s="36" t="s">
        <v>2128</v>
      </c>
      <c r="D1124" s="2">
        <f>MONTH(ProductionData[[#This Row],[Month]])</f>
        <v>7</v>
      </c>
      <c r="E1124" s="2" t="s">
        <v>107</v>
      </c>
      <c r="F1124" s="2" t="s">
        <v>93</v>
      </c>
      <c r="G1124" s="2" t="s">
        <v>195</v>
      </c>
      <c r="H1124" s="2" t="s">
        <v>196</v>
      </c>
      <c r="I1124" s="2" t="s">
        <v>197</v>
      </c>
      <c r="J1124" s="2" t="s">
        <v>269</v>
      </c>
      <c r="K1124" s="2" t="s">
        <v>270</v>
      </c>
      <c r="L1124" s="2" t="s">
        <v>2380</v>
      </c>
      <c r="M1124" s="2" t="s">
        <v>95</v>
      </c>
      <c r="N1124" s="2" t="s">
        <v>96</v>
      </c>
      <c r="O1124" s="2">
        <v>14</v>
      </c>
      <c r="P1124" s="2">
        <v>12</v>
      </c>
      <c r="Q1124" s="4">
        <v>7710</v>
      </c>
      <c r="R1124" s="4">
        <v>6230</v>
      </c>
      <c r="S1124" s="4">
        <v>71</v>
      </c>
      <c r="T1124" s="19">
        <f>(ProductionData[[#This Row],[Rejected_Qty]])/ProductionData[[#This Row],[Produced_Qty]]</f>
        <v>1.1396468699839487E-2</v>
      </c>
      <c r="U1124" s="19">
        <f>ProductionData[[#This Row],[Produced_Qty]]/ProductionData[[#This Row],[Planned_Qty]]</f>
        <v>0.80804150453955903</v>
      </c>
      <c r="V1124" s="2" t="s">
        <v>113</v>
      </c>
      <c r="W1124" s="11">
        <v>0</v>
      </c>
      <c r="X1124" s="13">
        <f>W1124/60</f>
        <v>0</v>
      </c>
      <c r="Y1124" s="2" t="s">
        <v>90</v>
      </c>
      <c r="Z1124" s="2">
        <v>42</v>
      </c>
      <c r="AA1124" s="2">
        <f>ProductionData[[#This Row],[Rejected_Qty]]*ProductionData[[#This Row],[Unit_Cost_INR]]</f>
        <v>2982</v>
      </c>
      <c r="AB1124" s="4">
        <v>29984</v>
      </c>
      <c r="AC1124" s="4">
        <v>6850</v>
      </c>
      <c r="AD1124" s="4">
        <v>6850</v>
      </c>
      <c r="AE1124" s="4">
        <v>29293</v>
      </c>
      <c r="AF1124" s="4">
        <v>12000</v>
      </c>
    </row>
    <row r="1125" spans="1:32">
      <c r="A1125" s="2" t="s">
        <v>2381</v>
      </c>
      <c r="B1125" s="3">
        <v>46218</v>
      </c>
      <c r="C1125" s="36" t="s">
        <v>2128</v>
      </c>
      <c r="D1125" s="2">
        <f>MONTH(ProductionData[[#This Row],[Month]])</f>
        <v>7</v>
      </c>
      <c r="E1125" s="2" t="s">
        <v>79</v>
      </c>
      <c r="F1125" s="2" t="s">
        <v>66</v>
      </c>
      <c r="G1125" s="2" t="s">
        <v>195</v>
      </c>
      <c r="H1125" s="2" t="s">
        <v>196</v>
      </c>
      <c r="I1125" s="2" t="s">
        <v>197</v>
      </c>
      <c r="J1125" s="2" t="s">
        <v>269</v>
      </c>
      <c r="K1125" s="2" t="s">
        <v>270</v>
      </c>
      <c r="L1125" s="2" t="s">
        <v>2382</v>
      </c>
      <c r="M1125" s="2" t="s">
        <v>99</v>
      </c>
      <c r="N1125" s="2" t="s">
        <v>88</v>
      </c>
      <c r="O1125" s="2">
        <v>14</v>
      </c>
      <c r="P1125" s="2">
        <v>13</v>
      </c>
      <c r="Q1125" s="4">
        <v>8330</v>
      </c>
      <c r="R1125" s="4">
        <v>7800</v>
      </c>
      <c r="S1125" s="4">
        <v>239</v>
      </c>
      <c r="T1125" s="19">
        <f>(ProductionData[[#This Row],[Rejected_Qty]])/ProductionData[[#This Row],[Produced_Qty]]</f>
        <v>3.0641025641025641E-2</v>
      </c>
      <c r="U1125" s="19">
        <f>ProductionData[[#This Row],[Produced_Qty]]/ProductionData[[#This Row],[Planned_Qty]]</f>
        <v>0.93637454981992796</v>
      </c>
      <c r="V1125" s="2" t="s">
        <v>75</v>
      </c>
      <c r="W1125" s="11">
        <v>0</v>
      </c>
      <c r="X1125" s="13">
        <f>W1125/60</f>
        <v>0</v>
      </c>
      <c r="Y1125" s="2" t="s">
        <v>90</v>
      </c>
      <c r="Z1125" s="2">
        <v>42</v>
      </c>
      <c r="AA1125" s="2">
        <f>ProductionData[[#This Row],[Rejected_Qty]]*ProductionData[[#This Row],[Unit_Cost_INR]]</f>
        <v>10038</v>
      </c>
      <c r="AB1125" s="4">
        <v>29394</v>
      </c>
      <c r="AC1125" s="4">
        <v>7670</v>
      </c>
      <c r="AD1125" s="4">
        <v>7670</v>
      </c>
      <c r="AE1125" s="4">
        <v>29285</v>
      </c>
      <c r="AF1125" s="4">
        <v>12000</v>
      </c>
    </row>
    <row r="1126" spans="1:32">
      <c r="A1126" s="2" t="s">
        <v>2383</v>
      </c>
      <c r="B1126" s="3">
        <v>46220</v>
      </c>
      <c r="C1126" s="36" t="s">
        <v>2128</v>
      </c>
      <c r="D1126" s="2">
        <f>MONTH(ProductionData[[#This Row],[Month]])</f>
        <v>7</v>
      </c>
      <c r="E1126" s="2" t="s">
        <v>125</v>
      </c>
      <c r="F1126" s="2" t="s">
        <v>66</v>
      </c>
      <c r="G1126" s="2" t="s">
        <v>195</v>
      </c>
      <c r="H1126" s="2" t="s">
        <v>196</v>
      </c>
      <c r="I1126" s="2" t="s">
        <v>197</v>
      </c>
      <c r="J1126" s="2" t="s">
        <v>269</v>
      </c>
      <c r="K1126" s="2" t="s">
        <v>270</v>
      </c>
      <c r="L1126" s="2" t="s">
        <v>2384</v>
      </c>
      <c r="M1126" s="2" t="s">
        <v>73</v>
      </c>
      <c r="N1126" s="2" t="s">
        <v>88</v>
      </c>
      <c r="O1126" s="2">
        <v>14</v>
      </c>
      <c r="P1126" s="2">
        <v>13</v>
      </c>
      <c r="Q1126" s="4">
        <v>7730</v>
      </c>
      <c r="R1126" s="4">
        <v>7250</v>
      </c>
      <c r="S1126" s="4">
        <v>141</v>
      </c>
      <c r="T1126" s="19">
        <f>(ProductionData[[#This Row],[Rejected_Qty]])/ProductionData[[#This Row],[Produced_Qty]]</f>
        <v>1.9448275862068966E-2</v>
      </c>
      <c r="U1126" s="19">
        <f>ProductionData[[#This Row],[Produced_Qty]]/ProductionData[[#This Row],[Planned_Qty]]</f>
        <v>0.9379042690815006</v>
      </c>
      <c r="V1126" s="2" t="s">
        <v>75</v>
      </c>
      <c r="W1126" s="11">
        <v>68</v>
      </c>
      <c r="X1126" s="13">
        <f>W1126/60</f>
        <v>1.1333333333333333</v>
      </c>
      <c r="Y1126" s="2" t="s">
        <v>182</v>
      </c>
      <c r="Z1126" s="2">
        <v>42</v>
      </c>
      <c r="AA1126" s="2">
        <f>ProductionData[[#This Row],[Rejected_Qty]]*ProductionData[[#This Row],[Unit_Cost_INR]]</f>
        <v>5922</v>
      </c>
      <c r="AB1126" s="4">
        <v>29153</v>
      </c>
      <c r="AC1126" s="4">
        <v>7020</v>
      </c>
      <c r="AD1126" s="4">
        <v>7020</v>
      </c>
      <c r="AE1126" s="4">
        <v>29242</v>
      </c>
      <c r="AF1126" s="4">
        <v>12000</v>
      </c>
    </row>
    <row r="1127" spans="1:32">
      <c r="A1127" s="2" t="s">
        <v>2385</v>
      </c>
      <c r="B1127" s="3">
        <v>46233</v>
      </c>
      <c r="C1127" s="36" t="s">
        <v>2128</v>
      </c>
      <c r="D1127" s="2">
        <f>MONTH(ProductionData[[#This Row],[Month]])</f>
        <v>7</v>
      </c>
      <c r="E1127" s="2" t="s">
        <v>107</v>
      </c>
      <c r="F1127" s="2" t="s">
        <v>66</v>
      </c>
      <c r="G1127" s="2" t="s">
        <v>81</v>
      </c>
      <c r="H1127" s="2" t="s">
        <v>82</v>
      </c>
      <c r="I1127" s="2" t="s">
        <v>83</v>
      </c>
      <c r="J1127" s="2" t="s">
        <v>166</v>
      </c>
      <c r="K1127" s="2" t="s">
        <v>167</v>
      </c>
      <c r="L1127" s="2" t="s">
        <v>2386</v>
      </c>
      <c r="M1127" s="2" t="s">
        <v>99</v>
      </c>
      <c r="N1127" s="2" t="s">
        <v>88</v>
      </c>
      <c r="O1127" s="2">
        <v>18</v>
      </c>
      <c r="P1127" s="2">
        <v>17</v>
      </c>
      <c r="Q1127" s="4">
        <v>8440</v>
      </c>
      <c r="R1127" s="4">
        <v>7630</v>
      </c>
      <c r="S1127" s="4">
        <v>228</v>
      </c>
      <c r="T1127" s="19">
        <f>(ProductionData[[#This Row],[Rejected_Qty]])/ProductionData[[#This Row],[Produced_Qty]]</f>
        <v>2.9882044560943642E-2</v>
      </c>
      <c r="U1127" s="19">
        <f>ProductionData[[#This Row],[Produced_Qty]]/ProductionData[[#This Row],[Planned_Qty]]</f>
        <v>0.90402843601895733</v>
      </c>
      <c r="V1127" s="2" t="s">
        <v>113</v>
      </c>
      <c r="W1127" s="11">
        <v>0</v>
      </c>
      <c r="X1127" s="13">
        <f>W1127/60</f>
        <v>0</v>
      </c>
      <c r="Y1127" s="2" t="s">
        <v>90</v>
      </c>
      <c r="Z1127" s="2">
        <v>17</v>
      </c>
      <c r="AA1127" s="2">
        <f>ProductionData[[#This Row],[Rejected_Qty]]*ProductionData[[#This Row],[Unit_Cost_INR]]</f>
        <v>3876</v>
      </c>
      <c r="AB1127" s="4">
        <v>29414</v>
      </c>
      <c r="AC1127" s="4">
        <v>7580</v>
      </c>
      <c r="AD1127" s="4">
        <v>7580</v>
      </c>
      <c r="AE1127" s="4">
        <v>29236</v>
      </c>
      <c r="AF1127" s="4">
        <v>13500</v>
      </c>
    </row>
    <row r="1128" spans="1:32">
      <c r="A1128" s="2" t="s">
        <v>2387</v>
      </c>
      <c r="B1128" s="3">
        <v>46218</v>
      </c>
      <c r="C1128" s="36" t="s">
        <v>2128</v>
      </c>
      <c r="D1128" s="2">
        <f>MONTH(ProductionData[[#This Row],[Month]])</f>
        <v>7</v>
      </c>
      <c r="E1128" s="2" t="s">
        <v>79</v>
      </c>
      <c r="F1128" s="2" t="s">
        <v>93</v>
      </c>
      <c r="G1128" s="2" t="s">
        <v>195</v>
      </c>
      <c r="H1128" s="2" t="s">
        <v>196</v>
      </c>
      <c r="I1128" s="2" t="s">
        <v>197</v>
      </c>
      <c r="J1128" s="2" t="s">
        <v>269</v>
      </c>
      <c r="K1128" s="2" t="s">
        <v>270</v>
      </c>
      <c r="L1128" s="2" t="s">
        <v>2388</v>
      </c>
      <c r="M1128" s="2" t="s">
        <v>95</v>
      </c>
      <c r="N1128" s="2" t="s">
        <v>88</v>
      </c>
      <c r="O1128" s="2">
        <v>14</v>
      </c>
      <c r="P1128" s="2">
        <v>14</v>
      </c>
      <c r="Q1128" s="4">
        <v>8050</v>
      </c>
      <c r="R1128" s="4">
        <v>7850</v>
      </c>
      <c r="S1128" s="4">
        <v>208</v>
      </c>
      <c r="T1128" s="19">
        <f>(ProductionData[[#This Row],[Rejected_Qty]])/ProductionData[[#This Row],[Produced_Qty]]</f>
        <v>2.6496815286624203E-2</v>
      </c>
      <c r="U1128" s="19">
        <f>ProductionData[[#This Row],[Produced_Qty]]/ProductionData[[#This Row],[Planned_Qty]]</f>
        <v>0.97515527950310554</v>
      </c>
      <c r="V1128" s="2" t="s">
        <v>89</v>
      </c>
      <c r="W1128" s="11">
        <v>0</v>
      </c>
      <c r="X1128" s="13">
        <f>W1128/60</f>
        <v>0</v>
      </c>
      <c r="Y1128" s="2" t="s">
        <v>90</v>
      </c>
      <c r="Z1128" s="2">
        <v>42</v>
      </c>
      <c r="AA1128" s="2">
        <f>ProductionData[[#This Row],[Rejected_Qty]]*ProductionData[[#This Row],[Unit_Cost_INR]]</f>
        <v>8736</v>
      </c>
      <c r="AB1128" s="4">
        <v>28481</v>
      </c>
      <c r="AC1128" s="4">
        <v>6920</v>
      </c>
      <c r="AD1128" s="4">
        <v>6920</v>
      </c>
      <c r="AE1128" s="4">
        <v>29203</v>
      </c>
      <c r="AF1128" s="4">
        <v>12000</v>
      </c>
    </row>
    <row r="1129" spans="1:32">
      <c r="A1129" s="2" t="s">
        <v>2389</v>
      </c>
      <c r="B1129" s="3">
        <v>46230</v>
      </c>
      <c r="C1129" s="36" t="s">
        <v>2128</v>
      </c>
      <c r="D1129" s="2">
        <f>MONTH(ProductionData[[#This Row],[Month]])</f>
        <v>7</v>
      </c>
      <c r="E1129" s="2" t="s">
        <v>116</v>
      </c>
      <c r="F1129" s="2" t="s">
        <v>66</v>
      </c>
      <c r="G1129" s="2" t="s">
        <v>81</v>
      </c>
      <c r="H1129" s="2" t="s">
        <v>82</v>
      </c>
      <c r="I1129" s="2" t="s">
        <v>83</v>
      </c>
      <c r="J1129" s="2" t="s">
        <v>166</v>
      </c>
      <c r="K1129" s="2" t="s">
        <v>167</v>
      </c>
      <c r="L1129" s="2" t="s">
        <v>2390</v>
      </c>
      <c r="M1129" s="2" t="s">
        <v>73</v>
      </c>
      <c r="N1129" s="2" t="s">
        <v>96</v>
      </c>
      <c r="O1129" s="2">
        <v>18</v>
      </c>
      <c r="P1129" s="2">
        <v>16</v>
      </c>
      <c r="Q1129" s="4">
        <v>8540</v>
      </c>
      <c r="R1129" s="4">
        <v>7970</v>
      </c>
      <c r="S1129" s="4">
        <v>106</v>
      </c>
      <c r="T1129" s="19">
        <f>(ProductionData[[#This Row],[Rejected_Qty]])/ProductionData[[#This Row],[Produced_Qty]]</f>
        <v>1.3299874529485571E-2</v>
      </c>
      <c r="U1129" s="19">
        <f>ProductionData[[#This Row],[Produced_Qty]]/ProductionData[[#This Row],[Planned_Qty]]</f>
        <v>0.93325526932084313</v>
      </c>
      <c r="V1129" s="2" t="s">
        <v>113</v>
      </c>
      <c r="W1129" s="11">
        <v>0</v>
      </c>
      <c r="X1129" s="13">
        <f>W1129/60</f>
        <v>0</v>
      </c>
      <c r="Y1129" s="2" t="s">
        <v>90</v>
      </c>
      <c r="Z1129" s="2">
        <v>17</v>
      </c>
      <c r="AA1129" s="2">
        <f>ProductionData[[#This Row],[Rejected_Qty]]*ProductionData[[#This Row],[Unit_Cost_INR]]</f>
        <v>1802</v>
      </c>
      <c r="AB1129" s="4">
        <v>29735</v>
      </c>
      <c r="AC1129" s="4">
        <v>8400</v>
      </c>
      <c r="AD1129" s="4">
        <v>8400</v>
      </c>
      <c r="AE1129" s="4">
        <v>29199</v>
      </c>
      <c r="AF1129" s="4">
        <v>13500</v>
      </c>
    </row>
    <row r="1130" spans="1:32">
      <c r="A1130" s="2" t="s">
        <v>2391</v>
      </c>
      <c r="B1130" s="3">
        <v>46217</v>
      </c>
      <c r="C1130" s="36" t="s">
        <v>2128</v>
      </c>
      <c r="D1130" s="2">
        <f>MONTH(ProductionData[[#This Row],[Month]])</f>
        <v>7</v>
      </c>
      <c r="E1130" s="2" t="s">
        <v>92</v>
      </c>
      <c r="F1130" s="2" t="s">
        <v>66</v>
      </c>
      <c r="G1130" s="2" t="s">
        <v>81</v>
      </c>
      <c r="H1130" s="2" t="s">
        <v>82</v>
      </c>
      <c r="I1130" s="2" t="s">
        <v>83</v>
      </c>
      <c r="J1130" s="2" t="s">
        <v>166</v>
      </c>
      <c r="K1130" s="2" t="s">
        <v>167</v>
      </c>
      <c r="L1130" s="2" t="s">
        <v>2392</v>
      </c>
      <c r="M1130" s="2" t="s">
        <v>73</v>
      </c>
      <c r="N1130" s="2" t="s">
        <v>96</v>
      </c>
      <c r="O1130" s="2">
        <v>18</v>
      </c>
      <c r="P1130" s="2">
        <v>18</v>
      </c>
      <c r="Q1130" s="4">
        <v>9280</v>
      </c>
      <c r="R1130" s="4">
        <v>8930</v>
      </c>
      <c r="S1130" s="4">
        <v>153</v>
      </c>
      <c r="T1130" s="19">
        <f>(ProductionData[[#This Row],[Rejected_Qty]])/ProductionData[[#This Row],[Produced_Qty]]</f>
        <v>1.7133258678611422E-2</v>
      </c>
      <c r="U1130" s="19">
        <f>ProductionData[[#This Row],[Produced_Qty]]/ProductionData[[#This Row],[Planned_Qty]]</f>
        <v>0.96228448275862066</v>
      </c>
      <c r="V1130" s="2" t="s">
        <v>113</v>
      </c>
      <c r="W1130" s="11">
        <v>46</v>
      </c>
      <c r="X1130" s="13">
        <f>W1130/60</f>
        <v>0.76666666666666672</v>
      </c>
      <c r="Y1130" s="2" t="s">
        <v>110</v>
      </c>
      <c r="Z1130" s="2">
        <v>17</v>
      </c>
      <c r="AA1130" s="2">
        <f>ProductionData[[#This Row],[Rejected_Qty]]*ProductionData[[#This Row],[Unit_Cost_INR]]</f>
        <v>2601</v>
      </c>
      <c r="AB1130" s="4">
        <v>28630</v>
      </c>
      <c r="AC1130" s="4">
        <v>8210</v>
      </c>
      <c r="AD1130" s="4">
        <v>8210</v>
      </c>
      <c r="AE1130" s="4">
        <v>29197</v>
      </c>
      <c r="AF1130" s="4">
        <v>13500</v>
      </c>
    </row>
    <row r="1131" spans="1:32">
      <c r="A1131" s="2" t="s">
        <v>2393</v>
      </c>
      <c r="B1131" s="3">
        <v>46221</v>
      </c>
      <c r="C1131" s="36" t="s">
        <v>2128</v>
      </c>
      <c r="D1131" s="2">
        <f>MONTH(ProductionData[[#This Row],[Month]])</f>
        <v>7</v>
      </c>
      <c r="E1131" s="2" t="s">
        <v>65</v>
      </c>
      <c r="F1131" s="2" t="s">
        <v>93</v>
      </c>
      <c r="G1131" s="2" t="s">
        <v>195</v>
      </c>
      <c r="H1131" s="2" t="s">
        <v>196</v>
      </c>
      <c r="I1131" s="2" t="s">
        <v>197</v>
      </c>
      <c r="J1131" s="2" t="s">
        <v>269</v>
      </c>
      <c r="K1131" s="2" t="s">
        <v>270</v>
      </c>
      <c r="L1131" s="2" t="s">
        <v>2394</v>
      </c>
      <c r="M1131" s="2" t="s">
        <v>133</v>
      </c>
      <c r="N1131" s="2" t="s">
        <v>88</v>
      </c>
      <c r="O1131" s="2">
        <v>14</v>
      </c>
      <c r="P1131" s="2">
        <v>13</v>
      </c>
      <c r="Q1131" s="4">
        <v>8040</v>
      </c>
      <c r="R1131" s="4">
        <v>7520</v>
      </c>
      <c r="S1131" s="4">
        <v>179</v>
      </c>
      <c r="T1131" s="19">
        <f>(ProductionData[[#This Row],[Rejected_Qty]])/ProductionData[[#This Row],[Produced_Qty]]</f>
        <v>2.3803191489361702E-2</v>
      </c>
      <c r="U1131" s="19">
        <f>ProductionData[[#This Row],[Produced_Qty]]/ProductionData[[#This Row],[Planned_Qty]]</f>
        <v>0.93532338308457708</v>
      </c>
      <c r="V1131" s="2" t="s">
        <v>103</v>
      </c>
      <c r="W1131" s="11">
        <v>52</v>
      </c>
      <c r="X1131" s="13">
        <f>W1131/60</f>
        <v>0.8666666666666667</v>
      </c>
      <c r="Y1131" s="2" t="s">
        <v>136</v>
      </c>
      <c r="Z1131" s="2">
        <v>42</v>
      </c>
      <c r="AA1131" s="2">
        <f>ProductionData[[#This Row],[Rejected_Qty]]*ProductionData[[#This Row],[Unit_Cost_INR]]</f>
        <v>7518</v>
      </c>
      <c r="AB1131" s="4">
        <v>29242</v>
      </c>
      <c r="AC1131" s="4">
        <v>7390</v>
      </c>
      <c r="AD1131" s="4">
        <v>7390</v>
      </c>
      <c r="AE1131" s="4">
        <v>29193</v>
      </c>
      <c r="AF1131" s="4">
        <v>12000</v>
      </c>
    </row>
    <row r="1132" spans="1:32">
      <c r="A1132" s="2" t="s">
        <v>2395</v>
      </c>
      <c r="B1132" s="3">
        <v>46219</v>
      </c>
      <c r="C1132" s="36" t="s">
        <v>2128</v>
      </c>
      <c r="D1132" s="2">
        <f>MONTH(ProductionData[[#This Row],[Month]])</f>
        <v>7</v>
      </c>
      <c r="E1132" s="2" t="s">
        <v>107</v>
      </c>
      <c r="F1132" s="2" t="s">
        <v>93</v>
      </c>
      <c r="G1132" s="2" t="s">
        <v>195</v>
      </c>
      <c r="H1132" s="2" t="s">
        <v>196</v>
      </c>
      <c r="I1132" s="2" t="s">
        <v>197</v>
      </c>
      <c r="J1132" s="2" t="s">
        <v>269</v>
      </c>
      <c r="K1132" s="2" t="s">
        <v>270</v>
      </c>
      <c r="L1132" s="2" t="s">
        <v>2396</v>
      </c>
      <c r="M1132" s="2" t="s">
        <v>133</v>
      </c>
      <c r="N1132" s="2" t="s">
        <v>88</v>
      </c>
      <c r="O1132" s="2">
        <v>14</v>
      </c>
      <c r="P1132" s="2">
        <v>13</v>
      </c>
      <c r="Q1132" s="4">
        <v>7700</v>
      </c>
      <c r="R1132" s="4">
        <v>7370</v>
      </c>
      <c r="S1132" s="4">
        <v>177</v>
      </c>
      <c r="T1132" s="19">
        <f>(ProductionData[[#This Row],[Rejected_Qty]])/ProductionData[[#This Row],[Produced_Qty]]</f>
        <v>2.401628222523745E-2</v>
      </c>
      <c r="U1132" s="19">
        <f>ProductionData[[#This Row],[Produced_Qty]]/ProductionData[[#This Row],[Planned_Qty]]</f>
        <v>0.95714285714285718</v>
      </c>
      <c r="V1132" s="2" t="s">
        <v>103</v>
      </c>
      <c r="W1132" s="11">
        <v>0</v>
      </c>
      <c r="X1132" s="13">
        <f>W1132/60</f>
        <v>0</v>
      </c>
      <c r="Y1132" s="2" t="s">
        <v>90</v>
      </c>
      <c r="Z1132" s="2">
        <v>42</v>
      </c>
      <c r="AA1132" s="2">
        <f>ProductionData[[#This Row],[Rejected_Qty]]*ProductionData[[#This Row],[Unit_Cost_INR]]</f>
        <v>7434</v>
      </c>
      <c r="AB1132" s="4">
        <v>28350</v>
      </c>
      <c r="AC1132" s="4">
        <v>6390</v>
      </c>
      <c r="AD1132" s="4">
        <v>6390</v>
      </c>
      <c r="AE1132" s="4">
        <v>29153</v>
      </c>
      <c r="AF1132" s="4">
        <v>12000</v>
      </c>
    </row>
    <row r="1133" spans="1:32">
      <c r="A1133" s="2" t="s">
        <v>2397</v>
      </c>
      <c r="B1133" s="3">
        <v>46230</v>
      </c>
      <c r="C1133" s="36" t="s">
        <v>2128</v>
      </c>
      <c r="D1133" s="2">
        <f>MONTH(ProductionData[[#This Row],[Month]])</f>
        <v>7</v>
      </c>
      <c r="E1133" s="2" t="s">
        <v>116</v>
      </c>
      <c r="F1133" s="2" t="s">
        <v>80</v>
      </c>
      <c r="G1133" s="2" t="s">
        <v>81</v>
      </c>
      <c r="H1133" s="2" t="s">
        <v>82</v>
      </c>
      <c r="I1133" s="2" t="s">
        <v>83</v>
      </c>
      <c r="J1133" s="2" t="s">
        <v>166</v>
      </c>
      <c r="K1133" s="2" t="s">
        <v>167</v>
      </c>
      <c r="L1133" s="2" t="s">
        <v>2398</v>
      </c>
      <c r="M1133" s="2" t="s">
        <v>102</v>
      </c>
      <c r="N1133" s="2" t="s">
        <v>96</v>
      </c>
      <c r="O1133" s="2">
        <v>18</v>
      </c>
      <c r="P1133" s="2">
        <v>16</v>
      </c>
      <c r="Q1133" s="4">
        <v>8420</v>
      </c>
      <c r="R1133" s="4">
        <v>7690</v>
      </c>
      <c r="S1133" s="4">
        <v>232</v>
      </c>
      <c r="T1133" s="19">
        <f>(ProductionData[[#This Row],[Rejected_Qty]])/ProductionData[[#This Row],[Produced_Qty]]</f>
        <v>3.0169050715214564E-2</v>
      </c>
      <c r="U1133" s="19">
        <f>ProductionData[[#This Row],[Produced_Qty]]/ProductionData[[#This Row],[Planned_Qty]]</f>
        <v>0.91330166270783852</v>
      </c>
      <c r="V1133" s="2" t="s">
        <v>103</v>
      </c>
      <c r="W1133" s="11">
        <v>44</v>
      </c>
      <c r="X1133" s="13">
        <f>W1133/60</f>
        <v>0.73333333333333328</v>
      </c>
      <c r="Y1133" s="2" t="s">
        <v>76</v>
      </c>
      <c r="Z1133" s="2">
        <v>17</v>
      </c>
      <c r="AA1133" s="2">
        <f>ProductionData[[#This Row],[Rejected_Qty]]*ProductionData[[#This Row],[Unit_Cost_INR]]</f>
        <v>3944</v>
      </c>
      <c r="AB1133" s="4">
        <v>29199</v>
      </c>
      <c r="AC1133" s="4">
        <v>7520</v>
      </c>
      <c r="AD1133" s="4">
        <v>7520</v>
      </c>
      <c r="AE1133" s="4">
        <v>29137</v>
      </c>
      <c r="AF1133" s="4">
        <v>13500</v>
      </c>
    </row>
    <row r="1134" spans="1:32">
      <c r="A1134" s="2" t="s">
        <v>2399</v>
      </c>
      <c r="B1134" s="3">
        <v>46233</v>
      </c>
      <c r="C1134" s="36" t="s">
        <v>2128</v>
      </c>
      <c r="D1134" s="2">
        <f>MONTH(ProductionData[[#This Row],[Month]])</f>
        <v>7</v>
      </c>
      <c r="E1134" s="2" t="s">
        <v>107</v>
      </c>
      <c r="F1134" s="2" t="s">
        <v>80</v>
      </c>
      <c r="G1134" s="2" t="s">
        <v>195</v>
      </c>
      <c r="H1134" s="2" t="s">
        <v>196</v>
      </c>
      <c r="I1134" s="2" t="s">
        <v>197</v>
      </c>
      <c r="J1134" s="2" t="s">
        <v>269</v>
      </c>
      <c r="K1134" s="2" t="s">
        <v>270</v>
      </c>
      <c r="L1134" s="2" t="s">
        <v>2400</v>
      </c>
      <c r="M1134" s="2" t="s">
        <v>87</v>
      </c>
      <c r="N1134" s="2" t="s">
        <v>96</v>
      </c>
      <c r="O1134" s="2">
        <v>14</v>
      </c>
      <c r="P1134" s="2">
        <v>12</v>
      </c>
      <c r="Q1134" s="4">
        <v>8610</v>
      </c>
      <c r="R1134" s="4">
        <v>7340</v>
      </c>
      <c r="S1134" s="4">
        <v>241</v>
      </c>
      <c r="T1134" s="19">
        <f>(ProductionData[[#This Row],[Rejected_Qty]])/ProductionData[[#This Row],[Produced_Qty]]</f>
        <v>3.2833787465940054E-2</v>
      </c>
      <c r="U1134" s="19">
        <f>ProductionData[[#This Row],[Produced_Qty]]/ProductionData[[#This Row],[Planned_Qty]]</f>
        <v>0.85249709639953541</v>
      </c>
      <c r="V1134" s="2" t="s">
        <v>75</v>
      </c>
      <c r="W1134" s="11">
        <v>32</v>
      </c>
      <c r="X1134" s="13">
        <f>W1134/60</f>
        <v>0.53333333333333333</v>
      </c>
      <c r="Y1134" s="2" t="s">
        <v>259</v>
      </c>
      <c r="Z1134" s="2">
        <v>42</v>
      </c>
      <c r="AA1134" s="2">
        <f>ProductionData[[#This Row],[Rejected_Qty]]*ProductionData[[#This Row],[Unit_Cost_INR]]</f>
        <v>10122</v>
      </c>
      <c r="AB1134" s="4">
        <v>29826</v>
      </c>
      <c r="AC1134" s="4">
        <v>7800</v>
      </c>
      <c r="AD1134" s="4">
        <v>7800</v>
      </c>
      <c r="AE1134" s="4">
        <v>29125</v>
      </c>
      <c r="AF1134" s="4">
        <v>12000</v>
      </c>
    </row>
    <row r="1135" spans="1:32">
      <c r="A1135" s="2" t="s">
        <v>2401</v>
      </c>
      <c r="B1135" s="3">
        <v>46223</v>
      </c>
      <c r="C1135" s="36" t="s">
        <v>2128</v>
      </c>
      <c r="D1135" s="2">
        <f>MONTH(ProductionData[[#This Row],[Month]])</f>
        <v>7</v>
      </c>
      <c r="E1135" s="2" t="s">
        <v>116</v>
      </c>
      <c r="F1135" s="2" t="s">
        <v>66</v>
      </c>
      <c r="G1135" s="2" t="s">
        <v>174</v>
      </c>
      <c r="H1135" s="2" t="s">
        <v>175</v>
      </c>
      <c r="I1135" s="2" t="s">
        <v>176</v>
      </c>
      <c r="J1135" s="2" t="s">
        <v>177</v>
      </c>
      <c r="K1135" s="2" t="s">
        <v>178</v>
      </c>
      <c r="L1135" s="2" t="s">
        <v>2402</v>
      </c>
      <c r="M1135" s="2" t="s">
        <v>73</v>
      </c>
      <c r="N1135" s="2" t="s">
        <v>96</v>
      </c>
      <c r="O1135" s="2">
        <v>10</v>
      </c>
      <c r="P1135" s="2">
        <v>9</v>
      </c>
      <c r="Q1135" s="4">
        <v>8140</v>
      </c>
      <c r="R1135" s="4">
        <v>7550</v>
      </c>
      <c r="S1135" s="4">
        <v>98</v>
      </c>
      <c r="T1135" s="19">
        <f>(ProductionData[[#This Row],[Rejected_Qty]])/ProductionData[[#This Row],[Produced_Qty]]</f>
        <v>1.2980132450331127E-2</v>
      </c>
      <c r="U1135" s="19">
        <f>ProductionData[[#This Row],[Produced_Qty]]/ProductionData[[#This Row],[Planned_Qty]]</f>
        <v>0.9275184275184275</v>
      </c>
      <c r="V1135" s="2" t="s">
        <v>89</v>
      </c>
      <c r="W1135" s="11">
        <v>56</v>
      </c>
      <c r="X1135" s="13">
        <f>W1135/60</f>
        <v>0.93333333333333335</v>
      </c>
      <c r="Y1135" s="2" t="s">
        <v>76</v>
      </c>
      <c r="Z1135" s="2">
        <v>24</v>
      </c>
      <c r="AA1135" s="2">
        <f>ProductionData[[#This Row],[Rejected_Qty]]*ProductionData[[#This Row],[Unit_Cost_INR]]</f>
        <v>2352</v>
      </c>
      <c r="AB1135" s="4">
        <v>29389</v>
      </c>
      <c r="AC1135" s="4">
        <v>7920</v>
      </c>
      <c r="AD1135" s="4">
        <v>7920</v>
      </c>
      <c r="AE1135" s="4">
        <v>28921</v>
      </c>
      <c r="AF1135" s="4">
        <v>12000</v>
      </c>
    </row>
    <row r="1136" spans="1:32">
      <c r="A1136" s="2" t="s">
        <v>2403</v>
      </c>
      <c r="B1136" s="3">
        <v>46223</v>
      </c>
      <c r="C1136" s="36" t="s">
        <v>2128</v>
      </c>
      <c r="D1136" s="2">
        <f>MONTH(ProductionData[[#This Row],[Month]])</f>
        <v>7</v>
      </c>
      <c r="E1136" s="2" t="s">
        <v>116</v>
      </c>
      <c r="F1136" s="2" t="s">
        <v>93</v>
      </c>
      <c r="G1136" s="2" t="s">
        <v>195</v>
      </c>
      <c r="H1136" s="2" t="s">
        <v>196</v>
      </c>
      <c r="I1136" s="2" t="s">
        <v>197</v>
      </c>
      <c r="J1136" s="2" t="s">
        <v>269</v>
      </c>
      <c r="K1136" s="2" t="s">
        <v>270</v>
      </c>
      <c r="L1136" s="2" t="s">
        <v>2404</v>
      </c>
      <c r="M1136" s="2" t="s">
        <v>133</v>
      </c>
      <c r="N1136" s="2" t="s">
        <v>96</v>
      </c>
      <c r="O1136" s="2">
        <v>14</v>
      </c>
      <c r="P1136" s="2">
        <v>14</v>
      </c>
      <c r="Q1136" s="4">
        <v>7480</v>
      </c>
      <c r="R1136" s="4">
        <v>7140</v>
      </c>
      <c r="S1136" s="4">
        <v>67</v>
      </c>
      <c r="T1136" s="19">
        <f>(ProductionData[[#This Row],[Rejected_Qty]])/ProductionData[[#This Row],[Produced_Qty]]</f>
        <v>9.3837535014005598E-3</v>
      </c>
      <c r="U1136" s="19">
        <f>ProductionData[[#This Row],[Produced_Qty]]/ProductionData[[#This Row],[Planned_Qty]]</f>
        <v>0.95454545454545459</v>
      </c>
      <c r="V1136" s="2" t="s">
        <v>103</v>
      </c>
      <c r="W1136" s="11">
        <v>0</v>
      </c>
      <c r="X1136" s="13">
        <f>W1136/60</f>
        <v>0</v>
      </c>
      <c r="Y1136" s="2" t="s">
        <v>90</v>
      </c>
      <c r="Z1136" s="2">
        <v>42</v>
      </c>
      <c r="AA1136" s="2">
        <f>ProductionData[[#This Row],[Rejected_Qty]]*ProductionData[[#This Row],[Unit_Cost_INR]]</f>
        <v>2814</v>
      </c>
      <c r="AB1136" s="4">
        <v>27823</v>
      </c>
      <c r="AC1136" s="4">
        <v>6080</v>
      </c>
      <c r="AD1136" s="4">
        <v>6080</v>
      </c>
      <c r="AE1136" s="4">
        <v>28816</v>
      </c>
      <c r="AF1136" s="4">
        <v>12000</v>
      </c>
    </row>
    <row r="1137" spans="1:32">
      <c r="A1137" s="2" t="s">
        <v>2405</v>
      </c>
      <c r="B1137" s="3">
        <v>46216</v>
      </c>
      <c r="C1137" s="36" t="s">
        <v>2128</v>
      </c>
      <c r="D1137" s="2">
        <f>MONTH(ProductionData[[#This Row],[Month]])</f>
        <v>7</v>
      </c>
      <c r="E1137" s="2" t="s">
        <v>116</v>
      </c>
      <c r="F1137" s="2" t="s">
        <v>66</v>
      </c>
      <c r="G1137" s="2" t="s">
        <v>67</v>
      </c>
      <c r="H1137" s="2" t="s">
        <v>68</v>
      </c>
      <c r="I1137" s="2" t="s">
        <v>69</v>
      </c>
      <c r="J1137" s="2" t="s">
        <v>70</v>
      </c>
      <c r="K1137" s="2" t="s">
        <v>71</v>
      </c>
      <c r="L1137" s="2" t="s">
        <v>2406</v>
      </c>
      <c r="M1137" s="2" t="s">
        <v>73</v>
      </c>
      <c r="N1137" s="2" t="s">
        <v>96</v>
      </c>
      <c r="O1137" s="2">
        <v>16</v>
      </c>
      <c r="P1137" s="2">
        <v>16</v>
      </c>
      <c r="Q1137" s="4">
        <v>6460</v>
      </c>
      <c r="R1137" s="4">
        <v>6170</v>
      </c>
      <c r="S1137" s="4">
        <v>105</v>
      </c>
      <c r="T1137" s="19">
        <f>(ProductionData[[#This Row],[Rejected_Qty]])/ProductionData[[#This Row],[Produced_Qty]]</f>
        <v>1.7017828200972446E-2</v>
      </c>
      <c r="U1137" s="19">
        <f>ProductionData[[#This Row],[Produced_Qty]]/ProductionData[[#This Row],[Planned_Qty]]</f>
        <v>0.95510835913312697</v>
      </c>
      <c r="V1137" s="2" t="s">
        <v>89</v>
      </c>
      <c r="W1137" s="11">
        <v>50</v>
      </c>
      <c r="X1137" s="13">
        <f>W1137/60</f>
        <v>0.83333333333333337</v>
      </c>
      <c r="Y1137" s="2" t="s">
        <v>114</v>
      </c>
      <c r="Z1137" s="2">
        <v>46</v>
      </c>
      <c r="AA1137" s="2">
        <f>ProductionData[[#This Row],[Rejected_Qty]]*ProductionData[[#This Row],[Unit_Cost_INR]]</f>
        <v>4830</v>
      </c>
      <c r="AB1137" s="4">
        <v>28264</v>
      </c>
      <c r="AC1137" s="4">
        <v>5540</v>
      </c>
      <c r="AD1137" s="4">
        <v>5540</v>
      </c>
      <c r="AE1137" s="4">
        <v>28789</v>
      </c>
      <c r="AF1137" s="4">
        <v>10500</v>
      </c>
    </row>
    <row r="1138" spans="1:32">
      <c r="A1138" s="2" t="s">
        <v>2407</v>
      </c>
      <c r="B1138" s="3">
        <v>46213</v>
      </c>
      <c r="C1138" s="36" t="s">
        <v>2128</v>
      </c>
      <c r="D1138" s="2">
        <f>MONTH(ProductionData[[#This Row],[Month]])</f>
        <v>7</v>
      </c>
      <c r="E1138" s="2" t="s">
        <v>125</v>
      </c>
      <c r="F1138" s="2" t="s">
        <v>93</v>
      </c>
      <c r="G1138" s="2" t="s">
        <v>67</v>
      </c>
      <c r="H1138" s="2" t="s">
        <v>68</v>
      </c>
      <c r="I1138" s="2" t="s">
        <v>69</v>
      </c>
      <c r="J1138" s="2" t="s">
        <v>70</v>
      </c>
      <c r="K1138" s="2" t="s">
        <v>71</v>
      </c>
      <c r="L1138" s="2" t="s">
        <v>2408</v>
      </c>
      <c r="M1138" s="2" t="s">
        <v>133</v>
      </c>
      <c r="N1138" s="2" t="s">
        <v>74</v>
      </c>
      <c r="O1138" s="2">
        <v>16</v>
      </c>
      <c r="P1138" s="2">
        <v>12</v>
      </c>
      <c r="Q1138" s="4">
        <v>6230</v>
      </c>
      <c r="R1138" s="4">
        <v>5420</v>
      </c>
      <c r="S1138" s="4">
        <v>495</v>
      </c>
      <c r="T1138" s="19">
        <f>(ProductionData[[#This Row],[Rejected_Qty]])/ProductionData[[#This Row],[Produced_Qty]]</f>
        <v>9.1328413284132839E-2</v>
      </c>
      <c r="U1138" s="19">
        <f>ProductionData[[#This Row],[Produced_Qty]]/ProductionData[[#This Row],[Planned_Qty]]</f>
        <v>0.869983948635634</v>
      </c>
      <c r="V1138" s="2" t="s">
        <v>2284</v>
      </c>
      <c r="W1138" s="11">
        <v>0</v>
      </c>
      <c r="X1138" s="13">
        <f>W1138/60</f>
        <v>0</v>
      </c>
      <c r="Y1138" s="2" t="s">
        <v>90</v>
      </c>
      <c r="Z1138" s="2">
        <v>46</v>
      </c>
      <c r="AA1138" s="2">
        <f>ProductionData[[#This Row],[Rejected_Qty]]*ProductionData[[#This Row],[Unit_Cost_INR]]</f>
        <v>22770</v>
      </c>
      <c r="AB1138" s="4">
        <v>29818</v>
      </c>
      <c r="AC1138" s="4">
        <v>6000</v>
      </c>
      <c r="AD1138" s="4">
        <v>6000</v>
      </c>
      <c r="AE1138" s="4">
        <v>28743</v>
      </c>
      <c r="AF1138" s="4">
        <v>10500</v>
      </c>
    </row>
    <row r="1139" spans="1:32">
      <c r="A1139" s="2" t="s">
        <v>2409</v>
      </c>
      <c r="B1139" s="3">
        <v>46222</v>
      </c>
      <c r="C1139" s="36" t="s">
        <v>2128</v>
      </c>
      <c r="D1139" s="2">
        <f>MONTH(ProductionData[[#This Row],[Month]])</f>
        <v>7</v>
      </c>
      <c r="E1139" s="2" t="s">
        <v>186</v>
      </c>
      <c r="F1139" s="2" t="s">
        <v>66</v>
      </c>
      <c r="G1139" s="2" t="s">
        <v>195</v>
      </c>
      <c r="H1139" s="2" t="s">
        <v>196</v>
      </c>
      <c r="I1139" s="2" t="s">
        <v>197</v>
      </c>
      <c r="J1139" s="2" t="s">
        <v>269</v>
      </c>
      <c r="K1139" s="2" t="s">
        <v>270</v>
      </c>
      <c r="L1139" s="2" t="s">
        <v>2410</v>
      </c>
      <c r="M1139" s="2" t="s">
        <v>99</v>
      </c>
      <c r="N1139" s="2" t="s">
        <v>96</v>
      </c>
      <c r="O1139" s="2">
        <v>14</v>
      </c>
      <c r="P1139" s="2">
        <v>11</v>
      </c>
      <c r="Q1139" s="4">
        <v>5380</v>
      </c>
      <c r="R1139" s="4">
        <v>4570</v>
      </c>
      <c r="S1139" s="4">
        <v>143</v>
      </c>
      <c r="T1139" s="19">
        <f>(ProductionData[[#This Row],[Rejected_Qty]])/ProductionData[[#This Row],[Produced_Qty]]</f>
        <v>3.1291028446389493E-2</v>
      </c>
      <c r="U1139" s="19">
        <f>ProductionData[[#This Row],[Produced_Qty]]/ProductionData[[#This Row],[Planned_Qty]]</f>
        <v>0.84944237918215615</v>
      </c>
      <c r="V1139" s="2" t="s">
        <v>103</v>
      </c>
      <c r="W1139" s="11">
        <v>50</v>
      </c>
      <c r="X1139" s="13">
        <f>W1139/60</f>
        <v>0.83333333333333337</v>
      </c>
      <c r="Y1139" s="2" t="s">
        <v>259</v>
      </c>
      <c r="Z1139" s="2">
        <v>42</v>
      </c>
      <c r="AA1139" s="2">
        <f>ProductionData[[#This Row],[Rejected_Qty]]*ProductionData[[#This Row],[Unit_Cost_INR]]</f>
        <v>6006</v>
      </c>
      <c r="AB1139" s="4">
        <v>29193</v>
      </c>
      <c r="AC1139" s="4">
        <v>4970</v>
      </c>
      <c r="AD1139" s="4">
        <v>4970</v>
      </c>
      <c r="AE1139" s="4">
        <v>28650</v>
      </c>
      <c r="AF1139" s="4">
        <v>12000</v>
      </c>
    </row>
    <row r="1140" spans="1:32">
      <c r="A1140" s="2" t="s">
        <v>2411</v>
      </c>
      <c r="B1140" s="3">
        <v>46209</v>
      </c>
      <c r="C1140" s="36" t="s">
        <v>2128</v>
      </c>
      <c r="D1140" s="2">
        <f>MONTH(ProductionData[[#This Row],[Month]])</f>
        <v>7</v>
      </c>
      <c r="E1140" s="2" t="s">
        <v>116</v>
      </c>
      <c r="F1140" s="2" t="s">
        <v>80</v>
      </c>
      <c r="G1140" s="2" t="s">
        <v>195</v>
      </c>
      <c r="H1140" s="2" t="s">
        <v>196</v>
      </c>
      <c r="I1140" s="2" t="s">
        <v>197</v>
      </c>
      <c r="J1140" s="2" t="s">
        <v>269</v>
      </c>
      <c r="K1140" s="2" t="s">
        <v>270</v>
      </c>
      <c r="L1140" s="2" t="s">
        <v>2412</v>
      </c>
      <c r="M1140" s="2" t="s">
        <v>102</v>
      </c>
      <c r="N1140" s="2" t="s">
        <v>96</v>
      </c>
      <c r="O1140" s="2">
        <v>14</v>
      </c>
      <c r="P1140" s="2">
        <v>13</v>
      </c>
      <c r="Q1140" s="4">
        <v>7490</v>
      </c>
      <c r="R1140" s="4">
        <v>7190</v>
      </c>
      <c r="S1140" s="4">
        <v>178</v>
      </c>
      <c r="T1140" s="19">
        <f>(ProductionData[[#This Row],[Rejected_Qty]])/ProductionData[[#This Row],[Produced_Qty]]</f>
        <v>2.4756606397774689E-2</v>
      </c>
      <c r="U1140" s="19">
        <f>ProductionData[[#This Row],[Produced_Qty]]/ProductionData[[#This Row],[Planned_Qty]]</f>
        <v>0.95994659546061412</v>
      </c>
      <c r="V1140" s="2" t="s">
        <v>89</v>
      </c>
      <c r="W1140" s="11">
        <v>0</v>
      </c>
      <c r="X1140" s="13">
        <f>W1140/60</f>
        <v>0</v>
      </c>
      <c r="Y1140" s="2" t="s">
        <v>90</v>
      </c>
      <c r="Z1140" s="2">
        <v>42</v>
      </c>
      <c r="AA1140" s="2">
        <f>ProductionData[[#This Row],[Rejected_Qty]]*ProductionData[[#This Row],[Unit_Cost_INR]]</f>
        <v>7476</v>
      </c>
      <c r="AB1140" s="4">
        <v>28489</v>
      </c>
      <c r="AC1140" s="4">
        <v>6860</v>
      </c>
      <c r="AD1140" s="4">
        <v>6860</v>
      </c>
      <c r="AE1140" s="4">
        <v>28641</v>
      </c>
      <c r="AF1140" s="4">
        <v>12000</v>
      </c>
    </row>
    <row r="1141" spans="1:32">
      <c r="A1141" s="2" t="s">
        <v>2413</v>
      </c>
      <c r="B1141" s="3">
        <v>46216</v>
      </c>
      <c r="C1141" s="36" t="s">
        <v>2128</v>
      </c>
      <c r="D1141" s="2">
        <f>MONTH(ProductionData[[#This Row],[Month]])</f>
        <v>7</v>
      </c>
      <c r="E1141" s="2" t="s">
        <v>116</v>
      </c>
      <c r="F1141" s="2" t="s">
        <v>93</v>
      </c>
      <c r="G1141" s="2" t="s">
        <v>81</v>
      </c>
      <c r="H1141" s="2" t="s">
        <v>82</v>
      </c>
      <c r="I1141" s="2" t="s">
        <v>83</v>
      </c>
      <c r="J1141" s="2" t="s">
        <v>166</v>
      </c>
      <c r="K1141" s="2" t="s">
        <v>167</v>
      </c>
      <c r="L1141" s="2" t="s">
        <v>2414</v>
      </c>
      <c r="M1141" s="2" t="s">
        <v>95</v>
      </c>
      <c r="N1141" s="2" t="s">
        <v>96</v>
      </c>
      <c r="O1141" s="2">
        <v>18</v>
      </c>
      <c r="P1141" s="2">
        <v>16</v>
      </c>
      <c r="Q1141" s="4">
        <v>8470</v>
      </c>
      <c r="R1141" s="4">
        <v>7690</v>
      </c>
      <c r="S1141" s="4">
        <v>91</v>
      </c>
      <c r="T1141" s="19">
        <f>(ProductionData[[#This Row],[Rejected_Qty]])/ProductionData[[#This Row],[Produced_Qty]]</f>
        <v>1.1833550065019505E-2</v>
      </c>
      <c r="U1141" s="19">
        <f>ProductionData[[#This Row],[Produced_Qty]]/ProductionData[[#This Row],[Planned_Qty]]</f>
        <v>0.90791027154663517</v>
      </c>
      <c r="V1141" s="2" t="s">
        <v>89</v>
      </c>
      <c r="W1141" s="11">
        <v>0</v>
      </c>
      <c r="X1141" s="13">
        <f>W1141/60</f>
        <v>0</v>
      </c>
      <c r="Y1141" s="2" t="s">
        <v>90</v>
      </c>
      <c r="Z1141" s="2">
        <v>17</v>
      </c>
      <c r="AA1141" s="2">
        <f>ProductionData[[#This Row],[Rejected_Qty]]*ProductionData[[#This Row],[Unit_Cost_INR]]</f>
        <v>1547</v>
      </c>
      <c r="AB1141" s="4">
        <v>27421</v>
      </c>
      <c r="AC1141" s="4">
        <v>6390</v>
      </c>
      <c r="AD1141" s="4">
        <v>6390</v>
      </c>
      <c r="AE1141" s="4">
        <v>28630</v>
      </c>
      <c r="AF1141" s="4">
        <v>13500</v>
      </c>
    </row>
    <row r="1142" spans="1:32">
      <c r="A1142" s="2" t="s">
        <v>2415</v>
      </c>
      <c r="B1142" s="3">
        <v>46205</v>
      </c>
      <c r="C1142" s="36" t="s">
        <v>2128</v>
      </c>
      <c r="D1142" s="2">
        <f>MONTH(ProductionData[[#This Row],[Month]])</f>
        <v>7</v>
      </c>
      <c r="E1142" s="2" t="s">
        <v>107</v>
      </c>
      <c r="F1142" s="2" t="s">
        <v>66</v>
      </c>
      <c r="G1142" s="2" t="s">
        <v>195</v>
      </c>
      <c r="H1142" s="2" t="s">
        <v>196</v>
      </c>
      <c r="I1142" s="2" t="s">
        <v>197</v>
      </c>
      <c r="J1142" s="2" t="s">
        <v>269</v>
      </c>
      <c r="K1142" s="2" t="s">
        <v>270</v>
      </c>
      <c r="L1142" s="2" t="s">
        <v>2416</v>
      </c>
      <c r="M1142" s="2" t="s">
        <v>99</v>
      </c>
      <c r="N1142" s="2" t="s">
        <v>96</v>
      </c>
      <c r="O1142" s="2">
        <v>14</v>
      </c>
      <c r="P1142" s="2">
        <v>13</v>
      </c>
      <c r="Q1142" s="4">
        <v>7760</v>
      </c>
      <c r="R1142" s="4">
        <v>7430</v>
      </c>
      <c r="S1142" s="4">
        <v>111</v>
      </c>
      <c r="T1142" s="19">
        <f>(ProductionData[[#This Row],[Rejected_Qty]])/ProductionData[[#This Row],[Produced_Qty]]</f>
        <v>1.4939434724091521E-2</v>
      </c>
      <c r="U1142" s="19">
        <f>ProductionData[[#This Row],[Produced_Qty]]/ProductionData[[#This Row],[Planned_Qty]]</f>
        <v>0.95747422680412375</v>
      </c>
      <c r="V1142" s="2" t="s">
        <v>89</v>
      </c>
      <c r="W1142" s="11">
        <v>41</v>
      </c>
      <c r="X1142" s="13">
        <f>W1142/60</f>
        <v>0.68333333333333335</v>
      </c>
      <c r="Y1142" s="2" t="s">
        <v>136</v>
      </c>
      <c r="Z1142" s="2">
        <v>42</v>
      </c>
      <c r="AA1142" s="2">
        <f>ProductionData[[#This Row],[Rejected_Qty]]*ProductionData[[#This Row],[Unit_Cost_INR]]</f>
        <v>4662</v>
      </c>
      <c r="AB1142" s="4">
        <v>27910</v>
      </c>
      <c r="AC1142" s="4">
        <v>6630</v>
      </c>
      <c r="AD1142" s="4">
        <v>6630</v>
      </c>
      <c r="AE1142" s="4">
        <v>28599</v>
      </c>
      <c r="AF1142" s="4">
        <v>12000</v>
      </c>
    </row>
    <row r="1143" spans="1:32">
      <c r="A1143" s="2" t="s">
        <v>2417</v>
      </c>
      <c r="B1143" s="3">
        <v>46234</v>
      </c>
      <c r="C1143" s="36" t="s">
        <v>2128</v>
      </c>
      <c r="D1143" s="2">
        <f>MONTH(ProductionData[[#This Row],[Month]])</f>
        <v>7</v>
      </c>
      <c r="E1143" s="2" t="s">
        <v>125</v>
      </c>
      <c r="F1143" s="2" t="s">
        <v>66</v>
      </c>
      <c r="G1143" s="2" t="s">
        <v>174</v>
      </c>
      <c r="H1143" s="2" t="s">
        <v>175</v>
      </c>
      <c r="I1143" s="2" t="s">
        <v>176</v>
      </c>
      <c r="J1143" s="2" t="s">
        <v>177</v>
      </c>
      <c r="K1143" s="2" t="s">
        <v>178</v>
      </c>
      <c r="L1143" s="2" t="s">
        <v>2418</v>
      </c>
      <c r="M1143" s="2" t="s">
        <v>73</v>
      </c>
      <c r="N1143" s="2" t="s">
        <v>88</v>
      </c>
      <c r="O1143" s="2">
        <v>10</v>
      </c>
      <c r="P1143" s="2">
        <v>10</v>
      </c>
      <c r="Q1143" s="4">
        <v>8020</v>
      </c>
      <c r="R1143" s="4">
        <v>7710</v>
      </c>
      <c r="S1143" s="4">
        <v>272</v>
      </c>
      <c r="T1143" s="19">
        <f>(ProductionData[[#This Row],[Rejected_Qty]])/ProductionData[[#This Row],[Produced_Qty]]</f>
        <v>3.5278858625162127E-2</v>
      </c>
      <c r="U1143" s="19">
        <f>ProductionData[[#This Row],[Produced_Qty]]/ProductionData[[#This Row],[Planned_Qty]]</f>
        <v>0.96134663341645887</v>
      </c>
      <c r="V1143" s="2" t="s">
        <v>113</v>
      </c>
      <c r="W1143" s="11">
        <v>0</v>
      </c>
      <c r="X1143" s="13">
        <f>W1143/60</f>
        <v>0</v>
      </c>
      <c r="Y1143" s="2" t="s">
        <v>90</v>
      </c>
      <c r="Z1143" s="2">
        <v>24</v>
      </c>
      <c r="AA1143" s="2">
        <f>ProductionData[[#This Row],[Rejected_Qty]]*ProductionData[[#This Row],[Unit_Cost_INR]]</f>
        <v>6528</v>
      </c>
      <c r="AB1143" s="4">
        <v>28014</v>
      </c>
      <c r="AC1143" s="4">
        <v>6890</v>
      </c>
      <c r="AD1143" s="4">
        <v>6890</v>
      </c>
      <c r="AE1143" s="4">
        <v>28562</v>
      </c>
      <c r="AF1143" s="4">
        <v>12000</v>
      </c>
    </row>
    <row r="1144" spans="1:32">
      <c r="A1144" s="2" t="s">
        <v>2419</v>
      </c>
      <c r="B1144" s="3">
        <v>46210</v>
      </c>
      <c r="C1144" s="36" t="s">
        <v>2128</v>
      </c>
      <c r="D1144" s="2">
        <f>MONTH(ProductionData[[#This Row],[Month]])</f>
        <v>7</v>
      </c>
      <c r="E1144" s="2" t="s">
        <v>92</v>
      </c>
      <c r="F1144" s="2" t="s">
        <v>66</v>
      </c>
      <c r="G1144" s="2" t="s">
        <v>195</v>
      </c>
      <c r="H1144" s="2" t="s">
        <v>196</v>
      </c>
      <c r="I1144" s="2" t="s">
        <v>197</v>
      </c>
      <c r="J1144" s="2" t="s">
        <v>269</v>
      </c>
      <c r="K1144" s="2" t="s">
        <v>270</v>
      </c>
      <c r="L1144" s="2" t="s">
        <v>2420</v>
      </c>
      <c r="M1144" s="2" t="s">
        <v>73</v>
      </c>
      <c r="N1144" s="2" t="s">
        <v>96</v>
      </c>
      <c r="O1144" s="2">
        <v>14</v>
      </c>
      <c r="P1144" s="2">
        <v>13</v>
      </c>
      <c r="Q1144" s="4">
        <v>7770</v>
      </c>
      <c r="R1144" s="4">
        <v>7370</v>
      </c>
      <c r="S1144" s="4">
        <v>254</v>
      </c>
      <c r="T1144" s="19">
        <f>(ProductionData[[#This Row],[Rejected_Qty]])/ProductionData[[#This Row],[Produced_Qty]]</f>
        <v>3.4464043419267301E-2</v>
      </c>
      <c r="U1144" s="19">
        <f>ProductionData[[#This Row],[Produced_Qty]]/ProductionData[[#This Row],[Planned_Qty]]</f>
        <v>0.94851994851994847</v>
      </c>
      <c r="V1144" s="2" t="s">
        <v>89</v>
      </c>
      <c r="W1144" s="11">
        <v>39</v>
      </c>
      <c r="X1144" s="13">
        <f>W1144/60</f>
        <v>0.65</v>
      </c>
      <c r="Y1144" s="2" t="s">
        <v>110</v>
      </c>
      <c r="Z1144" s="2">
        <v>42</v>
      </c>
      <c r="AA1144" s="2">
        <f>ProductionData[[#This Row],[Rejected_Qty]]*ProductionData[[#This Row],[Unit_Cost_INR]]</f>
        <v>10668</v>
      </c>
      <c r="AB1144" s="4">
        <v>28641</v>
      </c>
      <c r="AC1144" s="4">
        <v>7200</v>
      </c>
      <c r="AD1144" s="4">
        <v>7200</v>
      </c>
      <c r="AE1144" s="4">
        <v>28557</v>
      </c>
      <c r="AF1144" s="4">
        <v>12000</v>
      </c>
    </row>
    <row r="1145" spans="1:32">
      <c r="A1145" s="2" t="s">
        <v>2421</v>
      </c>
      <c r="B1145" s="3">
        <v>46209</v>
      </c>
      <c r="C1145" s="36" t="s">
        <v>2128</v>
      </c>
      <c r="D1145" s="2">
        <f>MONTH(ProductionData[[#This Row],[Month]])</f>
        <v>7</v>
      </c>
      <c r="E1145" s="2" t="s">
        <v>116</v>
      </c>
      <c r="F1145" s="2" t="s">
        <v>66</v>
      </c>
      <c r="G1145" s="2" t="s">
        <v>195</v>
      </c>
      <c r="H1145" s="2" t="s">
        <v>196</v>
      </c>
      <c r="I1145" s="2" t="s">
        <v>197</v>
      </c>
      <c r="J1145" s="2" t="s">
        <v>269</v>
      </c>
      <c r="K1145" s="2" t="s">
        <v>270</v>
      </c>
      <c r="L1145" s="2" t="s">
        <v>2422</v>
      </c>
      <c r="M1145" s="2" t="s">
        <v>73</v>
      </c>
      <c r="N1145" s="2" t="s">
        <v>88</v>
      </c>
      <c r="O1145" s="2">
        <v>14</v>
      </c>
      <c r="P1145" s="2">
        <v>14</v>
      </c>
      <c r="Q1145" s="4">
        <v>8220</v>
      </c>
      <c r="R1145" s="4">
        <v>8180</v>
      </c>
      <c r="S1145" s="4">
        <v>239</v>
      </c>
      <c r="T1145" s="19">
        <f>(ProductionData[[#This Row],[Rejected_Qty]])/ProductionData[[#This Row],[Produced_Qty]]</f>
        <v>2.9217603911980441E-2</v>
      </c>
      <c r="U1145" s="19">
        <f>ProductionData[[#This Row],[Produced_Qty]]/ProductionData[[#This Row],[Planned_Qty]]</f>
        <v>0.99513381995133821</v>
      </c>
      <c r="V1145" s="2" t="s">
        <v>109</v>
      </c>
      <c r="W1145" s="11">
        <v>0</v>
      </c>
      <c r="X1145" s="13">
        <f>W1145/60</f>
        <v>0</v>
      </c>
      <c r="Y1145" s="2" t="s">
        <v>90</v>
      </c>
      <c r="Z1145" s="2">
        <v>42</v>
      </c>
      <c r="AA1145" s="2">
        <f>ProductionData[[#This Row],[Rejected_Qty]]*ProductionData[[#This Row],[Unit_Cost_INR]]</f>
        <v>10038</v>
      </c>
      <c r="AB1145" s="4">
        <v>27708</v>
      </c>
      <c r="AC1145" s="4">
        <v>7160</v>
      </c>
      <c r="AD1145" s="4">
        <v>7160</v>
      </c>
      <c r="AE1145" s="4">
        <v>28489</v>
      </c>
      <c r="AF1145" s="4">
        <v>12000</v>
      </c>
    </row>
    <row r="1146" spans="1:32">
      <c r="A1146" s="2" t="s">
        <v>2423</v>
      </c>
      <c r="B1146" s="3">
        <v>46218</v>
      </c>
      <c r="C1146" s="36" t="s">
        <v>2128</v>
      </c>
      <c r="D1146" s="2">
        <f>MONTH(ProductionData[[#This Row],[Month]])</f>
        <v>7</v>
      </c>
      <c r="E1146" s="2" t="s">
        <v>79</v>
      </c>
      <c r="F1146" s="2" t="s">
        <v>80</v>
      </c>
      <c r="G1146" s="2" t="s">
        <v>195</v>
      </c>
      <c r="H1146" s="2" t="s">
        <v>196</v>
      </c>
      <c r="I1146" s="2" t="s">
        <v>197</v>
      </c>
      <c r="J1146" s="2" t="s">
        <v>269</v>
      </c>
      <c r="K1146" s="2" t="s">
        <v>270</v>
      </c>
      <c r="L1146" s="2" t="s">
        <v>2424</v>
      </c>
      <c r="M1146" s="2" t="s">
        <v>102</v>
      </c>
      <c r="N1146" s="2" t="s">
        <v>88</v>
      </c>
      <c r="O1146" s="2">
        <v>14</v>
      </c>
      <c r="P1146" s="2">
        <v>13</v>
      </c>
      <c r="Q1146" s="4">
        <v>8290</v>
      </c>
      <c r="R1146" s="4">
        <v>7590</v>
      </c>
      <c r="S1146" s="4">
        <v>224</v>
      </c>
      <c r="T1146" s="19">
        <f>(ProductionData[[#This Row],[Rejected_Qty]])/ProductionData[[#This Row],[Produced_Qty]]</f>
        <v>2.9512516469038207E-2</v>
      </c>
      <c r="U1146" s="19">
        <f>ProductionData[[#This Row],[Produced_Qty]]/ProductionData[[#This Row],[Planned_Qty]]</f>
        <v>0.91556091676718943</v>
      </c>
      <c r="V1146" s="2" t="s">
        <v>75</v>
      </c>
      <c r="W1146" s="11">
        <v>0</v>
      </c>
      <c r="X1146" s="13">
        <f>W1146/60</f>
        <v>0</v>
      </c>
      <c r="Y1146" s="2" t="s">
        <v>90</v>
      </c>
      <c r="Z1146" s="2">
        <v>42</v>
      </c>
      <c r="AA1146" s="2">
        <f>ProductionData[[#This Row],[Rejected_Qty]]*ProductionData[[#This Row],[Unit_Cost_INR]]</f>
        <v>9408</v>
      </c>
      <c r="AB1146" s="4">
        <v>29285</v>
      </c>
      <c r="AC1146" s="4">
        <v>8170</v>
      </c>
      <c r="AD1146" s="4">
        <v>8170</v>
      </c>
      <c r="AE1146" s="4">
        <v>28481</v>
      </c>
      <c r="AF1146" s="4">
        <v>12000</v>
      </c>
    </row>
    <row r="1147" spans="1:32">
      <c r="A1147" s="2" t="s">
        <v>2425</v>
      </c>
      <c r="B1147" s="3">
        <v>46224</v>
      </c>
      <c r="C1147" s="36" t="s">
        <v>2128</v>
      </c>
      <c r="D1147" s="2">
        <f>MONTH(ProductionData[[#This Row],[Month]])</f>
        <v>7</v>
      </c>
      <c r="E1147" s="2" t="s">
        <v>92</v>
      </c>
      <c r="F1147" s="2" t="s">
        <v>80</v>
      </c>
      <c r="G1147" s="2" t="s">
        <v>174</v>
      </c>
      <c r="H1147" s="2" t="s">
        <v>175</v>
      </c>
      <c r="I1147" s="2" t="s">
        <v>176</v>
      </c>
      <c r="J1147" s="2" t="s">
        <v>177</v>
      </c>
      <c r="K1147" s="2" t="s">
        <v>178</v>
      </c>
      <c r="L1147" s="2" t="s">
        <v>2426</v>
      </c>
      <c r="M1147" s="2" t="s">
        <v>102</v>
      </c>
      <c r="N1147" s="2" t="s">
        <v>96</v>
      </c>
      <c r="O1147" s="2">
        <v>10</v>
      </c>
      <c r="P1147" s="2">
        <v>10</v>
      </c>
      <c r="Q1147" s="4">
        <v>8400</v>
      </c>
      <c r="R1147" s="4">
        <v>8410</v>
      </c>
      <c r="S1147" s="4">
        <v>286</v>
      </c>
      <c r="T1147" s="19">
        <f>(ProductionData[[#This Row],[Rejected_Qty]])/ProductionData[[#This Row],[Produced_Qty]]</f>
        <v>3.4007134363852554E-2</v>
      </c>
      <c r="U1147" s="19">
        <f>ProductionData[[#This Row],[Produced_Qty]]/ProductionData[[#This Row],[Planned_Qty]]</f>
        <v>1.0011904761904762</v>
      </c>
      <c r="V1147" s="2" t="s">
        <v>89</v>
      </c>
      <c r="W1147" s="11">
        <v>28</v>
      </c>
      <c r="X1147" s="13">
        <f>W1147/60</f>
        <v>0.46666666666666667</v>
      </c>
      <c r="Y1147" s="2" t="s">
        <v>110</v>
      </c>
      <c r="Z1147" s="2">
        <v>24</v>
      </c>
      <c r="AA1147" s="2">
        <f>ProductionData[[#This Row],[Rejected_Qty]]*ProductionData[[#This Row],[Unit_Cost_INR]]</f>
        <v>6864</v>
      </c>
      <c r="AB1147" s="4">
        <v>28434</v>
      </c>
      <c r="AC1147" s="4">
        <v>8080</v>
      </c>
      <c r="AD1147" s="4">
        <v>8080</v>
      </c>
      <c r="AE1147" s="4">
        <v>28478</v>
      </c>
      <c r="AF1147" s="4">
        <v>12000</v>
      </c>
    </row>
    <row r="1148" spans="1:32">
      <c r="A1148" s="2" t="s">
        <v>2427</v>
      </c>
      <c r="B1148" s="3">
        <v>46223</v>
      </c>
      <c r="C1148" s="36" t="s">
        <v>2128</v>
      </c>
      <c r="D1148" s="2">
        <f>MONTH(ProductionData[[#This Row],[Month]])</f>
        <v>7</v>
      </c>
      <c r="E1148" s="2" t="s">
        <v>116</v>
      </c>
      <c r="F1148" s="2" t="s">
        <v>80</v>
      </c>
      <c r="G1148" s="2" t="s">
        <v>174</v>
      </c>
      <c r="H1148" s="2" t="s">
        <v>175</v>
      </c>
      <c r="I1148" s="2" t="s">
        <v>176</v>
      </c>
      <c r="J1148" s="2" t="s">
        <v>177</v>
      </c>
      <c r="K1148" s="2" t="s">
        <v>178</v>
      </c>
      <c r="L1148" s="2" t="s">
        <v>2428</v>
      </c>
      <c r="M1148" s="2" t="s">
        <v>102</v>
      </c>
      <c r="N1148" s="2" t="s">
        <v>88</v>
      </c>
      <c r="O1148" s="2">
        <v>10</v>
      </c>
      <c r="P1148" s="2">
        <v>8</v>
      </c>
      <c r="Q1148" s="4">
        <v>8210</v>
      </c>
      <c r="R1148" s="4">
        <v>7220</v>
      </c>
      <c r="S1148" s="4">
        <v>207</v>
      </c>
      <c r="T1148" s="19">
        <f>(ProductionData[[#This Row],[Rejected_Qty]])/ProductionData[[#This Row],[Produced_Qty]]</f>
        <v>2.8670360110803324E-2</v>
      </c>
      <c r="U1148" s="19">
        <f>ProductionData[[#This Row],[Produced_Qty]]/ProductionData[[#This Row],[Planned_Qty]]</f>
        <v>0.87941534713763703</v>
      </c>
      <c r="V1148" s="2" t="s">
        <v>89</v>
      </c>
      <c r="W1148" s="11">
        <v>0</v>
      </c>
      <c r="X1148" s="13">
        <f>W1148/60</f>
        <v>0</v>
      </c>
      <c r="Y1148" s="2" t="s">
        <v>90</v>
      </c>
      <c r="Z1148" s="2">
        <v>24</v>
      </c>
      <c r="AA1148" s="2">
        <f>ProductionData[[#This Row],[Rejected_Qty]]*ProductionData[[#This Row],[Unit_Cost_INR]]</f>
        <v>4968</v>
      </c>
      <c r="AB1148" s="4">
        <v>28921</v>
      </c>
      <c r="AC1148" s="4">
        <v>7500</v>
      </c>
      <c r="AD1148" s="4">
        <v>7500</v>
      </c>
      <c r="AE1148" s="4">
        <v>28434</v>
      </c>
      <c r="AF1148" s="4">
        <v>12000</v>
      </c>
    </row>
    <row r="1149" spans="1:32">
      <c r="A1149" s="2" t="s">
        <v>2429</v>
      </c>
      <c r="B1149" s="3">
        <v>46210</v>
      </c>
      <c r="C1149" s="36" t="s">
        <v>2128</v>
      </c>
      <c r="D1149" s="2">
        <f>MONTH(ProductionData[[#This Row],[Month]])</f>
        <v>7</v>
      </c>
      <c r="E1149" s="2" t="s">
        <v>92</v>
      </c>
      <c r="F1149" s="2" t="s">
        <v>93</v>
      </c>
      <c r="G1149" s="2" t="s">
        <v>195</v>
      </c>
      <c r="H1149" s="2" t="s">
        <v>196</v>
      </c>
      <c r="I1149" s="2" t="s">
        <v>197</v>
      </c>
      <c r="J1149" s="2" t="s">
        <v>269</v>
      </c>
      <c r="K1149" s="2" t="s">
        <v>270</v>
      </c>
      <c r="L1149" s="2" t="s">
        <v>2430</v>
      </c>
      <c r="M1149" s="2" t="s">
        <v>133</v>
      </c>
      <c r="N1149" s="2" t="s">
        <v>88</v>
      </c>
      <c r="O1149" s="2">
        <v>14</v>
      </c>
      <c r="P1149" s="2">
        <v>11</v>
      </c>
      <c r="Q1149" s="4">
        <v>7120</v>
      </c>
      <c r="R1149" s="4">
        <v>6200</v>
      </c>
      <c r="S1149" s="4">
        <v>129</v>
      </c>
      <c r="T1149" s="19">
        <f>(ProductionData[[#This Row],[Rejected_Qty]])/ProductionData[[#This Row],[Produced_Qty]]</f>
        <v>2.0806451612903225E-2</v>
      </c>
      <c r="U1149" s="19">
        <f>ProductionData[[#This Row],[Produced_Qty]]/ProductionData[[#This Row],[Planned_Qty]]</f>
        <v>0.8707865168539326</v>
      </c>
      <c r="V1149" s="2" t="s">
        <v>89</v>
      </c>
      <c r="W1149" s="11">
        <v>53</v>
      </c>
      <c r="X1149" s="13">
        <f>W1149/60</f>
        <v>0.8833333333333333</v>
      </c>
      <c r="Y1149" s="2" t="s">
        <v>136</v>
      </c>
      <c r="Z1149" s="2">
        <v>42</v>
      </c>
      <c r="AA1149" s="2">
        <f>ProductionData[[#This Row],[Rejected_Qty]]*ProductionData[[#This Row],[Unit_Cost_INR]]</f>
        <v>5418</v>
      </c>
      <c r="AB1149" s="4">
        <v>28557</v>
      </c>
      <c r="AC1149" s="4">
        <v>6210</v>
      </c>
      <c r="AD1149" s="4">
        <v>6210</v>
      </c>
      <c r="AE1149" s="4">
        <v>28418</v>
      </c>
      <c r="AF1149" s="4">
        <v>12000</v>
      </c>
    </row>
    <row r="1150" spans="1:32">
      <c r="A1150" s="2" t="s">
        <v>2431</v>
      </c>
      <c r="B1150" s="3">
        <v>46225</v>
      </c>
      <c r="C1150" s="36" t="s">
        <v>2128</v>
      </c>
      <c r="D1150" s="2">
        <f>MONTH(ProductionData[[#This Row],[Month]])</f>
        <v>7</v>
      </c>
      <c r="E1150" s="2" t="s">
        <v>79</v>
      </c>
      <c r="F1150" s="2" t="s">
        <v>66</v>
      </c>
      <c r="G1150" s="2" t="s">
        <v>174</v>
      </c>
      <c r="H1150" s="2" t="s">
        <v>175</v>
      </c>
      <c r="I1150" s="2" t="s">
        <v>176</v>
      </c>
      <c r="J1150" s="2" t="s">
        <v>177</v>
      </c>
      <c r="K1150" s="2" t="s">
        <v>178</v>
      </c>
      <c r="L1150" s="2" t="s">
        <v>2432</v>
      </c>
      <c r="M1150" s="2" t="s">
        <v>99</v>
      </c>
      <c r="N1150" s="2" t="s">
        <v>96</v>
      </c>
      <c r="O1150" s="2">
        <v>10</v>
      </c>
      <c r="P1150" s="2">
        <v>10</v>
      </c>
      <c r="Q1150" s="4">
        <v>8630</v>
      </c>
      <c r="R1150" s="4">
        <v>7910</v>
      </c>
      <c r="S1150" s="4">
        <v>178</v>
      </c>
      <c r="T1150" s="19">
        <f>(ProductionData[[#This Row],[Rejected_Qty]])/ProductionData[[#This Row],[Produced_Qty]]</f>
        <v>2.2503160556257902E-2</v>
      </c>
      <c r="U1150" s="19">
        <f>ProductionData[[#This Row],[Produced_Qty]]/ProductionData[[#This Row],[Planned_Qty]]</f>
        <v>0.91657010428736962</v>
      </c>
      <c r="V1150" s="2" t="s">
        <v>103</v>
      </c>
      <c r="W1150" s="11">
        <v>0</v>
      </c>
      <c r="X1150" s="13">
        <f>W1150/60</f>
        <v>0</v>
      </c>
      <c r="Y1150" s="2" t="s">
        <v>90</v>
      </c>
      <c r="Z1150" s="2">
        <v>24</v>
      </c>
      <c r="AA1150" s="2">
        <f>ProductionData[[#This Row],[Rejected_Qty]]*ProductionData[[#This Row],[Unit_Cost_INR]]</f>
        <v>4272</v>
      </c>
      <c r="AB1150" s="4">
        <v>28478</v>
      </c>
      <c r="AC1150" s="4">
        <v>7850</v>
      </c>
      <c r="AD1150" s="4">
        <v>7850</v>
      </c>
      <c r="AE1150" s="4">
        <v>28360</v>
      </c>
      <c r="AF1150" s="4">
        <v>12000</v>
      </c>
    </row>
    <row r="1151" spans="1:32">
      <c r="A1151" s="2" t="s">
        <v>2433</v>
      </c>
      <c r="B1151" s="3">
        <v>46218</v>
      </c>
      <c r="C1151" s="36" t="s">
        <v>2128</v>
      </c>
      <c r="D1151" s="2">
        <f>MONTH(ProductionData[[#This Row],[Month]])</f>
        <v>7</v>
      </c>
      <c r="E1151" s="2" t="s">
        <v>79</v>
      </c>
      <c r="F1151" s="2" t="s">
        <v>66</v>
      </c>
      <c r="G1151" s="2" t="s">
        <v>67</v>
      </c>
      <c r="H1151" s="2" t="s">
        <v>68</v>
      </c>
      <c r="I1151" s="2" t="s">
        <v>69</v>
      </c>
      <c r="J1151" s="2" t="s">
        <v>70</v>
      </c>
      <c r="K1151" s="2" t="s">
        <v>71</v>
      </c>
      <c r="L1151" s="2" t="s">
        <v>2434</v>
      </c>
      <c r="M1151" s="2" t="s">
        <v>73</v>
      </c>
      <c r="N1151" s="2" t="s">
        <v>88</v>
      </c>
      <c r="O1151" s="2">
        <v>16</v>
      </c>
      <c r="P1151" s="2">
        <v>15</v>
      </c>
      <c r="Q1151" s="4">
        <v>7340</v>
      </c>
      <c r="R1151" s="4">
        <v>6610</v>
      </c>
      <c r="S1151" s="4">
        <v>201</v>
      </c>
      <c r="T1151" s="19">
        <f>(ProductionData[[#This Row],[Rejected_Qty]])/ProductionData[[#This Row],[Produced_Qty]]</f>
        <v>3.0408472012102873E-2</v>
      </c>
      <c r="U1151" s="19">
        <f>ProductionData[[#This Row],[Produced_Qty]]/ProductionData[[#This Row],[Planned_Qty]]</f>
        <v>0.90054495912806543</v>
      </c>
      <c r="V1151" s="2" t="s">
        <v>103</v>
      </c>
      <c r="W1151" s="11">
        <v>63</v>
      </c>
      <c r="X1151" s="13">
        <f>W1151/60</f>
        <v>1.05</v>
      </c>
      <c r="Y1151" s="2" t="s">
        <v>76</v>
      </c>
      <c r="Z1151" s="2">
        <v>46</v>
      </c>
      <c r="AA1151" s="2">
        <f>ProductionData[[#This Row],[Rejected_Qty]]*ProductionData[[#This Row],[Unit_Cost_INR]]</f>
        <v>9246</v>
      </c>
      <c r="AB1151" s="4">
        <v>28789</v>
      </c>
      <c r="AC1151" s="4">
        <v>6840</v>
      </c>
      <c r="AD1151" s="4">
        <v>6840</v>
      </c>
      <c r="AE1151" s="4">
        <v>28358</v>
      </c>
      <c r="AF1151" s="4">
        <v>10500</v>
      </c>
    </row>
    <row r="1152" spans="1:32">
      <c r="A1152" s="2" t="s">
        <v>2435</v>
      </c>
      <c r="B1152" s="3">
        <v>46219</v>
      </c>
      <c r="C1152" s="36" t="s">
        <v>2128</v>
      </c>
      <c r="D1152" s="2">
        <f>MONTH(ProductionData[[#This Row],[Month]])</f>
        <v>7</v>
      </c>
      <c r="E1152" s="2" t="s">
        <v>107</v>
      </c>
      <c r="F1152" s="2" t="s">
        <v>80</v>
      </c>
      <c r="G1152" s="2" t="s">
        <v>195</v>
      </c>
      <c r="H1152" s="2" t="s">
        <v>196</v>
      </c>
      <c r="I1152" s="2" t="s">
        <v>197</v>
      </c>
      <c r="J1152" s="2" t="s">
        <v>269</v>
      </c>
      <c r="K1152" s="2" t="s">
        <v>270</v>
      </c>
      <c r="L1152" s="2" t="s">
        <v>2436</v>
      </c>
      <c r="M1152" s="2" t="s">
        <v>87</v>
      </c>
      <c r="N1152" s="2" t="s">
        <v>96</v>
      </c>
      <c r="O1152" s="2">
        <v>14</v>
      </c>
      <c r="P1152" s="2">
        <v>13</v>
      </c>
      <c r="Q1152" s="4">
        <v>7510</v>
      </c>
      <c r="R1152" s="4">
        <v>6590</v>
      </c>
      <c r="S1152" s="4">
        <v>133</v>
      </c>
      <c r="T1152" s="19">
        <f>(ProductionData[[#This Row],[Rejected_Qty]])/ProductionData[[#This Row],[Produced_Qty]]</f>
        <v>2.0182094081942336E-2</v>
      </c>
      <c r="U1152" s="19">
        <f>ProductionData[[#This Row],[Produced_Qty]]/ProductionData[[#This Row],[Planned_Qty]]</f>
        <v>0.87749667110519303</v>
      </c>
      <c r="V1152" s="2" t="s">
        <v>89</v>
      </c>
      <c r="W1152" s="11">
        <v>0</v>
      </c>
      <c r="X1152" s="13">
        <f>W1152/60</f>
        <v>0</v>
      </c>
      <c r="Y1152" s="2" t="s">
        <v>90</v>
      </c>
      <c r="Z1152" s="2">
        <v>42</v>
      </c>
      <c r="AA1152" s="2">
        <f>ProductionData[[#This Row],[Rejected_Qty]]*ProductionData[[#This Row],[Unit_Cost_INR]]</f>
        <v>5586</v>
      </c>
      <c r="AB1152" s="4">
        <v>29203</v>
      </c>
      <c r="AC1152" s="4">
        <v>7310</v>
      </c>
      <c r="AD1152" s="4">
        <v>7310</v>
      </c>
      <c r="AE1152" s="4">
        <v>28350</v>
      </c>
      <c r="AF1152" s="4">
        <v>12000</v>
      </c>
    </row>
    <row r="1153" spans="1:32">
      <c r="A1153" s="2" t="s">
        <v>2437</v>
      </c>
      <c r="B1153" s="3">
        <v>46207</v>
      </c>
      <c r="C1153" s="36" t="s">
        <v>2128</v>
      </c>
      <c r="D1153" s="2">
        <f>MONTH(ProductionData[[#This Row],[Month]])</f>
        <v>7</v>
      </c>
      <c r="E1153" s="2" t="s">
        <v>65</v>
      </c>
      <c r="F1153" s="2" t="s">
        <v>66</v>
      </c>
      <c r="G1153" s="2" t="s">
        <v>195</v>
      </c>
      <c r="H1153" s="2" t="s">
        <v>196</v>
      </c>
      <c r="I1153" s="2" t="s">
        <v>197</v>
      </c>
      <c r="J1153" s="2" t="s">
        <v>269</v>
      </c>
      <c r="K1153" s="2" t="s">
        <v>270</v>
      </c>
      <c r="L1153" s="2" t="s">
        <v>2438</v>
      </c>
      <c r="M1153" s="2" t="s">
        <v>73</v>
      </c>
      <c r="N1153" s="2" t="s">
        <v>96</v>
      </c>
      <c r="O1153" s="2">
        <v>14</v>
      </c>
      <c r="P1153" s="2">
        <v>13</v>
      </c>
      <c r="Q1153" s="4">
        <v>7440</v>
      </c>
      <c r="R1153" s="4">
        <v>6510</v>
      </c>
      <c r="S1153" s="4">
        <v>141</v>
      </c>
      <c r="T1153" s="19">
        <f>(ProductionData[[#This Row],[Rejected_Qty]])/ProductionData[[#This Row],[Produced_Qty]]</f>
        <v>2.1658986175115209E-2</v>
      </c>
      <c r="U1153" s="19">
        <f>ProductionData[[#This Row],[Produced_Qty]]/ProductionData[[#This Row],[Planned_Qty]]</f>
        <v>0.875</v>
      </c>
      <c r="V1153" s="2" t="s">
        <v>103</v>
      </c>
      <c r="W1153" s="11">
        <v>0</v>
      </c>
      <c r="X1153" s="13">
        <f>W1153/60</f>
        <v>0</v>
      </c>
      <c r="Y1153" s="2" t="s">
        <v>90</v>
      </c>
      <c r="Z1153" s="2">
        <v>42</v>
      </c>
      <c r="AA1153" s="2">
        <f>ProductionData[[#This Row],[Rejected_Qty]]*ProductionData[[#This Row],[Unit_Cost_INR]]</f>
        <v>5922</v>
      </c>
      <c r="AB1153" s="4">
        <v>28599</v>
      </c>
      <c r="AC1153" s="4">
        <v>6630</v>
      </c>
      <c r="AD1153" s="4">
        <v>6630</v>
      </c>
      <c r="AE1153" s="4">
        <v>28338</v>
      </c>
      <c r="AF1153" s="4">
        <v>12000</v>
      </c>
    </row>
    <row r="1154" spans="1:32">
      <c r="A1154" s="2" t="s">
        <v>2439</v>
      </c>
      <c r="B1154" s="3">
        <v>46214</v>
      </c>
      <c r="C1154" s="36" t="s">
        <v>2128</v>
      </c>
      <c r="D1154" s="2">
        <f>MONTH(ProductionData[[#This Row],[Month]])</f>
        <v>7</v>
      </c>
      <c r="E1154" s="2" t="s">
        <v>65</v>
      </c>
      <c r="F1154" s="2" t="s">
        <v>66</v>
      </c>
      <c r="G1154" s="2" t="s">
        <v>67</v>
      </c>
      <c r="H1154" s="2" t="s">
        <v>68</v>
      </c>
      <c r="I1154" s="2" t="s">
        <v>69</v>
      </c>
      <c r="J1154" s="2" t="s">
        <v>70</v>
      </c>
      <c r="K1154" s="2" t="s">
        <v>71</v>
      </c>
      <c r="L1154" s="2" t="s">
        <v>2440</v>
      </c>
      <c r="M1154" s="2" t="s">
        <v>99</v>
      </c>
      <c r="N1154" s="2" t="s">
        <v>88</v>
      </c>
      <c r="O1154" s="2">
        <v>16</v>
      </c>
      <c r="P1154" s="2">
        <v>15</v>
      </c>
      <c r="Q1154" s="4">
        <v>6880</v>
      </c>
      <c r="R1154" s="4">
        <v>6260</v>
      </c>
      <c r="S1154" s="4">
        <v>129</v>
      </c>
      <c r="T1154" s="19">
        <f>(ProductionData[[#This Row],[Rejected_Qty]])/ProductionData[[#This Row],[Produced_Qty]]</f>
        <v>2.060702875399361E-2</v>
      </c>
      <c r="U1154" s="19">
        <f>ProductionData[[#This Row],[Produced_Qty]]/ProductionData[[#This Row],[Planned_Qty]]</f>
        <v>0.90988372093023251</v>
      </c>
      <c r="V1154" s="2" t="s">
        <v>103</v>
      </c>
      <c r="W1154" s="11">
        <v>0</v>
      </c>
      <c r="X1154" s="13">
        <f>W1154/60</f>
        <v>0</v>
      </c>
      <c r="Y1154" s="2" t="s">
        <v>90</v>
      </c>
      <c r="Z1154" s="2">
        <v>46</v>
      </c>
      <c r="AA1154" s="2">
        <f>ProductionData[[#This Row],[Rejected_Qty]]*ProductionData[[#This Row],[Unit_Cost_INR]]</f>
        <v>5934</v>
      </c>
      <c r="AB1154" s="4">
        <v>28743</v>
      </c>
      <c r="AC1154" s="4">
        <v>6610</v>
      </c>
      <c r="AD1154" s="4">
        <v>6610</v>
      </c>
      <c r="AE1154" s="4">
        <v>28264</v>
      </c>
      <c r="AF1154" s="4">
        <v>10500</v>
      </c>
    </row>
    <row r="1155" spans="1:32">
      <c r="A1155" s="2" t="s">
        <v>2441</v>
      </c>
      <c r="B1155" s="3">
        <v>46231</v>
      </c>
      <c r="C1155" s="36" t="s">
        <v>2128</v>
      </c>
      <c r="D1155" s="2">
        <f>MONTH(ProductionData[[#This Row],[Month]])</f>
        <v>7</v>
      </c>
      <c r="E1155" s="2" t="s">
        <v>92</v>
      </c>
      <c r="F1155" s="2" t="s">
        <v>66</v>
      </c>
      <c r="G1155" s="2" t="s">
        <v>174</v>
      </c>
      <c r="H1155" s="2" t="s">
        <v>175</v>
      </c>
      <c r="I1155" s="2" t="s">
        <v>176</v>
      </c>
      <c r="J1155" s="2" t="s">
        <v>177</v>
      </c>
      <c r="K1155" s="2" t="s">
        <v>178</v>
      </c>
      <c r="L1155" s="2" t="s">
        <v>2442</v>
      </c>
      <c r="M1155" s="2" t="s">
        <v>73</v>
      </c>
      <c r="N1155" s="2" t="s">
        <v>88</v>
      </c>
      <c r="O1155" s="2">
        <v>10</v>
      </c>
      <c r="P1155" s="2">
        <v>8</v>
      </c>
      <c r="Q1155" s="4">
        <v>7980</v>
      </c>
      <c r="R1155" s="4">
        <v>7170</v>
      </c>
      <c r="S1155" s="4">
        <v>243</v>
      </c>
      <c r="T1155" s="19">
        <f>(ProductionData[[#This Row],[Rejected_Qty]])/ProductionData[[#This Row],[Produced_Qty]]</f>
        <v>3.3891213389121336E-2</v>
      </c>
      <c r="U1155" s="19">
        <f>ProductionData[[#This Row],[Produced_Qty]]/ProductionData[[#This Row],[Planned_Qty]]</f>
        <v>0.89849624060150379</v>
      </c>
      <c r="V1155" s="2" t="s">
        <v>109</v>
      </c>
      <c r="W1155" s="11">
        <v>0</v>
      </c>
      <c r="X1155" s="13">
        <f>W1155/60</f>
        <v>0</v>
      </c>
      <c r="Y1155" s="2" t="s">
        <v>90</v>
      </c>
      <c r="Z1155" s="2">
        <v>24</v>
      </c>
      <c r="AA1155" s="2">
        <f>ProductionData[[#This Row],[Rejected_Qty]]*ProductionData[[#This Row],[Unit_Cost_INR]]</f>
        <v>5832</v>
      </c>
      <c r="AB1155" s="4">
        <v>27656</v>
      </c>
      <c r="AC1155" s="4">
        <v>6330</v>
      </c>
      <c r="AD1155" s="4">
        <v>6330</v>
      </c>
      <c r="AE1155" s="4">
        <v>28253</v>
      </c>
      <c r="AF1155" s="4">
        <v>12000</v>
      </c>
    </row>
    <row r="1156" spans="1:32">
      <c r="A1156" s="2" t="s">
        <v>2443</v>
      </c>
      <c r="B1156" s="3">
        <v>46233</v>
      </c>
      <c r="C1156" s="36" t="s">
        <v>2128</v>
      </c>
      <c r="D1156" s="2">
        <f>MONTH(ProductionData[[#This Row],[Month]])</f>
        <v>7</v>
      </c>
      <c r="E1156" s="2" t="s">
        <v>107</v>
      </c>
      <c r="F1156" s="2" t="s">
        <v>93</v>
      </c>
      <c r="G1156" s="2" t="s">
        <v>81</v>
      </c>
      <c r="H1156" s="2" t="s">
        <v>82</v>
      </c>
      <c r="I1156" s="2" t="s">
        <v>83</v>
      </c>
      <c r="J1156" s="2" t="s">
        <v>166</v>
      </c>
      <c r="K1156" s="2" t="s">
        <v>167</v>
      </c>
      <c r="L1156" s="2" t="s">
        <v>2444</v>
      </c>
      <c r="M1156" s="2" t="s">
        <v>133</v>
      </c>
      <c r="N1156" s="2" t="s">
        <v>96</v>
      </c>
      <c r="O1156" s="2">
        <v>18</v>
      </c>
      <c r="P1156" s="2">
        <v>16</v>
      </c>
      <c r="Q1156" s="4">
        <v>8710</v>
      </c>
      <c r="R1156" s="4">
        <v>8220</v>
      </c>
      <c r="S1156" s="4">
        <v>274</v>
      </c>
      <c r="T1156" s="19">
        <f>(ProductionData[[#This Row],[Rejected_Qty]])/ProductionData[[#This Row],[Produced_Qty]]</f>
        <v>3.3333333333333333E-2</v>
      </c>
      <c r="U1156" s="19">
        <f>ProductionData[[#This Row],[Produced_Qty]]/ProductionData[[#This Row],[Planned_Qty]]</f>
        <v>0.94374282433983925</v>
      </c>
      <c r="V1156" s="2" t="s">
        <v>75</v>
      </c>
      <c r="W1156" s="11">
        <v>0</v>
      </c>
      <c r="X1156" s="13">
        <f>W1156/60</f>
        <v>0</v>
      </c>
      <c r="Y1156" s="2" t="s">
        <v>90</v>
      </c>
      <c r="Z1156" s="2">
        <v>17</v>
      </c>
      <c r="AA1156" s="2">
        <f>ProductionData[[#This Row],[Rejected_Qty]]*ProductionData[[#This Row],[Unit_Cost_INR]]</f>
        <v>4658</v>
      </c>
      <c r="AB1156" s="4">
        <v>29236</v>
      </c>
      <c r="AC1156" s="4">
        <v>8940</v>
      </c>
      <c r="AD1156" s="4">
        <v>8940</v>
      </c>
      <c r="AE1156" s="4">
        <v>28242</v>
      </c>
      <c r="AF1156" s="4">
        <v>13500</v>
      </c>
    </row>
    <row r="1157" spans="1:32">
      <c r="A1157" s="2" t="s">
        <v>2445</v>
      </c>
      <c r="B1157" s="3">
        <v>46218</v>
      </c>
      <c r="C1157" s="36" t="s">
        <v>2128</v>
      </c>
      <c r="D1157" s="2">
        <f>MONTH(ProductionData[[#This Row],[Month]])</f>
        <v>7</v>
      </c>
      <c r="E1157" s="2" t="s">
        <v>79</v>
      </c>
      <c r="F1157" s="2" t="s">
        <v>93</v>
      </c>
      <c r="G1157" s="2" t="s">
        <v>67</v>
      </c>
      <c r="H1157" s="2" t="s">
        <v>68</v>
      </c>
      <c r="I1157" s="2" t="s">
        <v>69</v>
      </c>
      <c r="J1157" s="2" t="s">
        <v>70</v>
      </c>
      <c r="K1157" s="2" t="s">
        <v>71</v>
      </c>
      <c r="L1157" s="2" t="s">
        <v>2446</v>
      </c>
      <c r="M1157" s="2" t="s">
        <v>95</v>
      </c>
      <c r="N1157" s="2" t="s">
        <v>74</v>
      </c>
      <c r="O1157" s="2">
        <v>16</v>
      </c>
      <c r="P1157" s="2">
        <v>16</v>
      </c>
      <c r="Q1157" s="4">
        <v>6670</v>
      </c>
      <c r="R1157" s="4">
        <v>6710</v>
      </c>
      <c r="S1157" s="4">
        <v>631</v>
      </c>
      <c r="T1157" s="19">
        <f>(ProductionData[[#This Row],[Rejected_Qty]])/ProductionData[[#This Row],[Produced_Qty]]</f>
        <v>9.4038748137108788E-2</v>
      </c>
      <c r="U1157" s="19">
        <f>ProductionData[[#This Row],[Produced_Qty]]/ProductionData[[#This Row],[Planned_Qty]]</f>
        <v>1.0059970014992503</v>
      </c>
      <c r="V1157" s="2" t="s">
        <v>2284</v>
      </c>
      <c r="W1157" s="11">
        <v>0</v>
      </c>
      <c r="X1157" s="13">
        <f>W1157/60</f>
        <v>0</v>
      </c>
      <c r="Y1157" s="2" t="s">
        <v>90</v>
      </c>
      <c r="Z1157" s="2">
        <v>46</v>
      </c>
      <c r="AA1157" s="2">
        <f>ProductionData[[#This Row],[Rejected_Qty]]*ProductionData[[#This Row],[Unit_Cost_INR]]</f>
        <v>29026</v>
      </c>
      <c r="AB1157" s="4">
        <v>28358</v>
      </c>
      <c r="AC1157" s="4">
        <v>6270</v>
      </c>
      <c r="AD1157" s="4">
        <v>6270</v>
      </c>
      <c r="AE1157" s="4">
        <v>28167</v>
      </c>
      <c r="AF1157" s="4">
        <v>10500</v>
      </c>
    </row>
    <row r="1158" spans="1:32">
      <c r="A1158" s="2" t="s">
        <v>2447</v>
      </c>
      <c r="B1158" s="3">
        <v>46231</v>
      </c>
      <c r="C1158" s="36" t="s">
        <v>2128</v>
      </c>
      <c r="D1158" s="2">
        <f>MONTH(ProductionData[[#This Row],[Month]])</f>
        <v>7</v>
      </c>
      <c r="E1158" s="2" t="s">
        <v>92</v>
      </c>
      <c r="F1158" s="2" t="s">
        <v>93</v>
      </c>
      <c r="G1158" s="2" t="s">
        <v>174</v>
      </c>
      <c r="H1158" s="2" t="s">
        <v>175</v>
      </c>
      <c r="I1158" s="2" t="s">
        <v>176</v>
      </c>
      <c r="J1158" s="2" t="s">
        <v>177</v>
      </c>
      <c r="K1158" s="2" t="s">
        <v>178</v>
      </c>
      <c r="L1158" s="2" t="s">
        <v>2448</v>
      </c>
      <c r="M1158" s="2" t="s">
        <v>133</v>
      </c>
      <c r="N1158" s="2" t="s">
        <v>88</v>
      </c>
      <c r="O1158" s="2">
        <v>10</v>
      </c>
      <c r="P1158" s="2">
        <v>8</v>
      </c>
      <c r="Q1158" s="4">
        <v>7500</v>
      </c>
      <c r="R1158" s="4">
        <v>6150</v>
      </c>
      <c r="S1158" s="4">
        <v>82</v>
      </c>
      <c r="T1158" s="19">
        <f>(ProductionData[[#This Row],[Rejected_Qty]])/ProductionData[[#This Row],[Produced_Qty]]</f>
        <v>1.3333333333333334E-2</v>
      </c>
      <c r="U1158" s="19">
        <f>ProductionData[[#This Row],[Produced_Qty]]/ProductionData[[#This Row],[Planned_Qty]]</f>
        <v>0.82</v>
      </c>
      <c r="V1158" s="2" t="s">
        <v>103</v>
      </c>
      <c r="W1158" s="11">
        <v>72</v>
      </c>
      <c r="X1158" s="13">
        <f>W1158/60</f>
        <v>1.2</v>
      </c>
      <c r="Y1158" s="2" t="s">
        <v>110</v>
      </c>
      <c r="Z1158" s="2">
        <v>24</v>
      </c>
      <c r="AA1158" s="2">
        <f>ProductionData[[#This Row],[Rejected_Qty]]*ProductionData[[#This Row],[Unit_Cost_INR]]</f>
        <v>1968</v>
      </c>
      <c r="AB1158" s="4">
        <v>28253</v>
      </c>
      <c r="AC1158" s="4">
        <v>6180</v>
      </c>
      <c r="AD1158" s="4">
        <v>6180</v>
      </c>
      <c r="AE1158" s="4">
        <v>28141</v>
      </c>
      <c r="AF1158" s="4">
        <v>12000</v>
      </c>
    </row>
    <row r="1159" spans="1:32">
      <c r="A1159" s="2" t="s">
        <v>2449</v>
      </c>
      <c r="B1159" s="3">
        <v>46234</v>
      </c>
      <c r="C1159" s="36" t="s">
        <v>2128</v>
      </c>
      <c r="D1159" s="2">
        <f>MONTH(ProductionData[[#This Row],[Month]])</f>
        <v>7</v>
      </c>
      <c r="E1159" s="2" t="s">
        <v>125</v>
      </c>
      <c r="F1159" s="2" t="s">
        <v>93</v>
      </c>
      <c r="G1159" s="2" t="s">
        <v>174</v>
      </c>
      <c r="H1159" s="2" t="s">
        <v>175</v>
      </c>
      <c r="I1159" s="2" t="s">
        <v>176</v>
      </c>
      <c r="J1159" s="2" t="s">
        <v>177</v>
      </c>
      <c r="K1159" s="2" t="s">
        <v>178</v>
      </c>
      <c r="L1159" s="2" t="s">
        <v>2450</v>
      </c>
      <c r="M1159" s="2" t="s">
        <v>95</v>
      </c>
      <c r="N1159" s="2" t="s">
        <v>88</v>
      </c>
      <c r="O1159" s="2">
        <v>10</v>
      </c>
      <c r="P1159" s="2">
        <v>9</v>
      </c>
      <c r="Q1159" s="4">
        <v>7770</v>
      </c>
      <c r="R1159" s="4">
        <v>7900</v>
      </c>
      <c r="S1159" s="4">
        <v>206</v>
      </c>
      <c r="T1159" s="19">
        <f>(ProductionData[[#This Row],[Rejected_Qty]])/ProductionData[[#This Row],[Produced_Qty]]</f>
        <v>2.6075949367088607E-2</v>
      </c>
      <c r="U1159" s="19">
        <f>ProductionData[[#This Row],[Produced_Qty]]/ProductionData[[#This Row],[Planned_Qty]]</f>
        <v>1.0167310167310166</v>
      </c>
      <c r="V1159" s="2" t="s">
        <v>89</v>
      </c>
      <c r="W1159" s="11">
        <v>0</v>
      </c>
      <c r="X1159" s="13">
        <f>W1159/60</f>
        <v>0</v>
      </c>
      <c r="Y1159" s="2" t="s">
        <v>90</v>
      </c>
      <c r="Z1159" s="2">
        <v>24</v>
      </c>
      <c r="AA1159" s="2">
        <f>ProductionData[[#This Row],[Rejected_Qty]]*ProductionData[[#This Row],[Unit_Cost_INR]]</f>
        <v>4944</v>
      </c>
      <c r="AB1159" s="4">
        <v>27520</v>
      </c>
      <c r="AC1159" s="4">
        <v>7120</v>
      </c>
      <c r="AD1159" s="4">
        <v>7120</v>
      </c>
      <c r="AE1159" s="4">
        <v>28094</v>
      </c>
      <c r="AF1159" s="4">
        <v>12000</v>
      </c>
    </row>
    <row r="1160" spans="1:32">
      <c r="A1160" s="2" t="s">
        <v>2451</v>
      </c>
      <c r="B1160" s="3">
        <v>46233</v>
      </c>
      <c r="C1160" s="36" t="s">
        <v>2128</v>
      </c>
      <c r="D1160" s="2">
        <f>MONTH(ProductionData[[#This Row],[Month]])</f>
        <v>7</v>
      </c>
      <c r="E1160" s="2" t="s">
        <v>107</v>
      </c>
      <c r="F1160" s="2" t="s">
        <v>93</v>
      </c>
      <c r="G1160" s="2" t="s">
        <v>174</v>
      </c>
      <c r="H1160" s="2" t="s">
        <v>175</v>
      </c>
      <c r="I1160" s="2" t="s">
        <v>176</v>
      </c>
      <c r="J1160" s="2" t="s">
        <v>177</v>
      </c>
      <c r="K1160" s="2" t="s">
        <v>178</v>
      </c>
      <c r="L1160" s="2" t="s">
        <v>2452</v>
      </c>
      <c r="M1160" s="2" t="s">
        <v>95</v>
      </c>
      <c r="N1160" s="2" t="s">
        <v>88</v>
      </c>
      <c r="O1160" s="2">
        <v>10</v>
      </c>
      <c r="P1160" s="2">
        <v>9</v>
      </c>
      <c r="Q1160" s="4">
        <v>7210</v>
      </c>
      <c r="R1160" s="4">
        <v>6670</v>
      </c>
      <c r="S1160" s="4">
        <v>204</v>
      </c>
      <c r="T1160" s="19">
        <f>(ProductionData[[#This Row],[Rejected_Qty]])/ProductionData[[#This Row],[Produced_Qty]]</f>
        <v>3.0584707646176913E-2</v>
      </c>
      <c r="U1160" s="19">
        <f>ProductionData[[#This Row],[Produced_Qty]]/ProductionData[[#This Row],[Planned_Qty]]</f>
        <v>0.92510402219140087</v>
      </c>
      <c r="V1160" s="2" t="s">
        <v>109</v>
      </c>
      <c r="W1160" s="11">
        <v>0</v>
      </c>
      <c r="X1160" s="13">
        <f>W1160/60</f>
        <v>0</v>
      </c>
      <c r="Y1160" s="2" t="s">
        <v>90</v>
      </c>
      <c r="Z1160" s="2">
        <v>24</v>
      </c>
      <c r="AA1160" s="2">
        <f>ProductionData[[#This Row],[Rejected_Qty]]*ProductionData[[#This Row],[Unit_Cost_INR]]</f>
        <v>4896</v>
      </c>
      <c r="AB1160" s="4">
        <v>27718</v>
      </c>
      <c r="AC1160" s="4">
        <v>6170</v>
      </c>
      <c r="AD1160" s="4">
        <v>6170</v>
      </c>
      <c r="AE1160" s="4">
        <v>28014</v>
      </c>
      <c r="AF1160" s="4">
        <v>12000</v>
      </c>
    </row>
    <row r="1161" spans="1:32">
      <c r="A1161" s="2" t="s">
        <v>2453</v>
      </c>
      <c r="B1161" s="3">
        <v>46207</v>
      </c>
      <c r="C1161" s="36" t="s">
        <v>2128</v>
      </c>
      <c r="D1161" s="2">
        <f>MONTH(ProductionData[[#This Row],[Month]])</f>
        <v>7</v>
      </c>
      <c r="E1161" s="2" t="s">
        <v>65</v>
      </c>
      <c r="F1161" s="2" t="s">
        <v>80</v>
      </c>
      <c r="G1161" s="2" t="s">
        <v>81</v>
      </c>
      <c r="H1161" s="2" t="s">
        <v>82</v>
      </c>
      <c r="I1161" s="2" t="s">
        <v>83</v>
      </c>
      <c r="J1161" s="2" t="s">
        <v>166</v>
      </c>
      <c r="K1161" s="2" t="s">
        <v>167</v>
      </c>
      <c r="L1161" s="2" t="s">
        <v>2454</v>
      </c>
      <c r="M1161" s="2" t="s">
        <v>102</v>
      </c>
      <c r="N1161" s="2" t="s">
        <v>96</v>
      </c>
      <c r="O1161" s="2">
        <v>18</v>
      </c>
      <c r="P1161" s="2">
        <v>16</v>
      </c>
      <c r="Q1161" s="4">
        <v>9530</v>
      </c>
      <c r="R1161" s="4">
        <v>8340</v>
      </c>
      <c r="S1161" s="4">
        <v>228</v>
      </c>
      <c r="T1161" s="19">
        <f>(ProductionData[[#This Row],[Rejected_Qty]])/ProductionData[[#This Row],[Produced_Qty]]</f>
        <v>2.7338129496402876E-2</v>
      </c>
      <c r="U1161" s="19">
        <f>ProductionData[[#This Row],[Produced_Qty]]/ProductionData[[#This Row],[Planned_Qty]]</f>
        <v>0.87513116474291708</v>
      </c>
      <c r="V1161" s="2" t="s">
        <v>103</v>
      </c>
      <c r="W1161" s="11">
        <v>0</v>
      </c>
      <c r="X1161" s="13">
        <f>W1161/60</f>
        <v>0</v>
      </c>
      <c r="Y1161" s="2" t="s">
        <v>90</v>
      </c>
      <c r="Z1161" s="2">
        <v>17</v>
      </c>
      <c r="AA1161" s="2">
        <f>ProductionData[[#This Row],[Rejected_Qty]]*ProductionData[[#This Row],[Unit_Cost_INR]]</f>
        <v>3876</v>
      </c>
      <c r="AB1161" s="4">
        <v>29599</v>
      </c>
      <c r="AC1161" s="4">
        <v>9800</v>
      </c>
      <c r="AD1161" s="4">
        <v>9800</v>
      </c>
      <c r="AE1161" s="4">
        <v>27911</v>
      </c>
      <c r="AF1161" s="4">
        <v>13500</v>
      </c>
    </row>
    <row r="1162" spans="1:32">
      <c r="A1162" s="2" t="s">
        <v>2455</v>
      </c>
      <c r="B1162" s="3">
        <v>46204</v>
      </c>
      <c r="C1162" s="36" t="s">
        <v>2128</v>
      </c>
      <c r="D1162" s="2">
        <f>MONTH(ProductionData[[#This Row],[Month]])</f>
        <v>7</v>
      </c>
      <c r="E1162" s="2" t="s">
        <v>79</v>
      </c>
      <c r="F1162" s="2" t="s">
        <v>66</v>
      </c>
      <c r="G1162" s="2" t="s">
        <v>195</v>
      </c>
      <c r="H1162" s="2" t="s">
        <v>196</v>
      </c>
      <c r="I1162" s="2" t="s">
        <v>197</v>
      </c>
      <c r="J1162" s="2" t="s">
        <v>269</v>
      </c>
      <c r="K1162" s="2" t="s">
        <v>270</v>
      </c>
      <c r="L1162" s="2" t="s">
        <v>2456</v>
      </c>
      <c r="M1162" s="2" t="s">
        <v>99</v>
      </c>
      <c r="N1162" s="2" t="s">
        <v>88</v>
      </c>
      <c r="O1162" s="2">
        <v>14</v>
      </c>
      <c r="P1162" s="2">
        <v>13</v>
      </c>
      <c r="Q1162" s="4">
        <v>8070</v>
      </c>
      <c r="R1162" s="4">
        <v>7830</v>
      </c>
      <c r="S1162" s="4">
        <v>307</v>
      </c>
      <c r="T1162" s="19">
        <f>(ProductionData[[#This Row],[Rejected_Qty]])/ProductionData[[#This Row],[Produced_Qty]]</f>
        <v>3.920817369093231E-2</v>
      </c>
      <c r="U1162" s="19">
        <f>ProductionData[[#This Row],[Produced_Qty]]/ProductionData[[#This Row],[Planned_Qty]]</f>
        <v>0.97026022304832715</v>
      </c>
      <c r="V1162" s="2" t="s">
        <v>103</v>
      </c>
      <c r="W1162" s="11">
        <v>0</v>
      </c>
      <c r="X1162" s="13">
        <f>W1162/60</f>
        <v>0</v>
      </c>
      <c r="Y1162" s="2" t="s">
        <v>90</v>
      </c>
      <c r="Z1162" s="2">
        <v>42</v>
      </c>
      <c r="AA1162" s="2">
        <f>ProductionData[[#This Row],[Rejected_Qty]]*ProductionData[[#This Row],[Unit_Cost_INR]]</f>
        <v>12894</v>
      </c>
      <c r="AB1162" s="4">
        <v>26937</v>
      </c>
      <c r="AC1162" s="4">
        <v>6550</v>
      </c>
      <c r="AD1162" s="4">
        <v>6550</v>
      </c>
      <c r="AE1162" s="4">
        <v>27910</v>
      </c>
      <c r="AF1162" s="4">
        <v>12000</v>
      </c>
    </row>
    <row r="1163" spans="1:32">
      <c r="A1163" s="2" t="s">
        <v>2457</v>
      </c>
      <c r="B1163" s="3">
        <v>46227</v>
      </c>
      <c r="C1163" s="36" t="s">
        <v>2128</v>
      </c>
      <c r="D1163" s="2">
        <f>MONTH(ProductionData[[#This Row],[Month]])</f>
        <v>7</v>
      </c>
      <c r="E1163" s="2" t="s">
        <v>125</v>
      </c>
      <c r="F1163" s="2" t="s">
        <v>80</v>
      </c>
      <c r="G1163" s="2" t="s">
        <v>174</v>
      </c>
      <c r="H1163" s="2" t="s">
        <v>175</v>
      </c>
      <c r="I1163" s="2" t="s">
        <v>176</v>
      </c>
      <c r="J1163" s="2" t="s">
        <v>177</v>
      </c>
      <c r="K1163" s="2" t="s">
        <v>178</v>
      </c>
      <c r="L1163" s="2" t="s">
        <v>2458</v>
      </c>
      <c r="M1163" s="2" t="s">
        <v>87</v>
      </c>
      <c r="N1163" s="2" t="s">
        <v>88</v>
      </c>
      <c r="O1163" s="2">
        <v>10</v>
      </c>
      <c r="P1163" s="2">
        <v>10</v>
      </c>
      <c r="Q1163" s="4">
        <v>8580</v>
      </c>
      <c r="R1163" s="4">
        <v>8240</v>
      </c>
      <c r="S1163" s="4">
        <v>134</v>
      </c>
      <c r="T1163" s="19">
        <f>(ProductionData[[#This Row],[Rejected_Qty]])/ProductionData[[#This Row],[Produced_Qty]]</f>
        <v>1.6262135922330098E-2</v>
      </c>
      <c r="U1163" s="19">
        <f>ProductionData[[#This Row],[Produced_Qty]]/ProductionData[[#This Row],[Planned_Qty]]</f>
        <v>0.96037296037296038</v>
      </c>
      <c r="V1163" s="2" t="s">
        <v>75</v>
      </c>
      <c r="W1163" s="11">
        <v>28</v>
      </c>
      <c r="X1163" s="13">
        <f>W1163/60</f>
        <v>0.46666666666666667</v>
      </c>
      <c r="Y1163" s="2" t="s">
        <v>182</v>
      </c>
      <c r="Z1163" s="2">
        <v>24</v>
      </c>
      <c r="AA1163" s="2">
        <f>ProductionData[[#This Row],[Rejected_Qty]]*ProductionData[[#This Row],[Unit_Cost_INR]]</f>
        <v>3216</v>
      </c>
      <c r="AB1163" s="4">
        <v>27269</v>
      </c>
      <c r="AC1163" s="4">
        <v>7470</v>
      </c>
      <c r="AD1163" s="4">
        <v>7470</v>
      </c>
      <c r="AE1163" s="4">
        <v>27905</v>
      </c>
      <c r="AF1163" s="4">
        <v>12000</v>
      </c>
    </row>
    <row r="1164" spans="1:32">
      <c r="A1164" s="2" t="s">
        <v>2459</v>
      </c>
      <c r="B1164" s="3">
        <v>46211</v>
      </c>
      <c r="C1164" s="36" t="s">
        <v>2128</v>
      </c>
      <c r="D1164" s="2">
        <f>MONTH(ProductionData[[#This Row],[Month]])</f>
        <v>7</v>
      </c>
      <c r="E1164" s="2" t="s">
        <v>79</v>
      </c>
      <c r="F1164" s="2" t="s">
        <v>80</v>
      </c>
      <c r="G1164" s="2" t="s">
        <v>81</v>
      </c>
      <c r="H1164" s="2" t="s">
        <v>82</v>
      </c>
      <c r="I1164" s="2" t="s">
        <v>83</v>
      </c>
      <c r="J1164" s="2" t="s">
        <v>166</v>
      </c>
      <c r="K1164" s="2" t="s">
        <v>167</v>
      </c>
      <c r="L1164" s="2" t="s">
        <v>2460</v>
      </c>
      <c r="M1164" s="2" t="s">
        <v>87</v>
      </c>
      <c r="N1164" s="2" t="s">
        <v>88</v>
      </c>
      <c r="O1164" s="2">
        <v>18</v>
      </c>
      <c r="P1164" s="2">
        <v>18</v>
      </c>
      <c r="Q1164" s="4">
        <v>8820</v>
      </c>
      <c r="R1164" s="4">
        <v>8580</v>
      </c>
      <c r="S1164" s="4">
        <v>318</v>
      </c>
      <c r="T1164" s="19">
        <f>(ProductionData[[#This Row],[Rejected_Qty]])/ProductionData[[#This Row],[Produced_Qty]]</f>
        <v>3.7062937062937062E-2</v>
      </c>
      <c r="U1164" s="19">
        <f>ProductionData[[#This Row],[Produced_Qty]]/ProductionData[[#This Row],[Planned_Qty]]</f>
        <v>0.97278911564625847</v>
      </c>
      <c r="V1164" s="2" t="s">
        <v>89</v>
      </c>
      <c r="W1164" s="11">
        <v>25</v>
      </c>
      <c r="X1164" s="13">
        <f>W1164/60</f>
        <v>0.41666666666666669</v>
      </c>
      <c r="Y1164" s="2" t="s">
        <v>110</v>
      </c>
      <c r="Z1164" s="2">
        <v>17</v>
      </c>
      <c r="AA1164" s="2">
        <f>ProductionData[[#This Row],[Rejected_Qty]]*ProductionData[[#This Row],[Unit_Cost_INR]]</f>
        <v>5406</v>
      </c>
      <c r="AB1164" s="4">
        <v>27717</v>
      </c>
      <c r="AC1164" s="4">
        <v>8140</v>
      </c>
      <c r="AD1164" s="4">
        <v>8140</v>
      </c>
      <c r="AE1164" s="4">
        <v>27839</v>
      </c>
      <c r="AF1164" s="4">
        <v>13500</v>
      </c>
    </row>
    <row r="1165" spans="1:32">
      <c r="A1165" s="2" t="s">
        <v>2461</v>
      </c>
      <c r="B1165" s="3">
        <v>46234</v>
      </c>
      <c r="C1165" s="36" t="s">
        <v>2128</v>
      </c>
      <c r="D1165" s="2">
        <f>MONTH(ProductionData[[#This Row],[Month]])</f>
        <v>7</v>
      </c>
      <c r="E1165" s="2" t="s">
        <v>125</v>
      </c>
      <c r="F1165" s="2" t="s">
        <v>80</v>
      </c>
      <c r="G1165" s="2" t="s">
        <v>81</v>
      </c>
      <c r="H1165" s="2" t="s">
        <v>82</v>
      </c>
      <c r="I1165" s="2" t="s">
        <v>83</v>
      </c>
      <c r="J1165" s="2" t="s">
        <v>166</v>
      </c>
      <c r="K1165" s="2" t="s">
        <v>167</v>
      </c>
      <c r="L1165" s="2" t="s">
        <v>2462</v>
      </c>
      <c r="M1165" s="2" t="s">
        <v>102</v>
      </c>
      <c r="N1165" s="2" t="s">
        <v>88</v>
      </c>
      <c r="O1165" s="2">
        <v>18</v>
      </c>
      <c r="P1165" s="2">
        <v>18</v>
      </c>
      <c r="Q1165" s="4">
        <v>8470</v>
      </c>
      <c r="R1165" s="4">
        <v>8070</v>
      </c>
      <c r="S1165" s="4">
        <v>145</v>
      </c>
      <c r="T1165" s="19">
        <f>(ProductionData[[#This Row],[Rejected_Qty]])/ProductionData[[#This Row],[Produced_Qty]]</f>
        <v>1.7967781908302356E-2</v>
      </c>
      <c r="U1165" s="19">
        <f>ProductionData[[#This Row],[Produced_Qty]]/ProductionData[[#This Row],[Planned_Qty]]</f>
        <v>0.9527744982290437</v>
      </c>
      <c r="V1165" s="2" t="s">
        <v>103</v>
      </c>
      <c r="W1165" s="11">
        <v>0</v>
      </c>
      <c r="X1165" s="13">
        <f>W1165/60</f>
        <v>0</v>
      </c>
      <c r="Y1165" s="2" t="s">
        <v>90</v>
      </c>
      <c r="Z1165" s="2">
        <v>17</v>
      </c>
      <c r="AA1165" s="2">
        <f>ProductionData[[#This Row],[Rejected_Qty]]*ProductionData[[#This Row],[Unit_Cost_INR]]</f>
        <v>2465</v>
      </c>
      <c r="AB1165" s="4">
        <v>28242</v>
      </c>
      <c r="AC1165" s="4">
        <v>8340</v>
      </c>
      <c r="AD1165" s="4">
        <v>8340</v>
      </c>
      <c r="AE1165" s="4">
        <v>27827</v>
      </c>
      <c r="AF1165" s="4">
        <v>13500</v>
      </c>
    </row>
    <row r="1166" spans="1:32">
      <c r="A1166" s="2" t="s">
        <v>2463</v>
      </c>
      <c r="B1166" s="3">
        <v>46223</v>
      </c>
      <c r="C1166" s="36" t="s">
        <v>2128</v>
      </c>
      <c r="D1166" s="2">
        <f>MONTH(ProductionData[[#This Row],[Month]])</f>
        <v>7</v>
      </c>
      <c r="E1166" s="2" t="s">
        <v>116</v>
      </c>
      <c r="F1166" s="2" t="s">
        <v>66</v>
      </c>
      <c r="G1166" s="2" t="s">
        <v>195</v>
      </c>
      <c r="H1166" s="2" t="s">
        <v>196</v>
      </c>
      <c r="I1166" s="2" t="s">
        <v>197</v>
      </c>
      <c r="J1166" s="2" t="s">
        <v>269</v>
      </c>
      <c r="K1166" s="2" t="s">
        <v>270</v>
      </c>
      <c r="L1166" s="2" t="s">
        <v>2464</v>
      </c>
      <c r="M1166" s="2" t="s">
        <v>99</v>
      </c>
      <c r="N1166" s="2" t="s">
        <v>88</v>
      </c>
      <c r="O1166" s="2">
        <v>14</v>
      </c>
      <c r="P1166" s="2">
        <v>14</v>
      </c>
      <c r="Q1166" s="4">
        <v>7760</v>
      </c>
      <c r="R1166" s="4">
        <v>7200</v>
      </c>
      <c r="S1166" s="4">
        <v>117</v>
      </c>
      <c r="T1166" s="19">
        <f>(ProductionData[[#This Row],[Rejected_Qty]])/ProductionData[[#This Row],[Produced_Qty]]</f>
        <v>1.6250000000000001E-2</v>
      </c>
      <c r="U1166" s="19">
        <f>ProductionData[[#This Row],[Produced_Qty]]/ProductionData[[#This Row],[Planned_Qty]]</f>
        <v>0.92783505154639179</v>
      </c>
      <c r="V1166" s="2" t="s">
        <v>75</v>
      </c>
      <c r="W1166" s="11">
        <v>0</v>
      </c>
      <c r="X1166" s="13">
        <f>W1166/60</f>
        <v>0</v>
      </c>
      <c r="Y1166" s="2" t="s">
        <v>90</v>
      </c>
      <c r="Z1166" s="2">
        <v>42</v>
      </c>
      <c r="AA1166" s="2">
        <f>ProductionData[[#This Row],[Rejected_Qty]]*ProductionData[[#This Row],[Unit_Cost_INR]]</f>
        <v>4914</v>
      </c>
      <c r="AB1166" s="4">
        <v>28650</v>
      </c>
      <c r="AC1166" s="4">
        <v>7910</v>
      </c>
      <c r="AD1166" s="4">
        <v>7910</v>
      </c>
      <c r="AE1166" s="4">
        <v>27823</v>
      </c>
      <c r="AF1166" s="4">
        <v>12000</v>
      </c>
    </row>
    <row r="1167" spans="1:32">
      <c r="A1167" s="2" t="s">
        <v>2465</v>
      </c>
      <c r="B1167" s="3">
        <v>46225</v>
      </c>
      <c r="C1167" s="36" t="s">
        <v>2128</v>
      </c>
      <c r="D1167" s="2">
        <f>MONTH(ProductionData[[#This Row],[Month]])</f>
        <v>7</v>
      </c>
      <c r="E1167" s="2" t="s">
        <v>79</v>
      </c>
      <c r="F1167" s="2" t="s">
        <v>93</v>
      </c>
      <c r="G1167" s="2" t="s">
        <v>174</v>
      </c>
      <c r="H1167" s="2" t="s">
        <v>175</v>
      </c>
      <c r="I1167" s="2" t="s">
        <v>176</v>
      </c>
      <c r="J1167" s="2" t="s">
        <v>177</v>
      </c>
      <c r="K1167" s="2" t="s">
        <v>178</v>
      </c>
      <c r="L1167" s="2" t="s">
        <v>2466</v>
      </c>
      <c r="M1167" s="2" t="s">
        <v>133</v>
      </c>
      <c r="N1167" s="2" t="s">
        <v>96</v>
      </c>
      <c r="O1167" s="2">
        <v>10</v>
      </c>
      <c r="P1167" s="2">
        <v>8</v>
      </c>
      <c r="Q1167" s="4">
        <v>7350</v>
      </c>
      <c r="R1167" s="4">
        <v>6150</v>
      </c>
      <c r="S1167" s="4">
        <v>102</v>
      </c>
      <c r="T1167" s="19">
        <f>(ProductionData[[#This Row],[Rejected_Qty]])/ProductionData[[#This Row],[Produced_Qty]]</f>
        <v>1.6585365853658537E-2</v>
      </c>
      <c r="U1167" s="19">
        <f>ProductionData[[#This Row],[Produced_Qty]]/ProductionData[[#This Row],[Planned_Qty]]</f>
        <v>0.83673469387755106</v>
      </c>
      <c r="V1167" s="2" t="s">
        <v>89</v>
      </c>
      <c r="W1167" s="11">
        <v>0</v>
      </c>
      <c r="X1167" s="13">
        <f>W1167/60</f>
        <v>0</v>
      </c>
      <c r="Y1167" s="2" t="s">
        <v>90</v>
      </c>
      <c r="Z1167" s="2">
        <v>24</v>
      </c>
      <c r="AA1167" s="2">
        <f>ProductionData[[#This Row],[Rejected_Qty]]*ProductionData[[#This Row],[Unit_Cost_INR]]</f>
        <v>2448</v>
      </c>
      <c r="AB1167" s="4">
        <v>28360</v>
      </c>
      <c r="AC1167" s="4">
        <v>6670</v>
      </c>
      <c r="AD1167" s="4">
        <v>6670</v>
      </c>
      <c r="AE1167" s="4">
        <v>27738</v>
      </c>
      <c r="AF1167" s="4">
        <v>12000</v>
      </c>
    </row>
    <row r="1168" spans="1:32">
      <c r="A1168" s="2" t="s">
        <v>2467</v>
      </c>
      <c r="B1168" s="3">
        <v>46232</v>
      </c>
      <c r="C1168" s="36" t="s">
        <v>2128</v>
      </c>
      <c r="D1168" s="2">
        <f>MONTH(ProductionData[[#This Row],[Month]])</f>
        <v>7</v>
      </c>
      <c r="E1168" s="2" t="s">
        <v>79</v>
      </c>
      <c r="F1168" s="2" t="s">
        <v>66</v>
      </c>
      <c r="G1168" s="2" t="s">
        <v>174</v>
      </c>
      <c r="H1168" s="2" t="s">
        <v>175</v>
      </c>
      <c r="I1168" s="2" t="s">
        <v>176</v>
      </c>
      <c r="J1168" s="2" t="s">
        <v>177</v>
      </c>
      <c r="K1168" s="2" t="s">
        <v>178</v>
      </c>
      <c r="L1168" s="2" t="s">
        <v>2468</v>
      </c>
      <c r="M1168" s="2" t="s">
        <v>73</v>
      </c>
      <c r="N1168" s="2" t="s">
        <v>96</v>
      </c>
      <c r="O1168" s="2">
        <v>10</v>
      </c>
      <c r="P1168" s="2">
        <v>10</v>
      </c>
      <c r="Q1168" s="4">
        <v>7910</v>
      </c>
      <c r="R1168" s="4">
        <v>7510</v>
      </c>
      <c r="S1168" s="4">
        <v>153</v>
      </c>
      <c r="T1168" s="19">
        <f>(ProductionData[[#This Row],[Rejected_Qty]])/ProductionData[[#This Row],[Produced_Qty]]</f>
        <v>2.03728362183755E-2</v>
      </c>
      <c r="U1168" s="19">
        <f>ProductionData[[#This Row],[Produced_Qty]]/ProductionData[[#This Row],[Planned_Qty]]</f>
        <v>0.94943109987357777</v>
      </c>
      <c r="V1168" s="2" t="s">
        <v>109</v>
      </c>
      <c r="W1168" s="11">
        <v>0</v>
      </c>
      <c r="X1168" s="13">
        <f>W1168/60</f>
        <v>0</v>
      </c>
      <c r="Y1168" s="2" t="s">
        <v>90</v>
      </c>
      <c r="Z1168" s="2">
        <v>24</v>
      </c>
      <c r="AA1168" s="2">
        <f>ProductionData[[#This Row],[Rejected_Qty]]*ProductionData[[#This Row],[Unit_Cost_INR]]</f>
        <v>3672</v>
      </c>
      <c r="AB1168" s="4">
        <v>28141</v>
      </c>
      <c r="AC1168" s="4">
        <v>7780</v>
      </c>
      <c r="AD1168" s="4">
        <v>7780</v>
      </c>
      <c r="AE1168" s="4">
        <v>27718</v>
      </c>
      <c r="AF1168" s="4">
        <v>12000</v>
      </c>
    </row>
    <row r="1169" spans="1:32">
      <c r="A1169" s="2" t="s">
        <v>2469</v>
      </c>
      <c r="B1169" s="3">
        <v>46210</v>
      </c>
      <c r="C1169" s="36" t="s">
        <v>2128</v>
      </c>
      <c r="D1169" s="2">
        <f>MONTH(ProductionData[[#This Row],[Month]])</f>
        <v>7</v>
      </c>
      <c r="E1169" s="2" t="s">
        <v>92</v>
      </c>
      <c r="F1169" s="2" t="s">
        <v>80</v>
      </c>
      <c r="G1169" s="2" t="s">
        <v>81</v>
      </c>
      <c r="H1169" s="2" t="s">
        <v>82</v>
      </c>
      <c r="I1169" s="2" t="s">
        <v>83</v>
      </c>
      <c r="J1169" s="2" t="s">
        <v>166</v>
      </c>
      <c r="K1169" s="2" t="s">
        <v>167</v>
      </c>
      <c r="L1169" s="2" t="s">
        <v>2470</v>
      </c>
      <c r="M1169" s="2" t="s">
        <v>87</v>
      </c>
      <c r="N1169" s="2" t="s">
        <v>88</v>
      </c>
      <c r="O1169" s="2">
        <v>18</v>
      </c>
      <c r="P1169" s="2">
        <v>17</v>
      </c>
      <c r="Q1169" s="4">
        <v>8750</v>
      </c>
      <c r="R1169" s="4">
        <v>7770</v>
      </c>
      <c r="S1169" s="4">
        <v>120</v>
      </c>
      <c r="T1169" s="19">
        <f>(ProductionData[[#This Row],[Rejected_Qty]])/ProductionData[[#This Row],[Produced_Qty]]</f>
        <v>1.5444015444015444E-2</v>
      </c>
      <c r="U1169" s="19">
        <f>ProductionData[[#This Row],[Produced_Qty]]/ProductionData[[#This Row],[Planned_Qty]]</f>
        <v>0.88800000000000001</v>
      </c>
      <c r="V1169" s="2" t="s">
        <v>103</v>
      </c>
      <c r="W1169" s="11">
        <v>0</v>
      </c>
      <c r="X1169" s="13">
        <f>W1169/60</f>
        <v>0</v>
      </c>
      <c r="Y1169" s="2" t="s">
        <v>90</v>
      </c>
      <c r="Z1169" s="2">
        <v>17</v>
      </c>
      <c r="AA1169" s="2">
        <f>ProductionData[[#This Row],[Rejected_Qty]]*ProductionData[[#This Row],[Unit_Cost_INR]]</f>
        <v>2040</v>
      </c>
      <c r="AB1169" s="4">
        <v>27617</v>
      </c>
      <c r="AC1169" s="4">
        <v>7550</v>
      </c>
      <c r="AD1169" s="4">
        <v>7550</v>
      </c>
      <c r="AE1169" s="4">
        <v>27717</v>
      </c>
      <c r="AF1169" s="4">
        <v>13500</v>
      </c>
    </row>
    <row r="1170" spans="1:32">
      <c r="A1170" s="2" t="s">
        <v>2471</v>
      </c>
      <c r="B1170" s="3">
        <v>46207</v>
      </c>
      <c r="C1170" s="36" t="s">
        <v>2128</v>
      </c>
      <c r="D1170" s="2">
        <f>MONTH(ProductionData[[#This Row],[Month]])</f>
        <v>7</v>
      </c>
      <c r="E1170" s="2" t="s">
        <v>65</v>
      </c>
      <c r="F1170" s="2" t="s">
        <v>93</v>
      </c>
      <c r="G1170" s="2" t="s">
        <v>195</v>
      </c>
      <c r="H1170" s="2" t="s">
        <v>196</v>
      </c>
      <c r="I1170" s="2" t="s">
        <v>197</v>
      </c>
      <c r="J1170" s="2" t="s">
        <v>269</v>
      </c>
      <c r="K1170" s="2" t="s">
        <v>270</v>
      </c>
      <c r="L1170" s="2" t="s">
        <v>2472</v>
      </c>
      <c r="M1170" s="2" t="s">
        <v>95</v>
      </c>
      <c r="N1170" s="2" t="s">
        <v>96</v>
      </c>
      <c r="O1170" s="2">
        <v>14</v>
      </c>
      <c r="P1170" s="2">
        <v>13</v>
      </c>
      <c r="Q1170" s="4">
        <v>8130</v>
      </c>
      <c r="R1170" s="4">
        <v>7420</v>
      </c>
      <c r="S1170" s="4">
        <v>250</v>
      </c>
      <c r="T1170" s="19">
        <f>(ProductionData[[#This Row],[Rejected_Qty]])/ProductionData[[#This Row],[Produced_Qty]]</f>
        <v>3.3692722371967652E-2</v>
      </c>
      <c r="U1170" s="19">
        <f>ProductionData[[#This Row],[Produced_Qty]]/ProductionData[[#This Row],[Planned_Qty]]</f>
        <v>0.91266912669126687</v>
      </c>
      <c r="V1170" s="2" t="s">
        <v>89</v>
      </c>
      <c r="W1170" s="11">
        <v>35</v>
      </c>
      <c r="X1170" s="13">
        <f>W1170/60</f>
        <v>0.58333333333333337</v>
      </c>
      <c r="Y1170" s="2" t="s">
        <v>182</v>
      </c>
      <c r="Z1170" s="2">
        <v>42</v>
      </c>
      <c r="AA1170" s="2">
        <f>ProductionData[[#This Row],[Rejected_Qty]]*ProductionData[[#This Row],[Unit_Cost_INR]]</f>
        <v>10500</v>
      </c>
      <c r="AB1170" s="4">
        <v>28338</v>
      </c>
      <c r="AC1170" s="4">
        <v>7800</v>
      </c>
      <c r="AD1170" s="4">
        <v>7800</v>
      </c>
      <c r="AE1170" s="4">
        <v>27708</v>
      </c>
      <c r="AF1170" s="4">
        <v>12000</v>
      </c>
    </row>
    <row r="1171" spans="1:32">
      <c r="A1171" s="2" t="s">
        <v>2473</v>
      </c>
      <c r="B1171" s="3">
        <v>46213</v>
      </c>
      <c r="C1171" s="36" t="s">
        <v>2128</v>
      </c>
      <c r="D1171" s="2">
        <f>MONTH(ProductionData[[#This Row],[Month]])</f>
        <v>7</v>
      </c>
      <c r="E1171" s="2" t="s">
        <v>125</v>
      </c>
      <c r="F1171" s="2" t="s">
        <v>80</v>
      </c>
      <c r="G1171" s="2" t="s">
        <v>81</v>
      </c>
      <c r="H1171" s="2" t="s">
        <v>82</v>
      </c>
      <c r="I1171" s="2" t="s">
        <v>83</v>
      </c>
      <c r="J1171" s="2" t="s">
        <v>166</v>
      </c>
      <c r="K1171" s="2" t="s">
        <v>167</v>
      </c>
      <c r="L1171" s="2" t="s">
        <v>2474</v>
      </c>
      <c r="M1171" s="2" t="s">
        <v>87</v>
      </c>
      <c r="N1171" s="2" t="s">
        <v>88</v>
      </c>
      <c r="O1171" s="2">
        <v>18</v>
      </c>
      <c r="P1171" s="2">
        <v>18</v>
      </c>
      <c r="Q1171" s="4">
        <v>8860</v>
      </c>
      <c r="R1171" s="4">
        <v>8750</v>
      </c>
      <c r="S1171" s="4">
        <v>126</v>
      </c>
      <c r="T1171" s="19">
        <f>(ProductionData[[#This Row],[Rejected_Qty]])/ProductionData[[#This Row],[Produced_Qty]]</f>
        <v>1.44E-2</v>
      </c>
      <c r="U1171" s="19">
        <f>ProductionData[[#This Row],[Produced_Qty]]/ProductionData[[#This Row],[Planned_Qty]]</f>
        <v>0.98758465011286678</v>
      </c>
      <c r="V1171" s="2" t="s">
        <v>109</v>
      </c>
      <c r="W1171" s="11">
        <v>0</v>
      </c>
      <c r="X1171" s="13">
        <f>W1171/60</f>
        <v>0</v>
      </c>
      <c r="Y1171" s="2" t="s">
        <v>90</v>
      </c>
      <c r="Z1171" s="2">
        <v>17</v>
      </c>
      <c r="AA1171" s="2">
        <f>ProductionData[[#This Row],[Rejected_Qty]]*ProductionData[[#This Row],[Unit_Cost_INR]]</f>
        <v>2142</v>
      </c>
      <c r="AB1171" s="4">
        <v>27074</v>
      </c>
      <c r="AC1171" s="4">
        <v>8010</v>
      </c>
      <c r="AD1171" s="4">
        <v>8010</v>
      </c>
      <c r="AE1171" s="4">
        <v>27688</v>
      </c>
      <c r="AF1171" s="4">
        <v>13500</v>
      </c>
    </row>
    <row r="1172" spans="1:32">
      <c r="A1172" s="2" t="s">
        <v>2475</v>
      </c>
      <c r="B1172" s="3">
        <v>46228</v>
      </c>
      <c r="C1172" s="36" t="s">
        <v>2128</v>
      </c>
      <c r="D1172" s="2">
        <f>MONTH(ProductionData[[#This Row],[Month]])</f>
        <v>7</v>
      </c>
      <c r="E1172" s="2" t="s">
        <v>65</v>
      </c>
      <c r="F1172" s="2" t="s">
        <v>80</v>
      </c>
      <c r="G1172" s="2" t="s">
        <v>174</v>
      </c>
      <c r="H1172" s="2" t="s">
        <v>175</v>
      </c>
      <c r="I1172" s="2" t="s">
        <v>176</v>
      </c>
      <c r="J1172" s="2" t="s">
        <v>177</v>
      </c>
      <c r="K1172" s="2" t="s">
        <v>178</v>
      </c>
      <c r="L1172" s="2" t="s">
        <v>2476</v>
      </c>
      <c r="M1172" s="2" t="s">
        <v>87</v>
      </c>
      <c r="N1172" s="2" t="s">
        <v>96</v>
      </c>
      <c r="O1172" s="2">
        <v>10</v>
      </c>
      <c r="P1172" s="2">
        <v>10</v>
      </c>
      <c r="Q1172" s="4">
        <v>8400</v>
      </c>
      <c r="R1172" s="4">
        <v>8020</v>
      </c>
      <c r="S1172" s="4">
        <v>159</v>
      </c>
      <c r="T1172" s="19">
        <f>(ProductionData[[#This Row],[Rejected_Qty]])/ProductionData[[#This Row],[Produced_Qty]]</f>
        <v>1.9825436408977555E-2</v>
      </c>
      <c r="U1172" s="19">
        <f>ProductionData[[#This Row],[Produced_Qty]]/ProductionData[[#This Row],[Planned_Qty]]</f>
        <v>0.95476190476190481</v>
      </c>
      <c r="V1172" s="2" t="s">
        <v>89</v>
      </c>
      <c r="W1172" s="11">
        <v>54</v>
      </c>
      <c r="X1172" s="13">
        <f>W1172/60</f>
        <v>0.9</v>
      </c>
      <c r="Y1172" s="2" t="s">
        <v>136</v>
      </c>
      <c r="Z1172" s="2">
        <v>24</v>
      </c>
      <c r="AA1172" s="2">
        <f>ProductionData[[#This Row],[Rejected_Qty]]*ProductionData[[#This Row],[Unit_Cost_INR]]</f>
        <v>3816</v>
      </c>
      <c r="AB1172" s="4">
        <v>27905</v>
      </c>
      <c r="AC1172" s="4">
        <v>8110</v>
      </c>
      <c r="AD1172" s="4">
        <v>8110</v>
      </c>
      <c r="AE1172" s="4">
        <v>27656</v>
      </c>
      <c r="AF1172" s="4">
        <v>12000</v>
      </c>
    </row>
    <row r="1173" spans="1:32">
      <c r="A1173" s="2" t="s">
        <v>2477</v>
      </c>
      <c r="B1173" s="3">
        <v>46209</v>
      </c>
      <c r="C1173" s="36" t="s">
        <v>2128</v>
      </c>
      <c r="D1173" s="2">
        <f>MONTH(ProductionData[[#This Row],[Month]])</f>
        <v>7</v>
      </c>
      <c r="E1173" s="2" t="s">
        <v>116</v>
      </c>
      <c r="F1173" s="2" t="s">
        <v>80</v>
      </c>
      <c r="G1173" s="2" t="s">
        <v>81</v>
      </c>
      <c r="H1173" s="2" t="s">
        <v>82</v>
      </c>
      <c r="I1173" s="2" t="s">
        <v>83</v>
      </c>
      <c r="J1173" s="2" t="s">
        <v>166</v>
      </c>
      <c r="K1173" s="2" t="s">
        <v>167</v>
      </c>
      <c r="L1173" s="2" t="s">
        <v>2478</v>
      </c>
      <c r="M1173" s="2" t="s">
        <v>102</v>
      </c>
      <c r="N1173" s="2" t="s">
        <v>88</v>
      </c>
      <c r="O1173" s="2">
        <v>18</v>
      </c>
      <c r="P1173" s="2">
        <v>18</v>
      </c>
      <c r="Q1173" s="4">
        <v>9080</v>
      </c>
      <c r="R1173" s="4">
        <v>8390</v>
      </c>
      <c r="S1173" s="4">
        <v>164</v>
      </c>
      <c r="T1173" s="19">
        <f>(ProductionData[[#This Row],[Rejected_Qty]])/ProductionData[[#This Row],[Produced_Qty]]</f>
        <v>1.9547079856972585E-2</v>
      </c>
      <c r="U1173" s="19">
        <f>ProductionData[[#This Row],[Produced_Qty]]/ProductionData[[#This Row],[Planned_Qty]]</f>
        <v>0.92400881057268724</v>
      </c>
      <c r="V1173" s="2" t="s">
        <v>113</v>
      </c>
      <c r="W1173" s="11">
        <v>0</v>
      </c>
      <c r="X1173" s="13">
        <f>W1173/60</f>
        <v>0</v>
      </c>
      <c r="Y1173" s="2" t="s">
        <v>90</v>
      </c>
      <c r="Z1173" s="2">
        <v>17</v>
      </c>
      <c r="AA1173" s="2">
        <f>ProductionData[[#This Row],[Rejected_Qty]]*ProductionData[[#This Row],[Unit_Cost_INR]]</f>
        <v>2788</v>
      </c>
      <c r="AB1173" s="4">
        <v>27911</v>
      </c>
      <c r="AC1173" s="4">
        <v>8520</v>
      </c>
      <c r="AD1173" s="4">
        <v>8520</v>
      </c>
      <c r="AE1173" s="4">
        <v>27617</v>
      </c>
      <c r="AF1173" s="4">
        <v>13500</v>
      </c>
    </row>
    <row r="1174" spans="1:32">
      <c r="A1174" s="2" t="s">
        <v>2479</v>
      </c>
      <c r="B1174" s="3">
        <v>46212</v>
      </c>
      <c r="C1174" s="36" t="s">
        <v>2128</v>
      </c>
      <c r="D1174" s="2">
        <f>MONTH(ProductionData[[#This Row],[Month]])</f>
        <v>7</v>
      </c>
      <c r="E1174" s="2" t="s">
        <v>107</v>
      </c>
      <c r="F1174" s="2" t="s">
        <v>66</v>
      </c>
      <c r="G1174" s="2" t="s">
        <v>81</v>
      </c>
      <c r="H1174" s="2" t="s">
        <v>82</v>
      </c>
      <c r="I1174" s="2" t="s">
        <v>83</v>
      </c>
      <c r="J1174" s="2" t="s">
        <v>166</v>
      </c>
      <c r="K1174" s="2" t="s">
        <v>167</v>
      </c>
      <c r="L1174" s="2" t="s">
        <v>2480</v>
      </c>
      <c r="M1174" s="2" t="s">
        <v>99</v>
      </c>
      <c r="N1174" s="2" t="s">
        <v>88</v>
      </c>
      <c r="O1174" s="2">
        <v>18</v>
      </c>
      <c r="P1174" s="2">
        <v>17</v>
      </c>
      <c r="Q1174" s="4">
        <v>8630</v>
      </c>
      <c r="R1174" s="4">
        <v>8090</v>
      </c>
      <c r="S1174" s="4">
        <v>177</v>
      </c>
      <c r="T1174" s="19">
        <f>(ProductionData[[#This Row],[Rejected_Qty]])/ProductionData[[#This Row],[Produced_Qty]]</f>
        <v>2.1878862793572311E-2</v>
      </c>
      <c r="U1174" s="19">
        <f>ProductionData[[#This Row],[Produced_Qty]]/ProductionData[[#This Row],[Planned_Qty]]</f>
        <v>0.93742757821552725</v>
      </c>
      <c r="V1174" s="2" t="s">
        <v>89</v>
      </c>
      <c r="W1174" s="11">
        <v>58</v>
      </c>
      <c r="X1174" s="13">
        <f>W1174/60</f>
        <v>0.96666666666666667</v>
      </c>
      <c r="Y1174" s="2" t="s">
        <v>114</v>
      </c>
      <c r="Z1174" s="2">
        <v>17</v>
      </c>
      <c r="AA1174" s="2">
        <f>ProductionData[[#This Row],[Rejected_Qty]]*ProductionData[[#This Row],[Unit_Cost_INR]]</f>
        <v>3009</v>
      </c>
      <c r="AB1174" s="4">
        <v>27839</v>
      </c>
      <c r="AC1174" s="4">
        <v>8180</v>
      </c>
      <c r="AD1174" s="4">
        <v>8180</v>
      </c>
      <c r="AE1174" s="4">
        <v>27572</v>
      </c>
      <c r="AF1174" s="4">
        <v>13500</v>
      </c>
    </row>
    <row r="1175" spans="1:32">
      <c r="A1175" s="2" t="s">
        <v>2481</v>
      </c>
      <c r="B1175" s="3">
        <v>46234</v>
      </c>
      <c r="C1175" s="36" t="s">
        <v>2128</v>
      </c>
      <c r="D1175" s="2">
        <f>MONTH(ProductionData[[#This Row],[Month]])</f>
        <v>7</v>
      </c>
      <c r="E1175" s="2" t="s">
        <v>125</v>
      </c>
      <c r="F1175" s="2" t="s">
        <v>80</v>
      </c>
      <c r="G1175" s="2" t="s">
        <v>174</v>
      </c>
      <c r="H1175" s="2" t="s">
        <v>175</v>
      </c>
      <c r="I1175" s="2" t="s">
        <v>176</v>
      </c>
      <c r="J1175" s="2" t="s">
        <v>177</v>
      </c>
      <c r="K1175" s="2" t="s">
        <v>178</v>
      </c>
      <c r="L1175" s="2" t="s">
        <v>2482</v>
      </c>
      <c r="M1175" s="2" t="s">
        <v>87</v>
      </c>
      <c r="N1175" s="2" t="s">
        <v>88</v>
      </c>
      <c r="O1175" s="2">
        <v>10</v>
      </c>
      <c r="P1175" s="2">
        <v>9</v>
      </c>
      <c r="Q1175" s="4">
        <v>8070</v>
      </c>
      <c r="R1175" s="4">
        <v>7270</v>
      </c>
      <c r="S1175" s="4">
        <v>292</v>
      </c>
      <c r="T1175" s="19">
        <f>(ProductionData[[#This Row],[Rejected_Qty]])/ProductionData[[#This Row],[Produced_Qty]]</f>
        <v>4.0165061898211826E-2</v>
      </c>
      <c r="U1175" s="19">
        <f>ProductionData[[#This Row],[Produced_Qty]]/ProductionData[[#This Row],[Planned_Qty]]</f>
        <v>0.90086741016109051</v>
      </c>
      <c r="V1175" s="2" t="s">
        <v>75</v>
      </c>
      <c r="W1175" s="11">
        <v>0</v>
      </c>
      <c r="X1175" s="13">
        <f>W1175/60</f>
        <v>0</v>
      </c>
      <c r="Y1175" s="2" t="s">
        <v>90</v>
      </c>
      <c r="Z1175" s="2">
        <v>24</v>
      </c>
      <c r="AA1175" s="2">
        <f>ProductionData[[#This Row],[Rejected_Qty]]*ProductionData[[#This Row],[Unit_Cost_INR]]</f>
        <v>7008</v>
      </c>
      <c r="AB1175" s="4">
        <v>28562</v>
      </c>
      <c r="AC1175" s="4">
        <v>8020</v>
      </c>
      <c r="AD1175" s="4">
        <v>8020</v>
      </c>
      <c r="AE1175" s="4">
        <v>27520</v>
      </c>
      <c r="AF1175" s="4">
        <v>12000</v>
      </c>
    </row>
    <row r="1176" spans="1:32">
      <c r="A1176" s="2" t="s">
        <v>2483</v>
      </c>
      <c r="B1176" s="3">
        <v>46216</v>
      </c>
      <c r="C1176" s="36" t="s">
        <v>2128</v>
      </c>
      <c r="D1176" s="2">
        <f>MONTH(ProductionData[[#This Row],[Month]])</f>
        <v>7</v>
      </c>
      <c r="E1176" s="2" t="s">
        <v>116</v>
      </c>
      <c r="F1176" s="2" t="s">
        <v>66</v>
      </c>
      <c r="G1176" s="2" t="s">
        <v>81</v>
      </c>
      <c r="H1176" s="2" t="s">
        <v>82</v>
      </c>
      <c r="I1176" s="2" t="s">
        <v>83</v>
      </c>
      <c r="J1176" s="2" t="s">
        <v>166</v>
      </c>
      <c r="K1176" s="2" t="s">
        <v>167</v>
      </c>
      <c r="L1176" s="2" t="s">
        <v>2484</v>
      </c>
      <c r="M1176" s="2" t="s">
        <v>73</v>
      </c>
      <c r="N1176" s="2" t="s">
        <v>96</v>
      </c>
      <c r="O1176" s="2">
        <v>18</v>
      </c>
      <c r="P1176" s="2">
        <v>18</v>
      </c>
      <c r="Q1176" s="4">
        <v>8890</v>
      </c>
      <c r="R1176" s="4">
        <v>8630</v>
      </c>
      <c r="S1176" s="4">
        <v>221</v>
      </c>
      <c r="T1176" s="19">
        <f>(ProductionData[[#This Row],[Rejected_Qty]])/ProductionData[[#This Row],[Produced_Qty]]</f>
        <v>2.5608342989571264E-2</v>
      </c>
      <c r="U1176" s="19">
        <f>ProductionData[[#This Row],[Produced_Qty]]/ProductionData[[#This Row],[Planned_Qty]]</f>
        <v>0.97075365579302586</v>
      </c>
      <c r="V1176" s="2" t="s">
        <v>109</v>
      </c>
      <c r="W1176" s="11">
        <v>0</v>
      </c>
      <c r="X1176" s="13">
        <f>W1176/60</f>
        <v>0</v>
      </c>
      <c r="Y1176" s="2" t="s">
        <v>90</v>
      </c>
      <c r="Z1176" s="2">
        <v>17</v>
      </c>
      <c r="AA1176" s="2">
        <f>ProductionData[[#This Row],[Rejected_Qty]]*ProductionData[[#This Row],[Unit_Cost_INR]]</f>
        <v>3757</v>
      </c>
      <c r="AB1176" s="4">
        <v>26989</v>
      </c>
      <c r="AC1176" s="4">
        <v>7880</v>
      </c>
      <c r="AD1176" s="4">
        <v>7880</v>
      </c>
      <c r="AE1176" s="4">
        <v>27518</v>
      </c>
      <c r="AF1176" s="4">
        <v>13500</v>
      </c>
    </row>
    <row r="1177" spans="1:32">
      <c r="A1177" s="2" t="s">
        <v>2485</v>
      </c>
      <c r="B1177" s="3">
        <v>46216</v>
      </c>
      <c r="C1177" s="36" t="s">
        <v>2128</v>
      </c>
      <c r="D1177" s="2">
        <f>MONTH(ProductionData[[#This Row],[Month]])</f>
        <v>7</v>
      </c>
      <c r="E1177" s="2" t="s">
        <v>116</v>
      </c>
      <c r="F1177" s="2" t="s">
        <v>80</v>
      </c>
      <c r="G1177" s="2" t="s">
        <v>81</v>
      </c>
      <c r="H1177" s="2" t="s">
        <v>82</v>
      </c>
      <c r="I1177" s="2" t="s">
        <v>83</v>
      </c>
      <c r="J1177" s="2" t="s">
        <v>166</v>
      </c>
      <c r="K1177" s="2" t="s">
        <v>167</v>
      </c>
      <c r="L1177" s="2" t="s">
        <v>2486</v>
      </c>
      <c r="M1177" s="2" t="s">
        <v>102</v>
      </c>
      <c r="N1177" s="2" t="s">
        <v>88</v>
      </c>
      <c r="O1177" s="2">
        <v>18</v>
      </c>
      <c r="P1177" s="2">
        <v>17</v>
      </c>
      <c r="Q1177" s="4">
        <v>8630</v>
      </c>
      <c r="R1177" s="4">
        <v>7940</v>
      </c>
      <c r="S1177" s="4">
        <v>277</v>
      </c>
      <c r="T1177" s="19">
        <f>(ProductionData[[#This Row],[Rejected_Qty]])/ProductionData[[#This Row],[Produced_Qty]]</f>
        <v>3.4886649874055417E-2</v>
      </c>
      <c r="U1177" s="19">
        <f>ProductionData[[#This Row],[Produced_Qty]]/ProductionData[[#This Row],[Planned_Qty]]</f>
        <v>0.92004634994206258</v>
      </c>
      <c r="V1177" s="2" t="s">
        <v>103</v>
      </c>
      <c r="W1177" s="11">
        <v>36</v>
      </c>
      <c r="X1177" s="13">
        <f>W1177/60</f>
        <v>0.6</v>
      </c>
      <c r="Y1177" s="2" t="s">
        <v>182</v>
      </c>
      <c r="Z1177" s="2">
        <v>17</v>
      </c>
      <c r="AA1177" s="2">
        <f>ProductionData[[#This Row],[Rejected_Qty]]*ProductionData[[#This Row],[Unit_Cost_INR]]</f>
        <v>4709</v>
      </c>
      <c r="AB1177" s="4">
        <v>27518</v>
      </c>
      <c r="AC1177" s="4">
        <v>7760</v>
      </c>
      <c r="AD1177" s="4">
        <v>7760</v>
      </c>
      <c r="AE1177" s="4">
        <v>27421</v>
      </c>
      <c r="AF1177" s="4">
        <v>13500</v>
      </c>
    </row>
    <row r="1178" spans="1:32">
      <c r="A1178" s="2" t="s">
        <v>2487</v>
      </c>
      <c r="B1178" s="3">
        <v>46227</v>
      </c>
      <c r="C1178" s="36" t="s">
        <v>2128</v>
      </c>
      <c r="D1178" s="2">
        <f>MONTH(ProductionData[[#This Row],[Month]])</f>
        <v>7</v>
      </c>
      <c r="E1178" s="2" t="s">
        <v>125</v>
      </c>
      <c r="F1178" s="2" t="s">
        <v>66</v>
      </c>
      <c r="G1178" s="2" t="s">
        <v>174</v>
      </c>
      <c r="H1178" s="2" t="s">
        <v>175</v>
      </c>
      <c r="I1178" s="2" t="s">
        <v>176</v>
      </c>
      <c r="J1178" s="2" t="s">
        <v>177</v>
      </c>
      <c r="K1178" s="2" t="s">
        <v>178</v>
      </c>
      <c r="L1178" s="2" t="s">
        <v>2488</v>
      </c>
      <c r="M1178" s="2" t="s">
        <v>73</v>
      </c>
      <c r="N1178" s="2" t="s">
        <v>96</v>
      </c>
      <c r="O1178" s="2">
        <v>10</v>
      </c>
      <c r="P1178" s="2">
        <v>9</v>
      </c>
      <c r="Q1178" s="4">
        <v>8270</v>
      </c>
      <c r="R1178" s="4">
        <v>7390</v>
      </c>
      <c r="S1178" s="4">
        <v>269</v>
      </c>
      <c r="T1178" s="19">
        <f>(ProductionData[[#This Row],[Rejected_Qty]])/ProductionData[[#This Row],[Produced_Qty]]</f>
        <v>3.6400541271989176E-2</v>
      </c>
      <c r="U1178" s="19">
        <f>ProductionData[[#This Row],[Produced_Qty]]/ProductionData[[#This Row],[Planned_Qty]]</f>
        <v>0.89359129383313185</v>
      </c>
      <c r="V1178" s="2" t="s">
        <v>113</v>
      </c>
      <c r="W1178" s="11">
        <v>68</v>
      </c>
      <c r="X1178" s="13">
        <f>W1178/60</f>
        <v>1.1333333333333333</v>
      </c>
      <c r="Y1178" s="2" t="s">
        <v>182</v>
      </c>
      <c r="Z1178" s="2">
        <v>24</v>
      </c>
      <c r="AA1178" s="2">
        <f>ProductionData[[#This Row],[Rejected_Qty]]*ProductionData[[#This Row],[Unit_Cost_INR]]</f>
        <v>6456</v>
      </c>
      <c r="AB1178" s="4">
        <v>27738</v>
      </c>
      <c r="AC1178" s="4">
        <v>7590</v>
      </c>
      <c r="AD1178" s="4">
        <v>7590</v>
      </c>
      <c r="AE1178" s="4">
        <v>27269</v>
      </c>
      <c r="AF1178" s="4">
        <v>12000</v>
      </c>
    </row>
    <row r="1179" spans="1:32">
      <c r="A1179" s="2" t="s">
        <v>2489</v>
      </c>
      <c r="B1179" s="3">
        <v>46212</v>
      </c>
      <c r="C1179" s="36" t="s">
        <v>2128</v>
      </c>
      <c r="D1179" s="2">
        <f>MONTH(ProductionData[[#This Row],[Month]])</f>
        <v>7</v>
      </c>
      <c r="E1179" s="2" t="s">
        <v>107</v>
      </c>
      <c r="F1179" s="2" t="s">
        <v>80</v>
      </c>
      <c r="G1179" s="2" t="s">
        <v>81</v>
      </c>
      <c r="H1179" s="2" t="s">
        <v>82</v>
      </c>
      <c r="I1179" s="2" t="s">
        <v>83</v>
      </c>
      <c r="J1179" s="2" t="s">
        <v>166</v>
      </c>
      <c r="K1179" s="2" t="s">
        <v>167</v>
      </c>
      <c r="L1179" s="2" t="s">
        <v>2490</v>
      </c>
      <c r="M1179" s="2" t="s">
        <v>87</v>
      </c>
      <c r="N1179" s="2" t="s">
        <v>88</v>
      </c>
      <c r="O1179" s="2">
        <v>18</v>
      </c>
      <c r="P1179" s="2">
        <v>15</v>
      </c>
      <c r="Q1179" s="4">
        <v>8540</v>
      </c>
      <c r="R1179" s="4">
        <v>7450</v>
      </c>
      <c r="S1179" s="4">
        <v>218</v>
      </c>
      <c r="T1179" s="19">
        <f>(ProductionData[[#This Row],[Rejected_Qty]])/ProductionData[[#This Row],[Produced_Qty]]</f>
        <v>2.9261744966442953E-2</v>
      </c>
      <c r="U1179" s="19">
        <f>ProductionData[[#This Row],[Produced_Qty]]/ProductionData[[#This Row],[Planned_Qty]]</f>
        <v>0.8723653395784543</v>
      </c>
      <c r="V1179" s="2" t="s">
        <v>103</v>
      </c>
      <c r="W1179" s="11">
        <v>0</v>
      </c>
      <c r="X1179" s="13">
        <f>W1179/60</f>
        <v>0</v>
      </c>
      <c r="Y1179" s="2" t="s">
        <v>90</v>
      </c>
      <c r="Z1179" s="2">
        <v>17</v>
      </c>
      <c r="AA1179" s="2">
        <f>ProductionData[[#This Row],[Rejected_Qty]]*ProductionData[[#This Row],[Unit_Cost_INR]]</f>
        <v>3706</v>
      </c>
      <c r="AB1179" s="4">
        <v>27572</v>
      </c>
      <c r="AC1179" s="4">
        <v>7730</v>
      </c>
      <c r="AD1179" s="4">
        <v>7730</v>
      </c>
      <c r="AE1179" s="4">
        <v>27074</v>
      </c>
      <c r="AF1179" s="4">
        <v>13500</v>
      </c>
    </row>
    <row r="1180" spans="1:32">
      <c r="A1180" s="2" t="s">
        <v>2491</v>
      </c>
      <c r="B1180" s="3">
        <v>46213</v>
      </c>
      <c r="C1180" s="36" t="s">
        <v>2128</v>
      </c>
      <c r="D1180" s="2">
        <f>MONTH(ProductionData[[#This Row],[Month]])</f>
        <v>7</v>
      </c>
      <c r="E1180" s="2" t="s">
        <v>125</v>
      </c>
      <c r="F1180" s="2" t="s">
        <v>93</v>
      </c>
      <c r="G1180" s="2" t="s">
        <v>81</v>
      </c>
      <c r="H1180" s="2" t="s">
        <v>82</v>
      </c>
      <c r="I1180" s="2" t="s">
        <v>83</v>
      </c>
      <c r="J1180" s="2" t="s">
        <v>166</v>
      </c>
      <c r="K1180" s="2" t="s">
        <v>167</v>
      </c>
      <c r="L1180" s="2" t="s">
        <v>2492</v>
      </c>
      <c r="M1180" s="2" t="s">
        <v>95</v>
      </c>
      <c r="N1180" s="2" t="s">
        <v>88</v>
      </c>
      <c r="O1180" s="2">
        <v>18</v>
      </c>
      <c r="P1180" s="2">
        <v>15</v>
      </c>
      <c r="Q1180" s="4">
        <v>9060</v>
      </c>
      <c r="R1180" s="4">
        <v>7730</v>
      </c>
      <c r="S1180" s="4">
        <v>159</v>
      </c>
      <c r="T1180" s="19">
        <f>(ProductionData[[#This Row],[Rejected_Qty]])/ProductionData[[#This Row],[Produced_Qty]]</f>
        <v>2.056921086675291E-2</v>
      </c>
      <c r="U1180" s="19">
        <f>ProductionData[[#This Row],[Produced_Qty]]/ProductionData[[#This Row],[Planned_Qty]]</f>
        <v>0.85320088300220753</v>
      </c>
      <c r="V1180" s="2" t="s">
        <v>109</v>
      </c>
      <c r="W1180" s="11">
        <v>0</v>
      </c>
      <c r="X1180" s="13">
        <f>W1180/60</f>
        <v>0</v>
      </c>
      <c r="Y1180" s="2" t="s">
        <v>90</v>
      </c>
      <c r="Z1180" s="2">
        <v>17</v>
      </c>
      <c r="AA1180" s="2">
        <f>ProductionData[[#This Row],[Rejected_Qty]]*ProductionData[[#This Row],[Unit_Cost_INR]]</f>
        <v>2703</v>
      </c>
      <c r="AB1180" s="4">
        <v>27688</v>
      </c>
      <c r="AC1180" s="4">
        <v>8270</v>
      </c>
      <c r="AD1180" s="4">
        <v>8270</v>
      </c>
      <c r="AE1180" s="4">
        <v>26989</v>
      </c>
      <c r="AF1180" s="4">
        <v>13500</v>
      </c>
    </row>
    <row r="1181" spans="1:32">
      <c r="A1181" s="2" t="s">
        <v>2493</v>
      </c>
      <c r="B1181" s="3">
        <v>46219</v>
      </c>
      <c r="C1181" s="36" t="s">
        <v>2128</v>
      </c>
      <c r="D1181" s="2">
        <f>MONTH(ProductionData[[#This Row],[Month]])</f>
        <v>7</v>
      </c>
      <c r="E1181" s="2" t="s">
        <v>107</v>
      </c>
      <c r="F1181" s="2" t="s">
        <v>66</v>
      </c>
      <c r="G1181" s="2" t="s">
        <v>67</v>
      </c>
      <c r="H1181" s="2" t="s">
        <v>68</v>
      </c>
      <c r="I1181" s="2" t="s">
        <v>69</v>
      </c>
      <c r="J1181" s="2" t="s">
        <v>70</v>
      </c>
      <c r="K1181" s="2" t="s">
        <v>71</v>
      </c>
      <c r="L1181" s="2" t="s">
        <v>2494</v>
      </c>
      <c r="M1181" s="2" t="s">
        <v>99</v>
      </c>
      <c r="N1181" s="2" t="s">
        <v>74</v>
      </c>
      <c r="O1181" s="2">
        <v>16</v>
      </c>
      <c r="P1181" s="2">
        <v>14</v>
      </c>
      <c r="Q1181" s="4">
        <v>7210</v>
      </c>
      <c r="R1181" s="4">
        <v>6450</v>
      </c>
      <c r="S1181" s="4">
        <v>628</v>
      </c>
      <c r="T1181" s="19">
        <f>(ProductionData[[#This Row],[Rejected_Qty]])/ProductionData[[#This Row],[Produced_Qty]]</f>
        <v>9.7364341085271311E-2</v>
      </c>
      <c r="U1181" s="19">
        <f>ProductionData[[#This Row],[Produced_Qty]]/ProductionData[[#This Row],[Planned_Qty]]</f>
        <v>0.89459084604715677</v>
      </c>
      <c r="V1181" s="2" t="s">
        <v>2284</v>
      </c>
      <c r="W1181" s="11">
        <v>0</v>
      </c>
      <c r="X1181" s="13">
        <f>W1181/60</f>
        <v>0</v>
      </c>
      <c r="Y1181" s="2" t="s">
        <v>90</v>
      </c>
      <c r="Z1181" s="2">
        <v>46</v>
      </c>
      <c r="AA1181" s="2">
        <f>ProductionData[[#This Row],[Rejected_Qty]]*ProductionData[[#This Row],[Unit_Cost_INR]]</f>
        <v>28888</v>
      </c>
      <c r="AB1181" s="4">
        <v>28167</v>
      </c>
      <c r="AC1181" s="4">
        <v>7030</v>
      </c>
      <c r="AD1181" s="4">
        <v>7030</v>
      </c>
      <c r="AE1181" s="4">
        <v>26959</v>
      </c>
      <c r="AF1181" s="4">
        <v>10500</v>
      </c>
    </row>
    <row r="1182" spans="1:32">
      <c r="A1182" s="2" t="s">
        <v>2495</v>
      </c>
      <c r="B1182" s="3">
        <v>46219</v>
      </c>
      <c r="C1182" s="36" t="s">
        <v>2128</v>
      </c>
      <c r="D1182" s="2">
        <f>MONTH(ProductionData[[#This Row],[Month]])</f>
        <v>7</v>
      </c>
      <c r="E1182" s="2" t="s">
        <v>107</v>
      </c>
      <c r="F1182" s="2" t="s">
        <v>80</v>
      </c>
      <c r="G1182" s="2" t="s">
        <v>67</v>
      </c>
      <c r="H1182" s="2" t="s">
        <v>68</v>
      </c>
      <c r="I1182" s="2" t="s">
        <v>69</v>
      </c>
      <c r="J1182" s="2" t="s">
        <v>70</v>
      </c>
      <c r="K1182" s="2" t="s">
        <v>71</v>
      </c>
      <c r="L1182" s="2" t="s">
        <v>2496</v>
      </c>
      <c r="M1182" s="2" t="s">
        <v>87</v>
      </c>
      <c r="N1182" s="2" t="s">
        <v>74</v>
      </c>
      <c r="O1182" s="2">
        <v>16</v>
      </c>
      <c r="P1182" s="2">
        <v>16</v>
      </c>
      <c r="Q1182" s="4">
        <v>7250</v>
      </c>
      <c r="R1182" s="4">
        <v>7170</v>
      </c>
      <c r="S1182" s="4">
        <v>634</v>
      </c>
      <c r="T1182" s="19">
        <f>(ProductionData[[#This Row],[Rejected_Qty]])/ProductionData[[#This Row],[Produced_Qty]]</f>
        <v>8.8423988842398882E-2</v>
      </c>
      <c r="U1182" s="19">
        <f>ProductionData[[#This Row],[Produced_Qty]]/ProductionData[[#This Row],[Planned_Qty]]</f>
        <v>0.98896551724137927</v>
      </c>
      <c r="V1182" s="2" t="s">
        <v>2284</v>
      </c>
      <c r="W1182" s="11">
        <v>0</v>
      </c>
      <c r="X1182" s="13">
        <f>W1182/60</f>
        <v>0</v>
      </c>
      <c r="Y1182" s="2" t="s">
        <v>90</v>
      </c>
      <c r="Z1182" s="2">
        <v>46</v>
      </c>
      <c r="AA1182" s="2">
        <f>ProductionData[[#This Row],[Rejected_Qty]]*ProductionData[[#This Row],[Unit_Cost_INR]]</f>
        <v>29164</v>
      </c>
      <c r="AB1182" s="4">
        <v>26959</v>
      </c>
      <c r="AC1182" s="4">
        <v>7430</v>
      </c>
      <c r="AD1182" s="4">
        <v>7430</v>
      </c>
      <c r="AE1182" s="4">
        <v>26065</v>
      </c>
      <c r="AF1182" s="4">
        <v>10500</v>
      </c>
    </row>
    <row r="1183" spans="1:32">
      <c r="A1183" s="2" t="s">
        <v>2497</v>
      </c>
      <c r="B1183" s="3">
        <v>46221</v>
      </c>
      <c r="C1183" s="36" t="s">
        <v>2128</v>
      </c>
      <c r="D1183" s="2">
        <f>MONTH(ProductionData[[#This Row],[Month]])</f>
        <v>7</v>
      </c>
      <c r="E1183" s="2" t="s">
        <v>65</v>
      </c>
      <c r="F1183" s="2" t="s">
        <v>93</v>
      </c>
      <c r="G1183" s="2" t="s">
        <v>67</v>
      </c>
      <c r="H1183" s="2" t="s">
        <v>68</v>
      </c>
      <c r="I1183" s="2" t="s">
        <v>69</v>
      </c>
      <c r="J1183" s="2" t="s">
        <v>70</v>
      </c>
      <c r="K1183" s="2" t="s">
        <v>71</v>
      </c>
      <c r="L1183" s="2" t="s">
        <v>2498</v>
      </c>
      <c r="M1183" s="2" t="s">
        <v>95</v>
      </c>
      <c r="N1183" s="2" t="s">
        <v>74</v>
      </c>
      <c r="O1183" s="2">
        <v>16</v>
      </c>
      <c r="P1183" s="2">
        <v>13</v>
      </c>
      <c r="Q1183" s="4">
        <v>7060</v>
      </c>
      <c r="R1183" s="4">
        <v>6310</v>
      </c>
      <c r="S1183" s="4">
        <v>556</v>
      </c>
      <c r="T1183" s="19">
        <f>(ProductionData[[#This Row],[Rejected_Qty]])/ProductionData[[#This Row],[Produced_Qty]]</f>
        <v>8.8114104595879553E-2</v>
      </c>
      <c r="U1183" s="19">
        <f>ProductionData[[#This Row],[Produced_Qty]]/ProductionData[[#This Row],[Planned_Qty]]</f>
        <v>0.89376770538243622</v>
      </c>
      <c r="V1183" s="2" t="s">
        <v>2284</v>
      </c>
      <c r="W1183" s="11">
        <v>59</v>
      </c>
      <c r="X1183" s="13">
        <f>W1183/60</f>
        <v>0.98333333333333328</v>
      </c>
      <c r="Y1183" s="2" t="s">
        <v>110</v>
      </c>
      <c r="Z1183" s="2">
        <v>46</v>
      </c>
      <c r="AA1183" s="2">
        <f>ProductionData[[#This Row],[Rejected_Qty]]*ProductionData[[#This Row],[Unit_Cost_INR]]</f>
        <v>25576</v>
      </c>
      <c r="AB1183" s="4">
        <v>26065</v>
      </c>
      <c r="AC1183" s="4">
        <v>5820</v>
      </c>
      <c r="AD1183" s="4">
        <v>5820</v>
      </c>
      <c r="AE1183" s="4">
        <v>25999</v>
      </c>
      <c r="AF1183" s="4">
        <v>10500</v>
      </c>
    </row>
    <row r="1184" spans="1:32">
      <c r="A1184" s="2" t="s">
        <v>2499</v>
      </c>
      <c r="B1184" s="3">
        <v>46222</v>
      </c>
      <c r="C1184" s="36" t="s">
        <v>2128</v>
      </c>
      <c r="D1184" s="2">
        <f>MONTH(ProductionData[[#This Row],[Month]])</f>
        <v>7</v>
      </c>
      <c r="E1184" s="2" t="s">
        <v>186</v>
      </c>
      <c r="F1184" s="2" t="s">
        <v>66</v>
      </c>
      <c r="G1184" s="2" t="s">
        <v>67</v>
      </c>
      <c r="H1184" s="2" t="s">
        <v>68</v>
      </c>
      <c r="I1184" s="2" t="s">
        <v>69</v>
      </c>
      <c r="J1184" s="2" t="s">
        <v>70</v>
      </c>
      <c r="K1184" s="2" t="s">
        <v>71</v>
      </c>
      <c r="L1184" s="2" t="s">
        <v>2500</v>
      </c>
      <c r="M1184" s="2" t="s">
        <v>73</v>
      </c>
      <c r="N1184" s="2" t="s">
        <v>88</v>
      </c>
      <c r="O1184" s="2">
        <v>16</v>
      </c>
      <c r="P1184" s="2">
        <v>15</v>
      </c>
      <c r="Q1184" s="4">
        <v>5210</v>
      </c>
      <c r="R1184" s="4">
        <v>4790</v>
      </c>
      <c r="S1184" s="4">
        <v>202</v>
      </c>
      <c r="T1184" s="19">
        <f>(ProductionData[[#This Row],[Rejected_Qty]])/ProductionData[[#This Row],[Produced_Qty]]</f>
        <v>4.2171189979123176E-2</v>
      </c>
      <c r="U1184" s="19">
        <f>ProductionData[[#This Row],[Produced_Qty]]/ProductionData[[#This Row],[Planned_Qty]]</f>
        <v>0.91938579654510555</v>
      </c>
      <c r="V1184" s="2" t="s">
        <v>103</v>
      </c>
      <c r="W1184" s="11">
        <v>0</v>
      </c>
      <c r="X1184" s="13">
        <f>W1184/60</f>
        <v>0</v>
      </c>
      <c r="Y1184" s="2" t="s">
        <v>90</v>
      </c>
      <c r="Z1184" s="2">
        <v>46</v>
      </c>
      <c r="AA1184" s="2">
        <f>ProductionData[[#This Row],[Rejected_Qty]]*ProductionData[[#This Row],[Unit_Cost_INR]]</f>
        <v>9292</v>
      </c>
      <c r="AB1184" s="4">
        <v>25999</v>
      </c>
      <c r="AC1184" s="4">
        <v>5090</v>
      </c>
      <c r="AD1184" s="4">
        <v>5090</v>
      </c>
      <c r="AE1184" s="4">
        <v>25497</v>
      </c>
      <c r="AF1184" s="4">
        <v>10500</v>
      </c>
    </row>
    <row r="1185" spans="1:32">
      <c r="A1185" s="2" t="s">
        <v>2501</v>
      </c>
      <c r="B1185" s="3">
        <v>46223</v>
      </c>
      <c r="C1185" s="36" t="s">
        <v>2128</v>
      </c>
      <c r="D1185" s="2">
        <f>MONTH(ProductionData[[#This Row],[Month]])</f>
        <v>7</v>
      </c>
      <c r="E1185" s="2" t="s">
        <v>116</v>
      </c>
      <c r="F1185" s="2" t="s">
        <v>66</v>
      </c>
      <c r="G1185" s="2" t="s">
        <v>67</v>
      </c>
      <c r="H1185" s="2" t="s">
        <v>68</v>
      </c>
      <c r="I1185" s="2" t="s">
        <v>69</v>
      </c>
      <c r="J1185" s="2" t="s">
        <v>70</v>
      </c>
      <c r="K1185" s="2" t="s">
        <v>71</v>
      </c>
      <c r="L1185" s="2" t="s">
        <v>2502</v>
      </c>
      <c r="M1185" s="2" t="s">
        <v>73</v>
      </c>
      <c r="N1185" s="2" t="s">
        <v>74</v>
      </c>
      <c r="O1185" s="2">
        <v>16</v>
      </c>
      <c r="P1185" s="2">
        <v>16</v>
      </c>
      <c r="Q1185" s="4">
        <v>6940</v>
      </c>
      <c r="R1185" s="4">
        <v>6750</v>
      </c>
      <c r="S1185" s="4">
        <v>860</v>
      </c>
      <c r="T1185" s="19">
        <f>(ProductionData[[#This Row],[Rejected_Qty]])/ProductionData[[#This Row],[Produced_Qty]]</f>
        <v>0.12740740740740741</v>
      </c>
      <c r="U1185" s="19">
        <f>ProductionData[[#This Row],[Produced_Qty]]/ProductionData[[#This Row],[Planned_Qty]]</f>
        <v>0.97262247838616711</v>
      </c>
      <c r="V1185" s="2" t="s">
        <v>2284</v>
      </c>
      <c r="W1185" s="11">
        <v>0</v>
      </c>
      <c r="X1185" s="13">
        <f>W1185/60</f>
        <v>0</v>
      </c>
      <c r="Y1185" s="2" t="s">
        <v>90</v>
      </c>
      <c r="Z1185" s="2">
        <v>46</v>
      </c>
      <c r="AA1185" s="2">
        <f>ProductionData[[#This Row],[Rejected_Qty]]*ProductionData[[#This Row],[Unit_Cost_INR]]</f>
        <v>39560</v>
      </c>
      <c r="AB1185" s="4">
        <v>25497</v>
      </c>
      <c r="AC1185" s="4">
        <v>5980</v>
      </c>
      <c r="AD1185" s="4">
        <v>5980</v>
      </c>
      <c r="AE1185" s="4">
        <v>25407</v>
      </c>
      <c r="AF1185" s="4">
        <v>10500</v>
      </c>
    </row>
    <row r="1186" spans="1:32">
      <c r="A1186" s="2" t="s">
        <v>2503</v>
      </c>
      <c r="B1186" s="3">
        <v>46204</v>
      </c>
      <c r="C1186" s="36" t="s">
        <v>2128</v>
      </c>
      <c r="D1186" s="2">
        <f>MONTH(ProductionData[[#This Row],[Month]])</f>
        <v>7</v>
      </c>
      <c r="E1186" s="2" t="s">
        <v>79</v>
      </c>
      <c r="F1186" s="2" t="s">
        <v>66</v>
      </c>
      <c r="G1186" s="2" t="s">
        <v>67</v>
      </c>
      <c r="H1186" s="2" t="s">
        <v>68</v>
      </c>
      <c r="I1186" s="2" t="s">
        <v>69</v>
      </c>
      <c r="J1186" s="2" t="s">
        <v>403</v>
      </c>
      <c r="K1186" s="2" t="s">
        <v>404</v>
      </c>
      <c r="L1186" s="2" t="s">
        <v>2504</v>
      </c>
      <c r="M1186" s="2" t="s">
        <v>73</v>
      </c>
      <c r="N1186" s="2" t="s">
        <v>96</v>
      </c>
      <c r="O1186" s="2">
        <v>16</v>
      </c>
      <c r="P1186" s="2">
        <v>14</v>
      </c>
      <c r="Q1186" s="4">
        <v>5930</v>
      </c>
      <c r="R1186" s="4">
        <v>5470</v>
      </c>
      <c r="S1186" s="4">
        <v>150</v>
      </c>
      <c r="T1186" s="19">
        <f>(ProductionData[[#This Row],[Rejected_Qty]])/ProductionData[[#This Row],[Produced_Qty]]</f>
        <v>2.7422303473491772E-2</v>
      </c>
      <c r="U1186" s="19">
        <f>ProductionData[[#This Row],[Produced_Qty]]/ProductionData[[#This Row],[Planned_Qty]]</f>
        <v>0.92242833052276563</v>
      </c>
      <c r="V1186" s="2" t="s">
        <v>75</v>
      </c>
      <c r="W1186" s="11">
        <v>51</v>
      </c>
      <c r="X1186" s="13">
        <f>W1186/60</f>
        <v>0.85</v>
      </c>
      <c r="Y1186" s="2" t="s">
        <v>110</v>
      </c>
      <c r="Z1186" s="2">
        <v>58</v>
      </c>
      <c r="AA1186" s="2">
        <f>ProductionData[[#This Row],[Rejected_Qty]]*ProductionData[[#This Row],[Unit_Cost_INR]]</f>
        <v>8700</v>
      </c>
      <c r="AB1186" s="4">
        <v>24005</v>
      </c>
      <c r="AC1186" s="4">
        <v>5450</v>
      </c>
      <c r="AD1186" s="4">
        <v>5450</v>
      </c>
      <c r="AE1186" s="4">
        <v>23875</v>
      </c>
      <c r="AF1186" s="4">
        <v>9000</v>
      </c>
    </row>
    <row r="1187" spans="1:32">
      <c r="A1187" s="2" t="s">
        <v>2505</v>
      </c>
      <c r="B1187" s="3">
        <v>46223</v>
      </c>
      <c r="C1187" s="36" t="s">
        <v>2128</v>
      </c>
      <c r="D1187" s="2">
        <f>MONTH(ProductionData[[#This Row],[Month]])</f>
        <v>7</v>
      </c>
      <c r="E1187" s="2" t="s">
        <v>116</v>
      </c>
      <c r="F1187" s="2" t="s">
        <v>93</v>
      </c>
      <c r="G1187" s="2" t="s">
        <v>67</v>
      </c>
      <c r="H1187" s="2" t="s">
        <v>68</v>
      </c>
      <c r="I1187" s="2" t="s">
        <v>69</v>
      </c>
      <c r="J1187" s="2" t="s">
        <v>70</v>
      </c>
      <c r="K1187" s="2" t="s">
        <v>71</v>
      </c>
      <c r="L1187" s="2" t="s">
        <v>2506</v>
      </c>
      <c r="M1187" s="2" t="s">
        <v>95</v>
      </c>
      <c r="N1187" s="2" t="s">
        <v>74</v>
      </c>
      <c r="O1187" s="2">
        <v>16</v>
      </c>
      <c r="P1187" s="2">
        <v>15</v>
      </c>
      <c r="Q1187" s="4">
        <v>7000</v>
      </c>
      <c r="R1187" s="4">
        <v>6400</v>
      </c>
      <c r="S1187" s="4">
        <v>770</v>
      </c>
      <c r="T1187" s="19">
        <f>(ProductionData[[#This Row],[Rejected_Qty]])/ProductionData[[#This Row],[Produced_Qty]]</f>
        <v>0.1203125</v>
      </c>
      <c r="U1187" s="19">
        <f>ProductionData[[#This Row],[Produced_Qty]]/ProductionData[[#This Row],[Planned_Qty]]</f>
        <v>0.91428571428571426</v>
      </c>
      <c r="V1187" s="2" t="s">
        <v>2284</v>
      </c>
      <c r="W1187" s="11">
        <v>0</v>
      </c>
      <c r="X1187" s="13">
        <f>W1187/60</f>
        <v>0</v>
      </c>
      <c r="Y1187" s="2" t="s">
        <v>90</v>
      </c>
      <c r="Z1187" s="2">
        <v>46</v>
      </c>
      <c r="AA1187" s="2">
        <f>ProductionData[[#This Row],[Rejected_Qty]]*ProductionData[[#This Row],[Unit_Cost_INR]]</f>
        <v>35420</v>
      </c>
      <c r="AB1187" s="4">
        <v>25407</v>
      </c>
      <c r="AC1187" s="4">
        <v>7400</v>
      </c>
      <c r="AD1187" s="4">
        <v>7400</v>
      </c>
      <c r="AE1187" s="4">
        <v>23637</v>
      </c>
      <c r="AF1187" s="4">
        <v>10500</v>
      </c>
    </row>
    <row r="1188" spans="1:32">
      <c r="A1188" s="2" t="s">
        <v>2507</v>
      </c>
      <c r="B1188" s="3">
        <v>46207</v>
      </c>
      <c r="C1188" s="36" t="s">
        <v>2128</v>
      </c>
      <c r="D1188" s="2">
        <f>MONTH(ProductionData[[#This Row],[Month]])</f>
        <v>7</v>
      </c>
      <c r="E1188" s="2" t="s">
        <v>65</v>
      </c>
      <c r="F1188" s="2" t="s">
        <v>66</v>
      </c>
      <c r="G1188" s="2" t="s">
        <v>67</v>
      </c>
      <c r="H1188" s="2" t="s">
        <v>68</v>
      </c>
      <c r="I1188" s="2" t="s">
        <v>69</v>
      </c>
      <c r="J1188" s="2" t="s">
        <v>403</v>
      </c>
      <c r="K1188" s="2" t="s">
        <v>404</v>
      </c>
      <c r="L1188" s="2" t="s">
        <v>2508</v>
      </c>
      <c r="M1188" s="2" t="s">
        <v>73</v>
      </c>
      <c r="N1188" s="2" t="s">
        <v>74</v>
      </c>
      <c r="O1188" s="2">
        <v>16</v>
      </c>
      <c r="P1188" s="2">
        <v>16</v>
      </c>
      <c r="Q1188" s="4">
        <v>6140</v>
      </c>
      <c r="R1188" s="4">
        <v>6170</v>
      </c>
      <c r="S1188" s="4">
        <v>482</v>
      </c>
      <c r="T1188" s="19">
        <f>(ProductionData[[#This Row],[Rejected_Qty]])/ProductionData[[#This Row],[Produced_Qty]]</f>
        <v>7.8119935170178276E-2</v>
      </c>
      <c r="U1188" s="19">
        <f>ProductionData[[#This Row],[Produced_Qty]]/ProductionData[[#This Row],[Planned_Qty]]</f>
        <v>1.004885993485342</v>
      </c>
      <c r="V1188" s="2" t="s">
        <v>2284</v>
      </c>
      <c r="W1188" s="11">
        <v>19</v>
      </c>
      <c r="X1188" s="13">
        <f>W1188/60</f>
        <v>0.31666666666666665</v>
      </c>
      <c r="Y1188" s="2" t="s">
        <v>76</v>
      </c>
      <c r="Z1188" s="2">
        <v>58</v>
      </c>
      <c r="AA1188" s="2">
        <f>ProductionData[[#This Row],[Rejected_Qty]]*ProductionData[[#This Row],[Unit_Cost_INR]]</f>
        <v>27956</v>
      </c>
      <c r="AB1188" s="4">
        <v>23323</v>
      </c>
      <c r="AC1188" s="4">
        <v>5510</v>
      </c>
      <c r="AD1188" s="4">
        <v>5510</v>
      </c>
      <c r="AE1188" s="4">
        <v>23501</v>
      </c>
      <c r="AF1188" s="4">
        <v>9000</v>
      </c>
    </row>
    <row r="1189" spans="1:32">
      <c r="A1189" s="2" t="s">
        <v>2509</v>
      </c>
      <c r="B1189" s="3">
        <v>46205</v>
      </c>
      <c r="C1189" s="36" t="s">
        <v>2128</v>
      </c>
      <c r="D1189" s="2">
        <f>MONTH(ProductionData[[#This Row],[Month]])</f>
        <v>7</v>
      </c>
      <c r="E1189" s="2" t="s">
        <v>107</v>
      </c>
      <c r="F1189" s="2" t="s">
        <v>80</v>
      </c>
      <c r="G1189" s="2" t="s">
        <v>67</v>
      </c>
      <c r="H1189" s="2" t="s">
        <v>68</v>
      </c>
      <c r="I1189" s="2" t="s">
        <v>69</v>
      </c>
      <c r="J1189" s="2" t="s">
        <v>403</v>
      </c>
      <c r="K1189" s="2" t="s">
        <v>404</v>
      </c>
      <c r="L1189" s="2" t="s">
        <v>2510</v>
      </c>
      <c r="M1189" s="2" t="s">
        <v>102</v>
      </c>
      <c r="N1189" s="2" t="s">
        <v>96</v>
      </c>
      <c r="O1189" s="2">
        <v>16</v>
      </c>
      <c r="P1189" s="2">
        <v>16</v>
      </c>
      <c r="Q1189" s="4">
        <v>5880</v>
      </c>
      <c r="R1189" s="4">
        <v>5780</v>
      </c>
      <c r="S1189" s="4">
        <v>123</v>
      </c>
      <c r="T1189" s="19">
        <f>(ProductionData[[#This Row],[Rejected_Qty]])/ProductionData[[#This Row],[Produced_Qty]]</f>
        <v>2.1280276816608996E-2</v>
      </c>
      <c r="U1189" s="19">
        <f>ProductionData[[#This Row],[Produced_Qty]]/ProductionData[[#This Row],[Planned_Qty]]</f>
        <v>0.98299319727891155</v>
      </c>
      <c r="V1189" s="2" t="s">
        <v>103</v>
      </c>
      <c r="W1189" s="11">
        <v>0</v>
      </c>
      <c r="X1189" s="13">
        <f>W1189/60</f>
        <v>0</v>
      </c>
      <c r="Y1189" s="2" t="s">
        <v>90</v>
      </c>
      <c r="Z1189" s="2">
        <v>58</v>
      </c>
      <c r="AA1189" s="2">
        <f>ProductionData[[#This Row],[Rejected_Qty]]*ProductionData[[#This Row],[Unit_Cost_INR]]</f>
        <v>7134</v>
      </c>
      <c r="AB1189" s="4">
        <v>23186</v>
      </c>
      <c r="AC1189" s="4">
        <v>5520</v>
      </c>
      <c r="AD1189" s="4">
        <v>5520</v>
      </c>
      <c r="AE1189" s="4">
        <v>23323</v>
      </c>
      <c r="AF1189" s="4">
        <v>9000</v>
      </c>
    </row>
    <row r="1190" spans="1:32">
      <c r="A1190" s="2" t="s">
        <v>2511</v>
      </c>
      <c r="B1190" s="3">
        <v>46204</v>
      </c>
      <c r="C1190" s="36" t="s">
        <v>2128</v>
      </c>
      <c r="D1190" s="2">
        <f>MONTH(ProductionData[[#This Row],[Month]])</f>
        <v>7</v>
      </c>
      <c r="E1190" s="2" t="s">
        <v>79</v>
      </c>
      <c r="F1190" s="2" t="s">
        <v>80</v>
      </c>
      <c r="G1190" s="2" t="s">
        <v>67</v>
      </c>
      <c r="H1190" s="2" t="s">
        <v>68</v>
      </c>
      <c r="I1190" s="2" t="s">
        <v>69</v>
      </c>
      <c r="J1190" s="2" t="s">
        <v>403</v>
      </c>
      <c r="K1190" s="2" t="s">
        <v>404</v>
      </c>
      <c r="L1190" s="2" t="s">
        <v>2512</v>
      </c>
      <c r="M1190" s="2" t="s">
        <v>102</v>
      </c>
      <c r="N1190" s="2" t="s">
        <v>96</v>
      </c>
      <c r="O1190" s="2">
        <v>16</v>
      </c>
      <c r="P1190" s="2">
        <v>16</v>
      </c>
      <c r="Q1190" s="4">
        <v>6340</v>
      </c>
      <c r="R1190" s="4">
        <v>5970</v>
      </c>
      <c r="S1190" s="4">
        <v>149</v>
      </c>
      <c r="T1190" s="19">
        <f>(ProductionData[[#This Row],[Rejected_Qty]])/ProductionData[[#This Row],[Produced_Qty]]</f>
        <v>2.4958123953098828E-2</v>
      </c>
      <c r="U1190" s="19">
        <f>ProductionData[[#This Row],[Produced_Qty]]/ProductionData[[#This Row],[Planned_Qty]]</f>
        <v>0.94164037854889593</v>
      </c>
      <c r="V1190" s="2" t="s">
        <v>109</v>
      </c>
      <c r="W1190" s="11">
        <v>0</v>
      </c>
      <c r="X1190" s="13">
        <f>W1190/60</f>
        <v>0</v>
      </c>
      <c r="Y1190" s="2" t="s">
        <v>90</v>
      </c>
      <c r="Z1190" s="2">
        <v>58</v>
      </c>
      <c r="AA1190" s="2">
        <f>ProductionData[[#This Row],[Rejected_Qty]]*ProductionData[[#This Row],[Unit_Cost_INR]]</f>
        <v>8642</v>
      </c>
      <c r="AB1190" s="4">
        <v>23875</v>
      </c>
      <c r="AC1190" s="4">
        <v>6510</v>
      </c>
      <c r="AD1190" s="4">
        <v>6510</v>
      </c>
      <c r="AE1190" s="4">
        <v>23186</v>
      </c>
      <c r="AF1190" s="4">
        <v>9000</v>
      </c>
    </row>
    <row r="1191" spans="1:32">
      <c r="A1191" s="2" t="s">
        <v>2513</v>
      </c>
      <c r="B1191" s="3">
        <v>46207</v>
      </c>
      <c r="C1191" s="36" t="s">
        <v>2128</v>
      </c>
      <c r="D1191" s="2">
        <f>MONTH(ProductionData[[#This Row],[Month]])</f>
        <v>7</v>
      </c>
      <c r="E1191" s="2" t="s">
        <v>65</v>
      </c>
      <c r="F1191" s="2" t="s">
        <v>80</v>
      </c>
      <c r="G1191" s="2" t="s">
        <v>67</v>
      </c>
      <c r="H1191" s="2" t="s">
        <v>68</v>
      </c>
      <c r="I1191" s="2" t="s">
        <v>69</v>
      </c>
      <c r="J1191" s="2" t="s">
        <v>403</v>
      </c>
      <c r="K1191" s="2" t="s">
        <v>404</v>
      </c>
      <c r="L1191" s="2" t="s">
        <v>2514</v>
      </c>
      <c r="M1191" s="2" t="s">
        <v>87</v>
      </c>
      <c r="N1191" s="2" t="s">
        <v>88</v>
      </c>
      <c r="O1191" s="2">
        <v>16</v>
      </c>
      <c r="P1191" s="2">
        <v>16</v>
      </c>
      <c r="Q1191" s="4">
        <v>5670</v>
      </c>
      <c r="R1191" s="4">
        <v>5390</v>
      </c>
      <c r="S1191" s="4">
        <v>164</v>
      </c>
      <c r="T1191" s="19">
        <f>(ProductionData[[#This Row],[Rejected_Qty]])/ProductionData[[#This Row],[Produced_Qty]]</f>
        <v>3.0426716141001856E-2</v>
      </c>
      <c r="U1191" s="19">
        <f>ProductionData[[#This Row],[Produced_Qty]]/ProductionData[[#This Row],[Planned_Qty]]</f>
        <v>0.95061728395061729</v>
      </c>
      <c r="V1191" s="2" t="s">
        <v>113</v>
      </c>
      <c r="W1191" s="11">
        <v>38</v>
      </c>
      <c r="X1191" s="13">
        <f>W1191/60</f>
        <v>0.6333333333333333</v>
      </c>
      <c r="Y1191" s="2" t="s">
        <v>76</v>
      </c>
      <c r="Z1191" s="2">
        <v>58</v>
      </c>
      <c r="AA1191" s="2">
        <f>ProductionData[[#This Row],[Rejected_Qty]]*ProductionData[[#This Row],[Unit_Cost_INR]]</f>
        <v>9512</v>
      </c>
      <c r="AB1191" s="4">
        <v>23501</v>
      </c>
      <c r="AC1191" s="4">
        <v>5600</v>
      </c>
      <c r="AD1191" s="4">
        <v>5600</v>
      </c>
      <c r="AE1191" s="4">
        <v>23127</v>
      </c>
      <c r="AF1191" s="4">
        <v>9000</v>
      </c>
    </row>
    <row r="1192" spans="1:32">
      <c r="A1192" s="2" t="s">
        <v>2515</v>
      </c>
      <c r="B1192" s="3">
        <v>46210</v>
      </c>
      <c r="C1192" s="36" t="s">
        <v>2128</v>
      </c>
      <c r="D1192" s="2">
        <f>MONTH(ProductionData[[#This Row],[Month]])</f>
        <v>7</v>
      </c>
      <c r="E1192" s="2" t="s">
        <v>92</v>
      </c>
      <c r="F1192" s="2" t="s">
        <v>66</v>
      </c>
      <c r="G1192" s="2" t="s">
        <v>67</v>
      </c>
      <c r="H1192" s="2" t="s">
        <v>68</v>
      </c>
      <c r="I1192" s="2" t="s">
        <v>69</v>
      </c>
      <c r="J1192" s="2" t="s">
        <v>403</v>
      </c>
      <c r="K1192" s="2" t="s">
        <v>404</v>
      </c>
      <c r="L1192" s="2" t="s">
        <v>2516</v>
      </c>
      <c r="M1192" s="2" t="s">
        <v>73</v>
      </c>
      <c r="N1192" s="2" t="s">
        <v>96</v>
      </c>
      <c r="O1192" s="2">
        <v>16</v>
      </c>
      <c r="P1192" s="2">
        <v>15</v>
      </c>
      <c r="Q1192" s="4">
        <v>6050</v>
      </c>
      <c r="R1192" s="4">
        <v>5760</v>
      </c>
      <c r="S1192" s="4">
        <v>104</v>
      </c>
      <c r="T1192" s="19">
        <f>(ProductionData[[#This Row],[Rejected_Qty]])/ProductionData[[#This Row],[Produced_Qty]]</f>
        <v>1.8055555555555554E-2</v>
      </c>
      <c r="U1192" s="19">
        <f>ProductionData[[#This Row],[Produced_Qty]]/ProductionData[[#This Row],[Planned_Qty]]</f>
        <v>0.95206611570247934</v>
      </c>
      <c r="V1192" s="2" t="s">
        <v>109</v>
      </c>
      <c r="W1192" s="11">
        <v>0</v>
      </c>
      <c r="X1192" s="13">
        <f>W1192/60</f>
        <v>0</v>
      </c>
      <c r="Y1192" s="2" t="s">
        <v>90</v>
      </c>
      <c r="Z1192" s="2">
        <v>58</v>
      </c>
      <c r="AA1192" s="2">
        <f>ProductionData[[#This Row],[Rejected_Qty]]*ProductionData[[#This Row],[Unit_Cost_INR]]</f>
        <v>6032</v>
      </c>
      <c r="AB1192" s="4">
        <v>23127</v>
      </c>
      <c r="AC1192" s="4">
        <v>5740</v>
      </c>
      <c r="AD1192" s="4">
        <v>5740</v>
      </c>
      <c r="AE1192" s="4">
        <v>23043</v>
      </c>
      <c r="AF1192" s="4">
        <v>9000</v>
      </c>
    </row>
    <row r="1193" spans="1:32">
      <c r="A1193" s="2" t="s">
        <v>2517</v>
      </c>
      <c r="B1193" s="3">
        <v>46210</v>
      </c>
      <c r="C1193" s="36" t="s">
        <v>2128</v>
      </c>
      <c r="D1193" s="2">
        <f>MONTH(ProductionData[[#This Row],[Month]])</f>
        <v>7</v>
      </c>
      <c r="E1193" s="2" t="s">
        <v>92</v>
      </c>
      <c r="F1193" s="2" t="s">
        <v>93</v>
      </c>
      <c r="G1193" s="2" t="s">
        <v>67</v>
      </c>
      <c r="H1193" s="2" t="s">
        <v>68</v>
      </c>
      <c r="I1193" s="2" t="s">
        <v>69</v>
      </c>
      <c r="J1193" s="2" t="s">
        <v>403</v>
      </c>
      <c r="K1193" s="2" t="s">
        <v>404</v>
      </c>
      <c r="L1193" s="2" t="s">
        <v>2518</v>
      </c>
      <c r="M1193" s="2" t="s">
        <v>95</v>
      </c>
      <c r="N1193" s="2" t="s">
        <v>88</v>
      </c>
      <c r="O1193" s="2">
        <v>16</v>
      </c>
      <c r="P1193" s="2">
        <v>15</v>
      </c>
      <c r="Q1193" s="4">
        <v>5850</v>
      </c>
      <c r="R1193" s="4">
        <v>5640</v>
      </c>
      <c r="S1193" s="4">
        <v>146</v>
      </c>
      <c r="T1193" s="19">
        <f>(ProductionData[[#This Row],[Rejected_Qty]])/ProductionData[[#This Row],[Produced_Qty]]</f>
        <v>2.5886524822695035E-2</v>
      </c>
      <c r="U1193" s="19">
        <f>ProductionData[[#This Row],[Produced_Qty]]/ProductionData[[#This Row],[Planned_Qty]]</f>
        <v>0.96410256410256412</v>
      </c>
      <c r="V1193" s="2" t="s">
        <v>75</v>
      </c>
      <c r="W1193" s="11">
        <v>48</v>
      </c>
      <c r="X1193" s="13">
        <f>W1193/60</f>
        <v>0.8</v>
      </c>
      <c r="Y1193" s="2" t="s">
        <v>110</v>
      </c>
      <c r="Z1193" s="2">
        <v>58</v>
      </c>
      <c r="AA1193" s="2">
        <f>ProductionData[[#This Row],[Rejected_Qty]]*ProductionData[[#This Row],[Unit_Cost_INR]]</f>
        <v>8468</v>
      </c>
      <c r="AB1193" s="4">
        <v>23043</v>
      </c>
      <c r="AC1193" s="4">
        <v>5580</v>
      </c>
      <c r="AD1193" s="4">
        <v>5580</v>
      </c>
      <c r="AE1193" s="4">
        <v>22957</v>
      </c>
      <c r="AF1193" s="4">
        <v>9000</v>
      </c>
    </row>
    <row r="1194" spans="1:32">
      <c r="A1194" s="2" t="s">
        <v>2519</v>
      </c>
      <c r="B1194" s="3">
        <v>46224</v>
      </c>
      <c r="C1194" s="36" t="s">
        <v>2128</v>
      </c>
      <c r="D1194" s="2">
        <f>MONTH(ProductionData[[#This Row],[Month]])</f>
        <v>7</v>
      </c>
      <c r="E1194" s="2" t="s">
        <v>92</v>
      </c>
      <c r="F1194" s="2" t="s">
        <v>93</v>
      </c>
      <c r="G1194" s="2" t="s">
        <v>67</v>
      </c>
      <c r="H1194" s="2" t="s">
        <v>68</v>
      </c>
      <c r="I1194" s="2" t="s">
        <v>69</v>
      </c>
      <c r="J1194" s="2" t="s">
        <v>70</v>
      </c>
      <c r="K1194" s="2" t="s">
        <v>71</v>
      </c>
      <c r="L1194" s="2" t="s">
        <v>2520</v>
      </c>
      <c r="M1194" s="2" t="s">
        <v>133</v>
      </c>
      <c r="N1194" s="2" t="s">
        <v>74</v>
      </c>
      <c r="O1194" s="2">
        <v>16</v>
      </c>
      <c r="P1194" s="2">
        <v>14</v>
      </c>
      <c r="Q1194" s="4">
        <v>6800</v>
      </c>
      <c r="R1194" s="4">
        <v>6030</v>
      </c>
      <c r="S1194" s="4">
        <v>506</v>
      </c>
      <c r="T1194" s="19">
        <f>(ProductionData[[#This Row],[Rejected_Qty]])/ProductionData[[#This Row],[Produced_Qty]]</f>
        <v>8.3913764510779434E-2</v>
      </c>
      <c r="U1194" s="19">
        <f>ProductionData[[#This Row],[Produced_Qty]]/ProductionData[[#This Row],[Planned_Qty]]</f>
        <v>0.8867647058823529</v>
      </c>
      <c r="V1194" s="2" t="s">
        <v>2284</v>
      </c>
      <c r="W1194" s="11">
        <v>58</v>
      </c>
      <c r="X1194" s="13">
        <f>W1194/60</f>
        <v>0.96666666666666667</v>
      </c>
      <c r="Y1194" s="2" t="s">
        <v>259</v>
      </c>
      <c r="Z1194" s="2">
        <v>46</v>
      </c>
      <c r="AA1194" s="2">
        <f>ProductionData[[#This Row],[Rejected_Qty]]*ProductionData[[#This Row],[Unit_Cost_INR]]</f>
        <v>23276</v>
      </c>
      <c r="AB1194" s="4">
        <v>23637</v>
      </c>
      <c r="AC1194" s="4">
        <v>6220</v>
      </c>
      <c r="AD1194" s="4">
        <v>6220</v>
      </c>
      <c r="AE1194" s="4">
        <v>22941</v>
      </c>
      <c r="AF1194" s="4">
        <v>10500</v>
      </c>
    </row>
    <row r="1195" spans="1:32">
      <c r="A1195" s="2" t="s">
        <v>2521</v>
      </c>
      <c r="B1195" s="3">
        <v>46229</v>
      </c>
      <c r="C1195" s="36" t="s">
        <v>2128</v>
      </c>
      <c r="D1195" s="2">
        <f>MONTH(ProductionData[[#This Row],[Month]])</f>
        <v>7</v>
      </c>
      <c r="E1195" s="2" t="s">
        <v>186</v>
      </c>
      <c r="F1195" s="2" t="s">
        <v>80</v>
      </c>
      <c r="G1195" s="2" t="s">
        <v>195</v>
      </c>
      <c r="H1195" s="2" t="s">
        <v>196</v>
      </c>
      <c r="I1195" s="2" t="s">
        <v>197</v>
      </c>
      <c r="J1195" s="2" t="s">
        <v>586</v>
      </c>
      <c r="K1195" s="2" t="s">
        <v>587</v>
      </c>
      <c r="L1195" s="2" t="s">
        <v>2522</v>
      </c>
      <c r="M1195" s="2" t="s">
        <v>87</v>
      </c>
      <c r="N1195" s="2" t="s">
        <v>96</v>
      </c>
      <c r="O1195" s="2">
        <v>14</v>
      </c>
      <c r="P1195" s="2">
        <v>12</v>
      </c>
      <c r="Q1195" s="4">
        <v>3950</v>
      </c>
      <c r="R1195" s="4">
        <v>3580</v>
      </c>
      <c r="S1195" s="4">
        <v>90</v>
      </c>
      <c r="T1195" s="19">
        <f>(ProductionData[[#This Row],[Rejected_Qty]])/ProductionData[[#This Row],[Produced_Qty]]</f>
        <v>2.5139664804469275E-2</v>
      </c>
      <c r="U1195" s="19">
        <f>ProductionData[[#This Row],[Produced_Qty]]/ProductionData[[#This Row],[Planned_Qty]]</f>
        <v>0.90632911392405058</v>
      </c>
      <c r="V1195" s="2" t="s">
        <v>113</v>
      </c>
      <c r="W1195" s="11">
        <v>41</v>
      </c>
      <c r="X1195" s="13">
        <f>W1195/60</f>
        <v>0.68333333333333335</v>
      </c>
      <c r="Y1195" s="2" t="s">
        <v>110</v>
      </c>
      <c r="Z1195" s="2">
        <v>51</v>
      </c>
      <c r="AA1195" s="2">
        <f>ProductionData[[#This Row],[Rejected_Qty]]*ProductionData[[#This Row],[Unit_Cost_INR]]</f>
        <v>4590</v>
      </c>
      <c r="AB1195" s="4">
        <v>22527</v>
      </c>
      <c r="AC1195" s="4">
        <v>3340</v>
      </c>
      <c r="AD1195" s="4">
        <v>3340</v>
      </c>
      <c r="AE1195" s="4">
        <v>22677</v>
      </c>
      <c r="AF1195" s="4">
        <v>9000</v>
      </c>
    </row>
    <row r="1196" spans="1:32">
      <c r="A1196" s="2" t="s">
        <v>2523</v>
      </c>
      <c r="B1196" s="3">
        <v>46227</v>
      </c>
      <c r="C1196" s="36" t="s">
        <v>2128</v>
      </c>
      <c r="D1196" s="2">
        <f>MONTH(ProductionData[[#This Row],[Month]])</f>
        <v>7</v>
      </c>
      <c r="E1196" s="2" t="s">
        <v>125</v>
      </c>
      <c r="F1196" s="2" t="s">
        <v>93</v>
      </c>
      <c r="G1196" s="2" t="s">
        <v>195</v>
      </c>
      <c r="H1196" s="2" t="s">
        <v>196</v>
      </c>
      <c r="I1196" s="2" t="s">
        <v>197</v>
      </c>
      <c r="J1196" s="2" t="s">
        <v>586</v>
      </c>
      <c r="K1196" s="2" t="s">
        <v>587</v>
      </c>
      <c r="L1196" s="2" t="s">
        <v>2524</v>
      </c>
      <c r="M1196" s="2" t="s">
        <v>133</v>
      </c>
      <c r="N1196" s="2" t="s">
        <v>88</v>
      </c>
      <c r="O1196" s="2">
        <v>14</v>
      </c>
      <c r="P1196" s="2">
        <v>13</v>
      </c>
      <c r="Q1196" s="4">
        <v>6140</v>
      </c>
      <c r="R1196" s="4">
        <v>5740</v>
      </c>
      <c r="S1196" s="4">
        <v>138</v>
      </c>
      <c r="T1196" s="19">
        <f>(ProductionData[[#This Row],[Rejected_Qty]])/ProductionData[[#This Row],[Produced_Qty]]</f>
        <v>2.4041811846689895E-2</v>
      </c>
      <c r="U1196" s="19">
        <f>ProductionData[[#This Row],[Produced_Qty]]/ProductionData[[#This Row],[Planned_Qty]]</f>
        <v>0.93485342019543971</v>
      </c>
      <c r="V1196" s="2" t="s">
        <v>89</v>
      </c>
      <c r="W1196" s="11">
        <v>28</v>
      </c>
      <c r="X1196" s="13">
        <f>W1196/60</f>
        <v>0.46666666666666667</v>
      </c>
      <c r="Y1196" s="2" t="s">
        <v>110</v>
      </c>
      <c r="Z1196" s="2">
        <v>51</v>
      </c>
      <c r="AA1196" s="2">
        <f>ProductionData[[#This Row],[Rejected_Qty]]*ProductionData[[#This Row],[Unit_Cost_INR]]</f>
        <v>7038</v>
      </c>
      <c r="AB1196" s="4">
        <v>22085</v>
      </c>
      <c r="AC1196" s="4">
        <v>5160</v>
      </c>
      <c r="AD1196" s="4">
        <v>5160</v>
      </c>
      <c r="AE1196" s="4">
        <v>22527</v>
      </c>
      <c r="AF1196" s="4">
        <v>9000</v>
      </c>
    </row>
    <row r="1197" spans="1:32">
      <c r="A1197" s="2" t="s">
        <v>2525</v>
      </c>
      <c r="B1197" s="3">
        <v>46231</v>
      </c>
      <c r="C1197" s="36" t="s">
        <v>2128</v>
      </c>
      <c r="D1197" s="2">
        <f>MONTH(ProductionData[[#This Row],[Month]])</f>
        <v>7</v>
      </c>
      <c r="E1197" s="2" t="s">
        <v>92</v>
      </c>
      <c r="F1197" s="2" t="s">
        <v>66</v>
      </c>
      <c r="G1197" s="2" t="s">
        <v>195</v>
      </c>
      <c r="H1197" s="2" t="s">
        <v>196</v>
      </c>
      <c r="I1197" s="2" t="s">
        <v>197</v>
      </c>
      <c r="J1197" s="2" t="s">
        <v>586</v>
      </c>
      <c r="K1197" s="2" t="s">
        <v>587</v>
      </c>
      <c r="L1197" s="2" t="s">
        <v>2526</v>
      </c>
      <c r="M1197" s="2" t="s">
        <v>73</v>
      </c>
      <c r="N1197" s="2" t="s">
        <v>96</v>
      </c>
      <c r="O1197" s="2">
        <v>14</v>
      </c>
      <c r="P1197" s="2">
        <v>13</v>
      </c>
      <c r="Q1197" s="4">
        <v>5770</v>
      </c>
      <c r="R1197" s="4">
        <v>5260</v>
      </c>
      <c r="S1197" s="4">
        <v>167</v>
      </c>
      <c r="T1197" s="19">
        <f>(ProductionData[[#This Row],[Rejected_Qty]])/ProductionData[[#This Row],[Produced_Qty]]</f>
        <v>3.1749049429657797E-2</v>
      </c>
      <c r="U1197" s="19">
        <f>ProductionData[[#This Row],[Produced_Qty]]/ProductionData[[#This Row],[Planned_Qty]]</f>
        <v>0.91161178509532059</v>
      </c>
      <c r="V1197" s="2" t="s">
        <v>75</v>
      </c>
      <c r="W1197" s="11">
        <v>0</v>
      </c>
      <c r="X1197" s="13">
        <f>W1197/60</f>
        <v>0</v>
      </c>
      <c r="Y1197" s="2" t="s">
        <v>90</v>
      </c>
      <c r="Z1197" s="2">
        <v>51</v>
      </c>
      <c r="AA1197" s="2">
        <f>ProductionData[[#This Row],[Rejected_Qty]]*ProductionData[[#This Row],[Unit_Cost_INR]]</f>
        <v>8517</v>
      </c>
      <c r="AB1197" s="4">
        <v>22403</v>
      </c>
      <c r="AC1197" s="4">
        <v>5040</v>
      </c>
      <c r="AD1197" s="4">
        <v>5040</v>
      </c>
      <c r="AE1197" s="4">
        <v>22456</v>
      </c>
      <c r="AF1197" s="4">
        <v>9000</v>
      </c>
    </row>
    <row r="1198" spans="1:32">
      <c r="A1198" s="2" t="s">
        <v>2527</v>
      </c>
      <c r="B1198" s="3">
        <v>46225</v>
      </c>
      <c r="C1198" s="36" t="s">
        <v>2128</v>
      </c>
      <c r="D1198" s="2">
        <f>MONTH(ProductionData[[#This Row],[Month]])</f>
        <v>7</v>
      </c>
      <c r="E1198" s="2" t="s">
        <v>79</v>
      </c>
      <c r="F1198" s="2" t="s">
        <v>93</v>
      </c>
      <c r="G1198" s="2" t="s">
        <v>67</v>
      </c>
      <c r="H1198" s="2" t="s">
        <v>68</v>
      </c>
      <c r="I1198" s="2" t="s">
        <v>69</v>
      </c>
      <c r="J1198" s="2" t="s">
        <v>70</v>
      </c>
      <c r="K1198" s="2" t="s">
        <v>71</v>
      </c>
      <c r="L1198" s="2" t="s">
        <v>2528</v>
      </c>
      <c r="M1198" s="2" t="s">
        <v>133</v>
      </c>
      <c r="N1198" s="2" t="s">
        <v>74</v>
      </c>
      <c r="O1198" s="2">
        <v>16</v>
      </c>
      <c r="P1198" s="2">
        <v>14</v>
      </c>
      <c r="Q1198" s="4">
        <v>6610</v>
      </c>
      <c r="R1198" s="4">
        <v>5980</v>
      </c>
      <c r="S1198" s="4">
        <v>740</v>
      </c>
      <c r="T1198" s="19">
        <f>(ProductionData[[#This Row],[Rejected_Qty]])/ProductionData[[#This Row],[Produced_Qty]]</f>
        <v>0.12374581939799331</v>
      </c>
      <c r="U1198" s="19">
        <f>ProductionData[[#This Row],[Produced_Qty]]/ProductionData[[#This Row],[Planned_Qty]]</f>
        <v>0.90468986384266259</v>
      </c>
      <c r="V1198" s="2" t="s">
        <v>2284</v>
      </c>
      <c r="W1198" s="11">
        <v>57</v>
      </c>
      <c r="X1198" s="13">
        <f>W1198/60</f>
        <v>0.95</v>
      </c>
      <c r="Y1198" s="2" t="s">
        <v>76</v>
      </c>
      <c r="Z1198" s="2">
        <v>46</v>
      </c>
      <c r="AA1198" s="2">
        <f>ProductionData[[#This Row],[Rejected_Qty]]*ProductionData[[#This Row],[Unit_Cost_INR]]</f>
        <v>34040</v>
      </c>
      <c r="AB1198" s="4">
        <v>22941</v>
      </c>
      <c r="AC1198" s="4">
        <v>5730</v>
      </c>
      <c r="AD1198" s="4">
        <v>5730</v>
      </c>
      <c r="AE1198" s="4">
        <v>22451</v>
      </c>
      <c r="AF1198" s="4">
        <v>10500</v>
      </c>
    </row>
    <row r="1199" spans="1:32">
      <c r="A1199" s="2" t="s">
        <v>2529</v>
      </c>
      <c r="B1199" s="3">
        <v>46230</v>
      </c>
      <c r="C1199" s="36" t="s">
        <v>2128</v>
      </c>
      <c r="D1199" s="2">
        <f>MONTH(ProductionData[[#This Row],[Month]])</f>
        <v>7</v>
      </c>
      <c r="E1199" s="2" t="s">
        <v>116</v>
      </c>
      <c r="F1199" s="2" t="s">
        <v>66</v>
      </c>
      <c r="G1199" s="2" t="s">
        <v>195</v>
      </c>
      <c r="H1199" s="2" t="s">
        <v>196</v>
      </c>
      <c r="I1199" s="2" t="s">
        <v>197</v>
      </c>
      <c r="J1199" s="2" t="s">
        <v>586</v>
      </c>
      <c r="K1199" s="2" t="s">
        <v>587</v>
      </c>
      <c r="L1199" s="2" t="s">
        <v>2530</v>
      </c>
      <c r="M1199" s="2" t="s">
        <v>99</v>
      </c>
      <c r="N1199" s="2" t="s">
        <v>88</v>
      </c>
      <c r="O1199" s="2">
        <v>14</v>
      </c>
      <c r="P1199" s="2">
        <v>13</v>
      </c>
      <c r="Q1199" s="4">
        <v>5530</v>
      </c>
      <c r="R1199" s="4">
        <v>5010</v>
      </c>
      <c r="S1199" s="4">
        <v>114</v>
      </c>
      <c r="T1199" s="19">
        <f>(ProductionData[[#This Row],[Rejected_Qty]])/ProductionData[[#This Row],[Produced_Qty]]</f>
        <v>2.2754491017964073E-2</v>
      </c>
      <c r="U1199" s="19">
        <f>ProductionData[[#This Row],[Produced_Qty]]/ProductionData[[#This Row],[Planned_Qty]]</f>
        <v>0.9059674502712477</v>
      </c>
      <c r="V1199" s="2" t="s">
        <v>109</v>
      </c>
      <c r="W1199" s="11">
        <v>0</v>
      </c>
      <c r="X1199" s="13">
        <f>W1199/60</f>
        <v>0</v>
      </c>
      <c r="Y1199" s="2" t="s">
        <v>90</v>
      </c>
      <c r="Z1199" s="2">
        <v>51</v>
      </c>
      <c r="AA1199" s="2">
        <f>ProductionData[[#This Row],[Rejected_Qty]]*ProductionData[[#This Row],[Unit_Cost_INR]]</f>
        <v>5814</v>
      </c>
      <c r="AB1199" s="4">
        <v>22677</v>
      </c>
      <c r="AC1199" s="4">
        <v>5170</v>
      </c>
      <c r="AD1199" s="4">
        <v>5170</v>
      </c>
      <c r="AE1199" s="4">
        <v>22403</v>
      </c>
      <c r="AF1199" s="4">
        <v>9000</v>
      </c>
    </row>
    <row r="1200" spans="1:32">
      <c r="A1200" s="2" t="s">
        <v>2531</v>
      </c>
      <c r="B1200" s="3">
        <v>46226</v>
      </c>
      <c r="C1200" s="36" t="s">
        <v>2128</v>
      </c>
      <c r="D1200" s="2">
        <f>MONTH(ProductionData[[#This Row],[Month]])</f>
        <v>7</v>
      </c>
      <c r="E1200" s="2" t="s">
        <v>107</v>
      </c>
      <c r="F1200" s="2" t="s">
        <v>66</v>
      </c>
      <c r="G1200" s="2" t="s">
        <v>67</v>
      </c>
      <c r="H1200" s="2" t="s">
        <v>68</v>
      </c>
      <c r="I1200" s="2" t="s">
        <v>69</v>
      </c>
      <c r="J1200" s="2" t="s">
        <v>70</v>
      </c>
      <c r="K1200" s="2" t="s">
        <v>71</v>
      </c>
      <c r="L1200" s="2" t="s">
        <v>2532</v>
      </c>
      <c r="M1200" s="2" t="s">
        <v>73</v>
      </c>
      <c r="N1200" s="2" t="s">
        <v>96</v>
      </c>
      <c r="O1200" s="2">
        <v>16</v>
      </c>
      <c r="P1200" s="2">
        <v>15</v>
      </c>
      <c r="Q1200" s="4">
        <v>6860</v>
      </c>
      <c r="R1200" s="4">
        <v>6430</v>
      </c>
      <c r="S1200" s="4">
        <v>196</v>
      </c>
      <c r="T1200" s="19">
        <f>(ProductionData[[#This Row],[Rejected_Qty]])/ProductionData[[#This Row],[Produced_Qty]]</f>
        <v>3.0482115085536547E-2</v>
      </c>
      <c r="U1200" s="19">
        <f>ProductionData[[#This Row],[Produced_Qty]]/ProductionData[[#This Row],[Planned_Qty]]</f>
        <v>0.93731778425655976</v>
      </c>
      <c r="V1200" s="2" t="s">
        <v>109</v>
      </c>
      <c r="W1200" s="11">
        <v>0</v>
      </c>
      <c r="X1200" s="13">
        <f>W1200/60</f>
        <v>0</v>
      </c>
      <c r="Y1200" s="2" t="s">
        <v>90</v>
      </c>
      <c r="Z1200" s="2">
        <v>46</v>
      </c>
      <c r="AA1200" s="2">
        <f>ProductionData[[#This Row],[Rejected_Qty]]*ProductionData[[#This Row],[Unit_Cost_INR]]</f>
        <v>9016</v>
      </c>
      <c r="AB1200" s="4">
        <v>22451</v>
      </c>
      <c r="AC1200" s="4">
        <v>6470</v>
      </c>
      <c r="AD1200" s="4">
        <v>6470</v>
      </c>
      <c r="AE1200" s="4">
        <v>22215</v>
      </c>
      <c r="AF1200" s="4">
        <v>10500</v>
      </c>
    </row>
    <row r="1201" spans="1:32">
      <c r="A1201" s="2" t="s">
        <v>2533</v>
      </c>
      <c r="B1201" s="3">
        <v>46226</v>
      </c>
      <c r="C1201" s="36" t="s">
        <v>2128</v>
      </c>
      <c r="D1201" s="2">
        <f>MONTH(ProductionData[[#This Row],[Month]])</f>
        <v>7</v>
      </c>
      <c r="E1201" s="2" t="s">
        <v>107</v>
      </c>
      <c r="F1201" s="2" t="s">
        <v>66</v>
      </c>
      <c r="G1201" s="2" t="s">
        <v>195</v>
      </c>
      <c r="H1201" s="2" t="s">
        <v>196</v>
      </c>
      <c r="I1201" s="2" t="s">
        <v>197</v>
      </c>
      <c r="J1201" s="2" t="s">
        <v>586</v>
      </c>
      <c r="K1201" s="2" t="s">
        <v>587</v>
      </c>
      <c r="L1201" s="2" t="s">
        <v>2534</v>
      </c>
      <c r="M1201" s="2" t="s">
        <v>73</v>
      </c>
      <c r="N1201" s="2" t="s">
        <v>88</v>
      </c>
      <c r="O1201" s="2">
        <v>14</v>
      </c>
      <c r="P1201" s="2">
        <v>14</v>
      </c>
      <c r="Q1201" s="4">
        <v>5760</v>
      </c>
      <c r="R1201" s="4">
        <v>5580</v>
      </c>
      <c r="S1201" s="4">
        <v>189</v>
      </c>
      <c r="T1201" s="19">
        <f>(ProductionData[[#This Row],[Rejected_Qty]])/ProductionData[[#This Row],[Produced_Qty]]</f>
        <v>3.3870967741935487E-2</v>
      </c>
      <c r="U1201" s="19">
        <f>ProductionData[[#This Row],[Produced_Qty]]/ProductionData[[#This Row],[Planned_Qty]]</f>
        <v>0.96875</v>
      </c>
      <c r="V1201" s="2" t="s">
        <v>109</v>
      </c>
      <c r="W1201" s="11">
        <v>64</v>
      </c>
      <c r="X1201" s="13">
        <f>W1201/60</f>
        <v>1.0666666666666667</v>
      </c>
      <c r="Y1201" s="2" t="s">
        <v>110</v>
      </c>
      <c r="Z1201" s="2">
        <v>51</v>
      </c>
      <c r="AA1201" s="2">
        <f>ProductionData[[#This Row],[Rejected_Qty]]*ProductionData[[#This Row],[Unit_Cost_INR]]</f>
        <v>9639</v>
      </c>
      <c r="AB1201" s="4">
        <v>21884</v>
      </c>
      <c r="AC1201" s="4">
        <v>5090</v>
      </c>
      <c r="AD1201" s="4">
        <v>5090</v>
      </c>
      <c r="AE1201" s="4">
        <v>22185</v>
      </c>
      <c r="AF1201" s="4">
        <v>9000</v>
      </c>
    </row>
    <row r="1202" spans="1:32">
      <c r="A1202" s="2" t="s">
        <v>2535</v>
      </c>
      <c r="B1202" s="3">
        <v>46224</v>
      </c>
      <c r="C1202" s="36" t="s">
        <v>2128</v>
      </c>
      <c r="D1202" s="2">
        <f>MONTH(ProductionData[[#This Row],[Month]])</f>
        <v>7</v>
      </c>
      <c r="E1202" s="2" t="s">
        <v>92</v>
      </c>
      <c r="F1202" s="2" t="s">
        <v>80</v>
      </c>
      <c r="G1202" s="2" t="s">
        <v>195</v>
      </c>
      <c r="H1202" s="2" t="s">
        <v>196</v>
      </c>
      <c r="I1202" s="2" t="s">
        <v>197</v>
      </c>
      <c r="J1202" s="2" t="s">
        <v>586</v>
      </c>
      <c r="K1202" s="2" t="s">
        <v>587</v>
      </c>
      <c r="L1202" s="2" t="s">
        <v>2536</v>
      </c>
      <c r="M1202" s="2" t="s">
        <v>102</v>
      </c>
      <c r="N1202" s="2" t="s">
        <v>88</v>
      </c>
      <c r="O1202" s="2">
        <v>14</v>
      </c>
      <c r="P1202" s="2">
        <v>14</v>
      </c>
      <c r="Q1202" s="4">
        <v>5790</v>
      </c>
      <c r="R1202" s="4">
        <v>5480</v>
      </c>
      <c r="S1202" s="4">
        <v>101</v>
      </c>
      <c r="T1202" s="19">
        <f>(ProductionData[[#This Row],[Rejected_Qty]])/ProductionData[[#This Row],[Produced_Qty]]</f>
        <v>1.843065693430657E-2</v>
      </c>
      <c r="U1202" s="19">
        <f>ProductionData[[#This Row],[Produced_Qty]]/ProductionData[[#This Row],[Planned_Qty]]</f>
        <v>0.94645941278065626</v>
      </c>
      <c r="V1202" s="2" t="s">
        <v>109</v>
      </c>
      <c r="W1202" s="11">
        <v>0</v>
      </c>
      <c r="X1202" s="13">
        <f>W1202/60</f>
        <v>0</v>
      </c>
      <c r="Y1202" s="2" t="s">
        <v>90</v>
      </c>
      <c r="Z1202" s="2">
        <v>51</v>
      </c>
      <c r="AA1202" s="2">
        <f>ProductionData[[#This Row],[Rejected_Qty]]*ProductionData[[#This Row],[Unit_Cost_INR]]</f>
        <v>5151</v>
      </c>
      <c r="AB1202" s="4">
        <v>21358</v>
      </c>
      <c r="AC1202" s="4">
        <v>4580</v>
      </c>
      <c r="AD1202" s="4">
        <v>4580</v>
      </c>
      <c r="AE1202" s="4">
        <v>22157</v>
      </c>
      <c r="AF1202" s="4">
        <v>9000</v>
      </c>
    </row>
    <row r="1203" spans="1:32">
      <c r="A1203" s="2" t="s">
        <v>2537</v>
      </c>
      <c r="B1203" s="3">
        <v>46231</v>
      </c>
      <c r="C1203" s="36" t="s">
        <v>2128</v>
      </c>
      <c r="D1203" s="2">
        <f>MONTH(ProductionData[[#This Row],[Month]])</f>
        <v>7</v>
      </c>
      <c r="E1203" s="2" t="s">
        <v>92</v>
      </c>
      <c r="F1203" s="2" t="s">
        <v>93</v>
      </c>
      <c r="G1203" s="2" t="s">
        <v>195</v>
      </c>
      <c r="H1203" s="2" t="s">
        <v>196</v>
      </c>
      <c r="I1203" s="2" t="s">
        <v>197</v>
      </c>
      <c r="J1203" s="2" t="s">
        <v>586</v>
      </c>
      <c r="K1203" s="2" t="s">
        <v>587</v>
      </c>
      <c r="L1203" s="2" t="s">
        <v>2538</v>
      </c>
      <c r="M1203" s="2" t="s">
        <v>95</v>
      </c>
      <c r="N1203" s="2" t="s">
        <v>96</v>
      </c>
      <c r="O1203" s="2">
        <v>14</v>
      </c>
      <c r="P1203" s="2">
        <v>13</v>
      </c>
      <c r="Q1203" s="4">
        <v>5520</v>
      </c>
      <c r="R1203" s="4">
        <v>5230</v>
      </c>
      <c r="S1203" s="4">
        <v>117</v>
      </c>
      <c r="T1203" s="19">
        <f>(ProductionData[[#This Row],[Rejected_Qty]])/ProductionData[[#This Row],[Produced_Qty]]</f>
        <v>2.237093690248566E-2</v>
      </c>
      <c r="U1203" s="19">
        <f>ProductionData[[#This Row],[Produced_Qty]]/ProductionData[[#This Row],[Planned_Qty]]</f>
        <v>0.94746376811594202</v>
      </c>
      <c r="V1203" s="2" t="s">
        <v>109</v>
      </c>
      <c r="W1203" s="11">
        <v>0</v>
      </c>
      <c r="X1203" s="13">
        <f>W1203/60</f>
        <v>0</v>
      </c>
      <c r="Y1203" s="2" t="s">
        <v>90</v>
      </c>
      <c r="Z1203" s="2">
        <v>51</v>
      </c>
      <c r="AA1203" s="2">
        <f>ProductionData[[#This Row],[Rejected_Qty]]*ProductionData[[#This Row],[Unit_Cost_INR]]</f>
        <v>5967</v>
      </c>
      <c r="AB1203" s="4">
        <v>22456</v>
      </c>
      <c r="AC1203" s="4">
        <v>5450</v>
      </c>
      <c r="AD1203" s="4">
        <v>5450</v>
      </c>
      <c r="AE1203" s="4">
        <v>22119</v>
      </c>
      <c r="AF1203" s="4">
        <v>9000</v>
      </c>
    </row>
    <row r="1204" spans="1:32">
      <c r="A1204" s="2" t="s">
        <v>2539</v>
      </c>
      <c r="B1204" s="3">
        <v>46212</v>
      </c>
      <c r="C1204" s="36" t="s">
        <v>2128</v>
      </c>
      <c r="D1204" s="2">
        <f>MONTH(ProductionData[[#This Row],[Month]])</f>
        <v>7</v>
      </c>
      <c r="E1204" s="2" t="s">
        <v>107</v>
      </c>
      <c r="F1204" s="2" t="s">
        <v>80</v>
      </c>
      <c r="G1204" s="2" t="s">
        <v>67</v>
      </c>
      <c r="H1204" s="2" t="s">
        <v>68</v>
      </c>
      <c r="I1204" s="2" t="s">
        <v>69</v>
      </c>
      <c r="J1204" s="2" t="s">
        <v>403</v>
      </c>
      <c r="K1204" s="2" t="s">
        <v>404</v>
      </c>
      <c r="L1204" s="2" t="s">
        <v>2540</v>
      </c>
      <c r="M1204" s="2" t="s">
        <v>87</v>
      </c>
      <c r="N1204" s="2" t="s">
        <v>96</v>
      </c>
      <c r="O1204" s="2">
        <v>16</v>
      </c>
      <c r="P1204" s="2">
        <v>13</v>
      </c>
      <c r="Q1204" s="4">
        <v>5820</v>
      </c>
      <c r="R1204" s="4">
        <v>5160</v>
      </c>
      <c r="S1204" s="4">
        <v>106</v>
      </c>
      <c r="T1204" s="19">
        <f>(ProductionData[[#This Row],[Rejected_Qty]])/ProductionData[[#This Row],[Produced_Qty]]</f>
        <v>2.0542635658914728E-2</v>
      </c>
      <c r="U1204" s="19">
        <f>ProductionData[[#This Row],[Produced_Qty]]/ProductionData[[#This Row],[Planned_Qty]]</f>
        <v>0.88659793814432986</v>
      </c>
      <c r="V1204" s="2" t="s">
        <v>75</v>
      </c>
      <c r="W1204" s="11">
        <v>36</v>
      </c>
      <c r="X1204" s="13">
        <f>W1204/60</f>
        <v>0.6</v>
      </c>
      <c r="Y1204" s="2" t="s">
        <v>182</v>
      </c>
      <c r="Z1204" s="2">
        <v>58</v>
      </c>
      <c r="AA1204" s="2">
        <f>ProductionData[[#This Row],[Rejected_Qty]]*ProductionData[[#This Row],[Unit_Cost_INR]]</f>
        <v>6148</v>
      </c>
      <c r="AB1204" s="4">
        <v>22957</v>
      </c>
      <c r="AC1204" s="4">
        <v>5900</v>
      </c>
      <c r="AD1204" s="4">
        <v>5900</v>
      </c>
      <c r="AE1204" s="4">
        <v>22111</v>
      </c>
      <c r="AF1204" s="4">
        <v>9000</v>
      </c>
    </row>
    <row r="1205" spans="1:32">
      <c r="A1205" s="2" t="s">
        <v>2541</v>
      </c>
      <c r="B1205" s="3">
        <v>46227</v>
      </c>
      <c r="C1205" s="36" t="s">
        <v>2128</v>
      </c>
      <c r="D1205" s="2">
        <f>MONTH(ProductionData[[#This Row],[Month]])</f>
        <v>7</v>
      </c>
      <c r="E1205" s="2" t="s">
        <v>125</v>
      </c>
      <c r="F1205" s="2" t="s">
        <v>66</v>
      </c>
      <c r="G1205" s="2" t="s">
        <v>195</v>
      </c>
      <c r="H1205" s="2" t="s">
        <v>196</v>
      </c>
      <c r="I1205" s="2" t="s">
        <v>197</v>
      </c>
      <c r="J1205" s="2" t="s">
        <v>586</v>
      </c>
      <c r="K1205" s="2" t="s">
        <v>587</v>
      </c>
      <c r="L1205" s="2" t="s">
        <v>2542</v>
      </c>
      <c r="M1205" s="2" t="s">
        <v>99</v>
      </c>
      <c r="N1205" s="2" t="s">
        <v>88</v>
      </c>
      <c r="O1205" s="2">
        <v>14</v>
      </c>
      <c r="P1205" s="2">
        <v>14</v>
      </c>
      <c r="Q1205" s="4">
        <v>5530</v>
      </c>
      <c r="R1205" s="4">
        <v>5420</v>
      </c>
      <c r="S1205" s="4">
        <v>180</v>
      </c>
      <c r="T1205" s="19">
        <f>(ProductionData[[#This Row],[Rejected_Qty]])/ProductionData[[#This Row],[Produced_Qty]]</f>
        <v>3.3210332103321034E-2</v>
      </c>
      <c r="U1205" s="19">
        <f>ProductionData[[#This Row],[Produced_Qty]]/ProductionData[[#This Row],[Planned_Qty]]</f>
        <v>0.98010849909584086</v>
      </c>
      <c r="V1205" s="2" t="s">
        <v>113</v>
      </c>
      <c r="W1205" s="11">
        <v>0</v>
      </c>
      <c r="X1205" s="13">
        <f>W1205/60</f>
        <v>0</v>
      </c>
      <c r="Y1205" s="2" t="s">
        <v>90</v>
      </c>
      <c r="Z1205" s="2">
        <v>51</v>
      </c>
      <c r="AA1205" s="2">
        <f>ProductionData[[#This Row],[Rejected_Qty]]*ProductionData[[#This Row],[Unit_Cost_INR]]</f>
        <v>9180</v>
      </c>
      <c r="AB1205" s="4">
        <v>22185</v>
      </c>
      <c r="AC1205" s="4">
        <v>5340</v>
      </c>
      <c r="AD1205" s="4">
        <v>5340</v>
      </c>
      <c r="AE1205" s="4">
        <v>22085</v>
      </c>
      <c r="AF1205" s="4">
        <v>9000</v>
      </c>
    </row>
    <row r="1206" spans="1:32">
      <c r="A1206" s="2" t="s">
        <v>2543</v>
      </c>
      <c r="B1206" s="3">
        <v>46234</v>
      </c>
      <c r="C1206" s="36" t="s">
        <v>2128</v>
      </c>
      <c r="D1206" s="2">
        <f>MONTH(ProductionData[[#This Row],[Month]])</f>
        <v>7</v>
      </c>
      <c r="E1206" s="2" t="s">
        <v>125</v>
      </c>
      <c r="F1206" s="2" t="s">
        <v>93</v>
      </c>
      <c r="G1206" s="2" t="s">
        <v>195</v>
      </c>
      <c r="H1206" s="2" t="s">
        <v>196</v>
      </c>
      <c r="I1206" s="2" t="s">
        <v>197</v>
      </c>
      <c r="J1206" s="2" t="s">
        <v>586</v>
      </c>
      <c r="K1206" s="2" t="s">
        <v>587</v>
      </c>
      <c r="L1206" s="2" t="s">
        <v>2544</v>
      </c>
      <c r="M1206" s="2" t="s">
        <v>133</v>
      </c>
      <c r="N1206" s="2" t="s">
        <v>96</v>
      </c>
      <c r="O1206" s="2">
        <v>14</v>
      </c>
      <c r="P1206" s="2">
        <v>13</v>
      </c>
      <c r="Q1206" s="4">
        <v>5360</v>
      </c>
      <c r="R1206" s="4">
        <v>5110</v>
      </c>
      <c r="S1206" s="4">
        <v>91</v>
      </c>
      <c r="T1206" s="19">
        <f>(ProductionData[[#This Row],[Rejected_Qty]])/ProductionData[[#This Row],[Produced_Qty]]</f>
        <v>1.7808219178082191E-2</v>
      </c>
      <c r="U1206" s="19">
        <f>ProductionData[[#This Row],[Produced_Qty]]/ProductionData[[#This Row],[Planned_Qty]]</f>
        <v>0.95335820895522383</v>
      </c>
      <c r="V1206" s="2" t="s">
        <v>109</v>
      </c>
      <c r="W1206" s="11">
        <v>0</v>
      </c>
      <c r="X1206" s="13">
        <f>W1206/60</f>
        <v>0</v>
      </c>
      <c r="Y1206" s="2" t="s">
        <v>90</v>
      </c>
      <c r="Z1206" s="2">
        <v>51</v>
      </c>
      <c r="AA1206" s="2">
        <f>ProductionData[[#This Row],[Rejected_Qty]]*ProductionData[[#This Row],[Unit_Cost_INR]]</f>
        <v>4641</v>
      </c>
      <c r="AB1206" s="4">
        <v>21885</v>
      </c>
      <c r="AC1206" s="4">
        <v>4900</v>
      </c>
      <c r="AD1206" s="4">
        <v>4900</v>
      </c>
      <c r="AE1206" s="4">
        <v>22004</v>
      </c>
      <c r="AF1206" s="4">
        <v>9000</v>
      </c>
    </row>
    <row r="1207" spans="1:32">
      <c r="A1207" s="2" t="s">
        <v>2545</v>
      </c>
      <c r="B1207" s="3">
        <v>46234</v>
      </c>
      <c r="C1207" s="36" t="s">
        <v>2128</v>
      </c>
      <c r="D1207" s="2">
        <f>MONTH(ProductionData[[#This Row],[Month]])</f>
        <v>7</v>
      </c>
      <c r="E1207" s="2" t="s">
        <v>125</v>
      </c>
      <c r="F1207" s="2" t="s">
        <v>80</v>
      </c>
      <c r="G1207" s="2" t="s">
        <v>195</v>
      </c>
      <c r="H1207" s="2" t="s">
        <v>196</v>
      </c>
      <c r="I1207" s="2" t="s">
        <v>197</v>
      </c>
      <c r="J1207" s="2" t="s">
        <v>586</v>
      </c>
      <c r="K1207" s="2" t="s">
        <v>587</v>
      </c>
      <c r="L1207" s="2" t="s">
        <v>2546</v>
      </c>
      <c r="M1207" s="2" t="s">
        <v>87</v>
      </c>
      <c r="N1207" s="2" t="s">
        <v>88</v>
      </c>
      <c r="O1207" s="2">
        <v>14</v>
      </c>
      <c r="P1207" s="2">
        <v>14</v>
      </c>
      <c r="Q1207" s="4">
        <v>5790</v>
      </c>
      <c r="R1207" s="4">
        <v>5690</v>
      </c>
      <c r="S1207" s="4">
        <v>131</v>
      </c>
      <c r="T1207" s="19">
        <f>(ProductionData[[#This Row],[Rejected_Qty]])/ProductionData[[#This Row],[Produced_Qty]]</f>
        <v>2.3022847100175745E-2</v>
      </c>
      <c r="U1207" s="19">
        <f>ProductionData[[#This Row],[Produced_Qty]]/ProductionData[[#This Row],[Planned_Qty]]</f>
        <v>0.98272884283246975</v>
      </c>
      <c r="V1207" s="2" t="s">
        <v>109</v>
      </c>
      <c r="W1207" s="11">
        <v>0</v>
      </c>
      <c r="X1207" s="13">
        <f>W1207/60</f>
        <v>0</v>
      </c>
      <c r="Y1207" s="2" t="s">
        <v>90</v>
      </c>
      <c r="Z1207" s="2">
        <v>51</v>
      </c>
      <c r="AA1207" s="2">
        <f>ProductionData[[#This Row],[Rejected_Qty]]*ProductionData[[#This Row],[Unit_Cost_INR]]</f>
        <v>6681</v>
      </c>
      <c r="AB1207" s="4">
        <v>21736</v>
      </c>
      <c r="AC1207" s="4">
        <v>5410</v>
      </c>
      <c r="AD1207" s="4">
        <v>5410</v>
      </c>
      <c r="AE1207" s="4">
        <v>21885</v>
      </c>
      <c r="AF1207" s="4">
        <v>9000</v>
      </c>
    </row>
    <row r="1208" spans="1:32">
      <c r="A1208" s="2" t="s">
        <v>2547</v>
      </c>
      <c r="B1208" s="3">
        <v>46225</v>
      </c>
      <c r="C1208" s="36" t="s">
        <v>2128</v>
      </c>
      <c r="D1208" s="2">
        <f>MONTH(ProductionData[[#This Row],[Month]])</f>
        <v>7</v>
      </c>
      <c r="E1208" s="2" t="s">
        <v>79</v>
      </c>
      <c r="F1208" s="2" t="s">
        <v>80</v>
      </c>
      <c r="G1208" s="2" t="s">
        <v>195</v>
      </c>
      <c r="H1208" s="2" t="s">
        <v>196</v>
      </c>
      <c r="I1208" s="2" t="s">
        <v>197</v>
      </c>
      <c r="J1208" s="2" t="s">
        <v>586</v>
      </c>
      <c r="K1208" s="2" t="s">
        <v>587</v>
      </c>
      <c r="L1208" s="2" t="s">
        <v>2548</v>
      </c>
      <c r="M1208" s="2" t="s">
        <v>87</v>
      </c>
      <c r="N1208" s="2" t="s">
        <v>88</v>
      </c>
      <c r="O1208" s="2">
        <v>14</v>
      </c>
      <c r="P1208" s="2">
        <v>13</v>
      </c>
      <c r="Q1208" s="4">
        <v>5840</v>
      </c>
      <c r="R1208" s="4">
        <v>5530</v>
      </c>
      <c r="S1208" s="4">
        <v>93</v>
      </c>
      <c r="T1208" s="19">
        <f>(ProductionData[[#This Row],[Rejected_Qty]])/ProductionData[[#This Row],[Produced_Qty]]</f>
        <v>1.681735985533454E-2</v>
      </c>
      <c r="U1208" s="19">
        <f>ProductionData[[#This Row],[Produced_Qty]]/ProductionData[[#This Row],[Planned_Qty]]</f>
        <v>0.94691780821917804</v>
      </c>
      <c r="V1208" s="2" t="s">
        <v>103</v>
      </c>
      <c r="W1208" s="11">
        <v>0</v>
      </c>
      <c r="X1208" s="13">
        <f>W1208/60</f>
        <v>0</v>
      </c>
      <c r="Y1208" s="2" t="s">
        <v>90</v>
      </c>
      <c r="Z1208" s="2">
        <v>51</v>
      </c>
      <c r="AA1208" s="2">
        <f>ProductionData[[#This Row],[Rejected_Qty]]*ProductionData[[#This Row],[Unit_Cost_INR]]</f>
        <v>4743</v>
      </c>
      <c r="AB1208" s="4">
        <v>22157</v>
      </c>
      <c r="AC1208" s="4">
        <v>5710</v>
      </c>
      <c r="AD1208" s="4">
        <v>5710</v>
      </c>
      <c r="AE1208" s="4">
        <v>21884</v>
      </c>
      <c r="AF1208" s="4">
        <v>9000</v>
      </c>
    </row>
    <row r="1209" spans="1:32">
      <c r="A1209" s="2" t="s">
        <v>2549</v>
      </c>
      <c r="B1209" s="3">
        <v>46234</v>
      </c>
      <c r="C1209" s="36" t="s">
        <v>2128</v>
      </c>
      <c r="D1209" s="2">
        <f>MONTH(ProductionData[[#This Row],[Month]])</f>
        <v>7</v>
      </c>
      <c r="E1209" s="2" t="s">
        <v>125</v>
      </c>
      <c r="F1209" s="2" t="s">
        <v>66</v>
      </c>
      <c r="G1209" s="2" t="s">
        <v>195</v>
      </c>
      <c r="H1209" s="2" t="s">
        <v>196</v>
      </c>
      <c r="I1209" s="2" t="s">
        <v>197</v>
      </c>
      <c r="J1209" s="2" t="s">
        <v>586</v>
      </c>
      <c r="K1209" s="2" t="s">
        <v>587</v>
      </c>
      <c r="L1209" s="2" t="s">
        <v>2550</v>
      </c>
      <c r="M1209" s="2" t="s">
        <v>99</v>
      </c>
      <c r="N1209" s="2" t="s">
        <v>96</v>
      </c>
      <c r="O1209" s="2">
        <v>14</v>
      </c>
      <c r="P1209" s="2">
        <v>13</v>
      </c>
      <c r="Q1209" s="4">
        <v>6060</v>
      </c>
      <c r="R1209" s="4">
        <v>5690</v>
      </c>
      <c r="S1209" s="4">
        <v>213</v>
      </c>
      <c r="T1209" s="19">
        <f>(ProductionData[[#This Row],[Rejected_Qty]])/ProductionData[[#This Row],[Produced_Qty]]</f>
        <v>3.7434094903339189E-2</v>
      </c>
      <c r="U1209" s="19">
        <f>ProductionData[[#This Row],[Produced_Qty]]/ProductionData[[#This Row],[Planned_Qty]]</f>
        <v>0.93894389438943893</v>
      </c>
      <c r="V1209" s="2" t="s">
        <v>75</v>
      </c>
      <c r="W1209" s="11">
        <v>0</v>
      </c>
      <c r="X1209" s="13">
        <f>W1209/60</f>
        <v>0</v>
      </c>
      <c r="Y1209" s="2" t="s">
        <v>90</v>
      </c>
      <c r="Z1209" s="2">
        <v>51</v>
      </c>
      <c r="AA1209" s="2">
        <f>ProductionData[[#This Row],[Rejected_Qty]]*ProductionData[[#This Row],[Unit_Cost_INR]]</f>
        <v>10863</v>
      </c>
      <c r="AB1209" s="4">
        <v>22119</v>
      </c>
      <c r="AC1209" s="4">
        <v>5860</v>
      </c>
      <c r="AD1209" s="4">
        <v>5860</v>
      </c>
      <c r="AE1209" s="4">
        <v>21736</v>
      </c>
      <c r="AF1209" s="4">
        <v>9000</v>
      </c>
    </row>
    <row r="1210" spans="1:32">
      <c r="A1210" s="2" t="s">
        <v>2551</v>
      </c>
      <c r="B1210" s="3">
        <v>46213</v>
      </c>
      <c r="C1210" s="36" t="s">
        <v>2128</v>
      </c>
      <c r="D1210" s="2">
        <f>MONTH(ProductionData[[#This Row],[Month]])</f>
        <v>7</v>
      </c>
      <c r="E1210" s="2" t="s">
        <v>125</v>
      </c>
      <c r="F1210" s="2" t="s">
        <v>66</v>
      </c>
      <c r="G1210" s="2" t="s">
        <v>67</v>
      </c>
      <c r="H1210" s="2" t="s">
        <v>68</v>
      </c>
      <c r="I1210" s="2" t="s">
        <v>69</v>
      </c>
      <c r="J1210" s="2" t="s">
        <v>403</v>
      </c>
      <c r="K1210" s="2" t="s">
        <v>404</v>
      </c>
      <c r="L1210" s="2" t="s">
        <v>2552</v>
      </c>
      <c r="M1210" s="2" t="s">
        <v>73</v>
      </c>
      <c r="N1210" s="2" t="s">
        <v>74</v>
      </c>
      <c r="O1210" s="2">
        <v>16</v>
      </c>
      <c r="P1210" s="2">
        <v>15</v>
      </c>
      <c r="Q1210" s="4">
        <v>6400</v>
      </c>
      <c r="R1210" s="4">
        <v>6000</v>
      </c>
      <c r="S1210" s="4">
        <v>503</v>
      </c>
      <c r="T1210" s="19">
        <f>(ProductionData[[#This Row],[Rejected_Qty]])/ProductionData[[#This Row],[Produced_Qty]]</f>
        <v>8.3833333333333329E-2</v>
      </c>
      <c r="U1210" s="19">
        <f>ProductionData[[#This Row],[Produced_Qty]]/ProductionData[[#This Row],[Planned_Qty]]</f>
        <v>0.9375</v>
      </c>
      <c r="V1210" s="2" t="s">
        <v>2284</v>
      </c>
      <c r="W1210" s="11">
        <v>32</v>
      </c>
      <c r="X1210" s="13">
        <f>W1210/60</f>
        <v>0.53333333333333333</v>
      </c>
      <c r="Y1210" s="2" t="s">
        <v>136</v>
      </c>
      <c r="Z1210" s="2">
        <v>58</v>
      </c>
      <c r="AA1210" s="2">
        <f>ProductionData[[#This Row],[Rejected_Qty]]*ProductionData[[#This Row],[Unit_Cost_INR]]</f>
        <v>29174</v>
      </c>
      <c r="AB1210" s="4">
        <v>22111</v>
      </c>
      <c r="AC1210" s="4">
        <v>5970</v>
      </c>
      <c r="AD1210" s="4">
        <v>5970</v>
      </c>
      <c r="AE1210" s="4">
        <v>21638</v>
      </c>
      <c r="AF1210" s="4">
        <v>9000</v>
      </c>
    </row>
    <row r="1211" spans="1:32">
      <c r="A1211" s="2" t="s">
        <v>2553</v>
      </c>
      <c r="B1211" s="3">
        <v>46226</v>
      </c>
      <c r="C1211" s="36" t="s">
        <v>2128</v>
      </c>
      <c r="D1211" s="2">
        <f>MONTH(ProductionData[[#This Row],[Month]])</f>
        <v>7</v>
      </c>
      <c r="E1211" s="2" t="s">
        <v>107</v>
      </c>
      <c r="F1211" s="2" t="s">
        <v>80</v>
      </c>
      <c r="G1211" s="2" t="s">
        <v>67</v>
      </c>
      <c r="H1211" s="2" t="s">
        <v>68</v>
      </c>
      <c r="I1211" s="2" t="s">
        <v>69</v>
      </c>
      <c r="J1211" s="2" t="s">
        <v>70</v>
      </c>
      <c r="K1211" s="2" t="s">
        <v>71</v>
      </c>
      <c r="L1211" s="2" t="s">
        <v>2554</v>
      </c>
      <c r="M1211" s="2" t="s">
        <v>87</v>
      </c>
      <c r="N1211" s="2" t="s">
        <v>74</v>
      </c>
      <c r="O1211" s="2">
        <v>16</v>
      </c>
      <c r="P1211" s="2">
        <v>14</v>
      </c>
      <c r="Q1211" s="4">
        <v>7260</v>
      </c>
      <c r="R1211" s="4">
        <v>6800</v>
      </c>
      <c r="S1211" s="4">
        <v>673</v>
      </c>
      <c r="T1211" s="19">
        <f>(ProductionData[[#This Row],[Rejected_Qty]])/ProductionData[[#This Row],[Produced_Qty]]</f>
        <v>9.8970588235294116E-2</v>
      </c>
      <c r="U1211" s="19">
        <f>ProductionData[[#This Row],[Produced_Qty]]/ProductionData[[#This Row],[Planned_Qty]]</f>
        <v>0.9366391184573003</v>
      </c>
      <c r="V1211" s="2" t="s">
        <v>2284</v>
      </c>
      <c r="W1211" s="11">
        <v>34</v>
      </c>
      <c r="X1211" s="13">
        <f>W1211/60</f>
        <v>0.56666666666666665</v>
      </c>
      <c r="Y1211" s="2" t="s">
        <v>110</v>
      </c>
      <c r="Z1211" s="2">
        <v>46</v>
      </c>
      <c r="AA1211" s="2">
        <f>ProductionData[[#This Row],[Rejected_Qty]]*ProductionData[[#This Row],[Unit_Cost_INR]]</f>
        <v>30958</v>
      </c>
      <c r="AB1211" s="4">
        <v>22215</v>
      </c>
      <c r="AC1211" s="4">
        <v>6740</v>
      </c>
      <c r="AD1211" s="4">
        <v>6740</v>
      </c>
      <c r="AE1211" s="4">
        <v>21602</v>
      </c>
      <c r="AF1211" s="4">
        <v>10500</v>
      </c>
    </row>
    <row r="1212" spans="1:32">
      <c r="A1212" s="2" t="s">
        <v>2555</v>
      </c>
      <c r="B1212" s="3">
        <v>46220</v>
      </c>
      <c r="C1212" s="36" t="s">
        <v>2128</v>
      </c>
      <c r="D1212" s="2">
        <f>MONTH(ProductionData[[#This Row],[Month]])</f>
        <v>7</v>
      </c>
      <c r="E1212" s="2" t="s">
        <v>125</v>
      </c>
      <c r="F1212" s="2" t="s">
        <v>80</v>
      </c>
      <c r="G1212" s="2" t="s">
        <v>195</v>
      </c>
      <c r="H1212" s="2" t="s">
        <v>196</v>
      </c>
      <c r="I1212" s="2" t="s">
        <v>197</v>
      </c>
      <c r="J1212" s="2" t="s">
        <v>586</v>
      </c>
      <c r="K1212" s="2" t="s">
        <v>587</v>
      </c>
      <c r="L1212" s="2" t="s">
        <v>2556</v>
      </c>
      <c r="M1212" s="2" t="s">
        <v>87</v>
      </c>
      <c r="N1212" s="2" t="s">
        <v>88</v>
      </c>
      <c r="O1212" s="2">
        <v>14</v>
      </c>
      <c r="P1212" s="2">
        <v>14</v>
      </c>
      <c r="Q1212" s="4">
        <v>6420</v>
      </c>
      <c r="R1212" s="4">
        <v>6340</v>
      </c>
      <c r="S1212" s="4">
        <v>243</v>
      </c>
      <c r="T1212" s="19">
        <f>(ProductionData[[#This Row],[Rejected_Qty]])/ProductionData[[#This Row],[Produced_Qty]]</f>
        <v>3.8328075709779183E-2</v>
      </c>
      <c r="U1212" s="19">
        <f>ProductionData[[#This Row],[Produced_Qty]]/ProductionData[[#This Row],[Planned_Qty]]</f>
        <v>0.98753894080996885</v>
      </c>
      <c r="V1212" s="2" t="s">
        <v>113</v>
      </c>
      <c r="W1212" s="11">
        <v>25</v>
      </c>
      <c r="X1212" s="13">
        <f>W1212/60</f>
        <v>0.41666666666666669</v>
      </c>
      <c r="Y1212" s="2" t="s">
        <v>76</v>
      </c>
      <c r="Z1212" s="2">
        <v>51</v>
      </c>
      <c r="AA1212" s="2">
        <f>ProductionData[[#This Row],[Rejected_Qty]]*ProductionData[[#This Row],[Unit_Cost_INR]]</f>
        <v>12393</v>
      </c>
      <c r="AB1212" s="4">
        <v>20441</v>
      </c>
      <c r="AC1212" s="4">
        <v>4980</v>
      </c>
      <c r="AD1212" s="4">
        <v>4980</v>
      </c>
      <c r="AE1212" s="4">
        <v>21558</v>
      </c>
      <c r="AF1212" s="4">
        <v>9000</v>
      </c>
    </row>
    <row r="1213" spans="1:32">
      <c r="A1213" s="2" t="s">
        <v>2557</v>
      </c>
      <c r="B1213" s="3">
        <v>46220</v>
      </c>
      <c r="C1213" s="36" t="s">
        <v>2128</v>
      </c>
      <c r="D1213" s="2">
        <f>MONTH(ProductionData[[#This Row],[Month]])</f>
        <v>7</v>
      </c>
      <c r="E1213" s="2" t="s">
        <v>125</v>
      </c>
      <c r="F1213" s="2" t="s">
        <v>93</v>
      </c>
      <c r="G1213" s="2" t="s">
        <v>195</v>
      </c>
      <c r="H1213" s="2" t="s">
        <v>196</v>
      </c>
      <c r="I1213" s="2" t="s">
        <v>197</v>
      </c>
      <c r="J1213" s="2" t="s">
        <v>586</v>
      </c>
      <c r="K1213" s="2" t="s">
        <v>587</v>
      </c>
      <c r="L1213" s="2" t="s">
        <v>2558</v>
      </c>
      <c r="M1213" s="2" t="s">
        <v>133</v>
      </c>
      <c r="N1213" s="2" t="s">
        <v>88</v>
      </c>
      <c r="O1213" s="2">
        <v>14</v>
      </c>
      <c r="P1213" s="2">
        <v>14</v>
      </c>
      <c r="Q1213" s="4">
        <v>5950</v>
      </c>
      <c r="R1213" s="4">
        <v>5460</v>
      </c>
      <c r="S1213" s="4">
        <v>156</v>
      </c>
      <c r="T1213" s="19">
        <f>(ProductionData[[#This Row],[Rejected_Qty]])/ProductionData[[#This Row],[Produced_Qty]]</f>
        <v>2.8571428571428571E-2</v>
      </c>
      <c r="U1213" s="19">
        <f>ProductionData[[#This Row],[Produced_Qty]]/ProductionData[[#This Row],[Planned_Qty]]</f>
        <v>0.91764705882352937</v>
      </c>
      <c r="V1213" s="2" t="s">
        <v>89</v>
      </c>
      <c r="W1213" s="11">
        <v>50</v>
      </c>
      <c r="X1213" s="13">
        <f>W1213/60</f>
        <v>0.83333333333333337</v>
      </c>
      <c r="Y1213" s="2" t="s">
        <v>110</v>
      </c>
      <c r="Z1213" s="2">
        <v>51</v>
      </c>
      <c r="AA1213" s="2">
        <f>ProductionData[[#This Row],[Rejected_Qty]]*ProductionData[[#This Row],[Unit_Cost_INR]]</f>
        <v>7956</v>
      </c>
      <c r="AB1213" s="4">
        <v>21558</v>
      </c>
      <c r="AC1213" s="4">
        <v>5310</v>
      </c>
      <c r="AD1213" s="4">
        <v>5310</v>
      </c>
      <c r="AE1213" s="4">
        <v>21552</v>
      </c>
      <c r="AF1213" s="4">
        <v>9000</v>
      </c>
    </row>
    <row r="1214" spans="1:32">
      <c r="A1214" s="2" t="s">
        <v>2559</v>
      </c>
      <c r="B1214" s="3">
        <v>46223</v>
      </c>
      <c r="C1214" s="36" t="s">
        <v>2128</v>
      </c>
      <c r="D1214" s="2">
        <f>MONTH(ProductionData[[#This Row],[Month]])</f>
        <v>7</v>
      </c>
      <c r="E1214" s="2" t="s">
        <v>116</v>
      </c>
      <c r="F1214" s="2" t="s">
        <v>80</v>
      </c>
      <c r="G1214" s="2" t="s">
        <v>195</v>
      </c>
      <c r="H1214" s="2" t="s">
        <v>196</v>
      </c>
      <c r="I1214" s="2" t="s">
        <v>197</v>
      </c>
      <c r="J1214" s="2" t="s">
        <v>586</v>
      </c>
      <c r="K1214" s="2" t="s">
        <v>587</v>
      </c>
      <c r="L1214" s="2" t="s">
        <v>2560</v>
      </c>
      <c r="M1214" s="2" t="s">
        <v>87</v>
      </c>
      <c r="N1214" s="2" t="s">
        <v>88</v>
      </c>
      <c r="O1214" s="2">
        <v>14</v>
      </c>
      <c r="P1214" s="2">
        <v>14</v>
      </c>
      <c r="Q1214" s="4">
        <v>6250</v>
      </c>
      <c r="R1214" s="4">
        <v>5920</v>
      </c>
      <c r="S1214" s="4">
        <v>134</v>
      </c>
      <c r="T1214" s="19">
        <f>(ProductionData[[#This Row],[Rejected_Qty]])/ProductionData[[#This Row],[Produced_Qty]]</f>
        <v>2.2635135135135136E-2</v>
      </c>
      <c r="U1214" s="19">
        <f>ProductionData[[#This Row],[Produced_Qty]]/ProductionData[[#This Row],[Planned_Qty]]</f>
        <v>0.94720000000000004</v>
      </c>
      <c r="V1214" s="2" t="s">
        <v>103</v>
      </c>
      <c r="W1214" s="11">
        <v>53</v>
      </c>
      <c r="X1214" s="13">
        <f>W1214/60</f>
        <v>0.8833333333333333</v>
      </c>
      <c r="Y1214" s="2" t="s">
        <v>182</v>
      </c>
      <c r="Z1214" s="2">
        <v>51</v>
      </c>
      <c r="AA1214" s="2">
        <f>ProductionData[[#This Row],[Rejected_Qty]]*ProductionData[[#This Row],[Unit_Cost_INR]]</f>
        <v>6834</v>
      </c>
      <c r="AB1214" s="4">
        <v>21552</v>
      </c>
      <c r="AC1214" s="4">
        <v>5980</v>
      </c>
      <c r="AD1214" s="4">
        <v>5980</v>
      </c>
      <c r="AE1214" s="4">
        <v>21358</v>
      </c>
      <c r="AF1214" s="4">
        <v>9000</v>
      </c>
    </row>
    <row r="1215" spans="1:32">
      <c r="A1215" s="2" t="s">
        <v>2561</v>
      </c>
      <c r="B1215" s="3">
        <v>46228</v>
      </c>
      <c r="C1215" s="36" t="s">
        <v>2128</v>
      </c>
      <c r="D1215" s="2">
        <f>MONTH(ProductionData[[#This Row],[Month]])</f>
        <v>7</v>
      </c>
      <c r="E1215" s="2" t="s">
        <v>65</v>
      </c>
      <c r="F1215" s="2" t="s">
        <v>66</v>
      </c>
      <c r="G1215" s="2" t="s">
        <v>67</v>
      </c>
      <c r="H1215" s="2" t="s">
        <v>68</v>
      </c>
      <c r="I1215" s="2" t="s">
        <v>69</v>
      </c>
      <c r="J1215" s="2" t="s">
        <v>70</v>
      </c>
      <c r="K1215" s="2" t="s">
        <v>71</v>
      </c>
      <c r="L1215" s="2" t="s">
        <v>2562</v>
      </c>
      <c r="M1215" s="2" t="s">
        <v>73</v>
      </c>
      <c r="N1215" s="2" t="s">
        <v>88</v>
      </c>
      <c r="O1215" s="2">
        <v>16</v>
      </c>
      <c r="P1215" s="2">
        <v>15</v>
      </c>
      <c r="Q1215" s="4">
        <v>6510</v>
      </c>
      <c r="R1215" s="4">
        <v>6460</v>
      </c>
      <c r="S1215" s="4">
        <v>148</v>
      </c>
      <c r="T1215" s="19">
        <f>(ProductionData[[#This Row],[Rejected_Qty]])/ProductionData[[#This Row],[Produced_Qty]]</f>
        <v>2.2910216718266253E-2</v>
      </c>
      <c r="U1215" s="19">
        <f>ProductionData[[#This Row],[Produced_Qty]]/ProductionData[[#This Row],[Planned_Qty]]</f>
        <v>0.99231950844854067</v>
      </c>
      <c r="V1215" s="2" t="s">
        <v>75</v>
      </c>
      <c r="W1215" s="11">
        <v>0</v>
      </c>
      <c r="X1215" s="13">
        <f>W1215/60</f>
        <v>0</v>
      </c>
      <c r="Y1215" s="2" t="s">
        <v>90</v>
      </c>
      <c r="Z1215" s="2">
        <v>46</v>
      </c>
      <c r="AA1215" s="2">
        <f>ProductionData[[#This Row],[Rejected_Qty]]*ProductionData[[#This Row],[Unit_Cost_INR]]</f>
        <v>6808</v>
      </c>
      <c r="AB1215" s="4">
        <v>21602</v>
      </c>
      <c r="AC1215" s="4">
        <v>6640</v>
      </c>
      <c r="AD1215" s="4">
        <v>6640</v>
      </c>
      <c r="AE1215" s="4">
        <v>21274</v>
      </c>
      <c r="AF1215" s="4">
        <v>10500</v>
      </c>
    </row>
    <row r="1216" spans="1:32">
      <c r="A1216" s="2" t="s">
        <v>2563</v>
      </c>
      <c r="B1216" s="3">
        <v>46216</v>
      </c>
      <c r="C1216" s="36" t="s">
        <v>2128</v>
      </c>
      <c r="D1216" s="2">
        <f>MONTH(ProductionData[[#This Row],[Month]])</f>
        <v>7</v>
      </c>
      <c r="E1216" s="2" t="s">
        <v>116</v>
      </c>
      <c r="F1216" s="2" t="s">
        <v>80</v>
      </c>
      <c r="G1216" s="2" t="s">
        <v>67</v>
      </c>
      <c r="H1216" s="2" t="s">
        <v>68</v>
      </c>
      <c r="I1216" s="2" t="s">
        <v>69</v>
      </c>
      <c r="J1216" s="2" t="s">
        <v>403</v>
      </c>
      <c r="K1216" s="2" t="s">
        <v>404</v>
      </c>
      <c r="L1216" s="2" t="s">
        <v>2564</v>
      </c>
      <c r="M1216" s="2" t="s">
        <v>87</v>
      </c>
      <c r="N1216" s="2" t="s">
        <v>96</v>
      </c>
      <c r="O1216" s="2">
        <v>16</v>
      </c>
      <c r="P1216" s="2">
        <v>16</v>
      </c>
      <c r="Q1216" s="4">
        <v>6430</v>
      </c>
      <c r="R1216" s="4">
        <v>6380</v>
      </c>
      <c r="S1216" s="4">
        <v>171</v>
      </c>
      <c r="T1216" s="19">
        <f>(ProductionData[[#This Row],[Rejected_Qty]])/ProductionData[[#This Row],[Produced_Qty]]</f>
        <v>2.6802507836990595E-2</v>
      </c>
      <c r="U1216" s="19">
        <f>ProductionData[[#This Row],[Produced_Qty]]/ProductionData[[#This Row],[Planned_Qty]]</f>
        <v>0.99222395023328147</v>
      </c>
      <c r="V1216" s="2" t="s">
        <v>89</v>
      </c>
      <c r="W1216" s="11">
        <v>0</v>
      </c>
      <c r="X1216" s="13">
        <f>W1216/60</f>
        <v>0</v>
      </c>
      <c r="Y1216" s="2" t="s">
        <v>90</v>
      </c>
      <c r="Z1216" s="2">
        <v>58</v>
      </c>
      <c r="AA1216" s="2">
        <f>ProductionData[[#This Row],[Rejected_Qty]]*ProductionData[[#This Row],[Unit_Cost_INR]]</f>
        <v>9918</v>
      </c>
      <c r="AB1216" s="4">
        <v>20640</v>
      </c>
      <c r="AC1216" s="4">
        <v>5680</v>
      </c>
      <c r="AD1216" s="4">
        <v>5680</v>
      </c>
      <c r="AE1216" s="4">
        <v>21169</v>
      </c>
      <c r="AF1216" s="4">
        <v>9000</v>
      </c>
    </row>
    <row r="1217" spans="1:32">
      <c r="A1217" s="2" t="s">
        <v>2565</v>
      </c>
      <c r="B1217" s="3">
        <v>46229</v>
      </c>
      <c r="C1217" s="36" t="s">
        <v>2128</v>
      </c>
      <c r="D1217" s="2">
        <f>MONTH(ProductionData[[#This Row],[Month]])</f>
        <v>7</v>
      </c>
      <c r="E1217" s="2" t="s">
        <v>186</v>
      </c>
      <c r="F1217" s="2" t="s">
        <v>66</v>
      </c>
      <c r="G1217" s="2" t="s">
        <v>67</v>
      </c>
      <c r="H1217" s="2" t="s">
        <v>68</v>
      </c>
      <c r="I1217" s="2" t="s">
        <v>69</v>
      </c>
      <c r="J1217" s="2" t="s">
        <v>70</v>
      </c>
      <c r="K1217" s="2" t="s">
        <v>71</v>
      </c>
      <c r="L1217" s="2" t="s">
        <v>2566</v>
      </c>
      <c r="M1217" s="2" t="s">
        <v>99</v>
      </c>
      <c r="N1217" s="2" t="s">
        <v>74</v>
      </c>
      <c r="O1217" s="2">
        <v>16</v>
      </c>
      <c r="P1217" s="2">
        <v>16</v>
      </c>
      <c r="Q1217" s="4">
        <v>4630</v>
      </c>
      <c r="R1217" s="4">
        <v>4480</v>
      </c>
      <c r="S1217" s="4">
        <v>619</v>
      </c>
      <c r="T1217" s="19">
        <f>(ProductionData[[#This Row],[Rejected_Qty]])/ProductionData[[#This Row],[Produced_Qty]]</f>
        <v>0.13816964285714287</v>
      </c>
      <c r="U1217" s="19">
        <f>ProductionData[[#This Row],[Produced_Qty]]/ProductionData[[#This Row],[Planned_Qty]]</f>
        <v>0.96760259179265662</v>
      </c>
      <c r="V1217" s="2" t="s">
        <v>2284</v>
      </c>
      <c r="W1217" s="11">
        <v>0</v>
      </c>
      <c r="X1217" s="13">
        <f>W1217/60</f>
        <v>0</v>
      </c>
      <c r="Y1217" s="2" t="s">
        <v>90</v>
      </c>
      <c r="Z1217" s="2">
        <v>46</v>
      </c>
      <c r="AA1217" s="2">
        <f>ProductionData[[#This Row],[Rejected_Qty]]*ProductionData[[#This Row],[Unit_Cost_INR]]</f>
        <v>28474</v>
      </c>
      <c r="AB1217" s="4">
        <v>21274</v>
      </c>
      <c r="AC1217" s="4">
        <v>4110</v>
      </c>
      <c r="AD1217" s="4">
        <v>4110</v>
      </c>
      <c r="AE1217" s="4">
        <v>21025</v>
      </c>
      <c r="AF1217" s="4">
        <v>10500</v>
      </c>
    </row>
    <row r="1218" spans="1:32">
      <c r="A1218" s="2" t="s">
        <v>2567</v>
      </c>
      <c r="B1218" s="3">
        <v>46214</v>
      </c>
      <c r="C1218" s="36" t="s">
        <v>2128</v>
      </c>
      <c r="D1218" s="2">
        <f>MONTH(ProductionData[[#This Row],[Month]])</f>
        <v>7</v>
      </c>
      <c r="E1218" s="2" t="s">
        <v>65</v>
      </c>
      <c r="F1218" s="2" t="s">
        <v>93</v>
      </c>
      <c r="G1218" s="2" t="s">
        <v>195</v>
      </c>
      <c r="H1218" s="2" t="s">
        <v>196</v>
      </c>
      <c r="I1218" s="2" t="s">
        <v>197</v>
      </c>
      <c r="J1218" s="2" t="s">
        <v>586</v>
      </c>
      <c r="K1218" s="2" t="s">
        <v>587</v>
      </c>
      <c r="L1218" s="2" t="s">
        <v>2568</v>
      </c>
      <c r="M1218" s="2" t="s">
        <v>133</v>
      </c>
      <c r="N1218" s="2" t="s">
        <v>88</v>
      </c>
      <c r="O1218" s="2">
        <v>14</v>
      </c>
      <c r="P1218" s="2">
        <v>14</v>
      </c>
      <c r="Q1218" s="4">
        <v>5580</v>
      </c>
      <c r="R1218" s="4">
        <v>5450</v>
      </c>
      <c r="S1218" s="4">
        <v>106</v>
      </c>
      <c r="T1218" s="19">
        <f>(ProductionData[[#This Row],[Rejected_Qty]])/ProductionData[[#This Row],[Produced_Qty]]</f>
        <v>1.9449541284403668E-2</v>
      </c>
      <c r="U1218" s="19">
        <f>ProductionData[[#This Row],[Produced_Qty]]/ProductionData[[#This Row],[Planned_Qty]]</f>
        <v>0.97670250896057342</v>
      </c>
      <c r="V1218" s="2" t="s">
        <v>75</v>
      </c>
      <c r="W1218" s="11">
        <v>0</v>
      </c>
      <c r="X1218" s="13">
        <f>W1218/60</f>
        <v>0</v>
      </c>
      <c r="Y1218" s="2" t="s">
        <v>90</v>
      </c>
      <c r="Z1218" s="2">
        <v>51</v>
      </c>
      <c r="AA1218" s="2">
        <f>ProductionData[[#This Row],[Rejected_Qty]]*ProductionData[[#This Row],[Unit_Cost_INR]]</f>
        <v>5406</v>
      </c>
      <c r="AB1218" s="4">
        <v>20288</v>
      </c>
      <c r="AC1218" s="4">
        <v>4970</v>
      </c>
      <c r="AD1218" s="4">
        <v>4970</v>
      </c>
      <c r="AE1218" s="4">
        <v>20662</v>
      </c>
      <c r="AF1218" s="4">
        <v>9000</v>
      </c>
    </row>
    <row r="1219" spans="1:32">
      <c r="A1219" s="2" t="s">
        <v>2569</v>
      </c>
      <c r="B1219" s="3">
        <v>46215</v>
      </c>
      <c r="C1219" s="36" t="s">
        <v>2128</v>
      </c>
      <c r="D1219" s="2">
        <f>MONTH(ProductionData[[#This Row],[Month]])</f>
        <v>7</v>
      </c>
      <c r="E1219" s="2" t="s">
        <v>186</v>
      </c>
      <c r="F1219" s="2" t="s">
        <v>80</v>
      </c>
      <c r="G1219" s="2" t="s">
        <v>67</v>
      </c>
      <c r="H1219" s="2" t="s">
        <v>68</v>
      </c>
      <c r="I1219" s="2" t="s">
        <v>69</v>
      </c>
      <c r="J1219" s="2" t="s">
        <v>403</v>
      </c>
      <c r="K1219" s="2" t="s">
        <v>404</v>
      </c>
      <c r="L1219" s="2" t="s">
        <v>2570</v>
      </c>
      <c r="M1219" s="2" t="s">
        <v>87</v>
      </c>
      <c r="N1219" s="2" t="s">
        <v>96</v>
      </c>
      <c r="O1219" s="2">
        <v>16</v>
      </c>
      <c r="P1219" s="2">
        <v>15</v>
      </c>
      <c r="Q1219" s="4">
        <v>4010</v>
      </c>
      <c r="R1219" s="4">
        <v>4010</v>
      </c>
      <c r="S1219" s="4">
        <v>86</v>
      </c>
      <c r="T1219" s="19">
        <f>(ProductionData[[#This Row],[Rejected_Qty]])/ProductionData[[#This Row],[Produced_Qty]]</f>
        <v>2.1446384039900249E-2</v>
      </c>
      <c r="U1219" s="19">
        <f>ProductionData[[#This Row],[Produced_Qty]]/ProductionData[[#This Row],[Planned_Qty]]</f>
        <v>1</v>
      </c>
      <c r="V1219" s="2" t="s">
        <v>109</v>
      </c>
      <c r="W1219" s="11">
        <v>47</v>
      </c>
      <c r="X1219" s="13">
        <f>W1219/60</f>
        <v>0.78333333333333333</v>
      </c>
      <c r="Y1219" s="2" t="s">
        <v>136</v>
      </c>
      <c r="Z1219" s="2">
        <v>58</v>
      </c>
      <c r="AA1219" s="2">
        <f>ProductionData[[#This Row],[Rejected_Qty]]*ProductionData[[#This Row],[Unit_Cost_INR]]</f>
        <v>4988</v>
      </c>
      <c r="AB1219" s="4">
        <v>20536</v>
      </c>
      <c r="AC1219" s="4">
        <v>3820</v>
      </c>
      <c r="AD1219" s="4">
        <v>3820</v>
      </c>
      <c r="AE1219" s="4">
        <v>20640</v>
      </c>
      <c r="AF1219" s="4">
        <v>9000</v>
      </c>
    </row>
    <row r="1220" spans="1:32">
      <c r="A1220" s="2" t="s">
        <v>2571</v>
      </c>
      <c r="B1220" s="3">
        <v>46229</v>
      </c>
      <c r="C1220" s="36" t="s">
        <v>2128</v>
      </c>
      <c r="D1220" s="2">
        <f>MONTH(ProductionData[[#This Row],[Month]])</f>
        <v>7</v>
      </c>
      <c r="E1220" s="2" t="s">
        <v>186</v>
      </c>
      <c r="F1220" s="2" t="s">
        <v>80</v>
      </c>
      <c r="G1220" s="2" t="s">
        <v>67</v>
      </c>
      <c r="H1220" s="2" t="s">
        <v>68</v>
      </c>
      <c r="I1220" s="2" t="s">
        <v>69</v>
      </c>
      <c r="J1220" s="2" t="s">
        <v>70</v>
      </c>
      <c r="K1220" s="2" t="s">
        <v>71</v>
      </c>
      <c r="L1220" s="2" t="s">
        <v>2572</v>
      </c>
      <c r="M1220" s="2" t="s">
        <v>87</v>
      </c>
      <c r="N1220" s="2" t="s">
        <v>96</v>
      </c>
      <c r="O1220" s="2">
        <v>16</v>
      </c>
      <c r="P1220" s="2">
        <v>13</v>
      </c>
      <c r="Q1220" s="4">
        <v>4680</v>
      </c>
      <c r="R1220" s="4">
        <v>3820</v>
      </c>
      <c r="S1220" s="4">
        <v>70</v>
      </c>
      <c r="T1220" s="19">
        <f>(ProductionData[[#This Row],[Rejected_Qty]])/ProductionData[[#This Row],[Produced_Qty]]</f>
        <v>1.832460732984293E-2</v>
      </c>
      <c r="U1220" s="19">
        <f>ProductionData[[#This Row],[Produced_Qty]]/ProductionData[[#This Row],[Planned_Qty]]</f>
        <v>0.81623931623931623</v>
      </c>
      <c r="V1220" s="2" t="s">
        <v>113</v>
      </c>
      <c r="W1220" s="11">
        <v>0</v>
      </c>
      <c r="X1220" s="13">
        <f>W1220/60</f>
        <v>0</v>
      </c>
      <c r="Y1220" s="2" t="s">
        <v>90</v>
      </c>
      <c r="Z1220" s="2">
        <v>46</v>
      </c>
      <c r="AA1220" s="2">
        <f>ProductionData[[#This Row],[Rejected_Qty]]*ProductionData[[#This Row],[Unit_Cost_INR]]</f>
        <v>3220</v>
      </c>
      <c r="AB1220" s="4">
        <v>21025</v>
      </c>
      <c r="AC1220" s="4">
        <v>4220</v>
      </c>
      <c r="AD1220" s="4">
        <v>4220</v>
      </c>
      <c r="AE1220" s="4">
        <v>20555</v>
      </c>
      <c r="AF1220" s="4">
        <v>10500</v>
      </c>
    </row>
    <row r="1221" spans="1:32">
      <c r="A1221" s="2" t="s">
        <v>2573</v>
      </c>
      <c r="B1221" s="3">
        <v>46216</v>
      </c>
      <c r="C1221" s="36" t="s">
        <v>2128</v>
      </c>
      <c r="D1221" s="2">
        <f>MONTH(ProductionData[[#This Row],[Month]])</f>
        <v>7</v>
      </c>
      <c r="E1221" s="2" t="s">
        <v>116</v>
      </c>
      <c r="F1221" s="2" t="s">
        <v>80</v>
      </c>
      <c r="G1221" s="2" t="s">
        <v>195</v>
      </c>
      <c r="H1221" s="2" t="s">
        <v>196</v>
      </c>
      <c r="I1221" s="2" t="s">
        <v>197</v>
      </c>
      <c r="J1221" s="2" t="s">
        <v>586</v>
      </c>
      <c r="K1221" s="2" t="s">
        <v>587</v>
      </c>
      <c r="L1221" s="2" t="s">
        <v>2574</v>
      </c>
      <c r="M1221" s="2" t="s">
        <v>102</v>
      </c>
      <c r="N1221" s="2" t="s">
        <v>96</v>
      </c>
      <c r="O1221" s="2">
        <v>14</v>
      </c>
      <c r="P1221" s="2">
        <v>13</v>
      </c>
      <c r="Q1221" s="4">
        <v>6170</v>
      </c>
      <c r="R1221" s="4">
        <v>5970</v>
      </c>
      <c r="S1221" s="4">
        <v>107</v>
      </c>
      <c r="T1221" s="19">
        <f>(ProductionData[[#This Row],[Rejected_Qty]])/ProductionData[[#This Row],[Produced_Qty]]</f>
        <v>1.7922948073701841E-2</v>
      </c>
      <c r="U1221" s="19">
        <f>ProductionData[[#This Row],[Produced_Qty]]/ProductionData[[#This Row],[Planned_Qty]]</f>
        <v>0.96758508914100483</v>
      </c>
      <c r="V1221" s="2" t="s">
        <v>109</v>
      </c>
      <c r="W1221" s="11">
        <v>0</v>
      </c>
      <c r="X1221" s="13">
        <f>W1221/60</f>
        <v>0</v>
      </c>
      <c r="Y1221" s="2" t="s">
        <v>90</v>
      </c>
      <c r="Z1221" s="2">
        <v>51</v>
      </c>
      <c r="AA1221" s="2">
        <f>ProductionData[[#This Row],[Rejected_Qty]]*ProductionData[[#This Row],[Unit_Cost_INR]]</f>
        <v>5457</v>
      </c>
      <c r="AB1221" s="4">
        <v>20662</v>
      </c>
      <c r="AC1221" s="4">
        <v>5980</v>
      </c>
      <c r="AD1221" s="4">
        <v>5980</v>
      </c>
      <c r="AE1221" s="4">
        <v>20545</v>
      </c>
      <c r="AF1221" s="4">
        <v>9000</v>
      </c>
    </row>
    <row r="1222" spans="1:32">
      <c r="A1222" s="2" t="s">
        <v>2575</v>
      </c>
      <c r="B1222" s="3">
        <v>46214</v>
      </c>
      <c r="C1222" s="36" t="s">
        <v>2128</v>
      </c>
      <c r="D1222" s="2">
        <f>MONTH(ProductionData[[#This Row],[Month]])</f>
        <v>7</v>
      </c>
      <c r="E1222" s="2" t="s">
        <v>65</v>
      </c>
      <c r="F1222" s="2" t="s">
        <v>93</v>
      </c>
      <c r="G1222" s="2" t="s">
        <v>67</v>
      </c>
      <c r="H1222" s="2" t="s">
        <v>68</v>
      </c>
      <c r="I1222" s="2" t="s">
        <v>69</v>
      </c>
      <c r="J1222" s="2" t="s">
        <v>403</v>
      </c>
      <c r="K1222" s="2" t="s">
        <v>404</v>
      </c>
      <c r="L1222" s="2" t="s">
        <v>2576</v>
      </c>
      <c r="M1222" s="2" t="s">
        <v>95</v>
      </c>
      <c r="N1222" s="2" t="s">
        <v>74</v>
      </c>
      <c r="O1222" s="2">
        <v>16</v>
      </c>
      <c r="P1222" s="2">
        <v>15</v>
      </c>
      <c r="Q1222" s="4">
        <v>5900</v>
      </c>
      <c r="R1222" s="4">
        <v>5440</v>
      </c>
      <c r="S1222" s="4">
        <v>692</v>
      </c>
      <c r="T1222" s="19">
        <f>(ProductionData[[#This Row],[Rejected_Qty]])/ProductionData[[#This Row],[Produced_Qty]]</f>
        <v>0.12720588235294117</v>
      </c>
      <c r="U1222" s="19">
        <f>ProductionData[[#This Row],[Produced_Qty]]/ProductionData[[#This Row],[Planned_Qty]]</f>
        <v>0.92203389830508475</v>
      </c>
      <c r="V1222" s="2" t="s">
        <v>2284</v>
      </c>
      <c r="W1222" s="11">
        <v>70</v>
      </c>
      <c r="X1222" s="13">
        <f>W1222/60</f>
        <v>1.1666666666666667</v>
      </c>
      <c r="Y1222" s="2" t="s">
        <v>136</v>
      </c>
      <c r="Z1222" s="2">
        <v>58</v>
      </c>
      <c r="AA1222" s="2">
        <f>ProductionData[[#This Row],[Rejected_Qty]]*ProductionData[[#This Row],[Unit_Cost_INR]]</f>
        <v>40136</v>
      </c>
      <c r="AB1222" s="4">
        <v>21638</v>
      </c>
      <c r="AC1222" s="4">
        <v>5850</v>
      </c>
      <c r="AD1222" s="4">
        <v>5850</v>
      </c>
      <c r="AE1222" s="4">
        <v>20536</v>
      </c>
      <c r="AF1222" s="4">
        <v>9000</v>
      </c>
    </row>
    <row r="1223" spans="1:32">
      <c r="A1223" s="2" t="s">
        <v>2577</v>
      </c>
      <c r="B1223" s="3">
        <v>46213</v>
      </c>
      <c r="C1223" s="36" t="s">
        <v>2128</v>
      </c>
      <c r="D1223" s="2">
        <f>MONTH(ProductionData[[#This Row],[Month]])</f>
        <v>7</v>
      </c>
      <c r="E1223" s="2" t="s">
        <v>125</v>
      </c>
      <c r="F1223" s="2" t="s">
        <v>80</v>
      </c>
      <c r="G1223" s="2" t="s">
        <v>195</v>
      </c>
      <c r="H1223" s="2" t="s">
        <v>196</v>
      </c>
      <c r="I1223" s="2" t="s">
        <v>197</v>
      </c>
      <c r="J1223" s="2" t="s">
        <v>586</v>
      </c>
      <c r="K1223" s="2" t="s">
        <v>587</v>
      </c>
      <c r="L1223" s="2" t="s">
        <v>2578</v>
      </c>
      <c r="M1223" s="2" t="s">
        <v>102</v>
      </c>
      <c r="N1223" s="2" t="s">
        <v>96</v>
      </c>
      <c r="O1223" s="2">
        <v>14</v>
      </c>
      <c r="P1223" s="2">
        <v>13</v>
      </c>
      <c r="Q1223" s="4">
        <v>5650</v>
      </c>
      <c r="R1223" s="4">
        <v>5390</v>
      </c>
      <c r="S1223" s="4">
        <v>140</v>
      </c>
      <c r="T1223" s="19">
        <f>(ProductionData[[#This Row],[Rejected_Qty]])/ProductionData[[#This Row],[Produced_Qty]]</f>
        <v>2.5974025974025976E-2</v>
      </c>
      <c r="U1223" s="19">
        <f>ProductionData[[#This Row],[Produced_Qty]]/ProductionData[[#This Row],[Planned_Qty]]</f>
        <v>0.95398230088495573</v>
      </c>
      <c r="V1223" s="2" t="s">
        <v>89</v>
      </c>
      <c r="W1223" s="11">
        <v>0</v>
      </c>
      <c r="X1223" s="13">
        <f>W1223/60</f>
        <v>0</v>
      </c>
      <c r="Y1223" s="2" t="s">
        <v>90</v>
      </c>
      <c r="Z1223" s="2">
        <v>51</v>
      </c>
      <c r="AA1223" s="2">
        <f>ProductionData[[#This Row],[Rejected_Qty]]*ProductionData[[#This Row],[Unit_Cost_INR]]</f>
        <v>7140</v>
      </c>
      <c r="AB1223" s="4">
        <v>19990</v>
      </c>
      <c r="AC1223" s="4">
        <v>4780</v>
      </c>
      <c r="AD1223" s="4">
        <v>4780</v>
      </c>
      <c r="AE1223" s="4">
        <v>20460</v>
      </c>
      <c r="AF1223" s="4">
        <v>9000</v>
      </c>
    </row>
    <row r="1224" spans="1:32">
      <c r="A1224" s="2" t="s">
        <v>2579</v>
      </c>
      <c r="B1224" s="3">
        <v>46216</v>
      </c>
      <c r="C1224" s="36" t="s">
        <v>2128</v>
      </c>
      <c r="D1224" s="2">
        <f>MONTH(ProductionData[[#This Row],[Month]])</f>
        <v>7</v>
      </c>
      <c r="E1224" s="2" t="s">
        <v>116</v>
      </c>
      <c r="F1224" s="2" t="s">
        <v>93</v>
      </c>
      <c r="G1224" s="2" t="s">
        <v>195</v>
      </c>
      <c r="H1224" s="2" t="s">
        <v>196</v>
      </c>
      <c r="I1224" s="2" t="s">
        <v>197</v>
      </c>
      <c r="J1224" s="2" t="s">
        <v>586</v>
      </c>
      <c r="K1224" s="2" t="s">
        <v>587</v>
      </c>
      <c r="L1224" s="2" t="s">
        <v>2580</v>
      </c>
      <c r="M1224" s="2" t="s">
        <v>133</v>
      </c>
      <c r="N1224" s="2" t="s">
        <v>96</v>
      </c>
      <c r="O1224" s="2">
        <v>14</v>
      </c>
      <c r="P1224" s="2">
        <v>12</v>
      </c>
      <c r="Q1224" s="4">
        <v>5750</v>
      </c>
      <c r="R1224" s="4">
        <v>5320</v>
      </c>
      <c r="S1224" s="4">
        <v>94</v>
      </c>
      <c r="T1224" s="19">
        <f>(ProductionData[[#This Row],[Rejected_Qty]])/ProductionData[[#This Row],[Produced_Qty]]</f>
        <v>1.7669172932330827E-2</v>
      </c>
      <c r="U1224" s="19">
        <f>ProductionData[[#This Row],[Produced_Qty]]/ProductionData[[#This Row],[Planned_Qty]]</f>
        <v>0.92521739130434788</v>
      </c>
      <c r="V1224" s="2" t="s">
        <v>103</v>
      </c>
      <c r="W1224" s="11">
        <v>72</v>
      </c>
      <c r="X1224" s="13">
        <f>W1224/60</f>
        <v>1.2</v>
      </c>
      <c r="Y1224" s="2" t="s">
        <v>76</v>
      </c>
      <c r="Z1224" s="2">
        <v>51</v>
      </c>
      <c r="AA1224" s="2">
        <f>ProductionData[[#This Row],[Rejected_Qty]]*ProductionData[[#This Row],[Unit_Cost_INR]]</f>
        <v>4794</v>
      </c>
      <c r="AB1224" s="4">
        <v>20545</v>
      </c>
      <c r="AC1224" s="4">
        <v>5330</v>
      </c>
      <c r="AD1224" s="4">
        <v>5330</v>
      </c>
      <c r="AE1224" s="4">
        <v>20441</v>
      </c>
      <c r="AF1224" s="4">
        <v>9000</v>
      </c>
    </row>
    <row r="1225" spans="1:32">
      <c r="A1225" s="2" t="s">
        <v>2581</v>
      </c>
      <c r="B1225" s="3">
        <v>46217</v>
      </c>
      <c r="C1225" s="36" t="s">
        <v>2128</v>
      </c>
      <c r="D1225" s="2">
        <f>MONTH(ProductionData[[#This Row],[Month]])</f>
        <v>7</v>
      </c>
      <c r="E1225" s="2" t="s">
        <v>92</v>
      </c>
      <c r="F1225" s="2" t="s">
        <v>66</v>
      </c>
      <c r="G1225" s="2" t="s">
        <v>67</v>
      </c>
      <c r="H1225" s="2" t="s">
        <v>68</v>
      </c>
      <c r="I1225" s="2" t="s">
        <v>69</v>
      </c>
      <c r="J1225" s="2" t="s">
        <v>403</v>
      </c>
      <c r="K1225" s="2" t="s">
        <v>404</v>
      </c>
      <c r="L1225" s="2" t="s">
        <v>2582</v>
      </c>
      <c r="M1225" s="2" t="s">
        <v>99</v>
      </c>
      <c r="N1225" s="2" t="s">
        <v>96</v>
      </c>
      <c r="O1225" s="2">
        <v>16</v>
      </c>
      <c r="P1225" s="2">
        <v>15</v>
      </c>
      <c r="Q1225" s="4">
        <v>6360</v>
      </c>
      <c r="R1225" s="4">
        <v>5990</v>
      </c>
      <c r="S1225" s="4">
        <v>152</v>
      </c>
      <c r="T1225" s="19">
        <f>(ProductionData[[#This Row],[Rejected_Qty]])/ProductionData[[#This Row],[Produced_Qty]]</f>
        <v>2.5375626043405677E-2</v>
      </c>
      <c r="U1225" s="19">
        <f>ProductionData[[#This Row],[Produced_Qty]]/ProductionData[[#This Row],[Planned_Qty]]</f>
        <v>0.94182389937106914</v>
      </c>
      <c r="V1225" s="2" t="s">
        <v>89</v>
      </c>
      <c r="W1225" s="11">
        <v>16</v>
      </c>
      <c r="X1225" s="13">
        <f>W1225/60</f>
        <v>0.26666666666666666</v>
      </c>
      <c r="Y1225" s="2" t="s">
        <v>110</v>
      </c>
      <c r="Z1225" s="2">
        <v>58</v>
      </c>
      <c r="AA1225" s="2">
        <f>ProductionData[[#This Row],[Rejected_Qty]]*ProductionData[[#This Row],[Unit_Cost_INR]]</f>
        <v>8816</v>
      </c>
      <c r="AB1225" s="4">
        <v>20333</v>
      </c>
      <c r="AC1225" s="4">
        <v>5780</v>
      </c>
      <c r="AD1225" s="4">
        <v>5780</v>
      </c>
      <c r="AE1225" s="4">
        <v>20391</v>
      </c>
      <c r="AF1225" s="4">
        <v>9000</v>
      </c>
    </row>
    <row r="1226" spans="1:32">
      <c r="A1226" s="2" t="s">
        <v>2583</v>
      </c>
      <c r="B1226" s="3">
        <v>46212</v>
      </c>
      <c r="C1226" s="36" t="s">
        <v>2128</v>
      </c>
      <c r="D1226" s="2">
        <f>MONTH(ProductionData[[#This Row],[Month]])</f>
        <v>7</v>
      </c>
      <c r="E1226" s="2" t="s">
        <v>107</v>
      </c>
      <c r="F1226" s="2" t="s">
        <v>80</v>
      </c>
      <c r="G1226" s="2" t="s">
        <v>195</v>
      </c>
      <c r="H1226" s="2" t="s">
        <v>196</v>
      </c>
      <c r="I1226" s="2" t="s">
        <v>197</v>
      </c>
      <c r="J1226" s="2" t="s">
        <v>586</v>
      </c>
      <c r="K1226" s="2" t="s">
        <v>587</v>
      </c>
      <c r="L1226" s="2" t="s">
        <v>2584</v>
      </c>
      <c r="M1226" s="2" t="s">
        <v>102</v>
      </c>
      <c r="N1226" s="2" t="s">
        <v>88</v>
      </c>
      <c r="O1226" s="2">
        <v>14</v>
      </c>
      <c r="P1226" s="2">
        <v>13</v>
      </c>
      <c r="Q1226" s="4">
        <v>6150</v>
      </c>
      <c r="R1226" s="4">
        <v>5880</v>
      </c>
      <c r="S1226" s="4">
        <v>141</v>
      </c>
      <c r="T1226" s="19">
        <f>(ProductionData[[#This Row],[Rejected_Qty]])/ProductionData[[#This Row],[Produced_Qty]]</f>
        <v>2.3979591836734693E-2</v>
      </c>
      <c r="U1226" s="19">
        <f>ProductionData[[#This Row],[Produced_Qty]]/ProductionData[[#This Row],[Planned_Qty]]</f>
        <v>0.95609756097560972</v>
      </c>
      <c r="V1226" s="2" t="s">
        <v>75</v>
      </c>
      <c r="W1226" s="11">
        <v>33</v>
      </c>
      <c r="X1226" s="13">
        <f>W1226/60</f>
        <v>0.55000000000000004</v>
      </c>
      <c r="Y1226" s="2" t="s">
        <v>114</v>
      </c>
      <c r="Z1226" s="2">
        <v>51</v>
      </c>
      <c r="AA1226" s="2">
        <f>ProductionData[[#This Row],[Rejected_Qty]]*ProductionData[[#This Row],[Unit_Cost_INR]]</f>
        <v>7191</v>
      </c>
      <c r="AB1226" s="4">
        <v>20130</v>
      </c>
      <c r="AC1226" s="4">
        <v>5530</v>
      </c>
      <c r="AD1226" s="4">
        <v>5530</v>
      </c>
      <c r="AE1226" s="4">
        <v>20339</v>
      </c>
      <c r="AF1226" s="4">
        <v>9000</v>
      </c>
    </row>
    <row r="1227" spans="1:32">
      <c r="A1227" s="2" t="s">
        <v>2585</v>
      </c>
      <c r="B1227" s="3">
        <v>46216</v>
      </c>
      <c r="C1227" s="36" t="s">
        <v>2128</v>
      </c>
      <c r="D1227" s="2">
        <f>MONTH(ProductionData[[#This Row],[Month]])</f>
        <v>7</v>
      </c>
      <c r="E1227" s="2" t="s">
        <v>116</v>
      </c>
      <c r="F1227" s="2" t="s">
        <v>93</v>
      </c>
      <c r="G1227" s="2" t="s">
        <v>67</v>
      </c>
      <c r="H1227" s="2" t="s">
        <v>68</v>
      </c>
      <c r="I1227" s="2" t="s">
        <v>69</v>
      </c>
      <c r="J1227" s="2" t="s">
        <v>403</v>
      </c>
      <c r="K1227" s="2" t="s">
        <v>404</v>
      </c>
      <c r="L1227" s="2" t="s">
        <v>2586</v>
      </c>
      <c r="M1227" s="2" t="s">
        <v>95</v>
      </c>
      <c r="N1227" s="2" t="s">
        <v>74</v>
      </c>
      <c r="O1227" s="2">
        <v>16</v>
      </c>
      <c r="P1227" s="2">
        <v>14</v>
      </c>
      <c r="Q1227" s="4">
        <v>5420</v>
      </c>
      <c r="R1227" s="4">
        <v>4970</v>
      </c>
      <c r="S1227" s="4">
        <v>466</v>
      </c>
      <c r="T1227" s="19">
        <f>(ProductionData[[#This Row],[Rejected_Qty]])/ProductionData[[#This Row],[Produced_Qty]]</f>
        <v>9.3762575452716296E-2</v>
      </c>
      <c r="U1227" s="19">
        <f>ProductionData[[#This Row],[Produced_Qty]]/ProductionData[[#This Row],[Planned_Qty]]</f>
        <v>0.91697416974169743</v>
      </c>
      <c r="V1227" s="2" t="s">
        <v>2284</v>
      </c>
      <c r="W1227" s="11">
        <v>69</v>
      </c>
      <c r="X1227" s="13">
        <f>W1227/60</f>
        <v>1.1499999999999999</v>
      </c>
      <c r="Y1227" s="2" t="s">
        <v>136</v>
      </c>
      <c r="Z1227" s="2">
        <v>58</v>
      </c>
      <c r="AA1227" s="2">
        <f>ProductionData[[#This Row],[Rejected_Qty]]*ProductionData[[#This Row],[Unit_Cost_INR]]</f>
        <v>27028</v>
      </c>
      <c r="AB1227" s="4">
        <v>21169</v>
      </c>
      <c r="AC1227" s="4">
        <v>5340</v>
      </c>
      <c r="AD1227" s="4">
        <v>5340</v>
      </c>
      <c r="AE1227" s="4">
        <v>20333</v>
      </c>
      <c r="AF1227" s="4">
        <v>9000</v>
      </c>
    </row>
    <row r="1228" spans="1:32">
      <c r="A1228" s="2" t="s">
        <v>2587</v>
      </c>
      <c r="B1228" s="3">
        <v>46214</v>
      </c>
      <c r="C1228" s="36" t="s">
        <v>2128</v>
      </c>
      <c r="D1228" s="2">
        <f>MONTH(ProductionData[[#This Row],[Month]])</f>
        <v>7</v>
      </c>
      <c r="E1228" s="2" t="s">
        <v>65</v>
      </c>
      <c r="F1228" s="2" t="s">
        <v>80</v>
      </c>
      <c r="G1228" s="2" t="s">
        <v>195</v>
      </c>
      <c r="H1228" s="2" t="s">
        <v>196</v>
      </c>
      <c r="I1228" s="2" t="s">
        <v>197</v>
      </c>
      <c r="J1228" s="2" t="s">
        <v>586</v>
      </c>
      <c r="K1228" s="2" t="s">
        <v>587</v>
      </c>
      <c r="L1228" s="2" t="s">
        <v>2588</v>
      </c>
      <c r="M1228" s="2" t="s">
        <v>87</v>
      </c>
      <c r="N1228" s="2" t="s">
        <v>88</v>
      </c>
      <c r="O1228" s="2">
        <v>14</v>
      </c>
      <c r="P1228" s="2">
        <v>13</v>
      </c>
      <c r="Q1228" s="4">
        <v>5530</v>
      </c>
      <c r="R1228" s="4">
        <v>5330</v>
      </c>
      <c r="S1228" s="4">
        <v>177</v>
      </c>
      <c r="T1228" s="19">
        <f>(ProductionData[[#This Row],[Rejected_Qty]])/ProductionData[[#This Row],[Produced_Qty]]</f>
        <v>3.3208255159474669E-2</v>
      </c>
      <c r="U1228" s="19">
        <f>ProductionData[[#This Row],[Produced_Qty]]/ProductionData[[#This Row],[Planned_Qty]]</f>
        <v>0.96383363471971062</v>
      </c>
      <c r="V1228" s="2" t="s">
        <v>89</v>
      </c>
      <c r="W1228" s="11">
        <v>0</v>
      </c>
      <c r="X1228" s="13">
        <f>W1228/60</f>
        <v>0</v>
      </c>
      <c r="Y1228" s="2" t="s">
        <v>90</v>
      </c>
      <c r="Z1228" s="2">
        <v>51</v>
      </c>
      <c r="AA1228" s="2">
        <f>ProductionData[[#This Row],[Rejected_Qty]]*ProductionData[[#This Row],[Unit_Cost_INR]]</f>
        <v>9027</v>
      </c>
      <c r="AB1228" s="4">
        <v>19995</v>
      </c>
      <c r="AC1228" s="4">
        <v>4860</v>
      </c>
      <c r="AD1228" s="4">
        <v>4860</v>
      </c>
      <c r="AE1228" s="4">
        <v>20288</v>
      </c>
      <c r="AF1228" s="4">
        <v>9000</v>
      </c>
    </row>
    <row r="1229" spans="1:32">
      <c r="A1229" s="2" t="s">
        <v>2589</v>
      </c>
      <c r="B1229" s="3">
        <v>46212</v>
      </c>
      <c r="C1229" s="36" t="s">
        <v>2128</v>
      </c>
      <c r="D1229" s="2">
        <f>MONTH(ProductionData[[#This Row],[Month]])</f>
        <v>7</v>
      </c>
      <c r="E1229" s="2" t="s">
        <v>107</v>
      </c>
      <c r="F1229" s="2" t="s">
        <v>93</v>
      </c>
      <c r="G1229" s="2" t="s">
        <v>195</v>
      </c>
      <c r="H1229" s="2" t="s">
        <v>196</v>
      </c>
      <c r="I1229" s="2" t="s">
        <v>197</v>
      </c>
      <c r="J1229" s="2" t="s">
        <v>586</v>
      </c>
      <c r="K1229" s="2" t="s">
        <v>587</v>
      </c>
      <c r="L1229" s="2" t="s">
        <v>2590</v>
      </c>
      <c r="M1229" s="2" t="s">
        <v>95</v>
      </c>
      <c r="N1229" s="2" t="s">
        <v>96</v>
      </c>
      <c r="O1229" s="2">
        <v>14</v>
      </c>
      <c r="P1229" s="2">
        <v>12</v>
      </c>
      <c r="Q1229" s="4">
        <v>6090</v>
      </c>
      <c r="R1229" s="4">
        <v>5570</v>
      </c>
      <c r="S1229" s="4">
        <v>141</v>
      </c>
      <c r="T1229" s="19">
        <f>(ProductionData[[#This Row],[Rejected_Qty]])/ProductionData[[#This Row],[Produced_Qty]]</f>
        <v>2.5314183123877919E-2</v>
      </c>
      <c r="U1229" s="19">
        <f>ProductionData[[#This Row],[Produced_Qty]]/ProductionData[[#This Row],[Planned_Qty]]</f>
        <v>0.91461412151067323</v>
      </c>
      <c r="V1229" s="2" t="s">
        <v>75</v>
      </c>
      <c r="W1229" s="11">
        <v>0</v>
      </c>
      <c r="X1229" s="13">
        <f>W1229/60</f>
        <v>0</v>
      </c>
      <c r="Y1229" s="2" t="s">
        <v>90</v>
      </c>
      <c r="Z1229" s="2">
        <v>51</v>
      </c>
      <c r="AA1229" s="2">
        <f>ProductionData[[#This Row],[Rejected_Qty]]*ProductionData[[#This Row],[Unit_Cost_INR]]</f>
        <v>7191</v>
      </c>
      <c r="AB1229" s="4">
        <v>20339</v>
      </c>
      <c r="AC1229" s="4">
        <v>5560</v>
      </c>
      <c r="AD1229" s="4">
        <v>5560</v>
      </c>
      <c r="AE1229" s="4">
        <v>20208</v>
      </c>
      <c r="AF1229" s="4">
        <v>9000</v>
      </c>
    </row>
    <row r="1230" spans="1:32">
      <c r="A1230" s="2" t="s">
        <v>2591</v>
      </c>
      <c r="B1230" s="3">
        <v>46210</v>
      </c>
      <c r="C1230" s="36" t="s">
        <v>2128</v>
      </c>
      <c r="D1230" s="2">
        <f>MONTH(ProductionData[[#This Row],[Month]])</f>
        <v>7</v>
      </c>
      <c r="E1230" s="2" t="s">
        <v>92</v>
      </c>
      <c r="F1230" s="2" t="s">
        <v>80</v>
      </c>
      <c r="G1230" s="2" t="s">
        <v>195</v>
      </c>
      <c r="H1230" s="2" t="s">
        <v>196</v>
      </c>
      <c r="I1230" s="2" t="s">
        <v>197</v>
      </c>
      <c r="J1230" s="2" t="s">
        <v>586</v>
      </c>
      <c r="K1230" s="2" t="s">
        <v>587</v>
      </c>
      <c r="L1230" s="2" t="s">
        <v>2592</v>
      </c>
      <c r="M1230" s="2" t="s">
        <v>87</v>
      </c>
      <c r="N1230" s="2" t="s">
        <v>88</v>
      </c>
      <c r="O1230" s="2">
        <v>14</v>
      </c>
      <c r="P1230" s="2">
        <v>13</v>
      </c>
      <c r="Q1230" s="4">
        <v>6070</v>
      </c>
      <c r="R1230" s="4">
        <v>5830</v>
      </c>
      <c r="S1230" s="4">
        <v>144</v>
      </c>
      <c r="T1230" s="19">
        <f>(ProductionData[[#This Row],[Rejected_Qty]])/ProductionData[[#This Row],[Produced_Qty]]</f>
        <v>2.4699828473413378E-2</v>
      </c>
      <c r="U1230" s="19">
        <f>ProductionData[[#This Row],[Produced_Qty]]/ProductionData[[#This Row],[Planned_Qty]]</f>
        <v>0.96046128500823724</v>
      </c>
      <c r="V1230" s="2" t="s">
        <v>113</v>
      </c>
      <c r="W1230" s="11">
        <v>26</v>
      </c>
      <c r="X1230" s="13">
        <f>W1230/60</f>
        <v>0.43333333333333335</v>
      </c>
      <c r="Y1230" s="2" t="s">
        <v>76</v>
      </c>
      <c r="Z1230" s="2">
        <v>51</v>
      </c>
      <c r="AA1230" s="2">
        <f>ProductionData[[#This Row],[Rejected_Qty]]*ProductionData[[#This Row],[Unit_Cost_INR]]</f>
        <v>7344</v>
      </c>
      <c r="AB1230" s="4">
        <v>19624</v>
      </c>
      <c r="AC1230" s="4">
        <v>5180</v>
      </c>
      <c r="AD1230" s="4">
        <v>5180</v>
      </c>
      <c r="AE1230" s="4">
        <v>20130</v>
      </c>
      <c r="AF1230" s="4">
        <v>9000</v>
      </c>
    </row>
    <row r="1231" spans="1:32">
      <c r="A1231" s="2" t="s">
        <v>2593</v>
      </c>
      <c r="B1231" s="3">
        <v>46213</v>
      </c>
      <c r="C1231" s="36" t="s">
        <v>2128</v>
      </c>
      <c r="D1231" s="2">
        <f>MONTH(ProductionData[[#This Row],[Month]])</f>
        <v>7</v>
      </c>
      <c r="E1231" s="2" t="s">
        <v>125</v>
      </c>
      <c r="F1231" s="2" t="s">
        <v>93</v>
      </c>
      <c r="G1231" s="2" t="s">
        <v>195</v>
      </c>
      <c r="H1231" s="2" t="s">
        <v>196</v>
      </c>
      <c r="I1231" s="2" t="s">
        <v>197</v>
      </c>
      <c r="J1231" s="2" t="s">
        <v>586</v>
      </c>
      <c r="K1231" s="2" t="s">
        <v>587</v>
      </c>
      <c r="L1231" s="2" t="s">
        <v>2594</v>
      </c>
      <c r="M1231" s="2" t="s">
        <v>95</v>
      </c>
      <c r="N1231" s="2" t="s">
        <v>88</v>
      </c>
      <c r="O1231" s="2">
        <v>14</v>
      </c>
      <c r="P1231" s="2">
        <v>13</v>
      </c>
      <c r="Q1231" s="4">
        <v>5330</v>
      </c>
      <c r="R1231" s="4">
        <v>5200</v>
      </c>
      <c r="S1231" s="4">
        <v>175</v>
      </c>
      <c r="T1231" s="19">
        <f>(ProductionData[[#This Row],[Rejected_Qty]])/ProductionData[[#This Row],[Produced_Qty]]</f>
        <v>3.3653846153846152E-2</v>
      </c>
      <c r="U1231" s="19">
        <f>ProductionData[[#This Row],[Produced_Qty]]/ProductionData[[#This Row],[Planned_Qty]]</f>
        <v>0.97560975609756095</v>
      </c>
      <c r="V1231" s="2" t="s">
        <v>103</v>
      </c>
      <c r="W1231" s="11">
        <v>21</v>
      </c>
      <c r="X1231" s="13">
        <f>W1231/60</f>
        <v>0.35</v>
      </c>
      <c r="Y1231" s="2" t="s">
        <v>136</v>
      </c>
      <c r="Z1231" s="2">
        <v>51</v>
      </c>
      <c r="AA1231" s="2">
        <f>ProductionData[[#This Row],[Rejected_Qty]]*ProductionData[[#This Row],[Unit_Cost_INR]]</f>
        <v>8925</v>
      </c>
      <c r="AB1231" s="4">
        <v>20460</v>
      </c>
      <c r="AC1231" s="4">
        <v>5490</v>
      </c>
      <c r="AD1231" s="4">
        <v>5490</v>
      </c>
      <c r="AE1231" s="4">
        <v>19995</v>
      </c>
      <c r="AF1231" s="4">
        <v>9000</v>
      </c>
    </row>
    <row r="1232" spans="1:32">
      <c r="A1232" s="2" t="s">
        <v>2595</v>
      </c>
      <c r="B1232" s="3">
        <v>46213</v>
      </c>
      <c r="C1232" s="36" t="s">
        <v>2128</v>
      </c>
      <c r="D1232" s="2">
        <f>MONTH(ProductionData[[#This Row],[Month]])</f>
        <v>7</v>
      </c>
      <c r="E1232" s="2" t="s">
        <v>125</v>
      </c>
      <c r="F1232" s="2" t="s">
        <v>66</v>
      </c>
      <c r="G1232" s="2" t="s">
        <v>195</v>
      </c>
      <c r="H1232" s="2" t="s">
        <v>196</v>
      </c>
      <c r="I1232" s="2" t="s">
        <v>197</v>
      </c>
      <c r="J1232" s="2" t="s">
        <v>586</v>
      </c>
      <c r="K1232" s="2" t="s">
        <v>587</v>
      </c>
      <c r="L1232" s="2" t="s">
        <v>2596</v>
      </c>
      <c r="M1232" s="2" t="s">
        <v>73</v>
      </c>
      <c r="N1232" s="2" t="s">
        <v>96</v>
      </c>
      <c r="O1232" s="2">
        <v>14</v>
      </c>
      <c r="P1232" s="2">
        <v>14</v>
      </c>
      <c r="Q1232" s="4">
        <v>5870</v>
      </c>
      <c r="R1232" s="4">
        <v>5470</v>
      </c>
      <c r="S1232" s="4">
        <v>128</v>
      </c>
      <c r="T1232" s="19">
        <f>(ProductionData[[#This Row],[Rejected_Qty]])/ProductionData[[#This Row],[Produced_Qty]]</f>
        <v>2.3400365630712981E-2</v>
      </c>
      <c r="U1232" s="19">
        <f>ProductionData[[#This Row],[Produced_Qty]]/ProductionData[[#This Row],[Planned_Qty]]</f>
        <v>0.93185689948892669</v>
      </c>
      <c r="V1232" s="2" t="s">
        <v>113</v>
      </c>
      <c r="W1232" s="11">
        <v>0</v>
      </c>
      <c r="X1232" s="13">
        <f>W1232/60</f>
        <v>0</v>
      </c>
      <c r="Y1232" s="2" t="s">
        <v>90</v>
      </c>
      <c r="Z1232" s="2">
        <v>51</v>
      </c>
      <c r="AA1232" s="2">
        <f>ProductionData[[#This Row],[Rejected_Qty]]*ProductionData[[#This Row],[Unit_Cost_INR]]</f>
        <v>6528</v>
      </c>
      <c r="AB1232" s="4">
        <v>20208</v>
      </c>
      <c r="AC1232" s="4">
        <v>5560</v>
      </c>
      <c r="AD1232" s="4">
        <v>5560</v>
      </c>
      <c r="AE1232" s="4">
        <v>19990</v>
      </c>
      <c r="AF1232" s="4">
        <v>9000</v>
      </c>
    </row>
    <row r="1233" spans="1:32">
      <c r="A1233" s="2" t="s">
        <v>2597</v>
      </c>
      <c r="B1233" s="3">
        <v>46206</v>
      </c>
      <c r="C1233" s="36" t="s">
        <v>2128</v>
      </c>
      <c r="D1233" s="2">
        <f>MONTH(ProductionData[[#This Row],[Month]])</f>
        <v>7</v>
      </c>
      <c r="E1233" s="2" t="s">
        <v>125</v>
      </c>
      <c r="F1233" s="2" t="s">
        <v>66</v>
      </c>
      <c r="G1233" s="2" t="s">
        <v>195</v>
      </c>
      <c r="H1233" s="2" t="s">
        <v>196</v>
      </c>
      <c r="I1233" s="2" t="s">
        <v>197</v>
      </c>
      <c r="J1233" s="2" t="s">
        <v>586</v>
      </c>
      <c r="K1233" s="2" t="s">
        <v>587</v>
      </c>
      <c r="L1233" s="2" t="s">
        <v>2598</v>
      </c>
      <c r="M1233" s="2" t="s">
        <v>99</v>
      </c>
      <c r="N1233" s="2" t="s">
        <v>88</v>
      </c>
      <c r="O1233" s="2">
        <v>14</v>
      </c>
      <c r="P1233" s="2">
        <v>13</v>
      </c>
      <c r="Q1233" s="4">
        <v>5900</v>
      </c>
      <c r="R1233" s="4">
        <v>5500</v>
      </c>
      <c r="S1233" s="4">
        <v>123</v>
      </c>
      <c r="T1233" s="19">
        <f>(ProductionData[[#This Row],[Rejected_Qty]])/ProductionData[[#This Row],[Produced_Qty]]</f>
        <v>2.2363636363636363E-2</v>
      </c>
      <c r="U1233" s="19">
        <f>ProductionData[[#This Row],[Produced_Qty]]/ProductionData[[#This Row],[Planned_Qty]]</f>
        <v>0.93220338983050843</v>
      </c>
      <c r="V1233" s="2" t="s">
        <v>75</v>
      </c>
      <c r="W1233" s="11">
        <v>0</v>
      </c>
      <c r="X1233" s="13">
        <f>W1233/60</f>
        <v>0</v>
      </c>
      <c r="Y1233" s="2" t="s">
        <v>90</v>
      </c>
      <c r="Z1233" s="2">
        <v>51</v>
      </c>
      <c r="AA1233" s="2">
        <f>ProductionData[[#This Row],[Rejected_Qty]]*ProductionData[[#This Row],[Unit_Cost_INR]]</f>
        <v>6273</v>
      </c>
      <c r="AB1233" s="4">
        <v>19584</v>
      </c>
      <c r="AC1233" s="4">
        <v>5300</v>
      </c>
      <c r="AD1233" s="4">
        <v>5300</v>
      </c>
      <c r="AE1233" s="4">
        <v>19661</v>
      </c>
      <c r="AF1233" s="4">
        <v>9000</v>
      </c>
    </row>
    <row r="1234" spans="1:32">
      <c r="A1234" s="2" t="s">
        <v>2599</v>
      </c>
      <c r="B1234" s="3">
        <v>46207</v>
      </c>
      <c r="C1234" s="36" t="s">
        <v>2128</v>
      </c>
      <c r="D1234" s="2">
        <f>MONTH(ProductionData[[#This Row],[Month]])</f>
        <v>7</v>
      </c>
      <c r="E1234" s="2" t="s">
        <v>65</v>
      </c>
      <c r="F1234" s="2" t="s">
        <v>80</v>
      </c>
      <c r="G1234" s="2" t="s">
        <v>195</v>
      </c>
      <c r="H1234" s="2" t="s">
        <v>196</v>
      </c>
      <c r="I1234" s="2" t="s">
        <v>197</v>
      </c>
      <c r="J1234" s="2" t="s">
        <v>586</v>
      </c>
      <c r="K1234" s="2" t="s">
        <v>587</v>
      </c>
      <c r="L1234" s="2" t="s">
        <v>2600</v>
      </c>
      <c r="M1234" s="2" t="s">
        <v>102</v>
      </c>
      <c r="N1234" s="2" t="s">
        <v>96</v>
      </c>
      <c r="O1234" s="2">
        <v>14</v>
      </c>
      <c r="P1234" s="2">
        <v>14</v>
      </c>
      <c r="Q1234" s="4">
        <v>6230</v>
      </c>
      <c r="R1234" s="4">
        <v>5990</v>
      </c>
      <c r="S1234" s="4">
        <v>150</v>
      </c>
      <c r="T1234" s="19">
        <f>(ProductionData[[#This Row],[Rejected_Qty]])/ProductionData[[#This Row],[Produced_Qty]]</f>
        <v>2.5041736227045076E-2</v>
      </c>
      <c r="U1234" s="19">
        <f>ProductionData[[#This Row],[Produced_Qty]]/ProductionData[[#This Row],[Planned_Qty]]</f>
        <v>0.9614767255216693</v>
      </c>
      <c r="V1234" s="2" t="s">
        <v>109</v>
      </c>
      <c r="W1234" s="11">
        <v>0</v>
      </c>
      <c r="X1234" s="13">
        <f>W1234/60</f>
        <v>0</v>
      </c>
      <c r="Y1234" s="2" t="s">
        <v>90</v>
      </c>
      <c r="Z1234" s="2">
        <v>51</v>
      </c>
      <c r="AA1234" s="2">
        <f>ProductionData[[#This Row],[Rejected_Qty]]*ProductionData[[#This Row],[Unit_Cost_INR]]</f>
        <v>7650</v>
      </c>
      <c r="AB1234" s="4">
        <v>19264</v>
      </c>
      <c r="AC1234" s="4">
        <v>5480</v>
      </c>
      <c r="AD1234" s="4">
        <v>5480</v>
      </c>
      <c r="AE1234" s="4">
        <v>19624</v>
      </c>
      <c r="AF1234" s="4">
        <v>9000</v>
      </c>
    </row>
    <row r="1235" spans="1:32">
      <c r="A1235" s="2" t="s">
        <v>2601</v>
      </c>
      <c r="B1235" s="3">
        <v>46204</v>
      </c>
      <c r="C1235" s="36" t="s">
        <v>2128</v>
      </c>
      <c r="D1235" s="2">
        <f>MONTH(ProductionData[[#This Row],[Month]])</f>
        <v>7</v>
      </c>
      <c r="E1235" s="2" t="s">
        <v>79</v>
      </c>
      <c r="F1235" s="2" t="s">
        <v>93</v>
      </c>
      <c r="G1235" s="2" t="s">
        <v>195</v>
      </c>
      <c r="H1235" s="2" t="s">
        <v>196</v>
      </c>
      <c r="I1235" s="2" t="s">
        <v>197</v>
      </c>
      <c r="J1235" s="2" t="s">
        <v>586</v>
      </c>
      <c r="K1235" s="2" t="s">
        <v>587</v>
      </c>
      <c r="L1235" s="2" t="s">
        <v>2602</v>
      </c>
      <c r="M1235" s="2" t="s">
        <v>133</v>
      </c>
      <c r="N1235" s="2" t="s">
        <v>88</v>
      </c>
      <c r="O1235" s="2">
        <v>14</v>
      </c>
      <c r="P1235" s="2">
        <v>13</v>
      </c>
      <c r="Q1235" s="4">
        <v>5380</v>
      </c>
      <c r="R1235" s="4">
        <v>4930</v>
      </c>
      <c r="S1235" s="4">
        <v>84</v>
      </c>
      <c r="T1235" s="19">
        <f>(ProductionData[[#This Row],[Rejected_Qty]])/ProductionData[[#This Row],[Produced_Qty]]</f>
        <v>1.7038539553752535E-2</v>
      </c>
      <c r="U1235" s="19">
        <f>ProductionData[[#This Row],[Produced_Qty]]/ProductionData[[#This Row],[Planned_Qty]]</f>
        <v>0.91635687732342008</v>
      </c>
      <c r="V1235" s="2" t="s">
        <v>109</v>
      </c>
      <c r="W1235" s="11">
        <v>0</v>
      </c>
      <c r="X1235" s="13">
        <f>W1235/60</f>
        <v>0</v>
      </c>
      <c r="Y1235" s="2" t="s">
        <v>90</v>
      </c>
      <c r="Z1235" s="2">
        <v>51</v>
      </c>
      <c r="AA1235" s="2">
        <f>ProductionData[[#This Row],[Rejected_Qty]]*ProductionData[[#This Row],[Unit_Cost_INR]]</f>
        <v>4284</v>
      </c>
      <c r="AB1235" s="4">
        <v>19420</v>
      </c>
      <c r="AC1235" s="4">
        <v>4650</v>
      </c>
      <c r="AD1235" s="4">
        <v>4650</v>
      </c>
      <c r="AE1235" s="4">
        <v>19616</v>
      </c>
      <c r="AF1235" s="4">
        <v>9000</v>
      </c>
    </row>
    <row r="1236" spans="1:32">
      <c r="A1236" s="2" t="s">
        <v>2603</v>
      </c>
      <c r="B1236" s="3">
        <v>46205</v>
      </c>
      <c r="C1236" s="36" t="s">
        <v>2128</v>
      </c>
      <c r="D1236" s="2">
        <f>MONTH(ProductionData[[#This Row],[Month]])</f>
        <v>7</v>
      </c>
      <c r="E1236" s="2" t="s">
        <v>107</v>
      </c>
      <c r="F1236" s="2" t="s">
        <v>80</v>
      </c>
      <c r="G1236" s="2" t="s">
        <v>195</v>
      </c>
      <c r="H1236" s="2" t="s">
        <v>196</v>
      </c>
      <c r="I1236" s="2" t="s">
        <v>197</v>
      </c>
      <c r="J1236" s="2" t="s">
        <v>586</v>
      </c>
      <c r="K1236" s="2" t="s">
        <v>587</v>
      </c>
      <c r="L1236" s="2" t="s">
        <v>2604</v>
      </c>
      <c r="M1236" s="2" t="s">
        <v>102</v>
      </c>
      <c r="N1236" s="2" t="s">
        <v>88</v>
      </c>
      <c r="O1236" s="2">
        <v>14</v>
      </c>
      <c r="P1236" s="2">
        <v>12</v>
      </c>
      <c r="Q1236" s="4">
        <v>6020</v>
      </c>
      <c r="R1236" s="4">
        <v>5580</v>
      </c>
      <c r="S1236" s="4">
        <v>172</v>
      </c>
      <c r="T1236" s="19">
        <f>(ProductionData[[#This Row],[Rejected_Qty]])/ProductionData[[#This Row],[Produced_Qty]]</f>
        <v>3.0824372759856632E-2</v>
      </c>
      <c r="U1236" s="19">
        <f>ProductionData[[#This Row],[Produced_Qty]]/ProductionData[[#This Row],[Planned_Qty]]</f>
        <v>0.92691029900332222</v>
      </c>
      <c r="V1236" s="2" t="s">
        <v>89</v>
      </c>
      <c r="W1236" s="11">
        <v>0</v>
      </c>
      <c r="X1236" s="13">
        <f>W1236/60</f>
        <v>0</v>
      </c>
      <c r="Y1236" s="2" t="s">
        <v>90</v>
      </c>
      <c r="Z1236" s="2">
        <v>51</v>
      </c>
      <c r="AA1236" s="2">
        <f>ProductionData[[#This Row],[Rejected_Qty]]*ProductionData[[#This Row],[Unit_Cost_INR]]</f>
        <v>8772</v>
      </c>
      <c r="AB1236" s="4">
        <v>19616</v>
      </c>
      <c r="AC1236" s="4">
        <v>5440</v>
      </c>
      <c r="AD1236" s="4">
        <v>5440</v>
      </c>
      <c r="AE1236" s="4">
        <v>19584</v>
      </c>
      <c r="AF1236" s="4">
        <v>9000</v>
      </c>
    </row>
    <row r="1237" spans="1:32">
      <c r="A1237" s="2" t="s">
        <v>2605</v>
      </c>
      <c r="B1237" s="3">
        <v>46204</v>
      </c>
      <c r="C1237" s="36" t="s">
        <v>2128</v>
      </c>
      <c r="D1237" s="2">
        <f>MONTH(ProductionData[[#This Row],[Month]])</f>
        <v>7</v>
      </c>
      <c r="E1237" s="2" t="s">
        <v>79</v>
      </c>
      <c r="F1237" s="2" t="s">
        <v>80</v>
      </c>
      <c r="G1237" s="2" t="s">
        <v>195</v>
      </c>
      <c r="H1237" s="2" t="s">
        <v>196</v>
      </c>
      <c r="I1237" s="2" t="s">
        <v>197</v>
      </c>
      <c r="J1237" s="2" t="s">
        <v>586</v>
      </c>
      <c r="K1237" s="2" t="s">
        <v>587</v>
      </c>
      <c r="L1237" s="2" t="s">
        <v>2606</v>
      </c>
      <c r="M1237" s="2" t="s">
        <v>87</v>
      </c>
      <c r="N1237" s="2" t="s">
        <v>96</v>
      </c>
      <c r="O1237" s="2">
        <v>14</v>
      </c>
      <c r="P1237" s="2">
        <v>12</v>
      </c>
      <c r="Q1237" s="4">
        <v>6390</v>
      </c>
      <c r="R1237" s="4">
        <v>5710</v>
      </c>
      <c r="S1237" s="4">
        <v>98</v>
      </c>
      <c r="T1237" s="19">
        <f>(ProductionData[[#This Row],[Rejected_Qty]])/ProductionData[[#This Row],[Produced_Qty]]</f>
        <v>1.7162872154115588E-2</v>
      </c>
      <c r="U1237" s="19">
        <f>ProductionData[[#This Row],[Produced_Qty]]/ProductionData[[#This Row],[Planned_Qty]]</f>
        <v>0.89358372456964008</v>
      </c>
      <c r="V1237" s="2" t="s">
        <v>75</v>
      </c>
      <c r="W1237" s="11">
        <v>0</v>
      </c>
      <c r="X1237" s="13">
        <f>W1237/60</f>
        <v>0</v>
      </c>
      <c r="Y1237" s="2" t="s">
        <v>90</v>
      </c>
      <c r="Z1237" s="2">
        <v>51</v>
      </c>
      <c r="AA1237" s="2">
        <f>ProductionData[[#This Row],[Rejected_Qty]]*ProductionData[[#This Row],[Unit_Cost_INR]]</f>
        <v>4998</v>
      </c>
      <c r="AB1237" s="4">
        <v>19888</v>
      </c>
      <c r="AC1237" s="4">
        <v>6080</v>
      </c>
      <c r="AD1237" s="4">
        <v>6080</v>
      </c>
      <c r="AE1237" s="4">
        <v>19420</v>
      </c>
      <c r="AF1237" s="4">
        <v>9000</v>
      </c>
    </row>
    <row r="1238" spans="1:32">
      <c r="A1238" s="2" t="s">
        <v>2607</v>
      </c>
      <c r="B1238" s="3">
        <v>46206</v>
      </c>
      <c r="C1238" s="36" t="s">
        <v>2128</v>
      </c>
      <c r="D1238" s="2">
        <f>MONTH(ProductionData[[#This Row],[Month]])</f>
        <v>7</v>
      </c>
      <c r="E1238" s="2" t="s">
        <v>125</v>
      </c>
      <c r="F1238" s="2" t="s">
        <v>80</v>
      </c>
      <c r="G1238" s="2" t="s">
        <v>195</v>
      </c>
      <c r="H1238" s="2" t="s">
        <v>196</v>
      </c>
      <c r="I1238" s="2" t="s">
        <v>197</v>
      </c>
      <c r="J1238" s="2" t="s">
        <v>586</v>
      </c>
      <c r="K1238" s="2" t="s">
        <v>587</v>
      </c>
      <c r="L1238" s="2" t="s">
        <v>2608</v>
      </c>
      <c r="M1238" s="2" t="s">
        <v>87</v>
      </c>
      <c r="N1238" s="2" t="s">
        <v>88</v>
      </c>
      <c r="O1238" s="2">
        <v>14</v>
      </c>
      <c r="P1238" s="2">
        <v>13</v>
      </c>
      <c r="Q1238" s="4">
        <v>5680</v>
      </c>
      <c r="R1238" s="4">
        <v>5280</v>
      </c>
      <c r="S1238" s="4">
        <v>207</v>
      </c>
      <c r="T1238" s="19">
        <f>(ProductionData[[#This Row],[Rejected_Qty]])/ProductionData[[#This Row],[Produced_Qty]]</f>
        <v>3.9204545454545457E-2</v>
      </c>
      <c r="U1238" s="19">
        <f>ProductionData[[#This Row],[Produced_Qty]]/ProductionData[[#This Row],[Planned_Qty]]</f>
        <v>0.92957746478873238</v>
      </c>
      <c r="V1238" s="2" t="s">
        <v>113</v>
      </c>
      <c r="W1238" s="11">
        <v>25</v>
      </c>
      <c r="X1238" s="13">
        <f>W1238/60</f>
        <v>0.41666666666666669</v>
      </c>
      <c r="Y1238" s="2" t="s">
        <v>110</v>
      </c>
      <c r="Z1238" s="2">
        <v>51</v>
      </c>
      <c r="AA1238" s="2">
        <f>ProductionData[[#This Row],[Rejected_Qty]]*ProductionData[[#This Row],[Unit_Cost_INR]]</f>
        <v>10557</v>
      </c>
      <c r="AB1238" s="4">
        <v>19661</v>
      </c>
      <c r="AC1238" s="4">
        <v>5470</v>
      </c>
      <c r="AD1238" s="4">
        <v>5470</v>
      </c>
      <c r="AE1238" s="4">
        <v>19264</v>
      </c>
      <c r="AF1238" s="4">
        <v>9000</v>
      </c>
    </row>
    <row r="1239" spans="1:32">
      <c r="A1239" s="2" t="s">
        <v>2609</v>
      </c>
      <c r="B1239" s="3">
        <v>46217</v>
      </c>
      <c r="C1239" s="36" t="s">
        <v>2128</v>
      </c>
      <c r="D1239" s="2">
        <f>MONTH(ProductionData[[#This Row],[Month]])</f>
        <v>7</v>
      </c>
      <c r="E1239" s="2" t="s">
        <v>92</v>
      </c>
      <c r="F1239" s="2" t="s">
        <v>93</v>
      </c>
      <c r="G1239" s="2" t="s">
        <v>67</v>
      </c>
      <c r="H1239" s="2" t="s">
        <v>68</v>
      </c>
      <c r="I1239" s="2" t="s">
        <v>69</v>
      </c>
      <c r="J1239" s="2" t="s">
        <v>403</v>
      </c>
      <c r="K1239" s="2" t="s">
        <v>404</v>
      </c>
      <c r="L1239" s="2" t="s">
        <v>2610</v>
      </c>
      <c r="M1239" s="2" t="s">
        <v>95</v>
      </c>
      <c r="N1239" s="2" t="s">
        <v>74</v>
      </c>
      <c r="O1239" s="2">
        <v>16</v>
      </c>
      <c r="P1239" s="2">
        <v>11</v>
      </c>
      <c r="Q1239" s="4">
        <v>5980</v>
      </c>
      <c r="R1239" s="4">
        <v>5060</v>
      </c>
      <c r="S1239" s="4">
        <v>550</v>
      </c>
      <c r="T1239" s="19">
        <f>(ProductionData[[#This Row],[Rejected_Qty]])/ProductionData[[#This Row],[Produced_Qty]]</f>
        <v>0.10869565217391304</v>
      </c>
      <c r="U1239" s="19">
        <f>ProductionData[[#This Row],[Produced_Qty]]/ProductionData[[#This Row],[Planned_Qty]]</f>
        <v>0.84615384615384615</v>
      </c>
      <c r="V1239" s="2" t="s">
        <v>2284</v>
      </c>
      <c r="W1239" s="11">
        <v>26</v>
      </c>
      <c r="X1239" s="13">
        <f>W1239/60</f>
        <v>0.43333333333333335</v>
      </c>
      <c r="Y1239" s="2" t="s">
        <v>110</v>
      </c>
      <c r="Z1239" s="2">
        <v>58</v>
      </c>
      <c r="AA1239" s="2">
        <f>ProductionData[[#This Row],[Rejected_Qty]]*ProductionData[[#This Row],[Unit_Cost_INR]]</f>
        <v>31900</v>
      </c>
      <c r="AB1239" s="4">
        <v>20391</v>
      </c>
      <c r="AC1239" s="4">
        <v>5670</v>
      </c>
      <c r="AD1239" s="4">
        <v>5670</v>
      </c>
      <c r="AE1239" s="4">
        <v>19231</v>
      </c>
      <c r="AF1239" s="4">
        <v>9000</v>
      </c>
    </row>
    <row r="1240" spans="1:32">
      <c r="A1240" s="2" t="s">
        <v>2611</v>
      </c>
      <c r="B1240" s="3">
        <v>46230</v>
      </c>
      <c r="C1240" s="36" t="s">
        <v>2128</v>
      </c>
      <c r="D1240" s="2">
        <f>MONTH(ProductionData[[#This Row],[Month]])</f>
        <v>7</v>
      </c>
      <c r="E1240" s="2" t="s">
        <v>116</v>
      </c>
      <c r="F1240" s="2" t="s">
        <v>93</v>
      </c>
      <c r="G1240" s="2" t="s">
        <v>67</v>
      </c>
      <c r="H1240" s="2" t="s">
        <v>68</v>
      </c>
      <c r="I1240" s="2" t="s">
        <v>69</v>
      </c>
      <c r="J1240" s="2" t="s">
        <v>70</v>
      </c>
      <c r="K1240" s="2" t="s">
        <v>71</v>
      </c>
      <c r="L1240" s="2" t="s">
        <v>2612</v>
      </c>
      <c r="M1240" s="2" t="s">
        <v>133</v>
      </c>
      <c r="N1240" s="2" t="s">
        <v>74</v>
      </c>
      <c r="O1240" s="2">
        <v>16</v>
      </c>
      <c r="P1240" s="2">
        <v>16</v>
      </c>
      <c r="Q1240" s="4">
        <v>6830</v>
      </c>
      <c r="R1240" s="4">
        <v>6760</v>
      </c>
      <c r="S1240" s="4">
        <v>708</v>
      </c>
      <c r="T1240" s="19">
        <f>(ProductionData[[#This Row],[Rejected_Qty]])/ProductionData[[#This Row],[Produced_Qty]]</f>
        <v>0.10473372781065089</v>
      </c>
      <c r="U1240" s="19">
        <f>ProductionData[[#This Row],[Produced_Qty]]/ProductionData[[#This Row],[Planned_Qty]]</f>
        <v>0.98975109809663253</v>
      </c>
      <c r="V1240" s="2" t="s">
        <v>2284</v>
      </c>
      <c r="W1240" s="11">
        <v>46</v>
      </c>
      <c r="X1240" s="13">
        <f>W1240/60</f>
        <v>0.76666666666666672</v>
      </c>
      <c r="Y1240" s="2" t="s">
        <v>110</v>
      </c>
      <c r="Z1240" s="2">
        <v>46</v>
      </c>
      <c r="AA1240" s="2">
        <f>ProductionData[[#This Row],[Rejected_Qty]]*ProductionData[[#This Row],[Unit_Cost_INR]]</f>
        <v>32568</v>
      </c>
      <c r="AB1240" s="4">
        <v>20555</v>
      </c>
      <c r="AC1240" s="4">
        <v>7450</v>
      </c>
      <c r="AD1240" s="4">
        <v>7450</v>
      </c>
      <c r="AE1240" s="4">
        <v>19157</v>
      </c>
      <c r="AF1240" s="4">
        <v>10500</v>
      </c>
    </row>
    <row r="1241" spans="1:32">
      <c r="A1241" s="2" t="s">
        <v>2613</v>
      </c>
      <c r="B1241" s="3">
        <v>46218</v>
      </c>
      <c r="C1241" s="36" t="s">
        <v>2128</v>
      </c>
      <c r="D1241" s="2">
        <f>MONTH(ProductionData[[#This Row],[Month]])</f>
        <v>7</v>
      </c>
      <c r="E1241" s="2" t="s">
        <v>79</v>
      </c>
      <c r="F1241" s="2" t="s">
        <v>80</v>
      </c>
      <c r="G1241" s="2" t="s">
        <v>67</v>
      </c>
      <c r="H1241" s="2" t="s">
        <v>68</v>
      </c>
      <c r="I1241" s="2" t="s">
        <v>69</v>
      </c>
      <c r="J1241" s="2" t="s">
        <v>403</v>
      </c>
      <c r="K1241" s="2" t="s">
        <v>404</v>
      </c>
      <c r="L1241" s="2" t="s">
        <v>2614</v>
      </c>
      <c r="M1241" s="2" t="s">
        <v>87</v>
      </c>
      <c r="N1241" s="2" t="s">
        <v>88</v>
      </c>
      <c r="O1241" s="2">
        <v>16</v>
      </c>
      <c r="P1241" s="2">
        <v>16</v>
      </c>
      <c r="Q1241" s="4">
        <v>5840</v>
      </c>
      <c r="R1241" s="4">
        <v>5550</v>
      </c>
      <c r="S1241" s="4">
        <v>110</v>
      </c>
      <c r="T1241" s="19">
        <f>(ProductionData[[#This Row],[Rejected_Qty]])/ProductionData[[#This Row],[Produced_Qty]]</f>
        <v>1.9819819819819819E-2</v>
      </c>
      <c r="U1241" s="19">
        <f>ProductionData[[#This Row],[Produced_Qty]]/ProductionData[[#This Row],[Planned_Qty]]</f>
        <v>0.95034246575342463</v>
      </c>
      <c r="V1241" s="2" t="s">
        <v>113</v>
      </c>
      <c r="W1241" s="11">
        <v>19</v>
      </c>
      <c r="X1241" s="13">
        <f>W1241/60</f>
        <v>0.31666666666666665</v>
      </c>
      <c r="Y1241" s="2" t="s">
        <v>114</v>
      </c>
      <c r="Z1241" s="2">
        <v>58</v>
      </c>
      <c r="AA1241" s="2">
        <f>ProductionData[[#This Row],[Rejected_Qty]]*ProductionData[[#This Row],[Unit_Cost_INR]]</f>
        <v>6380</v>
      </c>
      <c r="AB1241" s="4">
        <v>19231</v>
      </c>
      <c r="AC1241" s="4">
        <v>5550</v>
      </c>
      <c r="AD1241" s="4">
        <v>5550</v>
      </c>
      <c r="AE1241" s="4">
        <v>19121</v>
      </c>
      <c r="AF1241" s="4">
        <v>9000</v>
      </c>
    </row>
    <row r="1242" spans="1:32">
      <c r="A1242" s="2" t="s">
        <v>2615</v>
      </c>
      <c r="B1242" s="3">
        <v>46231</v>
      </c>
      <c r="C1242" s="36" t="s">
        <v>2128</v>
      </c>
      <c r="D1242" s="2">
        <f>MONTH(ProductionData[[#This Row],[Month]])</f>
        <v>7</v>
      </c>
      <c r="E1242" s="2" t="s">
        <v>92</v>
      </c>
      <c r="F1242" s="2" t="s">
        <v>80</v>
      </c>
      <c r="G1242" s="2" t="s">
        <v>67</v>
      </c>
      <c r="H1242" s="2" t="s">
        <v>68</v>
      </c>
      <c r="I1242" s="2" t="s">
        <v>69</v>
      </c>
      <c r="J1242" s="2" t="s">
        <v>70</v>
      </c>
      <c r="K1242" s="2" t="s">
        <v>71</v>
      </c>
      <c r="L1242" s="2" t="s">
        <v>2616</v>
      </c>
      <c r="M1242" s="2" t="s">
        <v>102</v>
      </c>
      <c r="N1242" s="2" t="s">
        <v>74</v>
      </c>
      <c r="O1242" s="2">
        <v>16</v>
      </c>
      <c r="P1242" s="2">
        <v>15</v>
      </c>
      <c r="Q1242" s="4">
        <v>7050</v>
      </c>
      <c r="R1242" s="4">
        <v>6670</v>
      </c>
      <c r="S1242" s="4">
        <v>859</v>
      </c>
      <c r="T1242" s="19">
        <f>(ProductionData[[#This Row],[Rejected_Qty]])/ProductionData[[#This Row],[Produced_Qty]]</f>
        <v>0.12878560719640181</v>
      </c>
      <c r="U1242" s="19">
        <f>ProductionData[[#This Row],[Produced_Qty]]/ProductionData[[#This Row],[Planned_Qty]]</f>
        <v>0.94609929078014188</v>
      </c>
      <c r="V1242" s="2" t="s">
        <v>2284</v>
      </c>
      <c r="W1242" s="11">
        <v>0</v>
      </c>
      <c r="X1242" s="13">
        <f>W1242/60</f>
        <v>0</v>
      </c>
      <c r="Y1242" s="2" t="s">
        <v>90</v>
      </c>
      <c r="Z1242" s="2">
        <v>46</v>
      </c>
      <c r="AA1242" s="2">
        <f>ProductionData[[#This Row],[Rejected_Qty]]*ProductionData[[#This Row],[Unit_Cost_INR]]</f>
        <v>39514</v>
      </c>
      <c r="AB1242" s="4">
        <v>19157</v>
      </c>
      <c r="AC1242" s="4">
        <v>6300</v>
      </c>
      <c r="AD1242" s="4">
        <v>6300</v>
      </c>
      <c r="AE1242" s="4">
        <v>18668</v>
      </c>
      <c r="AF1242" s="4">
        <v>10500</v>
      </c>
    </row>
    <row r="1243" spans="1:32">
      <c r="A1243" s="2" t="s">
        <v>2617</v>
      </c>
      <c r="B1243" s="3">
        <v>46219</v>
      </c>
      <c r="C1243" s="36" t="s">
        <v>2128</v>
      </c>
      <c r="D1243" s="2">
        <f>MONTH(ProductionData[[#This Row],[Month]])</f>
        <v>7</v>
      </c>
      <c r="E1243" s="2" t="s">
        <v>107</v>
      </c>
      <c r="F1243" s="2" t="s">
        <v>93</v>
      </c>
      <c r="G1243" s="2" t="s">
        <v>67</v>
      </c>
      <c r="H1243" s="2" t="s">
        <v>68</v>
      </c>
      <c r="I1243" s="2" t="s">
        <v>69</v>
      </c>
      <c r="J1243" s="2" t="s">
        <v>403</v>
      </c>
      <c r="K1243" s="2" t="s">
        <v>404</v>
      </c>
      <c r="L1243" s="2" t="s">
        <v>2618</v>
      </c>
      <c r="M1243" s="2" t="s">
        <v>95</v>
      </c>
      <c r="N1243" s="2" t="s">
        <v>74</v>
      </c>
      <c r="O1243" s="2">
        <v>16</v>
      </c>
      <c r="P1243" s="2">
        <v>15</v>
      </c>
      <c r="Q1243" s="4">
        <v>5930</v>
      </c>
      <c r="R1243" s="4">
        <v>5630</v>
      </c>
      <c r="S1243" s="4">
        <v>436</v>
      </c>
      <c r="T1243" s="19">
        <f>(ProductionData[[#This Row],[Rejected_Qty]])/ProductionData[[#This Row],[Produced_Qty]]</f>
        <v>7.7442273534635883E-2</v>
      </c>
      <c r="U1243" s="19">
        <f>ProductionData[[#This Row],[Produced_Qty]]/ProductionData[[#This Row],[Planned_Qty]]</f>
        <v>0.94940978077571669</v>
      </c>
      <c r="V1243" s="2" t="s">
        <v>2284</v>
      </c>
      <c r="W1243" s="11">
        <v>28</v>
      </c>
      <c r="X1243" s="13">
        <f>W1243/60</f>
        <v>0.46666666666666667</v>
      </c>
      <c r="Y1243" s="2" t="s">
        <v>136</v>
      </c>
      <c r="Z1243" s="2">
        <v>58</v>
      </c>
      <c r="AA1243" s="2">
        <f>ProductionData[[#This Row],[Rejected_Qty]]*ProductionData[[#This Row],[Unit_Cost_INR]]</f>
        <v>25288</v>
      </c>
      <c r="AB1243" s="4">
        <v>19121</v>
      </c>
      <c r="AC1243" s="4">
        <v>5800</v>
      </c>
      <c r="AD1243" s="4">
        <v>5800</v>
      </c>
      <c r="AE1243" s="4">
        <v>18515</v>
      </c>
      <c r="AF1243" s="4">
        <v>9000</v>
      </c>
    </row>
    <row r="1244" spans="1:32">
      <c r="A1244" s="2" t="s">
        <v>2619</v>
      </c>
      <c r="B1244" s="3">
        <v>46204</v>
      </c>
      <c r="C1244" s="36" t="s">
        <v>2128</v>
      </c>
      <c r="D1244" s="2">
        <f>MONTH(ProductionData[[#This Row],[Month]])</f>
        <v>7</v>
      </c>
      <c r="E1244" s="2" t="s">
        <v>79</v>
      </c>
      <c r="F1244" s="2" t="s">
        <v>93</v>
      </c>
      <c r="G1244" s="2" t="s">
        <v>67</v>
      </c>
      <c r="H1244" s="2" t="s">
        <v>68</v>
      </c>
      <c r="I1244" s="2" t="s">
        <v>69</v>
      </c>
      <c r="J1244" s="2" t="s">
        <v>683</v>
      </c>
      <c r="K1244" s="2" t="s">
        <v>684</v>
      </c>
      <c r="L1244" s="2" t="s">
        <v>2620</v>
      </c>
      <c r="M1244" s="2" t="s">
        <v>133</v>
      </c>
      <c r="N1244" s="2" t="s">
        <v>74</v>
      </c>
      <c r="O1244" s="2">
        <v>16</v>
      </c>
      <c r="P1244" s="2">
        <v>14</v>
      </c>
      <c r="Q1244" s="4">
        <v>4500</v>
      </c>
      <c r="R1244" s="4">
        <v>4230</v>
      </c>
      <c r="S1244" s="4">
        <v>366</v>
      </c>
      <c r="T1244" s="19">
        <f>(ProductionData[[#This Row],[Rejected_Qty]])/ProductionData[[#This Row],[Produced_Qty]]</f>
        <v>8.6524822695035461E-2</v>
      </c>
      <c r="U1244" s="19">
        <f>ProductionData[[#This Row],[Produced_Qty]]/ProductionData[[#This Row],[Planned_Qty]]</f>
        <v>0.94</v>
      </c>
      <c r="V1244" s="2" t="s">
        <v>2284</v>
      </c>
      <c r="W1244" s="11">
        <v>63</v>
      </c>
      <c r="X1244" s="13">
        <f>W1244/60</f>
        <v>1.05</v>
      </c>
      <c r="Y1244" s="2" t="s">
        <v>259</v>
      </c>
      <c r="Z1244" s="2">
        <v>79</v>
      </c>
      <c r="AA1244" s="2">
        <f>ProductionData[[#This Row],[Rejected_Qty]]*ProductionData[[#This Row],[Unit_Cost_INR]]</f>
        <v>28914</v>
      </c>
      <c r="AB1244" s="4">
        <v>18797</v>
      </c>
      <c r="AC1244" s="4">
        <v>4260</v>
      </c>
      <c r="AD1244" s="4">
        <v>4260</v>
      </c>
      <c r="AE1244" s="4">
        <v>18401</v>
      </c>
      <c r="AF1244" s="4">
        <v>6750</v>
      </c>
    </row>
    <row r="1245" spans="1:32">
      <c r="A1245" s="2" t="s">
        <v>2621</v>
      </c>
      <c r="B1245" s="3">
        <v>46205</v>
      </c>
      <c r="C1245" s="36" t="s">
        <v>2128</v>
      </c>
      <c r="D1245" s="2">
        <f>MONTH(ProductionData[[#This Row],[Month]])</f>
        <v>7</v>
      </c>
      <c r="E1245" s="2" t="s">
        <v>107</v>
      </c>
      <c r="F1245" s="2" t="s">
        <v>93</v>
      </c>
      <c r="G1245" s="2" t="s">
        <v>67</v>
      </c>
      <c r="H1245" s="2" t="s">
        <v>68</v>
      </c>
      <c r="I1245" s="2" t="s">
        <v>69</v>
      </c>
      <c r="J1245" s="2" t="s">
        <v>683</v>
      </c>
      <c r="K1245" s="2" t="s">
        <v>684</v>
      </c>
      <c r="L1245" s="2" t="s">
        <v>2622</v>
      </c>
      <c r="M1245" s="2" t="s">
        <v>133</v>
      </c>
      <c r="N1245" s="2" t="s">
        <v>74</v>
      </c>
      <c r="O1245" s="2">
        <v>16</v>
      </c>
      <c r="P1245" s="2">
        <v>12</v>
      </c>
      <c r="Q1245" s="4">
        <v>4050</v>
      </c>
      <c r="R1245" s="4">
        <v>3530</v>
      </c>
      <c r="S1245" s="4">
        <v>288</v>
      </c>
      <c r="T1245" s="19">
        <f>(ProductionData[[#This Row],[Rejected_Qty]])/ProductionData[[#This Row],[Produced_Qty]]</f>
        <v>8.1586402266288952E-2</v>
      </c>
      <c r="U1245" s="19">
        <f>ProductionData[[#This Row],[Produced_Qty]]/ProductionData[[#This Row],[Planned_Qty]]</f>
        <v>0.8716049382716049</v>
      </c>
      <c r="V1245" s="2" t="s">
        <v>2284</v>
      </c>
      <c r="W1245" s="11">
        <v>49</v>
      </c>
      <c r="X1245" s="13">
        <f>W1245/60</f>
        <v>0.81666666666666665</v>
      </c>
      <c r="Y1245" s="2" t="s">
        <v>114</v>
      </c>
      <c r="Z1245" s="2">
        <v>79</v>
      </c>
      <c r="AA1245" s="2">
        <f>ProductionData[[#This Row],[Rejected_Qty]]*ProductionData[[#This Row],[Unit_Cost_INR]]</f>
        <v>22752</v>
      </c>
      <c r="AB1245" s="4">
        <v>18401</v>
      </c>
      <c r="AC1245" s="4">
        <v>3450</v>
      </c>
      <c r="AD1245" s="4">
        <v>3450</v>
      </c>
      <c r="AE1245" s="4">
        <v>18193</v>
      </c>
      <c r="AF1245" s="4">
        <v>6750</v>
      </c>
    </row>
    <row r="1246" spans="1:32">
      <c r="A1246" s="2" t="s">
        <v>2623</v>
      </c>
      <c r="B1246" s="3">
        <v>46220</v>
      </c>
      <c r="C1246" s="36" t="s">
        <v>2128</v>
      </c>
      <c r="D1246" s="2">
        <f>MONTH(ProductionData[[#This Row],[Month]])</f>
        <v>7</v>
      </c>
      <c r="E1246" s="2" t="s">
        <v>125</v>
      </c>
      <c r="F1246" s="2" t="s">
        <v>80</v>
      </c>
      <c r="G1246" s="2" t="s">
        <v>67</v>
      </c>
      <c r="H1246" s="2" t="s">
        <v>68</v>
      </c>
      <c r="I1246" s="2" t="s">
        <v>69</v>
      </c>
      <c r="J1246" s="2" t="s">
        <v>403</v>
      </c>
      <c r="K1246" s="2" t="s">
        <v>404</v>
      </c>
      <c r="L1246" s="2" t="s">
        <v>2624</v>
      </c>
      <c r="M1246" s="2" t="s">
        <v>87</v>
      </c>
      <c r="N1246" s="2" t="s">
        <v>88</v>
      </c>
      <c r="O1246" s="2">
        <v>16</v>
      </c>
      <c r="P1246" s="2">
        <v>13</v>
      </c>
      <c r="Q1246" s="4">
        <v>6300</v>
      </c>
      <c r="R1246" s="4">
        <v>5610</v>
      </c>
      <c r="S1246" s="4">
        <v>153</v>
      </c>
      <c r="T1246" s="19">
        <f>(ProductionData[[#This Row],[Rejected_Qty]])/ProductionData[[#This Row],[Produced_Qty]]</f>
        <v>2.7272727272727271E-2</v>
      </c>
      <c r="U1246" s="19">
        <f>ProductionData[[#This Row],[Produced_Qty]]/ProductionData[[#This Row],[Planned_Qty]]</f>
        <v>0.89047619047619042</v>
      </c>
      <c r="V1246" s="2" t="s">
        <v>113</v>
      </c>
      <c r="W1246" s="11">
        <v>39</v>
      </c>
      <c r="X1246" s="13">
        <f>W1246/60</f>
        <v>0.65</v>
      </c>
      <c r="Y1246" s="2" t="s">
        <v>182</v>
      </c>
      <c r="Z1246" s="2">
        <v>58</v>
      </c>
      <c r="AA1246" s="2">
        <f>ProductionData[[#This Row],[Rejected_Qty]]*ProductionData[[#This Row],[Unit_Cost_INR]]</f>
        <v>8874</v>
      </c>
      <c r="AB1246" s="4">
        <v>18515</v>
      </c>
      <c r="AC1246" s="4">
        <v>5930</v>
      </c>
      <c r="AD1246" s="4">
        <v>5930</v>
      </c>
      <c r="AE1246" s="4">
        <v>18042</v>
      </c>
      <c r="AF1246" s="4">
        <v>9000</v>
      </c>
    </row>
    <row r="1247" spans="1:32">
      <c r="A1247" s="2" t="s">
        <v>2625</v>
      </c>
      <c r="B1247" s="3">
        <v>46208</v>
      </c>
      <c r="C1247" s="36" t="s">
        <v>2128</v>
      </c>
      <c r="D1247" s="2">
        <f>MONTH(ProductionData[[#This Row],[Month]])</f>
        <v>7</v>
      </c>
      <c r="E1247" s="2" t="s">
        <v>186</v>
      </c>
      <c r="F1247" s="2" t="s">
        <v>80</v>
      </c>
      <c r="G1247" s="2" t="s">
        <v>67</v>
      </c>
      <c r="H1247" s="2" t="s">
        <v>68</v>
      </c>
      <c r="I1247" s="2" t="s">
        <v>69</v>
      </c>
      <c r="J1247" s="2" t="s">
        <v>683</v>
      </c>
      <c r="K1247" s="2" t="s">
        <v>684</v>
      </c>
      <c r="L1247" s="2" t="s">
        <v>2626</v>
      </c>
      <c r="M1247" s="2" t="s">
        <v>102</v>
      </c>
      <c r="N1247" s="2" t="s">
        <v>96</v>
      </c>
      <c r="O1247" s="2">
        <v>16</v>
      </c>
      <c r="P1247" s="2">
        <v>13</v>
      </c>
      <c r="Q1247" s="4">
        <v>3370</v>
      </c>
      <c r="R1247" s="4">
        <v>3000</v>
      </c>
      <c r="S1247" s="4">
        <v>65</v>
      </c>
      <c r="T1247" s="19">
        <f>(ProductionData[[#This Row],[Rejected_Qty]])/ProductionData[[#This Row],[Produced_Qty]]</f>
        <v>2.1666666666666667E-2</v>
      </c>
      <c r="U1247" s="19">
        <f>ProductionData[[#This Row],[Produced_Qty]]/ProductionData[[#This Row],[Planned_Qty]]</f>
        <v>0.89020771513353114</v>
      </c>
      <c r="V1247" s="2" t="s">
        <v>75</v>
      </c>
      <c r="W1247" s="11">
        <v>65</v>
      </c>
      <c r="X1247" s="13">
        <f>W1247/60</f>
        <v>1.0833333333333333</v>
      </c>
      <c r="Y1247" s="2" t="s">
        <v>110</v>
      </c>
      <c r="Z1247" s="2">
        <v>79</v>
      </c>
      <c r="AA1247" s="2">
        <f>ProductionData[[#This Row],[Rejected_Qty]]*ProductionData[[#This Row],[Unit_Cost_INR]]</f>
        <v>5135</v>
      </c>
      <c r="AB1247" s="4">
        <v>17568</v>
      </c>
      <c r="AC1247" s="4">
        <v>2670</v>
      </c>
      <c r="AD1247" s="4">
        <v>2670</v>
      </c>
      <c r="AE1247" s="4">
        <v>17833</v>
      </c>
      <c r="AF1247" s="4">
        <v>6750</v>
      </c>
    </row>
    <row r="1248" spans="1:32">
      <c r="A1248" s="2" t="s">
        <v>2627</v>
      </c>
      <c r="B1248" s="3">
        <v>46208</v>
      </c>
      <c r="C1248" s="36" t="s">
        <v>2128</v>
      </c>
      <c r="D1248" s="2">
        <f>MONTH(ProductionData[[#This Row],[Month]])</f>
        <v>7</v>
      </c>
      <c r="E1248" s="2" t="s">
        <v>186</v>
      </c>
      <c r="F1248" s="2" t="s">
        <v>66</v>
      </c>
      <c r="G1248" s="2" t="s">
        <v>67</v>
      </c>
      <c r="H1248" s="2" t="s">
        <v>68</v>
      </c>
      <c r="I1248" s="2" t="s">
        <v>69</v>
      </c>
      <c r="J1248" s="2" t="s">
        <v>683</v>
      </c>
      <c r="K1248" s="2" t="s">
        <v>684</v>
      </c>
      <c r="L1248" s="2" t="s">
        <v>2628</v>
      </c>
      <c r="M1248" s="2" t="s">
        <v>99</v>
      </c>
      <c r="N1248" s="2" t="s">
        <v>88</v>
      </c>
      <c r="O1248" s="2">
        <v>16</v>
      </c>
      <c r="P1248" s="2">
        <v>15</v>
      </c>
      <c r="Q1248" s="4">
        <v>3040</v>
      </c>
      <c r="R1248" s="4">
        <v>2680</v>
      </c>
      <c r="S1248" s="4">
        <v>48</v>
      </c>
      <c r="T1248" s="19">
        <f>(ProductionData[[#This Row],[Rejected_Qty]])/ProductionData[[#This Row],[Produced_Qty]]</f>
        <v>1.7910447761194031E-2</v>
      </c>
      <c r="U1248" s="19">
        <f>ProductionData[[#This Row],[Produced_Qty]]/ProductionData[[#This Row],[Planned_Qty]]</f>
        <v>0.88157894736842102</v>
      </c>
      <c r="V1248" s="2" t="s">
        <v>75</v>
      </c>
      <c r="W1248" s="11">
        <v>0</v>
      </c>
      <c r="X1248" s="13">
        <f>W1248/60</f>
        <v>0</v>
      </c>
      <c r="Y1248" s="2" t="s">
        <v>90</v>
      </c>
      <c r="Z1248" s="2">
        <v>79</v>
      </c>
      <c r="AA1248" s="2">
        <f>ProductionData[[#This Row],[Rejected_Qty]]*ProductionData[[#This Row],[Unit_Cost_INR]]</f>
        <v>3792</v>
      </c>
      <c r="AB1248" s="4">
        <v>17566</v>
      </c>
      <c r="AC1248" s="4">
        <v>2630</v>
      </c>
      <c r="AD1248" s="4">
        <v>2630</v>
      </c>
      <c r="AE1248" s="4">
        <v>17568</v>
      </c>
      <c r="AF1248" s="4">
        <v>6750</v>
      </c>
    </row>
    <row r="1249" spans="1:32">
      <c r="A1249" s="2" t="s">
        <v>2629</v>
      </c>
      <c r="B1249" s="3">
        <v>46206</v>
      </c>
      <c r="C1249" s="36" t="s">
        <v>2128</v>
      </c>
      <c r="D1249" s="2">
        <f>MONTH(ProductionData[[#This Row],[Month]])</f>
        <v>7</v>
      </c>
      <c r="E1249" s="2" t="s">
        <v>125</v>
      </c>
      <c r="F1249" s="2" t="s">
        <v>93</v>
      </c>
      <c r="G1249" s="2" t="s">
        <v>67</v>
      </c>
      <c r="H1249" s="2" t="s">
        <v>68</v>
      </c>
      <c r="I1249" s="2" t="s">
        <v>69</v>
      </c>
      <c r="J1249" s="2" t="s">
        <v>683</v>
      </c>
      <c r="K1249" s="2" t="s">
        <v>684</v>
      </c>
      <c r="L1249" s="2" t="s">
        <v>2630</v>
      </c>
      <c r="M1249" s="2" t="s">
        <v>95</v>
      </c>
      <c r="N1249" s="2" t="s">
        <v>74</v>
      </c>
      <c r="O1249" s="2">
        <v>16</v>
      </c>
      <c r="P1249" s="2">
        <v>15</v>
      </c>
      <c r="Q1249" s="4">
        <v>4600</v>
      </c>
      <c r="R1249" s="4">
        <v>4320</v>
      </c>
      <c r="S1249" s="4">
        <v>477</v>
      </c>
      <c r="T1249" s="19">
        <f>(ProductionData[[#This Row],[Rejected_Qty]])/ProductionData[[#This Row],[Produced_Qty]]</f>
        <v>0.11041666666666666</v>
      </c>
      <c r="U1249" s="19">
        <f>ProductionData[[#This Row],[Produced_Qty]]/ProductionData[[#This Row],[Planned_Qty]]</f>
        <v>0.93913043478260871</v>
      </c>
      <c r="V1249" s="2" t="s">
        <v>113</v>
      </c>
      <c r="W1249" s="11">
        <v>59</v>
      </c>
      <c r="X1249" s="13">
        <f>W1249/60</f>
        <v>0.98333333333333328</v>
      </c>
      <c r="Y1249" s="2" t="s">
        <v>114</v>
      </c>
      <c r="Z1249" s="2">
        <v>79</v>
      </c>
      <c r="AA1249" s="2">
        <f>ProductionData[[#This Row],[Rejected_Qty]]*ProductionData[[#This Row],[Unit_Cost_INR]]</f>
        <v>37683</v>
      </c>
      <c r="AB1249" s="4">
        <v>18193</v>
      </c>
      <c r="AC1249" s="4">
        <v>4470</v>
      </c>
      <c r="AD1249" s="4">
        <v>4470</v>
      </c>
      <c r="AE1249" s="4">
        <v>17566</v>
      </c>
      <c r="AF1249" s="4">
        <v>6750</v>
      </c>
    </row>
    <row r="1250" spans="1:32">
      <c r="A1250" s="2" t="s">
        <v>2631</v>
      </c>
      <c r="B1250" s="3">
        <v>46233</v>
      </c>
      <c r="C1250" s="36" t="s">
        <v>2128</v>
      </c>
      <c r="D1250" s="2">
        <f>MONTH(ProductionData[[#This Row],[Month]])</f>
        <v>7</v>
      </c>
      <c r="E1250" s="2" t="s">
        <v>107</v>
      </c>
      <c r="F1250" s="2" t="s">
        <v>66</v>
      </c>
      <c r="G1250" s="2" t="s">
        <v>67</v>
      </c>
      <c r="H1250" s="2" t="s">
        <v>68</v>
      </c>
      <c r="I1250" s="2" t="s">
        <v>69</v>
      </c>
      <c r="J1250" s="2" t="s">
        <v>70</v>
      </c>
      <c r="K1250" s="2" t="s">
        <v>71</v>
      </c>
      <c r="L1250" s="2" t="s">
        <v>2632</v>
      </c>
      <c r="M1250" s="2" t="s">
        <v>73</v>
      </c>
      <c r="N1250" s="2" t="s">
        <v>74</v>
      </c>
      <c r="O1250" s="2">
        <v>16</v>
      </c>
      <c r="P1250" s="2">
        <v>15</v>
      </c>
      <c r="Q1250" s="4">
        <v>6960</v>
      </c>
      <c r="R1250" s="4">
        <v>6290</v>
      </c>
      <c r="S1250" s="4">
        <v>656</v>
      </c>
      <c r="T1250" s="19">
        <f>(ProductionData[[#This Row],[Rejected_Qty]])/ProductionData[[#This Row],[Produced_Qty]]</f>
        <v>0.10429252782193958</v>
      </c>
      <c r="U1250" s="19">
        <f>ProductionData[[#This Row],[Produced_Qty]]/ProductionData[[#This Row],[Planned_Qty]]</f>
        <v>0.90373563218390807</v>
      </c>
      <c r="V1250" s="2" t="s">
        <v>2284</v>
      </c>
      <c r="W1250" s="11">
        <v>0</v>
      </c>
      <c r="X1250" s="13">
        <f>W1250/60</f>
        <v>0</v>
      </c>
      <c r="Y1250" s="2" t="s">
        <v>90</v>
      </c>
      <c r="Z1250" s="2">
        <v>46</v>
      </c>
      <c r="AA1250" s="2">
        <f>ProductionData[[#This Row],[Rejected_Qty]]*ProductionData[[#This Row],[Unit_Cost_INR]]</f>
        <v>30176</v>
      </c>
      <c r="AB1250" s="4">
        <v>18668</v>
      </c>
      <c r="AC1250" s="4">
        <v>6830</v>
      </c>
      <c r="AD1250" s="4">
        <v>6830</v>
      </c>
      <c r="AE1250" s="4">
        <v>17472</v>
      </c>
      <c r="AF1250" s="4">
        <v>10500</v>
      </c>
    </row>
    <row r="1251" spans="1:32">
      <c r="A1251" s="2" t="s">
        <v>2633</v>
      </c>
      <c r="B1251" s="3">
        <v>46211</v>
      </c>
      <c r="C1251" s="36" t="s">
        <v>2128</v>
      </c>
      <c r="D1251" s="2">
        <f>MONTH(ProductionData[[#This Row],[Month]])</f>
        <v>7</v>
      </c>
      <c r="E1251" s="2" t="s">
        <v>79</v>
      </c>
      <c r="F1251" s="2" t="s">
        <v>80</v>
      </c>
      <c r="G1251" s="2" t="s">
        <v>67</v>
      </c>
      <c r="H1251" s="2" t="s">
        <v>68</v>
      </c>
      <c r="I1251" s="2" t="s">
        <v>69</v>
      </c>
      <c r="J1251" s="2" t="s">
        <v>683</v>
      </c>
      <c r="K1251" s="2" t="s">
        <v>684</v>
      </c>
      <c r="L1251" s="2" t="s">
        <v>2634</v>
      </c>
      <c r="M1251" s="2" t="s">
        <v>87</v>
      </c>
      <c r="N1251" s="2" t="s">
        <v>96</v>
      </c>
      <c r="O1251" s="2">
        <v>16</v>
      </c>
      <c r="P1251" s="2">
        <v>15</v>
      </c>
      <c r="Q1251" s="4">
        <v>4590</v>
      </c>
      <c r="R1251" s="4">
        <v>4380</v>
      </c>
      <c r="S1251" s="4">
        <v>130</v>
      </c>
      <c r="T1251" s="19">
        <f>(ProductionData[[#This Row],[Rejected_Qty]])/ProductionData[[#This Row],[Produced_Qty]]</f>
        <v>2.9680365296803651E-2</v>
      </c>
      <c r="U1251" s="19">
        <f>ProductionData[[#This Row],[Produced_Qty]]/ProductionData[[#This Row],[Planned_Qty]]</f>
        <v>0.95424836601307195</v>
      </c>
      <c r="V1251" s="2" t="s">
        <v>113</v>
      </c>
      <c r="W1251" s="11">
        <v>10</v>
      </c>
      <c r="X1251" s="13">
        <f>W1251/60</f>
        <v>0.16666666666666666</v>
      </c>
      <c r="Y1251" s="2" t="s">
        <v>136</v>
      </c>
      <c r="Z1251" s="2">
        <v>79</v>
      </c>
      <c r="AA1251" s="2">
        <f>ProductionData[[#This Row],[Rejected_Qty]]*ProductionData[[#This Row],[Unit_Cost_INR]]</f>
        <v>10270</v>
      </c>
      <c r="AB1251" s="4">
        <v>16818</v>
      </c>
      <c r="AC1251" s="4">
        <v>3880</v>
      </c>
      <c r="AD1251" s="4">
        <v>3880</v>
      </c>
      <c r="AE1251" s="4">
        <v>17188</v>
      </c>
      <c r="AF1251" s="4">
        <v>6750</v>
      </c>
    </row>
    <row r="1252" spans="1:32">
      <c r="A1252" s="2" t="s">
        <v>2635</v>
      </c>
      <c r="B1252" s="3">
        <v>46210</v>
      </c>
      <c r="C1252" s="36" t="s">
        <v>2128</v>
      </c>
      <c r="D1252" s="2">
        <f>MONTH(ProductionData[[#This Row],[Month]])</f>
        <v>7</v>
      </c>
      <c r="E1252" s="2" t="s">
        <v>92</v>
      </c>
      <c r="F1252" s="2" t="s">
        <v>80</v>
      </c>
      <c r="G1252" s="2" t="s">
        <v>67</v>
      </c>
      <c r="H1252" s="2" t="s">
        <v>68</v>
      </c>
      <c r="I1252" s="2" t="s">
        <v>69</v>
      </c>
      <c r="J1252" s="2" t="s">
        <v>683</v>
      </c>
      <c r="K1252" s="2" t="s">
        <v>684</v>
      </c>
      <c r="L1252" s="2" t="s">
        <v>2636</v>
      </c>
      <c r="M1252" s="2" t="s">
        <v>87</v>
      </c>
      <c r="N1252" s="2" t="s">
        <v>96</v>
      </c>
      <c r="O1252" s="2">
        <v>16</v>
      </c>
      <c r="P1252" s="2">
        <v>16</v>
      </c>
      <c r="Q1252" s="4">
        <v>4220</v>
      </c>
      <c r="R1252" s="4">
        <v>4080</v>
      </c>
      <c r="S1252" s="4">
        <v>81</v>
      </c>
      <c r="T1252" s="19">
        <f>(ProductionData[[#This Row],[Rejected_Qty]])/ProductionData[[#This Row],[Produced_Qty]]</f>
        <v>1.9852941176470587E-2</v>
      </c>
      <c r="U1252" s="19">
        <f>ProductionData[[#This Row],[Produced_Qty]]/ProductionData[[#This Row],[Planned_Qty]]</f>
        <v>0.96682464454976302</v>
      </c>
      <c r="V1252" s="2" t="s">
        <v>113</v>
      </c>
      <c r="W1252" s="11">
        <v>0</v>
      </c>
      <c r="X1252" s="13">
        <f>W1252/60</f>
        <v>0</v>
      </c>
      <c r="Y1252" s="2" t="s">
        <v>90</v>
      </c>
      <c r="Z1252" s="2">
        <v>79</v>
      </c>
      <c r="AA1252" s="2">
        <f>ProductionData[[#This Row],[Rejected_Qty]]*ProductionData[[#This Row],[Unit_Cost_INR]]</f>
        <v>6399</v>
      </c>
      <c r="AB1252" s="4">
        <v>16993</v>
      </c>
      <c r="AC1252" s="4">
        <v>3900</v>
      </c>
      <c r="AD1252" s="4">
        <v>3900</v>
      </c>
      <c r="AE1252" s="4">
        <v>17092</v>
      </c>
      <c r="AF1252" s="4">
        <v>6750</v>
      </c>
    </row>
    <row r="1253" spans="1:32">
      <c r="A1253" s="2" t="s">
        <v>2637</v>
      </c>
      <c r="B1253" s="3">
        <v>46209</v>
      </c>
      <c r="C1253" s="36" t="s">
        <v>2128</v>
      </c>
      <c r="D1253" s="2">
        <f>MONTH(ProductionData[[#This Row],[Month]])</f>
        <v>7</v>
      </c>
      <c r="E1253" s="2" t="s">
        <v>116</v>
      </c>
      <c r="F1253" s="2" t="s">
        <v>93</v>
      </c>
      <c r="G1253" s="2" t="s">
        <v>67</v>
      </c>
      <c r="H1253" s="2" t="s">
        <v>68</v>
      </c>
      <c r="I1253" s="2" t="s">
        <v>69</v>
      </c>
      <c r="J1253" s="2" t="s">
        <v>683</v>
      </c>
      <c r="K1253" s="2" t="s">
        <v>684</v>
      </c>
      <c r="L1253" s="2" t="s">
        <v>2638</v>
      </c>
      <c r="M1253" s="2" t="s">
        <v>95</v>
      </c>
      <c r="N1253" s="2" t="s">
        <v>74</v>
      </c>
      <c r="O1253" s="2">
        <v>16</v>
      </c>
      <c r="P1253" s="2">
        <v>12</v>
      </c>
      <c r="Q1253" s="4">
        <v>4170</v>
      </c>
      <c r="R1253" s="4">
        <v>3580</v>
      </c>
      <c r="S1253" s="4">
        <v>430</v>
      </c>
      <c r="T1253" s="19">
        <f>(ProductionData[[#This Row],[Rejected_Qty]])/ProductionData[[#This Row],[Produced_Qty]]</f>
        <v>0.12011173184357542</v>
      </c>
      <c r="U1253" s="19">
        <f>ProductionData[[#This Row],[Produced_Qty]]/ProductionData[[#This Row],[Planned_Qty]]</f>
        <v>0.85851318944844124</v>
      </c>
      <c r="V1253" s="2" t="s">
        <v>2284</v>
      </c>
      <c r="W1253" s="11">
        <v>0</v>
      </c>
      <c r="X1253" s="13">
        <f>W1253/60</f>
        <v>0</v>
      </c>
      <c r="Y1253" s="2" t="s">
        <v>90</v>
      </c>
      <c r="Z1253" s="2">
        <v>79</v>
      </c>
      <c r="AA1253" s="2">
        <f>ProductionData[[#This Row],[Rejected_Qty]]*ProductionData[[#This Row],[Unit_Cost_INR]]</f>
        <v>33970</v>
      </c>
      <c r="AB1253" s="4">
        <v>17833</v>
      </c>
      <c r="AC1253" s="4">
        <v>3990</v>
      </c>
      <c r="AD1253" s="4">
        <v>3990</v>
      </c>
      <c r="AE1253" s="4">
        <v>16993</v>
      </c>
      <c r="AF1253" s="4">
        <v>6750</v>
      </c>
    </row>
    <row r="1254" spans="1:32">
      <c r="A1254" s="2" t="s">
        <v>2639</v>
      </c>
      <c r="B1254" s="3">
        <v>46211</v>
      </c>
      <c r="C1254" s="36" t="s">
        <v>2128</v>
      </c>
      <c r="D1254" s="2">
        <f>MONTH(ProductionData[[#This Row],[Month]])</f>
        <v>7</v>
      </c>
      <c r="E1254" s="2" t="s">
        <v>79</v>
      </c>
      <c r="F1254" s="2" t="s">
        <v>66</v>
      </c>
      <c r="G1254" s="2" t="s">
        <v>67</v>
      </c>
      <c r="H1254" s="2" t="s">
        <v>68</v>
      </c>
      <c r="I1254" s="2" t="s">
        <v>69</v>
      </c>
      <c r="J1254" s="2" t="s">
        <v>683</v>
      </c>
      <c r="K1254" s="2" t="s">
        <v>684</v>
      </c>
      <c r="L1254" s="2" t="s">
        <v>2640</v>
      </c>
      <c r="M1254" s="2" t="s">
        <v>73</v>
      </c>
      <c r="N1254" s="2" t="s">
        <v>74</v>
      </c>
      <c r="O1254" s="2">
        <v>16</v>
      </c>
      <c r="P1254" s="2">
        <v>15</v>
      </c>
      <c r="Q1254" s="4">
        <v>4540</v>
      </c>
      <c r="R1254" s="4">
        <v>4200</v>
      </c>
      <c r="S1254" s="4">
        <v>464</v>
      </c>
      <c r="T1254" s="19">
        <f>(ProductionData[[#This Row],[Rejected_Qty]])/ProductionData[[#This Row],[Produced_Qty]]</f>
        <v>0.11047619047619048</v>
      </c>
      <c r="U1254" s="19">
        <f>ProductionData[[#This Row],[Produced_Qty]]/ProductionData[[#This Row],[Planned_Qty]]</f>
        <v>0.92511013215859028</v>
      </c>
      <c r="V1254" s="2" t="s">
        <v>2284</v>
      </c>
      <c r="W1254" s="11">
        <v>0</v>
      </c>
      <c r="X1254" s="13">
        <f>W1254/60</f>
        <v>0</v>
      </c>
      <c r="Y1254" s="2" t="s">
        <v>90</v>
      </c>
      <c r="Z1254" s="2">
        <v>79</v>
      </c>
      <c r="AA1254" s="2">
        <f>ProductionData[[#This Row],[Rejected_Qty]]*ProductionData[[#This Row],[Unit_Cost_INR]]</f>
        <v>36656</v>
      </c>
      <c r="AB1254" s="4">
        <v>17092</v>
      </c>
      <c r="AC1254" s="4">
        <v>4010</v>
      </c>
      <c r="AD1254" s="4">
        <v>4010</v>
      </c>
      <c r="AE1254" s="4">
        <v>16818</v>
      </c>
      <c r="AF1254" s="4">
        <v>6750</v>
      </c>
    </row>
    <row r="1255" spans="1:32">
      <c r="A1255" s="2" t="s">
        <v>2641</v>
      </c>
      <c r="B1255" s="3">
        <v>46220</v>
      </c>
      <c r="C1255" s="36" t="s">
        <v>2128</v>
      </c>
      <c r="D1255" s="2">
        <f>MONTH(ProductionData[[#This Row],[Month]])</f>
        <v>7</v>
      </c>
      <c r="E1255" s="2" t="s">
        <v>125</v>
      </c>
      <c r="F1255" s="2" t="s">
        <v>93</v>
      </c>
      <c r="G1255" s="2" t="s">
        <v>67</v>
      </c>
      <c r="H1255" s="2" t="s">
        <v>68</v>
      </c>
      <c r="I1255" s="2" t="s">
        <v>69</v>
      </c>
      <c r="J1255" s="2" t="s">
        <v>403</v>
      </c>
      <c r="K1255" s="2" t="s">
        <v>404</v>
      </c>
      <c r="L1255" s="2" t="s">
        <v>2642</v>
      </c>
      <c r="M1255" s="2" t="s">
        <v>95</v>
      </c>
      <c r="N1255" s="2" t="s">
        <v>74</v>
      </c>
      <c r="O1255" s="2">
        <v>16</v>
      </c>
      <c r="P1255" s="2">
        <v>12</v>
      </c>
      <c r="Q1255" s="4">
        <v>5260</v>
      </c>
      <c r="R1255" s="4">
        <v>4410</v>
      </c>
      <c r="S1255" s="4">
        <v>577</v>
      </c>
      <c r="T1255" s="19">
        <f>(ProductionData[[#This Row],[Rejected_Qty]])/ProductionData[[#This Row],[Produced_Qty]]</f>
        <v>0.1308390022675737</v>
      </c>
      <c r="U1255" s="19">
        <f>ProductionData[[#This Row],[Produced_Qty]]/ProductionData[[#This Row],[Planned_Qty]]</f>
        <v>0.83840304182509506</v>
      </c>
      <c r="V1255" s="2" t="s">
        <v>2284</v>
      </c>
      <c r="W1255" s="11">
        <v>0</v>
      </c>
      <c r="X1255" s="13">
        <f>W1255/60</f>
        <v>0</v>
      </c>
      <c r="Y1255" s="2" t="s">
        <v>90</v>
      </c>
      <c r="Z1255" s="2">
        <v>58</v>
      </c>
      <c r="AA1255" s="2">
        <f>ProductionData[[#This Row],[Rejected_Qty]]*ProductionData[[#This Row],[Unit_Cost_INR]]</f>
        <v>33466</v>
      </c>
      <c r="AB1255" s="4">
        <v>18042</v>
      </c>
      <c r="AC1255" s="4">
        <v>5230</v>
      </c>
      <c r="AD1255" s="4">
        <v>5230</v>
      </c>
      <c r="AE1255" s="4">
        <v>16645</v>
      </c>
      <c r="AF1255" s="4">
        <v>9000</v>
      </c>
    </row>
    <row r="1256" spans="1:32">
      <c r="A1256" s="2" t="s">
        <v>2643</v>
      </c>
      <c r="B1256" s="3">
        <v>46210</v>
      </c>
      <c r="C1256" s="36" t="s">
        <v>2128</v>
      </c>
      <c r="D1256" s="2">
        <f>MONTH(ProductionData[[#This Row],[Month]])</f>
        <v>7</v>
      </c>
      <c r="E1256" s="2" t="s">
        <v>92</v>
      </c>
      <c r="F1256" s="2" t="s">
        <v>80</v>
      </c>
      <c r="G1256" s="2" t="s">
        <v>174</v>
      </c>
      <c r="H1256" s="2" t="s">
        <v>175</v>
      </c>
      <c r="I1256" s="2" t="s">
        <v>176</v>
      </c>
      <c r="J1256" s="2" t="s">
        <v>629</v>
      </c>
      <c r="K1256" s="2" t="s">
        <v>630</v>
      </c>
      <c r="L1256" s="2" t="s">
        <v>2644</v>
      </c>
      <c r="M1256" s="2" t="s">
        <v>87</v>
      </c>
      <c r="N1256" s="2" t="s">
        <v>96</v>
      </c>
      <c r="O1256" s="2">
        <v>10</v>
      </c>
      <c r="P1256" s="2">
        <v>10</v>
      </c>
      <c r="Q1256" s="4">
        <v>4950</v>
      </c>
      <c r="R1256" s="4">
        <v>4820</v>
      </c>
      <c r="S1256" s="4">
        <v>169</v>
      </c>
      <c r="T1256" s="19">
        <f>(ProductionData[[#This Row],[Rejected_Qty]])/ProductionData[[#This Row],[Produced_Qty]]</f>
        <v>3.5062240663900415E-2</v>
      </c>
      <c r="U1256" s="19">
        <f>ProductionData[[#This Row],[Produced_Qty]]/ProductionData[[#This Row],[Planned_Qty]]</f>
        <v>0.97373737373737379</v>
      </c>
      <c r="V1256" s="2" t="s">
        <v>89</v>
      </c>
      <c r="W1256" s="11">
        <v>0</v>
      </c>
      <c r="X1256" s="13">
        <f>W1256/60</f>
        <v>0</v>
      </c>
      <c r="Y1256" s="2" t="s">
        <v>90</v>
      </c>
      <c r="Z1256" s="2">
        <v>29</v>
      </c>
      <c r="AA1256" s="2">
        <f>ProductionData[[#This Row],[Rejected_Qty]]*ProductionData[[#This Row],[Unit_Cost_INR]]</f>
        <v>4901</v>
      </c>
      <c r="AB1256" s="4">
        <v>15823</v>
      </c>
      <c r="AC1256" s="4">
        <v>3920</v>
      </c>
      <c r="AD1256" s="4">
        <v>3920</v>
      </c>
      <c r="AE1256" s="4">
        <v>16554</v>
      </c>
      <c r="AF1256" s="4">
        <v>7500</v>
      </c>
    </row>
    <row r="1257" spans="1:32">
      <c r="A1257" s="2" t="s">
        <v>2645</v>
      </c>
      <c r="B1257" s="3">
        <v>46211</v>
      </c>
      <c r="C1257" s="36" t="s">
        <v>2128</v>
      </c>
      <c r="D1257" s="2">
        <f>MONTH(ProductionData[[#This Row],[Month]])</f>
        <v>7</v>
      </c>
      <c r="E1257" s="2" t="s">
        <v>79</v>
      </c>
      <c r="F1257" s="2" t="s">
        <v>93</v>
      </c>
      <c r="G1257" s="2" t="s">
        <v>67</v>
      </c>
      <c r="H1257" s="2" t="s">
        <v>68</v>
      </c>
      <c r="I1257" s="2" t="s">
        <v>69</v>
      </c>
      <c r="J1257" s="2" t="s">
        <v>683</v>
      </c>
      <c r="K1257" s="2" t="s">
        <v>684</v>
      </c>
      <c r="L1257" s="2" t="s">
        <v>2646</v>
      </c>
      <c r="M1257" s="2" t="s">
        <v>133</v>
      </c>
      <c r="N1257" s="2" t="s">
        <v>74</v>
      </c>
      <c r="O1257" s="2">
        <v>16</v>
      </c>
      <c r="P1257" s="2">
        <v>12</v>
      </c>
      <c r="Q1257" s="4">
        <v>4390</v>
      </c>
      <c r="R1257" s="4">
        <v>3680</v>
      </c>
      <c r="S1257" s="4">
        <v>307</v>
      </c>
      <c r="T1257" s="19">
        <f>(ProductionData[[#This Row],[Rejected_Qty]])/ProductionData[[#This Row],[Produced_Qty]]</f>
        <v>8.3423913043478265E-2</v>
      </c>
      <c r="U1257" s="19">
        <f>ProductionData[[#This Row],[Produced_Qty]]/ProductionData[[#This Row],[Planned_Qty]]</f>
        <v>0.8382687927107062</v>
      </c>
      <c r="V1257" s="2" t="s">
        <v>2284</v>
      </c>
      <c r="W1257" s="11">
        <v>0</v>
      </c>
      <c r="X1257" s="13">
        <f>W1257/60</f>
        <v>0</v>
      </c>
      <c r="Y1257" s="2" t="s">
        <v>90</v>
      </c>
      <c r="Z1257" s="2">
        <v>79</v>
      </c>
      <c r="AA1257" s="2">
        <f>ProductionData[[#This Row],[Rejected_Qty]]*ProductionData[[#This Row],[Unit_Cost_INR]]</f>
        <v>24253</v>
      </c>
      <c r="AB1257" s="4">
        <v>17188</v>
      </c>
      <c r="AC1257" s="4">
        <v>4130</v>
      </c>
      <c r="AD1257" s="4">
        <v>4130</v>
      </c>
      <c r="AE1257" s="4">
        <v>16431</v>
      </c>
      <c r="AF1257" s="4">
        <v>6750</v>
      </c>
    </row>
    <row r="1258" spans="1:32">
      <c r="A1258" s="2" t="s">
        <v>2647</v>
      </c>
      <c r="B1258" s="3">
        <v>46210</v>
      </c>
      <c r="C1258" s="36" t="s">
        <v>2128</v>
      </c>
      <c r="D1258" s="2">
        <f>MONTH(ProductionData[[#This Row],[Month]])</f>
        <v>7</v>
      </c>
      <c r="E1258" s="2" t="s">
        <v>92</v>
      </c>
      <c r="F1258" s="2" t="s">
        <v>93</v>
      </c>
      <c r="G1258" s="2" t="s">
        <v>174</v>
      </c>
      <c r="H1258" s="2" t="s">
        <v>175</v>
      </c>
      <c r="I1258" s="2" t="s">
        <v>176</v>
      </c>
      <c r="J1258" s="2" t="s">
        <v>629</v>
      </c>
      <c r="K1258" s="2" t="s">
        <v>630</v>
      </c>
      <c r="L1258" s="2" t="s">
        <v>2648</v>
      </c>
      <c r="M1258" s="2" t="s">
        <v>133</v>
      </c>
      <c r="N1258" s="2" t="s">
        <v>88</v>
      </c>
      <c r="O1258" s="2">
        <v>10</v>
      </c>
      <c r="P1258" s="2">
        <v>9</v>
      </c>
      <c r="Q1258" s="4">
        <v>4600</v>
      </c>
      <c r="R1258" s="4">
        <v>4170</v>
      </c>
      <c r="S1258" s="4">
        <v>76</v>
      </c>
      <c r="T1258" s="19">
        <f>(ProductionData[[#This Row],[Rejected_Qty]])/ProductionData[[#This Row],[Produced_Qty]]</f>
        <v>1.8225419664268584E-2</v>
      </c>
      <c r="U1258" s="19">
        <f>ProductionData[[#This Row],[Produced_Qty]]/ProductionData[[#This Row],[Planned_Qty]]</f>
        <v>0.90652173913043477</v>
      </c>
      <c r="V1258" s="2" t="s">
        <v>75</v>
      </c>
      <c r="W1258" s="11">
        <v>0</v>
      </c>
      <c r="X1258" s="13">
        <f>W1258/60</f>
        <v>0</v>
      </c>
      <c r="Y1258" s="2" t="s">
        <v>90</v>
      </c>
      <c r="Z1258" s="2">
        <v>29</v>
      </c>
      <c r="AA1258" s="2">
        <f>ProductionData[[#This Row],[Rejected_Qty]]*ProductionData[[#This Row],[Unit_Cost_INR]]</f>
        <v>2204</v>
      </c>
      <c r="AB1258" s="4">
        <v>16554</v>
      </c>
      <c r="AC1258" s="4">
        <v>4390</v>
      </c>
      <c r="AD1258" s="4">
        <v>4390</v>
      </c>
      <c r="AE1258" s="4">
        <v>16258</v>
      </c>
      <c r="AF1258" s="4">
        <v>7500</v>
      </c>
    </row>
    <row r="1259" spans="1:32">
      <c r="A1259" s="2" t="s">
        <v>2649</v>
      </c>
      <c r="B1259" s="3">
        <v>46212</v>
      </c>
      <c r="C1259" s="36" t="s">
        <v>2128</v>
      </c>
      <c r="D1259" s="2">
        <f>MONTH(ProductionData[[#This Row],[Month]])</f>
        <v>7</v>
      </c>
      <c r="E1259" s="2" t="s">
        <v>107</v>
      </c>
      <c r="F1259" s="2" t="s">
        <v>80</v>
      </c>
      <c r="G1259" s="2" t="s">
        <v>174</v>
      </c>
      <c r="H1259" s="2" t="s">
        <v>175</v>
      </c>
      <c r="I1259" s="2" t="s">
        <v>176</v>
      </c>
      <c r="J1259" s="2" t="s">
        <v>629</v>
      </c>
      <c r="K1259" s="2" t="s">
        <v>630</v>
      </c>
      <c r="L1259" s="2" t="s">
        <v>2650</v>
      </c>
      <c r="M1259" s="2" t="s">
        <v>102</v>
      </c>
      <c r="N1259" s="2" t="s">
        <v>96</v>
      </c>
      <c r="O1259" s="2">
        <v>10</v>
      </c>
      <c r="P1259" s="2">
        <v>9</v>
      </c>
      <c r="Q1259" s="4">
        <v>5000</v>
      </c>
      <c r="R1259" s="4">
        <v>4850</v>
      </c>
      <c r="S1259" s="4">
        <v>138</v>
      </c>
      <c r="T1259" s="19">
        <f>(ProductionData[[#This Row],[Rejected_Qty]])/ProductionData[[#This Row],[Produced_Qty]]</f>
        <v>2.8453608247422681E-2</v>
      </c>
      <c r="U1259" s="19">
        <f>ProductionData[[#This Row],[Produced_Qty]]/ProductionData[[#This Row],[Planned_Qty]]</f>
        <v>0.97</v>
      </c>
      <c r="V1259" s="2" t="s">
        <v>89</v>
      </c>
      <c r="W1259" s="11">
        <v>0</v>
      </c>
      <c r="X1259" s="13">
        <f>W1259/60</f>
        <v>0</v>
      </c>
      <c r="Y1259" s="2" t="s">
        <v>90</v>
      </c>
      <c r="Z1259" s="2">
        <v>29</v>
      </c>
      <c r="AA1259" s="2">
        <f>ProductionData[[#This Row],[Rejected_Qty]]*ProductionData[[#This Row],[Unit_Cost_INR]]</f>
        <v>4002</v>
      </c>
      <c r="AB1259" s="4">
        <v>15528</v>
      </c>
      <c r="AC1259" s="4">
        <v>4200</v>
      </c>
      <c r="AD1259" s="4">
        <v>4200</v>
      </c>
      <c r="AE1259" s="4">
        <v>16040</v>
      </c>
      <c r="AF1259" s="4">
        <v>7500</v>
      </c>
    </row>
    <row r="1260" spans="1:32">
      <c r="A1260" s="2" t="s">
        <v>2651</v>
      </c>
      <c r="B1260" s="3">
        <v>46214</v>
      </c>
      <c r="C1260" s="36" t="s">
        <v>2128</v>
      </c>
      <c r="D1260" s="2">
        <f>MONTH(ProductionData[[#This Row],[Month]])</f>
        <v>7</v>
      </c>
      <c r="E1260" s="2" t="s">
        <v>65</v>
      </c>
      <c r="F1260" s="2" t="s">
        <v>66</v>
      </c>
      <c r="G1260" s="2" t="s">
        <v>174</v>
      </c>
      <c r="H1260" s="2" t="s">
        <v>175</v>
      </c>
      <c r="I1260" s="2" t="s">
        <v>176</v>
      </c>
      <c r="J1260" s="2" t="s">
        <v>629</v>
      </c>
      <c r="K1260" s="2" t="s">
        <v>630</v>
      </c>
      <c r="L1260" s="2" t="s">
        <v>2652</v>
      </c>
      <c r="M1260" s="2" t="s">
        <v>99</v>
      </c>
      <c r="N1260" s="2" t="s">
        <v>88</v>
      </c>
      <c r="O1260" s="2">
        <v>10</v>
      </c>
      <c r="P1260" s="2">
        <v>10</v>
      </c>
      <c r="Q1260" s="4">
        <v>4950</v>
      </c>
      <c r="R1260" s="4">
        <v>4700</v>
      </c>
      <c r="S1260" s="4">
        <v>84</v>
      </c>
      <c r="T1260" s="19">
        <f>(ProductionData[[#This Row],[Rejected_Qty]])/ProductionData[[#This Row],[Produced_Qty]]</f>
        <v>1.7872340425531916E-2</v>
      </c>
      <c r="U1260" s="19">
        <f>ProductionData[[#This Row],[Produced_Qty]]/ProductionData[[#This Row],[Planned_Qty]]</f>
        <v>0.9494949494949495</v>
      </c>
      <c r="V1260" s="2" t="s">
        <v>109</v>
      </c>
      <c r="W1260" s="11">
        <v>0</v>
      </c>
      <c r="X1260" s="13">
        <f>W1260/60</f>
        <v>0</v>
      </c>
      <c r="Y1260" s="2" t="s">
        <v>90</v>
      </c>
      <c r="Z1260" s="2">
        <v>29</v>
      </c>
      <c r="AA1260" s="2">
        <f>ProductionData[[#This Row],[Rejected_Qty]]*ProductionData[[#This Row],[Unit_Cost_INR]]</f>
        <v>2436</v>
      </c>
      <c r="AB1260" s="4">
        <v>15674</v>
      </c>
      <c r="AC1260" s="4">
        <v>4350</v>
      </c>
      <c r="AD1260" s="4">
        <v>4350</v>
      </c>
      <c r="AE1260" s="4">
        <v>15940</v>
      </c>
      <c r="AF1260" s="4">
        <v>7500</v>
      </c>
    </row>
    <row r="1261" spans="1:32">
      <c r="A1261" s="2" t="s">
        <v>2653</v>
      </c>
      <c r="B1261" s="3">
        <v>46212</v>
      </c>
      <c r="C1261" s="36" t="s">
        <v>2128</v>
      </c>
      <c r="D1261" s="2">
        <f>MONTH(ProductionData[[#This Row],[Month]])</f>
        <v>7</v>
      </c>
      <c r="E1261" s="2" t="s">
        <v>107</v>
      </c>
      <c r="F1261" s="2" t="s">
        <v>66</v>
      </c>
      <c r="G1261" s="2" t="s">
        <v>67</v>
      </c>
      <c r="H1261" s="2" t="s">
        <v>68</v>
      </c>
      <c r="I1261" s="2" t="s">
        <v>69</v>
      </c>
      <c r="J1261" s="2" t="s">
        <v>683</v>
      </c>
      <c r="K1261" s="2" t="s">
        <v>684</v>
      </c>
      <c r="L1261" s="2" t="s">
        <v>2654</v>
      </c>
      <c r="M1261" s="2" t="s">
        <v>73</v>
      </c>
      <c r="N1261" s="2" t="s">
        <v>88</v>
      </c>
      <c r="O1261" s="2">
        <v>16</v>
      </c>
      <c r="P1261" s="2">
        <v>16</v>
      </c>
      <c r="Q1261" s="4">
        <v>4440</v>
      </c>
      <c r="R1261" s="4">
        <v>4000</v>
      </c>
      <c r="S1261" s="4">
        <v>115</v>
      </c>
      <c r="T1261" s="19">
        <f>(ProductionData[[#This Row],[Rejected_Qty]])/ProductionData[[#This Row],[Produced_Qty]]</f>
        <v>2.8750000000000001E-2</v>
      </c>
      <c r="U1261" s="19">
        <f>ProductionData[[#This Row],[Produced_Qty]]/ProductionData[[#This Row],[Planned_Qty]]</f>
        <v>0.90090090090090091</v>
      </c>
      <c r="V1261" s="2" t="s">
        <v>103</v>
      </c>
      <c r="W1261" s="11">
        <v>0</v>
      </c>
      <c r="X1261" s="13">
        <f>W1261/60</f>
        <v>0</v>
      </c>
      <c r="Y1261" s="2" t="s">
        <v>90</v>
      </c>
      <c r="Z1261" s="2">
        <v>79</v>
      </c>
      <c r="AA1261" s="2">
        <f>ProductionData[[#This Row],[Rejected_Qty]]*ProductionData[[#This Row],[Unit_Cost_INR]]</f>
        <v>9085</v>
      </c>
      <c r="AB1261" s="4">
        <v>16431</v>
      </c>
      <c r="AC1261" s="4">
        <v>4400</v>
      </c>
      <c r="AD1261" s="4">
        <v>4400</v>
      </c>
      <c r="AE1261" s="4">
        <v>15916</v>
      </c>
      <c r="AF1261" s="4">
        <v>6750</v>
      </c>
    </row>
    <row r="1262" spans="1:32">
      <c r="A1262" s="2" t="s">
        <v>2655</v>
      </c>
      <c r="B1262" s="3">
        <v>46210</v>
      </c>
      <c r="C1262" s="36" t="s">
        <v>2128</v>
      </c>
      <c r="D1262" s="2">
        <f>MONTH(ProductionData[[#This Row],[Month]])</f>
        <v>7</v>
      </c>
      <c r="E1262" s="2" t="s">
        <v>92</v>
      </c>
      <c r="F1262" s="2" t="s">
        <v>66</v>
      </c>
      <c r="G1262" s="2" t="s">
        <v>174</v>
      </c>
      <c r="H1262" s="2" t="s">
        <v>175</v>
      </c>
      <c r="I1262" s="2" t="s">
        <v>176</v>
      </c>
      <c r="J1262" s="2" t="s">
        <v>629</v>
      </c>
      <c r="K1262" s="2" t="s">
        <v>630</v>
      </c>
      <c r="L1262" s="2" t="s">
        <v>2656</v>
      </c>
      <c r="M1262" s="2" t="s">
        <v>99</v>
      </c>
      <c r="N1262" s="2" t="s">
        <v>96</v>
      </c>
      <c r="O1262" s="2">
        <v>10</v>
      </c>
      <c r="P1262" s="2">
        <v>10</v>
      </c>
      <c r="Q1262" s="4">
        <v>4690</v>
      </c>
      <c r="R1262" s="4">
        <v>4630</v>
      </c>
      <c r="S1262" s="4">
        <v>111</v>
      </c>
      <c r="T1262" s="19">
        <f>(ProductionData[[#This Row],[Rejected_Qty]])/ProductionData[[#This Row],[Produced_Qty]]</f>
        <v>2.3974082073434124E-2</v>
      </c>
      <c r="U1262" s="19">
        <f>ProductionData[[#This Row],[Produced_Qty]]/ProductionData[[#This Row],[Planned_Qty]]</f>
        <v>0.98720682302771856</v>
      </c>
      <c r="V1262" s="2" t="s">
        <v>113</v>
      </c>
      <c r="W1262" s="11">
        <v>0</v>
      </c>
      <c r="X1262" s="13">
        <f>W1262/60</f>
        <v>0</v>
      </c>
      <c r="Y1262" s="2" t="s">
        <v>90</v>
      </c>
      <c r="Z1262" s="2">
        <v>29</v>
      </c>
      <c r="AA1262" s="2">
        <f>ProductionData[[#This Row],[Rejected_Qty]]*ProductionData[[#This Row],[Unit_Cost_INR]]</f>
        <v>3219</v>
      </c>
      <c r="AB1262" s="4">
        <v>15534</v>
      </c>
      <c r="AC1262" s="4">
        <v>4230</v>
      </c>
      <c r="AD1262" s="4">
        <v>4230</v>
      </c>
      <c r="AE1262" s="4">
        <v>15823</v>
      </c>
      <c r="AF1262" s="4">
        <v>7500</v>
      </c>
    </row>
    <row r="1263" spans="1:32">
      <c r="A1263" s="2" t="s">
        <v>2657</v>
      </c>
      <c r="B1263" s="3">
        <v>46204</v>
      </c>
      <c r="C1263" s="36" t="s">
        <v>2128</v>
      </c>
      <c r="D1263" s="2">
        <f>MONTH(ProductionData[[#This Row],[Month]])</f>
        <v>7</v>
      </c>
      <c r="E1263" s="2" t="s">
        <v>79</v>
      </c>
      <c r="F1263" s="2" t="s">
        <v>93</v>
      </c>
      <c r="G1263" s="2" t="s">
        <v>174</v>
      </c>
      <c r="H1263" s="2" t="s">
        <v>175</v>
      </c>
      <c r="I1263" s="2" t="s">
        <v>176</v>
      </c>
      <c r="J1263" s="2" t="s">
        <v>629</v>
      </c>
      <c r="K1263" s="2" t="s">
        <v>630</v>
      </c>
      <c r="L1263" s="2" t="s">
        <v>2658</v>
      </c>
      <c r="M1263" s="2" t="s">
        <v>133</v>
      </c>
      <c r="N1263" s="2" t="s">
        <v>96</v>
      </c>
      <c r="O1263" s="2">
        <v>10</v>
      </c>
      <c r="P1263" s="2">
        <v>10</v>
      </c>
      <c r="Q1263" s="4">
        <v>4890</v>
      </c>
      <c r="R1263" s="4">
        <v>4750</v>
      </c>
      <c r="S1263" s="4">
        <v>77</v>
      </c>
      <c r="T1263" s="19">
        <f>(ProductionData[[#This Row],[Rejected_Qty]])/ProductionData[[#This Row],[Produced_Qty]]</f>
        <v>1.6210526315789474E-2</v>
      </c>
      <c r="U1263" s="19">
        <f>ProductionData[[#This Row],[Produced_Qty]]/ProductionData[[#This Row],[Planned_Qty]]</f>
        <v>0.97137014314928427</v>
      </c>
      <c r="V1263" s="2" t="s">
        <v>75</v>
      </c>
      <c r="W1263" s="11">
        <v>0</v>
      </c>
      <c r="X1263" s="13">
        <f>W1263/60</f>
        <v>0</v>
      </c>
      <c r="Y1263" s="2" t="s">
        <v>90</v>
      </c>
      <c r="Z1263" s="2">
        <v>29</v>
      </c>
      <c r="AA1263" s="2">
        <f>ProductionData[[#This Row],[Rejected_Qty]]*ProductionData[[#This Row],[Unit_Cost_INR]]</f>
        <v>2233</v>
      </c>
      <c r="AB1263" s="4">
        <v>16221</v>
      </c>
      <c r="AC1263" s="4">
        <v>5130</v>
      </c>
      <c r="AD1263" s="4">
        <v>5130</v>
      </c>
      <c r="AE1263" s="4">
        <v>15764</v>
      </c>
      <c r="AF1263" s="4">
        <v>7500</v>
      </c>
    </row>
    <row r="1264" spans="1:32">
      <c r="A1264" s="2" t="s">
        <v>2659</v>
      </c>
      <c r="B1264" s="3">
        <v>46226</v>
      </c>
      <c r="C1264" s="36" t="s">
        <v>2128</v>
      </c>
      <c r="D1264" s="2">
        <f>MONTH(ProductionData[[#This Row],[Month]])</f>
        <v>7</v>
      </c>
      <c r="E1264" s="2" t="s">
        <v>107</v>
      </c>
      <c r="F1264" s="2" t="s">
        <v>93</v>
      </c>
      <c r="G1264" s="2" t="s">
        <v>67</v>
      </c>
      <c r="H1264" s="2" t="s">
        <v>68</v>
      </c>
      <c r="I1264" s="2" t="s">
        <v>69</v>
      </c>
      <c r="J1264" s="2" t="s">
        <v>403</v>
      </c>
      <c r="K1264" s="2" t="s">
        <v>404</v>
      </c>
      <c r="L1264" s="2" t="s">
        <v>2660</v>
      </c>
      <c r="M1264" s="2" t="s">
        <v>95</v>
      </c>
      <c r="N1264" s="2" t="s">
        <v>74</v>
      </c>
      <c r="O1264" s="2">
        <v>16</v>
      </c>
      <c r="P1264" s="2">
        <v>15</v>
      </c>
      <c r="Q1264" s="4">
        <v>5350</v>
      </c>
      <c r="R1264" s="4">
        <v>5020</v>
      </c>
      <c r="S1264" s="4">
        <v>519</v>
      </c>
      <c r="T1264" s="19">
        <f>(ProductionData[[#This Row],[Rejected_Qty]])/ProductionData[[#This Row],[Produced_Qty]]</f>
        <v>0.10338645418326693</v>
      </c>
      <c r="U1264" s="19">
        <f>ProductionData[[#This Row],[Produced_Qty]]/ProductionData[[#This Row],[Planned_Qty]]</f>
        <v>0.93831775700934583</v>
      </c>
      <c r="V1264" s="2" t="s">
        <v>113</v>
      </c>
      <c r="W1264" s="11">
        <v>53</v>
      </c>
      <c r="X1264" s="13">
        <f>W1264/60</f>
        <v>0.8833333333333333</v>
      </c>
      <c r="Y1264" s="2" t="s">
        <v>76</v>
      </c>
      <c r="Z1264" s="2">
        <v>58</v>
      </c>
      <c r="AA1264" s="2">
        <f>ProductionData[[#This Row],[Rejected_Qty]]*ProductionData[[#This Row],[Unit_Cost_INR]]</f>
        <v>30102</v>
      </c>
      <c r="AB1264" s="4">
        <v>15677</v>
      </c>
      <c r="AC1264" s="4">
        <v>4470</v>
      </c>
      <c r="AD1264" s="4">
        <v>4470</v>
      </c>
      <c r="AE1264" s="4">
        <v>15708</v>
      </c>
      <c r="AF1264" s="4">
        <v>9000</v>
      </c>
    </row>
    <row r="1265" spans="1:32">
      <c r="A1265" s="2" t="s">
        <v>2661</v>
      </c>
      <c r="B1265" s="3">
        <v>46207</v>
      </c>
      <c r="C1265" s="36" t="s">
        <v>2128</v>
      </c>
      <c r="D1265" s="2">
        <f>MONTH(ProductionData[[#This Row],[Month]])</f>
        <v>7</v>
      </c>
      <c r="E1265" s="2" t="s">
        <v>65</v>
      </c>
      <c r="F1265" s="2" t="s">
        <v>80</v>
      </c>
      <c r="G1265" s="2" t="s">
        <v>174</v>
      </c>
      <c r="H1265" s="2" t="s">
        <v>175</v>
      </c>
      <c r="I1265" s="2" t="s">
        <v>176</v>
      </c>
      <c r="J1265" s="2" t="s">
        <v>629</v>
      </c>
      <c r="K1265" s="2" t="s">
        <v>630</v>
      </c>
      <c r="L1265" s="2" t="s">
        <v>2662</v>
      </c>
      <c r="M1265" s="2" t="s">
        <v>102</v>
      </c>
      <c r="N1265" s="2" t="s">
        <v>88</v>
      </c>
      <c r="O1265" s="2">
        <v>10</v>
      </c>
      <c r="P1265" s="2">
        <v>10</v>
      </c>
      <c r="Q1265" s="4">
        <v>5090</v>
      </c>
      <c r="R1265" s="4">
        <v>5120</v>
      </c>
      <c r="S1265" s="4">
        <v>136</v>
      </c>
      <c r="T1265" s="19">
        <f>(ProductionData[[#This Row],[Rejected_Qty]])/ProductionData[[#This Row],[Produced_Qty]]</f>
        <v>2.6562499999999999E-2</v>
      </c>
      <c r="U1265" s="19">
        <f>ProductionData[[#This Row],[Produced_Qty]]/ProductionData[[#This Row],[Planned_Qty]]</f>
        <v>1.005893909626719</v>
      </c>
      <c r="V1265" s="2" t="s">
        <v>113</v>
      </c>
      <c r="W1265" s="11">
        <v>0</v>
      </c>
      <c r="X1265" s="13">
        <f>W1265/60</f>
        <v>0</v>
      </c>
      <c r="Y1265" s="2" t="s">
        <v>90</v>
      </c>
      <c r="Z1265" s="2">
        <v>29</v>
      </c>
      <c r="AA1265" s="2">
        <f>ProductionData[[#This Row],[Rejected_Qty]]*ProductionData[[#This Row],[Unit_Cost_INR]]</f>
        <v>3944</v>
      </c>
      <c r="AB1265" s="4">
        <v>15764</v>
      </c>
      <c r="AC1265" s="4">
        <v>5060</v>
      </c>
      <c r="AD1265" s="4">
        <v>5060</v>
      </c>
      <c r="AE1265" s="4">
        <v>15688</v>
      </c>
      <c r="AF1265" s="4">
        <v>7500</v>
      </c>
    </row>
    <row r="1266" spans="1:32">
      <c r="A1266" s="2" t="s">
        <v>2663</v>
      </c>
      <c r="B1266" s="3">
        <v>46225</v>
      </c>
      <c r="C1266" s="36" t="s">
        <v>2128</v>
      </c>
      <c r="D1266" s="2">
        <f>MONTH(ProductionData[[#This Row],[Month]])</f>
        <v>7</v>
      </c>
      <c r="E1266" s="2" t="s">
        <v>79</v>
      </c>
      <c r="F1266" s="2" t="s">
        <v>66</v>
      </c>
      <c r="G1266" s="2" t="s">
        <v>67</v>
      </c>
      <c r="H1266" s="2" t="s">
        <v>68</v>
      </c>
      <c r="I1266" s="2" t="s">
        <v>69</v>
      </c>
      <c r="J1266" s="2" t="s">
        <v>403</v>
      </c>
      <c r="K1266" s="2" t="s">
        <v>404</v>
      </c>
      <c r="L1266" s="2" t="s">
        <v>2664</v>
      </c>
      <c r="M1266" s="2" t="s">
        <v>99</v>
      </c>
      <c r="N1266" s="2" t="s">
        <v>74</v>
      </c>
      <c r="O1266" s="2">
        <v>16</v>
      </c>
      <c r="P1266" s="2">
        <v>15</v>
      </c>
      <c r="Q1266" s="4">
        <v>5940</v>
      </c>
      <c r="R1266" s="4">
        <v>5570</v>
      </c>
      <c r="S1266" s="4">
        <v>538</v>
      </c>
      <c r="T1266" s="19">
        <f>(ProductionData[[#This Row],[Rejected_Qty]])/ProductionData[[#This Row],[Produced_Qty]]</f>
        <v>9.6588868940754039E-2</v>
      </c>
      <c r="U1266" s="19">
        <f>ProductionData[[#This Row],[Produced_Qty]]/ProductionData[[#This Row],[Planned_Qty]]</f>
        <v>0.93771043771043772</v>
      </c>
      <c r="V1266" s="2" t="s">
        <v>2284</v>
      </c>
      <c r="W1266" s="11">
        <v>0</v>
      </c>
      <c r="X1266" s="13">
        <f>W1266/60</f>
        <v>0</v>
      </c>
      <c r="Y1266" s="2" t="s">
        <v>90</v>
      </c>
      <c r="Z1266" s="2">
        <v>58</v>
      </c>
      <c r="AA1266" s="2">
        <f>ProductionData[[#This Row],[Rejected_Qty]]*ProductionData[[#This Row],[Unit_Cost_INR]]</f>
        <v>31204</v>
      </c>
      <c r="AB1266" s="4">
        <v>16645</v>
      </c>
      <c r="AC1266" s="4">
        <v>6000</v>
      </c>
      <c r="AD1266" s="4">
        <v>6000</v>
      </c>
      <c r="AE1266" s="4">
        <v>15677</v>
      </c>
      <c r="AF1266" s="4">
        <v>9000</v>
      </c>
    </row>
    <row r="1267" spans="1:32">
      <c r="A1267" s="2" t="s">
        <v>2665</v>
      </c>
      <c r="B1267" s="3">
        <v>46213</v>
      </c>
      <c r="C1267" s="36" t="s">
        <v>2128</v>
      </c>
      <c r="D1267" s="2">
        <f>MONTH(ProductionData[[#This Row],[Month]])</f>
        <v>7</v>
      </c>
      <c r="E1267" s="2" t="s">
        <v>125</v>
      </c>
      <c r="F1267" s="2" t="s">
        <v>80</v>
      </c>
      <c r="G1267" s="2" t="s">
        <v>174</v>
      </c>
      <c r="H1267" s="2" t="s">
        <v>175</v>
      </c>
      <c r="I1267" s="2" t="s">
        <v>176</v>
      </c>
      <c r="J1267" s="2" t="s">
        <v>629</v>
      </c>
      <c r="K1267" s="2" t="s">
        <v>630</v>
      </c>
      <c r="L1267" s="2" t="s">
        <v>2666</v>
      </c>
      <c r="M1267" s="2" t="s">
        <v>102</v>
      </c>
      <c r="N1267" s="2" t="s">
        <v>88</v>
      </c>
      <c r="O1267" s="2">
        <v>10</v>
      </c>
      <c r="P1267" s="2">
        <v>10</v>
      </c>
      <c r="Q1267" s="4">
        <v>4880</v>
      </c>
      <c r="R1267" s="4">
        <v>4760</v>
      </c>
      <c r="S1267" s="4">
        <v>126</v>
      </c>
      <c r="T1267" s="19">
        <f>(ProductionData[[#This Row],[Rejected_Qty]])/ProductionData[[#This Row],[Produced_Qty]]</f>
        <v>2.6470588235294117E-2</v>
      </c>
      <c r="U1267" s="19">
        <f>ProductionData[[#This Row],[Produced_Qty]]/ProductionData[[#This Row],[Planned_Qty]]</f>
        <v>0.97540983606557374</v>
      </c>
      <c r="V1267" s="2" t="s">
        <v>109</v>
      </c>
      <c r="W1267" s="11">
        <v>16</v>
      </c>
      <c r="X1267" s="13">
        <f>W1267/60</f>
        <v>0.26666666666666666</v>
      </c>
      <c r="Y1267" s="2" t="s">
        <v>182</v>
      </c>
      <c r="Z1267" s="2">
        <v>29</v>
      </c>
      <c r="AA1267" s="2">
        <f>ProductionData[[#This Row],[Rejected_Qty]]*ProductionData[[#This Row],[Unit_Cost_INR]]</f>
        <v>3654</v>
      </c>
      <c r="AB1267" s="4">
        <v>16040</v>
      </c>
      <c r="AC1267" s="4">
        <v>5000</v>
      </c>
      <c r="AD1267" s="4">
        <v>5000</v>
      </c>
      <c r="AE1267" s="4">
        <v>15674</v>
      </c>
      <c r="AF1267" s="4">
        <v>7500</v>
      </c>
    </row>
    <row r="1268" spans="1:32">
      <c r="A1268" s="2" t="s">
        <v>2667</v>
      </c>
      <c r="B1268" s="3">
        <v>46215</v>
      </c>
      <c r="C1268" s="36" t="s">
        <v>2128</v>
      </c>
      <c r="D1268" s="2">
        <f>MONTH(ProductionData[[#This Row],[Month]])</f>
        <v>7</v>
      </c>
      <c r="E1268" s="2" t="s">
        <v>186</v>
      </c>
      <c r="F1268" s="2" t="s">
        <v>66</v>
      </c>
      <c r="G1268" s="2" t="s">
        <v>174</v>
      </c>
      <c r="H1268" s="2" t="s">
        <v>175</v>
      </c>
      <c r="I1268" s="2" t="s">
        <v>176</v>
      </c>
      <c r="J1268" s="2" t="s">
        <v>629</v>
      </c>
      <c r="K1268" s="2" t="s">
        <v>630</v>
      </c>
      <c r="L1268" s="2" t="s">
        <v>2668</v>
      </c>
      <c r="M1268" s="2" t="s">
        <v>99</v>
      </c>
      <c r="N1268" s="2" t="s">
        <v>88</v>
      </c>
      <c r="O1268" s="2">
        <v>10</v>
      </c>
      <c r="P1268" s="2">
        <v>8</v>
      </c>
      <c r="Q1268" s="4">
        <v>3650</v>
      </c>
      <c r="R1268" s="4">
        <v>3010</v>
      </c>
      <c r="S1268" s="4">
        <v>40</v>
      </c>
      <c r="T1268" s="19">
        <f>(ProductionData[[#This Row],[Rejected_Qty]])/ProductionData[[#This Row],[Produced_Qty]]</f>
        <v>1.3289036544850499E-2</v>
      </c>
      <c r="U1268" s="19">
        <f>ProductionData[[#This Row],[Produced_Qty]]/ProductionData[[#This Row],[Planned_Qty]]</f>
        <v>0.8246575342465754</v>
      </c>
      <c r="V1268" s="2" t="s">
        <v>89</v>
      </c>
      <c r="W1268" s="11">
        <v>71</v>
      </c>
      <c r="X1268" s="13">
        <f>W1268/60</f>
        <v>1.1833333333333333</v>
      </c>
      <c r="Y1268" s="2" t="s">
        <v>182</v>
      </c>
      <c r="Z1268" s="2">
        <v>29</v>
      </c>
      <c r="AA1268" s="2">
        <f>ProductionData[[#This Row],[Rejected_Qty]]*ProductionData[[#This Row],[Unit_Cost_INR]]</f>
        <v>1160</v>
      </c>
      <c r="AB1268" s="4">
        <v>15940</v>
      </c>
      <c r="AC1268" s="4">
        <v>3300</v>
      </c>
      <c r="AD1268" s="4">
        <v>3300</v>
      </c>
      <c r="AE1268" s="4">
        <v>15610</v>
      </c>
      <c r="AF1268" s="4">
        <v>7500</v>
      </c>
    </row>
    <row r="1269" spans="1:32">
      <c r="A1269" s="2" t="s">
        <v>2669</v>
      </c>
      <c r="B1269" s="3">
        <v>46220</v>
      </c>
      <c r="C1269" s="36" t="s">
        <v>2128</v>
      </c>
      <c r="D1269" s="2">
        <f>MONTH(ProductionData[[#This Row],[Month]])</f>
        <v>7</v>
      </c>
      <c r="E1269" s="2" t="s">
        <v>125</v>
      </c>
      <c r="F1269" s="2" t="s">
        <v>80</v>
      </c>
      <c r="G1269" s="2" t="s">
        <v>174</v>
      </c>
      <c r="H1269" s="2" t="s">
        <v>175</v>
      </c>
      <c r="I1269" s="2" t="s">
        <v>176</v>
      </c>
      <c r="J1269" s="2" t="s">
        <v>629</v>
      </c>
      <c r="K1269" s="2" t="s">
        <v>630</v>
      </c>
      <c r="L1269" s="2" t="s">
        <v>2670</v>
      </c>
      <c r="M1269" s="2" t="s">
        <v>102</v>
      </c>
      <c r="N1269" s="2" t="s">
        <v>88</v>
      </c>
      <c r="O1269" s="2">
        <v>10</v>
      </c>
      <c r="P1269" s="2">
        <v>10</v>
      </c>
      <c r="Q1269" s="4">
        <v>5110</v>
      </c>
      <c r="R1269" s="4">
        <v>4910</v>
      </c>
      <c r="S1269" s="4">
        <v>140</v>
      </c>
      <c r="T1269" s="19">
        <f>(ProductionData[[#This Row],[Rejected_Qty]])/ProductionData[[#This Row],[Produced_Qty]]</f>
        <v>2.8513238289205704E-2</v>
      </c>
      <c r="U1269" s="19">
        <f>ProductionData[[#This Row],[Produced_Qty]]/ProductionData[[#This Row],[Planned_Qty]]</f>
        <v>0.96086105675146771</v>
      </c>
      <c r="V1269" s="2" t="s">
        <v>103</v>
      </c>
      <c r="W1269" s="11">
        <v>39</v>
      </c>
      <c r="X1269" s="13">
        <f>W1269/60</f>
        <v>0.65</v>
      </c>
      <c r="Y1269" s="2" t="s">
        <v>110</v>
      </c>
      <c r="Z1269" s="2">
        <v>29</v>
      </c>
      <c r="AA1269" s="2">
        <f>ProductionData[[#This Row],[Rejected_Qty]]*ProductionData[[#This Row],[Unit_Cost_INR]]</f>
        <v>4060</v>
      </c>
      <c r="AB1269" s="4">
        <v>15286</v>
      </c>
      <c r="AC1269" s="4">
        <v>4460</v>
      </c>
      <c r="AD1269" s="4">
        <v>4460</v>
      </c>
      <c r="AE1269" s="4">
        <v>15596</v>
      </c>
      <c r="AF1269" s="4">
        <v>7500</v>
      </c>
    </row>
    <row r="1270" spans="1:32">
      <c r="A1270" s="2" t="s">
        <v>2671</v>
      </c>
      <c r="B1270" s="3">
        <v>46213</v>
      </c>
      <c r="C1270" s="36" t="s">
        <v>2128</v>
      </c>
      <c r="D1270" s="2">
        <f>MONTH(ProductionData[[#This Row],[Month]])</f>
        <v>7</v>
      </c>
      <c r="E1270" s="2" t="s">
        <v>125</v>
      </c>
      <c r="F1270" s="2" t="s">
        <v>80</v>
      </c>
      <c r="G1270" s="2" t="s">
        <v>67</v>
      </c>
      <c r="H1270" s="2" t="s">
        <v>68</v>
      </c>
      <c r="I1270" s="2" t="s">
        <v>69</v>
      </c>
      <c r="J1270" s="2" t="s">
        <v>683</v>
      </c>
      <c r="K1270" s="2" t="s">
        <v>684</v>
      </c>
      <c r="L1270" s="2" t="s">
        <v>2672</v>
      </c>
      <c r="M1270" s="2" t="s">
        <v>87</v>
      </c>
      <c r="N1270" s="2" t="s">
        <v>96</v>
      </c>
      <c r="O1270" s="2">
        <v>16</v>
      </c>
      <c r="P1270" s="2">
        <v>16</v>
      </c>
      <c r="Q1270" s="4">
        <v>4270</v>
      </c>
      <c r="R1270" s="4">
        <v>3960</v>
      </c>
      <c r="S1270" s="4">
        <v>136</v>
      </c>
      <c r="T1270" s="19">
        <f>(ProductionData[[#This Row],[Rejected_Qty]])/ProductionData[[#This Row],[Produced_Qty]]</f>
        <v>3.4343434343434343E-2</v>
      </c>
      <c r="U1270" s="19">
        <f>ProductionData[[#This Row],[Produced_Qty]]/ProductionData[[#This Row],[Planned_Qty]]</f>
        <v>0.92740046838407497</v>
      </c>
      <c r="V1270" s="2" t="s">
        <v>113</v>
      </c>
      <c r="W1270" s="11">
        <v>0</v>
      </c>
      <c r="X1270" s="13">
        <f>W1270/60</f>
        <v>0</v>
      </c>
      <c r="Y1270" s="2" t="s">
        <v>90</v>
      </c>
      <c r="Z1270" s="2">
        <v>79</v>
      </c>
      <c r="AA1270" s="2">
        <f>ProductionData[[#This Row],[Rejected_Qty]]*ProductionData[[#This Row],[Unit_Cost_INR]]</f>
        <v>10744</v>
      </c>
      <c r="AB1270" s="4">
        <v>15916</v>
      </c>
      <c r="AC1270" s="4">
        <v>4160</v>
      </c>
      <c r="AD1270" s="4">
        <v>4160</v>
      </c>
      <c r="AE1270" s="4">
        <v>15580</v>
      </c>
      <c r="AF1270" s="4">
        <v>6750</v>
      </c>
    </row>
    <row r="1271" spans="1:32">
      <c r="A1271" s="2" t="s">
        <v>2673</v>
      </c>
      <c r="B1271" s="3">
        <v>46209</v>
      </c>
      <c r="C1271" s="36" t="s">
        <v>2128</v>
      </c>
      <c r="D1271" s="2">
        <f>MONTH(ProductionData[[#This Row],[Month]])</f>
        <v>7</v>
      </c>
      <c r="E1271" s="2" t="s">
        <v>116</v>
      </c>
      <c r="F1271" s="2" t="s">
        <v>93</v>
      </c>
      <c r="G1271" s="2" t="s">
        <v>174</v>
      </c>
      <c r="H1271" s="2" t="s">
        <v>175</v>
      </c>
      <c r="I1271" s="2" t="s">
        <v>176</v>
      </c>
      <c r="J1271" s="2" t="s">
        <v>629</v>
      </c>
      <c r="K1271" s="2" t="s">
        <v>630</v>
      </c>
      <c r="L1271" s="2" t="s">
        <v>2674</v>
      </c>
      <c r="M1271" s="2" t="s">
        <v>95</v>
      </c>
      <c r="N1271" s="2" t="s">
        <v>96</v>
      </c>
      <c r="O1271" s="2">
        <v>10</v>
      </c>
      <c r="P1271" s="2">
        <v>9</v>
      </c>
      <c r="Q1271" s="4">
        <v>5070</v>
      </c>
      <c r="R1271" s="4">
        <v>4870</v>
      </c>
      <c r="S1271" s="4">
        <v>83</v>
      </c>
      <c r="T1271" s="19">
        <f>(ProductionData[[#This Row],[Rejected_Qty]])/ProductionData[[#This Row],[Produced_Qty]]</f>
        <v>1.7043121149897332E-2</v>
      </c>
      <c r="U1271" s="19">
        <f>ProductionData[[#This Row],[Produced_Qty]]/ProductionData[[#This Row],[Planned_Qty]]</f>
        <v>0.96055226824457596</v>
      </c>
      <c r="V1271" s="2" t="s">
        <v>109</v>
      </c>
      <c r="W1271" s="11">
        <v>74</v>
      </c>
      <c r="X1271" s="13">
        <f>W1271/60</f>
        <v>1.2333333333333334</v>
      </c>
      <c r="Y1271" s="2" t="s">
        <v>110</v>
      </c>
      <c r="Z1271" s="2">
        <v>29</v>
      </c>
      <c r="AA1271" s="2">
        <f>ProductionData[[#This Row],[Rejected_Qty]]*ProductionData[[#This Row],[Unit_Cost_INR]]</f>
        <v>2407</v>
      </c>
      <c r="AB1271" s="4">
        <v>15487</v>
      </c>
      <c r="AC1271" s="4">
        <v>4740</v>
      </c>
      <c r="AD1271" s="4">
        <v>4740</v>
      </c>
      <c r="AE1271" s="4">
        <v>15534</v>
      </c>
      <c r="AF1271" s="4">
        <v>7500</v>
      </c>
    </row>
    <row r="1272" spans="1:32">
      <c r="A1272" s="2" t="s">
        <v>2675</v>
      </c>
      <c r="B1272" s="3">
        <v>46211</v>
      </c>
      <c r="C1272" s="36" t="s">
        <v>2128</v>
      </c>
      <c r="D1272" s="2">
        <f>MONTH(ProductionData[[#This Row],[Month]])</f>
        <v>7</v>
      </c>
      <c r="E1272" s="2" t="s">
        <v>79</v>
      </c>
      <c r="F1272" s="2" t="s">
        <v>80</v>
      </c>
      <c r="G1272" s="2" t="s">
        <v>174</v>
      </c>
      <c r="H1272" s="2" t="s">
        <v>175</v>
      </c>
      <c r="I1272" s="2" t="s">
        <v>176</v>
      </c>
      <c r="J1272" s="2" t="s">
        <v>629</v>
      </c>
      <c r="K1272" s="2" t="s">
        <v>630</v>
      </c>
      <c r="L1272" s="2" t="s">
        <v>2676</v>
      </c>
      <c r="M1272" s="2" t="s">
        <v>102</v>
      </c>
      <c r="N1272" s="2" t="s">
        <v>96</v>
      </c>
      <c r="O1272" s="2">
        <v>10</v>
      </c>
      <c r="P1272" s="2">
        <v>10</v>
      </c>
      <c r="Q1272" s="4">
        <v>4710</v>
      </c>
      <c r="R1272" s="4">
        <v>4320</v>
      </c>
      <c r="S1272" s="4">
        <v>110</v>
      </c>
      <c r="T1272" s="19">
        <f>(ProductionData[[#This Row],[Rejected_Qty]])/ProductionData[[#This Row],[Produced_Qty]]</f>
        <v>2.5462962962962962E-2</v>
      </c>
      <c r="U1272" s="19">
        <f>ProductionData[[#This Row],[Produced_Qty]]/ProductionData[[#This Row],[Planned_Qty]]</f>
        <v>0.91719745222929938</v>
      </c>
      <c r="V1272" s="2" t="s">
        <v>103</v>
      </c>
      <c r="W1272" s="11">
        <v>0</v>
      </c>
      <c r="X1272" s="13">
        <f>W1272/60</f>
        <v>0</v>
      </c>
      <c r="Y1272" s="2" t="s">
        <v>90</v>
      </c>
      <c r="Z1272" s="2">
        <v>29</v>
      </c>
      <c r="AA1272" s="2">
        <f>ProductionData[[#This Row],[Rejected_Qty]]*ProductionData[[#This Row],[Unit_Cost_INR]]</f>
        <v>3190</v>
      </c>
      <c r="AB1272" s="4">
        <v>16258</v>
      </c>
      <c r="AC1272" s="4">
        <v>4940</v>
      </c>
      <c r="AD1272" s="4">
        <v>4940</v>
      </c>
      <c r="AE1272" s="4">
        <v>15528</v>
      </c>
      <c r="AF1272" s="4">
        <v>7500</v>
      </c>
    </row>
    <row r="1273" spans="1:32">
      <c r="A1273" s="2" t="s">
        <v>2677</v>
      </c>
      <c r="B1273" s="3">
        <v>46207</v>
      </c>
      <c r="C1273" s="36" t="s">
        <v>2128</v>
      </c>
      <c r="D1273" s="2">
        <f>MONTH(ProductionData[[#This Row],[Month]])</f>
        <v>7</v>
      </c>
      <c r="E1273" s="2" t="s">
        <v>65</v>
      </c>
      <c r="F1273" s="2" t="s">
        <v>93</v>
      </c>
      <c r="G1273" s="2" t="s">
        <v>174</v>
      </c>
      <c r="H1273" s="2" t="s">
        <v>175</v>
      </c>
      <c r="I1273" s="2" t="s">
        <v>176</v>
      </c>
      <c r="J1273" s="2" t="s">
        <v>629</v>
      </c>
      <c r="K1273" s="2" t="s">
        <v>630</v>
      </c>
      <c r="L1273" s="2" t="s">
        <v>2678</v>
      </c>
      <c r="M1273" s="2" t="s">
        <v>133</v>
      </c>
      <c r="N1273" s="2" t="s">
        <v>96</v>
      </c>
      <c r="O1273" s="2">
        <v>10</v>
      </c>
      <c r="P1273" s="2">
        <v>9</v>
      </c>
      <c r="Q1273" s="4">
        <v>4900</v>
      </c>
      <c r="R1273" s="4">
        <v>4380</v>
      </c>
      <c r="S1273" s="4">
        <v>91</v>
      </c>
      <c r="T1273" s="19">
        <f>(ProductionData[[#This Row],[Rejected_Qty]])/ProductionData[[#This Row],[Produced_Qty]]</f>
        <v>2.0776255707762557E-2</v>
      </c>
      <c r="U1273" s="19">
        <f>ProductionData[[#This Row],[Produced_Qty]]/ProductionData[[#This Row],[Planned_Qty]]</f>
        <v>0.89387755102040811</v>
      </c>
      <c r="V1273" s="2" t="s">
        <v>89</v>
      </c>
      <c r="W1273" s="11">
        <v>57</v>
      </c>
      <c r="X1273" s="13">
        <f>W1273/60</f>
        <v>0.95</v>
      </c>
      <c r="Y1273" s="2" t="s">
        <v>114</v>
      </c>
      <c r="Z1273" s="2">
        <v>29</v>
      </c>
      <c r="AA1273" s="2">
        <f>ProductionData[[#This Row],[Rejected_Qty]]*ProductionData[[#This Row],[Unit_Cost_INR]]</f>
        <v>2639</v>
      </c>
      <c r="AB1273" s="4">
        <v>15688</v>
      </c>
      <c r="AC1273" s="4">
        <v>4490</v>
      </c>
      <c r="AD1273" s="4">
        <v>4490</v>
      </c>
      <c r="AE1273" s="4">
        <v>15487</v>
      </c>
      <c r="AF1273" s="4">
        <v>7500</v>
      </c>
    </row>
    <row r="1274" spans="1:32">
      <c r="A1274" s="2" t="s">
        <v>2679</v>
      </c>
      <c r="B1274" s="3">
        <v>46219</v>
      </c>
      <c r="C1274" s="36" t="s">
        <v>2128</v>
      </c>
      <c r="D1274" s="2">
        <f>MONTH(ProductionData[[#This Row],[Month]])</f>
        <v>7</v>
      </c>
      <c r="E1274" s="2" t="s">
        <v>107</v>
      </c>
      <c r="F1274" s="2" t="s">
        <v>93</v>
      </c>
      <c r="G1274" s="2" t="s">
        <v>174</v>
      </c>
      <c r="H1274" s="2" t="s">
        <v>175</v>
      </c>
      <c r="I1274" s="2" t="s">
        <v>176</v>
      </c>
      <c r="J1274" s="2" t="s">
        <v>629</v>
      </c>
      <c r="K1274" s="2" t="s">
        <v>630</v>
      </c>
      <c r="L1274" s="2" t="s">
        <v>2680</v>
      </c>
      <c r="M1274" s="2" t="s">
        <v>133</v>
      </c>
      <c r="N1274" s="2" t="s">
        <v>96</v>
      </c>
      <c r="O1274" s="2">
        <v>10</v>
      </c>
      <c r="P1274" s="2">
        <v>10</v>
      </c>
      <c r="Q1274" s="4">
        <v>4690</v>
      </c>
      <c r="R1274" s="4">
        <v>4520</v>
      </c>
      <c r="S1274" s="4">
        <v>155</v>
      </c>
      <c r="T1274" s="19">
        <f>(ProductionData[[#This Row],[Rejected_Qty]])/ProductionData[[#This Row],[Produced_Qty]]</f>
        <v>3.4292035398230086E-2</v>
      </c>
      <c r="U1274" s="19">
        <f>ProductionData[[#This Row],[Produced_Qty]]/ProductionData[[#This Row],[Planned_Qty]]</f>
        <v>0.96375266524520253</v>
      </c>
      <c r="V1274" s="2" t="s">
        <v>113</v>
      </c>
      <c r="W1274" s="11">
        <v>0</v>
      </c>
      <c r="X1274" s="13">
        <f>W1274/60</f>
        <v>0</v>
      </c>
      <c r="Y1274" s="2" t="s">
        <v>90</v>
      </c>
      <c r="Z1274" s="2">
        <v>29</v>
      </c>
      <c r="AA1274" s="2">
        <f>ProductionData[[#This Row],[Rejected_Qty]]*ProductionData[[#This Row],[Unit_Cost_INR]]</f>
        <v>4495</v>
      </c>
      <c r="AB1274" s="4">
        <v>15251</v>
      </c>
      <c r="AC1274" s="4">
        <v>4330</v>
      </c>
      <c r="AD1274" s="4">
        <v>4330</v>
      </c>
      <c r="AE1274" s="4">
        <v>15286</v>
      </c>
      <c r="AF1274" s="4">
        <v>7500</v>
      </c>
    </row>
    <row r="1275" spans="1:32">
      <c r="A1275" s="2" t="s">
        <v>2681</v>
      </c>
      <c r="B1275" s="3">
        <v>46221</v>
      </c>
      <c r="C1275" s="36" t="s">
        <v>2128</v>
      </c>
      <c r="D1275" s="2">
        <f>MONTH(ProductionData[[#This Row],[Month]])</f>
        <v>7</v>
      </c>
      <c r="E1275" s="2" t="s">
        <v>65</v>
      </c>
      <c r="F1275" s="2" t="s">
        <v>66</v>
      </c>
      <c r="G1275" s="2" t="s">
        <v>174</v>
      </c>
      <c r="H1275" s="2" t="s">
        <v>175</v>
      </c>
      <c r="I1275" s="2" t="s">
        <v>176</v>
      </c>
      <c r="J1275" s="2" t="s">
        <v>629</v>
      </c>
      <c r="K1275" s="2" t="s">
        <v>630</v>
      </c>
      <c r="L1275" s="2" t="s">
        <v>2682</v>
      </c>
      <c r="M1275" s="2" t="s">
        <v>99</v>
      </c>
      <c r="N1275" s="2" t="s">
        <v>96</v>
      </c>
      <c r="O1275" s="2">
        <v>10</v>
      </c>
      <c r="P1275" s="2">
        <v>10</v>
      </c>
      <c r="Q1275" s="4">
        <v>5080</v>
      </c>
      <c r="R1275" s="4">
        <v>4830</v>
      </c>
      <c r="S1275" s="4">
        <v>139</v>
      </c>
      <c r="T1275" s="19">
        <f>(ProductionData[[#This Row],[Rejected_Qty]])/ProductionData[[#This Row],[Produced_Qty]]</f>
        <v>2.8778467908902691E-2</v>
      </c>
      <c r="U1275" s="19">
        <f>ProductionData[[#This Row],[Produced_Qty]]/ProductionData[[#This Row],[Planned_Qty]]</f>
        <v>0.95078740157480313</v>
      </c>
      <c r="V1275" s="2" t="s">
        <v>113</v>
      </c>
      <c r="W1275" s="11">
        <v>0</v>
      </c>
      <c r="X1275" s="13">
        <f>W1275/60</f>
        <v>0</v>
      </c>
      <c r="Y1275" s="2" t="s">
        <v>90</v>
      </c>
      <c r="Z1275" s="2">
        <v>29</v>
      </c>
      <c r="AA1275" s="2">
        <f>ProductionData[[#This Row],[Rejected_Qty]]*ProductionData[[#This Row],[Unit_Cost_INR]]</f>
        <v>4031</v>
      </c>
      <c r="AB1275" s="4">
        <v>15596</v>
      </c>
      <c r="AC1275" s="4">
        <v>5020</v>
      </c>
      <c r="AD1275" s="4">
        <v>5020</v>
      </c>
      <c r="AE1275" s="4">
        <v>15267</v>
      </c>
      <c r="AF1275" s="4">
        <v>7500</v>
      </c>
    </row>
    <row r="1276" spans="1:32">
      <c r="A1276" s="2" t="s">
        <v>2683</v>
      </c>
      <c r="B1276" s="3">
        <v>46216</v>
      </c>
      <c r="C1276" s="36" t="s">
        <v>2128</v>
      </c>
      <c r="D1276" s="2">
        <f>MONTH(ProductionData[[#This Row],[Month]])</f>
        <v>7</v>
      </c>
      <c r="E1276" s="2" t="s">
        <v>116</v>
      </c>
      <c r="F1276" s="2" t="s">
        <v>66</v>
      </c>
      <c r="G1276" s="2" t="s">
        <v>174</v>
      </c>
      <c r="H1276" s="2" t="s">
        <v>175</v>
      </c>
      <c r="I1276" s="2" t="s">
        <v>176</v>
      </c>
      <c r="J1276" s="2" t="s">
        <v>629</v>
      </c>
      <c r="K1276" s="2" t="s">
        <v>630</v>
      </c>
      <c r="L1276" s="2" t="s">
        <v>2684</v>
      </c>
      <c r="M1276" s="2" t="s">
        <v>99</v>
      </c>
      <c r="N1276" s="2" t="s">
        <v>96</v>
      </c>
      <c r="O1276" s="2">
        <v>10</v>
      </c>
      <c r="P1276" s="2">
        <v>10</v>
      </c>
      <c r="Q1276" s="4">
        <v>5070</v>
      </c>
      <c r="R1276" s="4">
        <v>4680</v>
      </c>
      <c r="S1276" s="4">
        <v>139</v>
      </c>
      <c r="T1276" s="19">
        <f>(ProductionData[[#This Row],[Rejected_Qty]])/ProductionData[[#This Row],[Produced_Qty]]</f>
        <v>2.9700854700854699E-2</v>
      </c>
      <c r="U1276" s="19">
        <f>ProductionData[[#This Row],[Produced_Qty]]/ProductionData[[#This Row],[Planned_Qty]]</f>
        <v>0.92307692307692313</v>
      </c>
      <c r="V1276" s="2" t="s">
        <v>75</v>
      </c>
      <c r="W1276" s="11">
        <v>0</v>
      </c>
      <c r="X1276" s="13">
        <f>W1276/60</f>
        <v>0</v>
      </c>
      <c r="Y1276" s="2" t="s">
        <v>90</v>
      </c>
      <c r="Z1276" s="2">
        <v>29</v>
      </c>
      <c r="AA1276" s="2">
        <f>ProductionData[[#This Row],[Rejected_Qty]]*ProductionData[[#This Row],[Unit_Cost_INR]]</f>
        <v>4031</v>
      </c>
      <c r="AB1276" s="4">
        <v>15610</v>
      </c>
      <c r="AC1276" s="4">
        <v>4900</v>
      </c>
      <c r="AD1276" s="4">
        <v>4900</v>
      </c>
      <c r="AE1276" s="4">
        <v>15251</v>
      </c>
      <c r="AF1276" s="4">
        <v>7500</v>
      </c>
    </row>
    <row r="1277" spans="1:32">
      <c r="A1277" s="2" t="s">
        <v>2685</v>
      </c>
      <c r="B1277" s="3">
        <v>46222</v>
      </c>
      <c r="C1277" s="36" t="s">
        <v>2128</v>
      </c>
      <c r="D1277" s="2">
        <f>MONTH(ProductionData[[#This Row],[Month]])</f>
        <v>7</v>
      </c>
      <c r="E1277" s="2" t="s">
        <v>186</v>
      </c>
      <c r="F1277" s="2" t="s">
        <v>80</v>
      </c>
      <c r="G1277" s="2" t="s">
        <v>174</v>
      </c>
      <c r="H1277" s="2" t="s">
        <v>175</v>
      </c>
      <c r="I1277" s="2" t="s">
        <v>176</v>
      </c>
      <c r="J1277" s="2" t="s">
        <v>629</v>
      </c>
      <c r="K1277" s="2" t="s">
        <v>630</v>
      </c>
      <c r="L1277" s="2" t="s">
        <v>2686</v>
      </c>
      <c r="M1277" s="2" t="s">
        <v>102</v>
      </c>
      <c r="N1277" s="2" t="s">
        <v>88</v>
      </c>
      <c r="O1277" s="2">
        <v>10</v>
      </c>
      <c r="P1277" s="2">
        <v>10</v>
      </c>
      <c r="Q1277" s="4">
        <v>3350</v>
      </c>
      <c r="R1277" s="4">
        <v>3320</v>
      </c>
      <c r="S1277" s="4">
        <v>122</v>
      </c>
      <c r="T1277" s="19">
        <f>(ProductionData[[#This Row],[Rejected_Qty]])/ProductionData[[#This Row],[Produced_Qty]]</f>
        <v>3.6746987951807232E-2</v>
      </c>
      <c r="U1277" s="19">
        <f>ProductionData[[#This Row],[Produced_Qty]]/ProductionData[[#This Row],[Planned_Qty]]</f>
        <v>0.991044776119403</v>
      </c>
      <c r="V1277" s="2" t="s">
        <v>109</v>
      </c>
      <c r="W1277" s="11">
        <v>54</v>
      </c>
      <c r="X1277" s="13">
        <f>W1277/60</f>
        <v>0.9</v>
      </c>
      <c r="Y1277" s="2" t="s">
        <v>114</v>
      </c>
      <c r="Z1277" s="2">
        <v>29</v>
      </c>
      <c r="AA1277" s="2">
        <f>ProductionData[[#This Row],[Rejected_Qty]]*ProductionData[[#This Row],[Unit_Cost_INR]]</f>
        <v>3538</v>
      </c>
      <c r="AB1277" s="4">
        <v>14933</v>
      </c>
      <c r="AC1277" s="4">
        <v>3020</v>
      </c>
      <c r="AD1277" s="4">
        <v>3020</v>
      </c>
      <c r="AE1277" s="4">
        <v>15111</v>
      </c>
      <c r="AF1277" s="4">
        <v>7500</v>
      </c>
    </row>
    <row r="1278" spans="1:32">
      <c r="A1278" s="2" t="s">
        <v>2687</v>
      </c>
      <c r="B1278" s="3">
        <v>46227</v>
      </c>
      <c r="C1278" s="36" t="s">
        <v>2128</v>
      </c>
      <c r="D1278" s="2">
        <f>MONTH(ProductionData[[#This Row],[Month]])</f>
        <v>7</v>
      </c>
      <c r="E1278" s="2" t="s">
        <v>125</v>
      </c>
      <c r="F1278" s="2" t="s">
        <v>93</v>
      </c>
      <c r="G1278" s="2" t="s">
        <v>67</v>
      </c>
      <c r="H1278" s="2" t="s">
        <v>68</v>
      </c>
      <c r="I1278" s="2" t="s">
        <v>69</v>
      </c>
      <c r="J1278" s="2" t="s">
        <v>403</v>
      </c>
      <c r="K1278" s="2" t="s">
        <v>404</v>
      </c>
      <c r="L1278" s="2" t="s">
        <v>2688</v>
      </c>
      <c r="M1278" s="2" t="s">
        <v>95</v>
      </c>
      <c r="N1278" s="2" t="s">
        <v>74</v>
      </c>
      <c r="O1278" s="2">
        <v>16</v>
      </c>
      <c r="P1278" s="2">
        <v>15</v>
      </c>
      <c r="Q1278" s="4">
        <v>5350</v>
      </c>
      <c r="R1278" s="4">
        <v>4810</v>
      </c>
      <c r="S1278" s="4">
        <v>401</v>
      </c>
      <c r="T1278" s="19">
        <f>(ProductionData[[#This Row],[Rejected_Qty]])/ProductionData[[#This Row],[Produced_Qty]]</f>
        <v>8.3367983367983373E-2</v>
      </c>
      <c r="U1278" s="19">
        <f>ProductionData[[#This Row],[Produced_Qty]]/ProductionData[[#This Row],[Planned_Qty]]</f>
        <v>0.89906542056074767</v>
      </c>
      <c r="V1278" s="2" t="s">
        <v>2284</v>
      </c>
      <c r="W1278" s="11">
        <v>69</v>
      </c>
      <c r="X1278" s="13">
        <f>W1278/60</f>
        <v>1.1499999999999999</v>
      </c>
      <c r="Y1278" s="2" t="s">
        <v>110</v>
      </c>
      <c r="Z1278" s="2">
        <v>58</v>
      </c>
      <c r="AA1278" s="2">
        <f>ProductionData[[#This Row],[Rejected_Qty]]*ProductionData[[#This Row],[Unit_Cost_INR]]</f>
        <v>23258</v>
      </c>
      <c r="AB1278" s="4">
        <v>15708</v>
      </c>
      <c r="AC1278" s="4">
        <v>5020</v>
      </c>
      <c r="AD1278" s="4">
        <v>5020</v>
      </c>
      <c r="AE1278" s="4">
        <v>15097</v>
      </c>
      <c r="AF1278" s="4">
        <v>9000</v>
      </c>
    </row>
    <row r="1279" spans="1:32">
      <c r="A1279" s="2" t="s">
        <v>2689</v>
      </c>
      <c r="B1279" s="3">
        <v>46230</v>
      </c>
      <c r="C1279" s="36" t="s">
        <v>2128</v>
      </c>
      <c r="D1279" s="2">
        <f>MONTH(ProductionData[[#This Row],[Month]])</f>
        <v>7</v>
      </c>
      <c r="E1279" s="2" t="s">
        <v>116</v>
      </c>
      <c r="F1279" s="2" t="s">
        <v>80</v>
      </c>
      <c r="G1279" s="2" t="s">
        <v>174</v>
      </c>
      <c r="H1279" s="2" t="s">
        <v>175</v>
      </c>
      <c r="I1279" s="2" t="s">
        <v>176</v>
      </c>
      <c r="J1279" s="2" t="s">
        <v>629</v>
      </c>
      <c r="K1279" s="2" t="s">
        <v>630</v>
      </c>
      <c r="L1279" s="2" t="s">
        <v>2690</v>
      </c>
      <c r="M1279" s="2" t="s">
        <v>102</v>
      </c>
      <c r="N1279" s="2" t="s">
        <v>88</v>
      </c>
      <c r="O1279" s="2">
        <v>10</v>
      </c>
      <c r="P1279" s="2">
        <v>8</v>
      </c>
      <c r="Q1279" s="4">
        <v>4630</v>
      </c>
      <c r="R1279" s="4">
        <v>4020</v>
      </c>
      <c r="S1279" s="4">
        <v>95</v>
      </c>
      <c r="T1279" s="19">
        <f>(ProductionData[[#This Row],[Rejected_Qty]])/ProductionData[[#This Row],[Produced_Qty]]</f>
        <v>2.36318407960199E-2</v>
      </c>
      <c r="U1279" s="19">
        <f>ProductionData[[#This Row],[Produced_Qty]]/ProductionData[[#This Row],[Planned_Qty]]</f>
        <v>0.86825053995680346</v>
      </c>
      <c r="V1279" s="2" t="s">
        <v>113</v>
      </c>
      <c r="W1279" s="11">
        <v>0</v>
      </c>
      <c r="X1279" s="13">
        <f>W1279/60</f>
        <v>0</v>
      </c>
      <c r="Y1279" s="2" t="s">
        <v>90</v>
      </c>
      <c r="Z1279" s="2">
        <v>29</v>
      </c>
      <c r="AA1279" s="2">
        <f>ProductionData[[#This Row],[Rejected_Qty]]*ProductionData[[#This Row],[Unit_Cost_INR]]</f>
        <v>2755</v>
      </c>
      <c r="AB1279" s="4">
        <v>14971</v>
      </c>
      <c r="AC1279" s="4">
        <v>3920</v>
      </c>
      <c r="AD1279" s="4">
        <v>3920</v>
      </c>
      <c r="AE1279" s="4">
        <v>14976</v>
      </c>
      <c r="AF1279" s="4">
        <v>7500</v>
      </c>
    </row>
    <row r="1280" spans="1:32">
      <c r="A1280" s="2" t="s">
        <v>2691</v>
      </c>
      <c r="B1280" s="3">
        <v>46230</v>
      </c>
      <c r="C1280" s="36" t="s">
        <v>2128</v>
      </c>
      <c r="D1280" s="2">
        <f>MONTH(ProductionData[[#This Row],[Month]])</f>
        <v>7</v>
      </c>
      <c r="E1280" s="2" t="s">
        <v>116</v>
      </c>
      <c r="F1280" s="2" t="s">
        <v>66</v>
      </c>
      <c r="G1280" s="2" t="s">
        <v>174</v>
      </c>
      <c r="H1280" s="2" t="s">
        <v>175</v>
      </c>
      <c r="I1280" s="2" t="s">
        <v>176</v>
      </c>
      <c r="J1280" s="2" t="s">
        <v>629</v>
      </c>
      <c r="K1280" s="2" t="s">
        <v>630</v>
      </c>
      <c r="L1280" s="2" t="s">
        <v>2692</v>
      </c>
      <c r="M1280" s="2" t="s">
        <v>73</v>
      </c>
      <c r="N1280" s="2" t="s">
        <v>88</v>
      </c>
      <c r="O1280" s="2">
        <v>10</v>
      </c>
      <c r="P1280" s="2">
        <v>9</v>
      </c>
      <c r="Q1280" s="4">
        <v>5390</v>
      </c>
      <c r="R1280" s="4">
        <v>5340</v>
      </c>
      <c r="S1280" s="4">
        <v>161</v>
      </c>
      <c r="T1280" s="19">
        <f>(ProductionData[[#This Row],[Rejected_Qty]])/ProductionData[[#This Row],[Produced_Qty]]</f>
        <v>3.0149812734082397E-2</v>
      </c>
      <c r="U1280" s="19">
        <f>ProductionData[[#This Row],[Produced_Qty]]/ProductionData[[#This Row],[Planned_Qty]]</f>
        <v>0.99072356215213353</v>
      </c>
      <c r="V1280" s="2" t="s">
        <v>113</v>
      </c>
      <c r="W1280" s="11">
        <v>0</v>
      </c>
      <c r="X1280" s="13">
        <f>W1280/60</f>
        <v>0</v>
      </c>
      <c r="Y1280" s="2" t="s">
        <v>90</v>
      </c>
      <c r="Z1280" s="2">
        <v>29</v>
      </c>
      <c r="AA1280" s="2">
        <f>ProductionData[[#This Row],[Rejected_Qty]]*ProductionData[[#This Row],[Unit_Cost_INR]]</f>
        <v>4669</v>
      </c>
      <c r="AB1280" s="4">
        <v>14432</v>
      </c>
      <c r="AC1280" s="4">
        <v>4640</v>
      </c>
      <c r="AD1280" s="4">
        <v>4640</v>
      </c>
      <c r="AE1280" s="4">
        <v>14971</v>
      </c>
      <c r="AF1280" s="4">
        <v>7500</v>
      </c>
    </row>
    <row r="1281" spans="1:32">
      <c r="A1281" s="2" t="s">
        <v>2693</v>
      </c>
      <c r="B1281" s="3">
        <v>46222</v>
      </c>
      <c r="C1281" s="36" t="s">
        <v>2128</v>
      </c>
      <c r="D1281" s="2">
        <f>MONTH(ProductionData[[#This Row],[Month]])</f>
        <v>7</v>
      </c>
      <c r="E1281" s="2" t="s">
        <v>186</v>
      </c>
      <c r="F1281" s="2" t="s">
        <v>66</v>
      </c>
      <c r="G1281" s="2" t="s">
        <v>174</v>
      </c>
      <c r="H1281" s="2" t="s">
        <v>175</v>
      </c>
      <c r="I1281" s="2" t="s">
        <v>176</v>
      </c>
      <c r="J1281" s="2" t="s">
        <v>629</v>
      </c>
      <c r="K1281" s="2" t="s">
        <v>630</v>
      </c>
      <c r="L1281" s="2" t="s">
        <v>2694</v>
      </c>
      <c r="M1281" s="2" t="s">
        <v>73</v>
      </c>
      <c r="N1281" s="2" t="s">
        <v>96</v>
      </c>
      <c r="O1281" s="2">
        <v>10</v>
      </c>
      <c r="P1281" s="2">
        <v>9</v>
      </c>
      <c r="Q1281" s="4">
        <v>3300</v>
      </c>
      <c r="R1281" s="4">
        <v>3270</v>
      </c>
      <c r="S1281" s="4">
        <v>96</v>
      </c>
      <c r="T1281" s="19">
        <f>(ProductionData[[#This Row],[Rejected_Qty]])/ProductionData[[#This Row],[Produced_Qty]]</f>
        <v>2.9357798165137616E-2</v>
      </c>
      <c r="U1281" s="19">
        <f>ProductionData[[#This Row],[Produced_Qty]]/ProductionData[[#This Row],[Planned_Qty]]</f>
        <v>0.99090909090909096</v>
      </c>
      <c r="V1281" s="2" t="s">
        <v>89</v>
      </c>
      <c r="W1281" s="11">
        <v>21</v>
      </c>
      <c r="X1281" s="13">
        <f>W1281/60</f>
        <v>0.35</v>
      </c>
      <c r="Y1281" s="2" t="s">
        <v>182</v>
      </c>
      <c r="Z1281" s="2">
        <v>29</v>
      </c>
      <c r="AA1281" s="2">
        <f>ProductionData[[#This Row],[Rejected_Qty]]*ProductionData[[#This Row],[Unit_Cost_INR]]</f>
        <v>2784</v>
      </c>
      <c r="AB1281" s="4">
        <v>14579</v>
      </c>
      <c r="AC1281" s="4">
        <v>2820</v>
      </c>
      <c r="AD1281" s="4">
        <v>2820</v>
      </c>
      <c r="AE1281" s="4">
        <v>14933</v>
      </c>
      <c r="AF1281" s="4">
        <v>7500</v>
      </c>
    </row>
    <row r="1282" spans="1:32">
      <c r="A1282" s="2" t="s">
        <v>2695</v>
      </c>
      <c r="B1282" s="3">
        <v>46233</v>
      </c>
      <c r="C1282" s="36" t="s">
        <v>2128</v>
      </c>
      <c r="D1282" s="2">
        <f>MONTH(ProductionData[[#This Row],[Month]])</f>
        <v>7</v>
      </c>
      <c r="E1282" s="2" t="s">
        <v>107</v>
      </c>
      <c r="F1282" s="2" t="s">
        <v>66</v>
      </c>
      <c r="G1282" s="2" t="s">
        <v>174</v>
      </c>
      <c r="H1282" s="2" t="s">
        <v>175</v>
      </c>
      <c r="I1282" s="2" t="s">
        <v>176</v>
      </c>
      <c r="J1282" s="2" t="s">
        <v>629</v>
      </c>
      <c r="K1282" s="2" t="s">
        <v>630</v>
      </c>
      <c r="L1282" s="2" t="s">
        <v>2696</v>
      </c>
      <c r="M1282" s="2" t="s">
        <v>73</v>
      </c>
      <c r="N1282" s="2" t="s">
        <v>96</v>
      </c>
      <c r="O1282" s="2">
        <v>10</v>
      </c>
      <c r="P1282" s="2">
        <v>9</v>
      </c>
      <c r="Q1282" s="4">
        <v>4940</v>
      </c>
      <c r="R1282" s="4">
        <v>4670</v>
      </c>
      <c r="S1282" s="4">
        <v>94</v>
      </c>
      <c r="T1282" s="19">
        <f>(ProductionData[[#This Row],[Rejected_Qty]])/ProductionData[[#This Row],[Produced_Qty]]</f>
        <v>2.012847965738758E-2</v>
      </c>
      <c r="U1282" s="19">
        <f>ProductionData[[#This Row],[Produced_Qty]]/ProductionData[[#This Row],[Planned_Qty]]</f>
        <v>0.94534412955465585</v>
      </c>
      <c r="V1282" s="2" t="s">
        <v>109</v>
      </c>
      <c r="W1282" s="11">
        <v>55</v>
      </c>
      <c r="X1282" s="13">
        <f>W1282/60</f>
        <v>0.91666666666666663</v>
      </c>
      <c r="Y1282" s="2" t="s">
        <v>136</v>
      </c>
      <c r="Z1282" s="2">
        <v>29</v>
      </c>
      <c r="AA1282" s="2">
        <f>ProductionData[[#This Row],[Rejected_Qty]]*ProductionData[[#This Row],[Unit_Cost_INR]]</f>
        <v>2726</v>
      </c>
      <c r="AB1282" s="4">
        <v>14847</v>
      </c>
      <c r="AC1282" s="4">
        <v>4500</v>
      </c>
      <c r="AD1282" s="4">
        <v>4500</v>
      </c>
      <c r="AE1282" s="4">
        <v>14923</v>
      </c>
      <c r="AF1282" s="4">
        <v>7500</v>
      </c>
    </row>
    <row r="1283" spans="1:32">
      <c r="A1283" s="2" t="s">
        <v>2697</v>
      </c>
      <c r="B1283" s="3">
        <v>46233</v>
      </c>
      <c r="C1283" s="36" t="s">
        <v>2128</v>
      </c>
      <c r="D1283" s="2">
        <f>MONTH(ProductionData[[#This Row],[Month]])</f>
        <v>7</v>
      </c>
      <c r="E1283" s="2" t="s">
        <v>107</v>
      </c>
      <c r="F1283" s="2" t="s">
        <v>80</v>
      </c>
      <c r="G1283" s="2" t="s">
        <v>67</v>
      </c>
      <c r="H1283" s="2" t="s">
        <v>68</v>
      </c>
      <c r="I1283" s="2" t="s">
        <v>69</v>
      </c>
      <c r="J1283" s="2" t="s">
        <v>403</v>
      </c>
      <c r="K1283" s="2" t="s">
        <v>404</v>
      </c>
      <c r="L1283" s="2" t="s">
        <v>2698</v>
      </c>
      <c r="M1283" s="2" t="s">
        <v>102</v>
      </c>
      <c r="N1283" s="2" t="s">
        <v>96</v>
      </c>
      <c r="O1283" s="2">
        <v>16</v>
      </c>
      <c r="P1283" s="2">
        <v>16</v>
      </c>
      <c r="Q1283" s="4">
        <v>6470</v>
      </c>
      <c r="R1283" s="4">
        <v>6010</v>
      </c>
      <c r="S1283" s="4">
        <v>151</v>
      </c>
      <c r="T1283" s="19">
        <f>(ProductionData[[#This Row],[Rejected_Qty]])/ProductionData[[#This Row],[Produced_Qty]]</f>
        <v>2.5124792013311147E-2</v>
      </c>
      <c r="U1283" s="19">
        <f>ProductionData[[#This Row],[Produced_Qty]]/ProductionData[[#This Row],[Planned_Qty]]</f>
        <v>0.92890262751159192</v>
      </c>
      <c r="V1283" s="2" t="s">
        <v>109</v>
      </c>
      <c r="W1283" s="11">
        <v>0</v>
      </c>
      <c r="X1283" s="13">
        <f>W1283/60</f>
        <v>0</v>
      </c>
      <c r="Y1283" s="2" t="s">
        <v>90</v>
      </c>
      <c r="Z1283" s="2">
        <v>58</v>
      </c>
      <c r="AA1283" s="2">
        <f>ProductionData[[#This Row],[Rejected_Qty]]*ProductionData[[#This Row],[Unit_Cost_INR]]</f>
        <v>8758</v>
      </c>
      <c r="AB1283" s="4">
        <v>14693</v>
      </c>
      <c r="AC1283" s="4">
        <v>5630</v>
      </c>
      <c r="AD1283" s="4">
        <v>5630</v>
      </c>
      <c r="AE1283" s="4">
        <v>14922</v>
      </c>
      <c r="AF1283" s="4">
        <v>9000</v>
      </c>
    </row>
    <row r="1284" spans="1:32">
      <c r="A1284" s="2" t="s">
        <v>2699</v>
      </c>
      <c r="B1284" s="3">
        <v>46232</v>
      </c>
      <c r="C1284" s="36" t="s">
        <v>2128</v>
      </c>
      <c r="D1284" s="2">
        <f>MONTH(ProductionData[[#This Row],[Month]])</f>
        <v>7</v>
      </c>
      <c r="E1284" s="2" t="s">
        <v>79</v>
      </c>
      <c r="F1284" s="2" t="s">
        <v>80</v>
      </c>
      <c r="G1284" s="2" t="s">
        <v>174</v>
      </c>
      <c r="H1284" s="2" t="s">
        <v>175</v>
      </c>
      <c r="I1284" s="2" t="s">
        <v>176</v>
      </c>
      <c r="J1284" s="2" t="s">
        <v>629</v>
      </c>
      <c r="K1284" s="2" t="s">
        <v>630</v>
      </c>
      <c r="L1284" s="2" t="s">
        <v>2700</v>
      </c>
      <c r="M1284" s="2" t="s">
        <v>87</v>
      </c>
      <c r="N1284" s="2" t="s">
        <v>88</v>
      </c>
      <c r="O1284" s="2">
        <v>10</v>
      </c>
      <c r="P1284" s="2">
        <v>9</v>
      </c>
      <c r="Q1284" s="4">
        <v>4850</v>
      </c>
      <c r="R1284" s="4">
        <v>4480</v>
      </c>
      <c r="S1284" s="4">
        <v>109</v>
      </c>
      <c r="T1284" s="19">
        <f>(ProductionData[[#This Row],[Rejected_Qty]])/ProductionData[[#This Row],[Produced_Qty]]</f>
        <v>2.4330357142857143E-2</v>
      </c>
      <c r="U1284" s="19">
        <f>ProductionData[[#This Row],[Produced_Qty]]/ProductionData[[#This Row],[Planned_Qty]]</f>
        <v>0.92371134020618562</v>
      </c>
      <c r="V1284" s="2" t="s">
        <v>75</v>
      </c>
      <c r="W1284" s="11">
        <v>0</v>
      </c>
      <c r="X1284" s="13">
        <f>W1284/60</f>
        <v>0</v>
      </c>
      <c r="Y1284" s="2" t="s">
        <v>90</v>
      </c>
      <c r="Z1284" s="2">
        <v>29</v>
      </c>
      <c r="AA1284" s="2">
        <f>ProductionData[[#This Row],[Rejected_Qty]]*ProductionData[[#This Row],[Unit_Cost_INR]]</f>
        <v>3161</v>
      </c>
      <c r="AB1284" s="4">
        <v>14976</v>
      </c>
      <c r="AC1284" s="4">
        <v>4500</v>
      </c>
      <c r="AD1284" s="4">
        <v>4500</v>
      </c>
      <c r="AE1284" s="4">
        <v>14847</v>
      </c>
      <c r="AF1284" s="4">
        <v>7500</v>
      </c>
    </row>
    <row r="1285" spans="1:32">
      <c r="A1285" s="2" t="s">
        <v>2701</v>
      </c>
      <c r="B1285" s="3">
        <v>46234</v>
      </c>
      <c r="C1285" s="36" t="s">
        <v>2128</v>
      </c>
      <c r="D1285" s="2">
        <f>MONTH(ProductionData[[#This Row],[Month]])</f>
        <v>7</v>
      </c>
      <c r="E1285" s="2" t="s">
        <v>125</v>
      </c>
      <c r="F1285" s="2" t="s">
        <v>80</v>
      </c>
      <c r="G1285" s="2" t="s">
        <v>67</v>
      </c>
      <c r="H1285" s="2" t="s">
        <v>68</v>
      </c>
      <c r="I1285" s="2" t="s">
        <v>69</v>
      </c>
      <c r="J1285" s="2" t="s">
        <v>403</v>
      </c>
      <c r="K1285" s="2" t="s">
        <v>404</v>
      </c>
      <c r="L1285" s="2" t="s">
        <v>2702</v>
      </c>
      <c r="M1285" s="2" t="s">
        <v>87</v>
      </c>
      <c r="N1285" s="2" t="s">
        <v>96</v>
      </c>
      <c r="O1285" s="2">
        <v>16</v>
      </c>
      <c r="P1285" s="2">
        <v>16</v>
      </c>
      <c r="Q1285" s="4">
        <v>6210</v>
      </c>
      <c r="R1285" s="4">
        <v>5970</v>
      </c>
      <c r="S1285" s="4">
        <v>98</v>
      </c>
      <c r="T1285" s="19">
        <f>(ProductionData[[#This Row],[Rejected_Qty]])/ProductionData[[#This Row],[Produced_Qty]]</f>
        <v>1.6415410385259632E-2</v>
      </c>
      <c r="U1285" s="19">
        <f>ProductionData[[#This Row],[Produced_Qty]]/ProductionData[[#This Row],[Planned_Qty]]</f>
        <v>0.96135265700483097</v>
      </c>
      <c r="V1285" s="2" t="s">
        <v>89</v>
      </c>
      <c r="W1285" s="11">
        <v>0</v>
      </c>
      <c r="X1285" s="13">
        <f>W1285/60</f>
        <v>0</v>
      </c>
      <c r="Y1285" s="2" t="s">
        <v>90</v>
      </c>
      <c r="Z1285" s="2">
        <v>58</v>
      </c>
      <c r="AA1285" s="2">
        <f>ProductionData[[#This Row],[Rejected_Qty]]*ProductionData[[#This Row],[Unit_Cost_INR]]</f>
        <v>5684</v>
      </c>
      <c r="AB1285" s="4">
        <v>14393</v>
      </c>
      <c r="AC1285" s="4">
        <v>5470</v>
      </c>
      <c r="AD1285" s="4">
        <v>5470</v>
      </c>
      <c r="AE1285" s="4">
        <v>14795</v>
      </c>
      <c r="AF1285" s="4">
        <v>9000</v>
      </c>
    </row>
    <row r="1286" spans="1:32">
      <c r="A1286" s="2" t="s">
        <v>2703</v>
      </c>
      <c r="B1286" s="3">
        <v>46214</v>
      </c>
      <c r="C1286" s="36" t="s">
        <v>2128</v>
      </c>
      <c r="D1286" s="2">
        <f>MONTH(ProductionData[[#This Row],[Month]])</f>
        <v>7</v>
      </c>
      <c r="E1286" s="2" t="s">
        <v>65</v>
      </c>
      <c r="F1286" s="2" t="s">
        <v>80</v>
      </c>
      <c r="G1286" s="2" t="s">
        <v>67</v>
      </c>
      <c r="H1286" s="2" t="s">
        <v>68</v>
      </c>
      <c r="I1286" s="2" t="s">
        <v>69</v>
      </c>
      <c r="J1286" s="2" t="s">
        <v>683</v>
      </c>
      <c r="K1286" s="2" t="s">
        <v>684</v>
      </c>
      <c r="L1286" s="2" t="s">
        <v>2704</v>
      </c>
      <c r="M1286" s="2" t="s">
        <v>102</v>
      </c>
      <c r="N1286" s="2" t="s">
        <v>88</v>
      </c>
      <c r="O1286" s="2">
        <v>16</v>
      </c>
      <c r="P1286" s="2">
        <v>16</v>
      </c>
      <c r="Q1286" s="4">
        <v>4640</v>
      </c>
      <c r="R1286" s="4">
        <v>4210</v>
      </c>
      <c r="S1286" s="4">
        <v>117</v>
      </c>
      <c r="T1286" s="19">
        <f>(ProductionData[[#This Row],[Rejected_Qty]])/ProductionData[[#This Row],[Produced_Qty]]</f>
        <v>2.7790973871733966E-2</v>
      </c>
      <c r="U1286" s="19">
        <f>ProductionData[[#This Row],[Produced_Qty]]/ProductionData[[#This Row],[Planned_Qty]]</f>
        <v>0.90732758620689657</v>
      </c>
      <c r="V1286" s="2" t="s">
        <v>89</v>
      </c>
      <c r="W1286" s="11">
        <v>47</v>
      </c>
      <c r="X1286" s="13">
        <f>W1286/60</f>
        <v>0.78333333333333333</v>
      </c>
      <c r="Y1286" s="2" t="s">
        <v>76</v>
      </c>
      <c r="Z1286" s="2">
        <v>79</v>
      </c>
      <c r="AA1286" s="2">
        <f>ProductionData[[#This Row],[Rejected_Qty]]*ProductionData[[#This Row],[Unit_Cost_INR]]</f>
        <v>9243</v>
      </c>
      <c r="AB1286" s="4">
        <v>15580</v>
      </c>
      <c r="AC1286" s="4">
        <v>4950</v>
      </c>
      <c r="AD1286" s="4">
        <v>4950</v>
      </c>
      <c r="AE1286" s="4">
        <v>14723</v>
      </c>
      <c r="AF1286" s="4">
        <v>6750</v>
      </c>
    </row>
    <row r="1287" spans="1:32">
      <c r="A1287" s="2" t="s">
        <v>2705</v>
      </c>
      <c r="B1287" s="3">
        <v>46232</v>
      </c>
      <c r="C1287" s="36" t="s">
        <v>2128</v>
      </c>
      <c r="D1287" s="2">
        <f>MONTH(ProductionData[[#This Row],[Month]])</f>
        <v>7</v>
      </c>
      <c r="E1287" s="2" t="s">
        <v>79</v>
      </c>
      <c r="F1287" s="2" t="s">
        <v>93</v>
      </c>
      <c r="G1287" s="2" t="s">
        <v>67</v>
      </c>
      <c r="H1287" s="2" t="s">
        <v>68</v>
      </c>
      <c r="I1287" s="2" t="s">
        <v>69</v>
      </c>
      <c r="J1287" s="2" t="s">
        <v>403</v>
      </c>
      <c r="K1287" s="2" t="s">
        <v>404</v>
      </c>
      <c r="L1287" s="2" t="s">
        <v>2706</v>
      </c>
      <c r="M1287" s="2" t="s">
        <v>95</v>
      </c>
      <c r="N1287" s="2" t="s">
        <v>74</v>
      </c>
      <c r="O1287" s="2">
        <v>16</v>
      </c>
      <c r="P1287" s="2">
        <v>14</v>
      </c>
      <c r="Q1287" s="4">
        <v>5710</v>
      </c>
      <c r="R1287" s="4">
        <v>5320</v>
      </c>
      <c r="S1287" s="4">
        <v>494</v>
      </c>
      <c r="T1287" s="19">
        <f>(ProductionData[[#This Row],[Rejected_Qty]])/ProductionData[[#This Row],[Produced_Qty]]</f>
        <v>9.285714285714286E-2</v>
      </c>
      <c r="U1287" s="19">
        <f>ProductionData[[#This Row],[Produced_Qty]]/ProductionData[[#This Row],[Planned_Qty]]</f>
        <v>0.93169877408056045</v>
      </c>
      <c r="V1287" s="2" t="s">
        <v>2284</v>
      </c>
      <c r="W1287" s="11">
        <v>58</v>
      </c>
      <c r="X1287" s="13">
        <f>W1287/60</f>
        <v>0.96666666666666667</v>
      </c>
      <c r="Y1287" s="2" t="s">
        <v>136</v>
      </c>
      <c r="Z1287" s="2">
        <v>58</v>
      </c>
      <c r="AA1287" s="2">
        <f>ProductionData[[#This Row],[Rejected_Qty]]*ProductionData[[#This Row],[Unit_Cost_INR]]</f>
        <v>28652</v>
      </c>
      <c r="AB1287" s="4">
        <v>14517</v>
      </c>
      <c r="AC1287" s="4">
        <v>4650</v>
      </c>
      <c r="AD1287" s="4">
        <v>4650</v>
      </c>
      <c r="AE1287" s="4">
        <v>14693</v>
      </c>
      <c r="AF1287" s="4">
        <v>9000</v>
      </c>
    </row>
    <row r="1288" spans="1:32">
      <c r="A1288" s="2" t="s">
        <v>2707</v>
      </c>
      <c r="B1288" s="3">
        <v>46230</v>
      </c>
      <c r="C1288" s="36" t="s">
        <v>2128</v>
      </c>
      <c r="D1288" s="2">
        <f>MONTH(ProductionData[[#This Row],[Month]])</f>
        <v>7</v>
      </c>
      <c r="E1288" s="2" t="s">
        <v>116</v>
      </c>
      <c r="F1288" s="2" t="s">
        <v>80</v>
      </c>
      <c r="G1288" s="2" t="s">
        <v>67</v>
      </c>
      <c r="H1288" s="2" t="s">
        <v>68</v>
      </c>
      <c r="I1288" s="2" t="s">
        <v>69</v>
      </c>
      <c r="J1288" s="2" t="s">
        <v>403</v>
      </c>
      <c r="K1288" s="2" t="s">
        <v>404</v>
      </c>
      <c r="L1288" s="2" t="s">
        <v>2708</v>
      </c>
      <c r="M1288" s="2" t="s">
        <v>87</v>
      </c>
      <c r="N1288" s="2" t="s">
        <v>96</v>
      </c>
      <c r="O1288" s="2">
        <v>16</v>
      </c>
      <c r="P1288" s="2">
        <v>15</v>
      </c>
      <c r="Q1288" s="4">
        <v>5800</v>
      </c>
      <c r="R1288" s="4">
        <v>5550</v>
      </c>
      <c r="S1288" s="4">
        <v>120</v>
      </c>
      <c r="T1288" s="19">
        <f>(ProductionData[[#This Row],[Rejected_Qty]])/ProductionData[[#This Row],[Produced_Qty]]</f>
        <v>2.1621621621621623E-2</v>
      </c>
      <c r="U1288" s="19">
        <f>ProductionData[[#This Row],[Produced_Qty]]/ProductionData[[#This Row],[Planned_Qty]]</f>
        <v>0.9568965517241379</v>
      </c>
      <c r="V1288" s="2" t="s">
        <v>113</v>
      </c>
      <c r="W1288" s="11">
        <v>0</v>
      </c>
      <c r="X1288" s="13">
        <f>W1288/60</f>
        <v>0</v>
      </c>
      <c r="Y1288" s="2" t="s">
        <v>90</v>
      </c>
      <c r="Z1288" s="2">
        <v>58</v>
      </c>
      <c r="AA1288" s="2">
        <f>ProductionData[[#This Row],[Rejected_Qty]]*ProductionData[[#This Row],[Unit_Cost_INR]]</f>
        <v>6960</v>
      </c>
      <c r="AB1288" s="4">
        <v>14452</v>
      </c>
      <c r="AC1288" s="4">
        <v>5300</v>
      </c>
      <c r="AD1288" s="4">
        <v>5300</v>
      </c>
      <c r="AE1288" s="4">
        <v>14582</v>
      </c>
      <c r="AF1288" s="4">
        <v>9000</v>
      </c>
    </row>
    <row r="1289" spans="1:32">
      <c r="A1289" s="2" t="s">
        <v>2709</v>
      </c>
      <c r="B1289" s="3">
        <v>46221</v>
      </c>
      <c r="C1289" s="36" t="s">
        <v>2128</v>
      </c>
      <c r="D1289" s="2">
        <f>MONTH(ProductionData[[#This Row],[Month]])</f>
        <v>7</v>
      </c>
      <c r="E1289" s="2" t="s">
        <v>65</v>
      </c>
      <c r="F1289" s="2" t="s">
        <v>93</v>
      </c>
      <c r="G1289" s="2" t="s">
        <v>174</v>
      </c>
      <c r="H1289" s="2" t="s">
        <v>175</v>
      </c>
      <c r="I1289" s="2" t="s">
        <v>176</v>
      </c>
      <c r="J1289" s="2" t="s">
        <v>629</v>
      </c>
      <c r="K1289" s="2" t="s">
        <v>630</v>
      </c>
      <c r="L1289" s="2" t="s">
        <v>2710</v>
      </c>
      <c r="M1289" s="2" t="s">
        <v>133</v>
      </c>
      <c r="N1289" s="2" t="s">
        <v>88</v>
      </c>
      <c r="O1289" s="2">
        <v>10</v>
      </c>
      <c r="P1289" s="2">
        <v>7</v>
      </c>
      <c r="Q1289" s="4">
        <v>4670</v>
      </c>
      <c r="R1289" s="4">
        <v>3760</v>
      </c>
      <c r="S1289" s="4">
        <v>78</v>
      </c>
      <c r="T1289" s="19">
        <f>(ProductionData[[#This Row],[Rejected_Qty]])/ProductionData[[#This Row],[Produced_Qty]]</f>
        <v>2.0744680851063829E-2</v>
      </c>
      <c r="U1289" s="19">
        <f>ProductionData[[#This Row],[Produced_Qty]]/ProductionData[[#This Row],[Planned_Qty]]</f>
        <v>0.80513918629550318</v>
      </c>
      <c r="V1289" s="2" t="s">
        <v>75</v>
      </c>
      <c r="W1289" s="11">
        <v>0</v>
      </c>
      <c r="X1289" s="13">
        <f>W1289/60</f>
        <v>0</v>
      </c>
      <c r="Y1289" s="2" t="s">
        <v>90</v>
      </c>
      <c r="Z1289" s="2">
        <v>29</v>
      </c>
      <c r="AA1289" s="2">
        <f>ProductionData[[#This Row],[Rejected_Qty]]*ProductionData[[#This Row],[Unit_Cost_INR]]</f>
        <v>2262</v>
      </c>
      <c r="AB1289" s="4">
        <v>15267</v>
      </c>
      <c r="AC1289" s="4">
        <v>4370</v>
      </c>
      <c r="AD1289" s="4">
        <v>4370</v>
      </c>
      <c r="AE1289" s="4">
        <v>14579</v>
      </c>
      <c r="AF1289" s="4">
        <v>7500</v>
      </c>
    </row>
    <row r="1290" spans="1:32">
      <c r="A1290" s="2" t="s">
        <v>2711</v>
      </c>
      <c r="B1290" s="3">
        <v>46232</v>
      </c>
      <c r="C1290" s="36" t="s">
        <v>2128</v>
      </c>
      <c r="D1290" s="2">
        <f>MONTH(ProductionData[[#This Row],[Month]])</f>
        <v>7</v>
      </c>
      <c r="E1290" s="2" t="s">
        <v>79</v>
      </c>
      <c r="F1290" s="2" t="s">
        <v>80</v>
      </c>
      <c r="G1290" s="2" t="s">
        <v>67</v>
      </c>
      <c r="H1290" s="2" t="s">
        <v>68</v>
      </c>
      <c r="I1290" s="2" t="s">
        <v>69</v>
      </c>
      <c r="J1290" s="2" t="s">
        <v>403</v>
      </c>
      <c r="K1290" s="2" t="s">
        <v>404</v>
      </c>
      <c r="L1290" s="2" t="s">
        <v>2712</v>
      </c>
      <c r="M1290" s="2" t="s">
        <v>87</v>
      </c>
      <c r="N1290" s="2" t="s">
        <v>96</v>
      </c>
      <c r="O1290" s="2">
        <v>16</v>
      </c>
      <c r="P1290" s="2">
        <v>15</v>
      </c>
      <c r="Q1290" s="4">
        <v>5660</v>
      </c>
      <c r="R1290" s="4">
        <v>5580</v>
      </c>
      <c r="S1290" s="4">
        <v>98</v>
      </c>
      <c r="T1290" s="19">
        <f>(ProductionData[[#This Row],[Rejected_Qty]])/ProductionData[[#This Row],[Produced_Qty]]</f>
        <v>1.7562724014336919E-2</v>
      </c>
      <c r="U1290" s="19">
        <f>ProductionData[[#This Row],[Produced_Qty]]/ProductionData[[#This Row],[Planned_Qty]]</f>
        <v>0.98586572438162545</v>
      </c>
      <c r="V1290" s="2" t="s">
        <v>89</v>
      </c>
      <c r="W1290" s="11">
        <v>0</v>
      </c>
      <c r="X1290" s="13">
        <f>W1290/60</f>
        <v>0</v>
      </c>
      <c r="Y1290" s="2" t="s">
        <v>90</v>
      </c>
      <c r="Z1290" s="2">
        <v>58</v>
      </c>
      <c r="AA1290" s="2">
        <f>ProductionData[[#This Row],[Rejected_Qty]]*ProductionData[[#This Row],[Unit_Cost_INR]]</f>
        <v>5684</v>
      </c>
      <c r="AB1290" s="4">
        <v>14055</v>
      </c>
      <c r="AC1290" s="4">
        <v>5020</v>
      </c>
      <c r="AD1290" s="4">
        <v>5020</v>
      </c>
      <c r="AE1290" s="4">
        <v>14517</v>
      </c>
      <c r="AF1290" s="4">
        <v>9000</v>
      </c>
    </row>
    <row r="1291" spans="1:32">
      <c r="A1291" s="2" t="s">
        <v>2713</v>
      </c>
      <c r="B1291" s="3">
        <v>46224</v>
      </c>
      <c r="C1291" s="36" t="s">
        <v>2128</v>
      </c>
      <c r="D1291" s="2">
        <f>MONTH(ProductionData[[#This Row],[Month]])</f>
        <v>7</v>
      </c>
      <c r="E1291" s="2" t="s">
        <v>92</v>
      </c>
      <c r="F1291" s="2" t="s">
        <v>93</v>
      </c>
      <c r="G1291" s="2" t="s">
        <v>174</v>
      </c>
      <c r="H1291" s="2" t="s">
        <v>175</v>
      </c>
      <c r="I1291" s="2" t="s">
        <v>176</v>
      </c>
      <c r="J1291" s="2" t="s">
        <v>629</v>
      </c>
      <c r="K1291" s="2" t="s">
        <v>630</v>
      </c>
      <c r="L1291" s="2" t="s">
        <v>2714</v>
      </c>
      <c r="M1291" s="2" t="s">
        <v>133</v>
      </c>
      <c r="N1291" s="2" t="s">
        <v>96</v>
      </c>
      <c r="O1291" s="2">
        <v>10</v>
      </c>
      <c r="P1291" s="2">
        <v>8</v>
      </c>
      <c r="Q1291" s="4">
        <v>4570</v>
      </c>
      <c r="R1291" s="4">
        <v>4040</v>
      </c>
      <c r="S1291" s="4">
        <v>134</v>
      </c>
      <c r="T1291" s="19">
        <f>(ProductionData[[#This Row],[Rejected_Qty]])/ProductionData[[#This Row],[Produced_Qty]]</f>
        <v>3.316831683168317E-2</v>
      </c>
      <c r="U1291" s="19">
        <f>ProductionData[[#This Row],[Produced_Qty]]/ProductionData[[#This Row],[Planned_Qty]]</f>
        <v>0.88402625820568925</v>
      </c>
      <c r="V1291" s="2" t="s">
        <v>109</v>
      </c>
      <c r="W1291" s="11">
        <v>58</v>
      </c>
      <c r="X1291" s="13">
        <f>W1291/60</f>
        <v>0.96666666666666667</v>
      </c>
      <c r="Y1291" s="2" t="s">
        <v>110</v>
      </c>
      <c r="Z1291" s="2">
        <v>29</v>
      </c>
      <c r="AA1291" s="2">
        <f>ProductionData[[#This Row],[Rejected_Qty]]*ProductionData[[#This Row],[Unit_Cost_INR]]</f>
        <v>3886</v>
      </c>
      <c r="AB1291" s="4">
        <v>15111</v>
      </c>
      <c r="AC1291" s="4">
        <v>4510</v>
      </c>
      <c r="AD1291" s="4">
        <v>4510</v>
      </c>
      <c r="AE1291" s="4">
        <v>14507</v>
      </c>
      <c r="AF1291" s="4">
        <v>7500</v>
      </c>
    </row>
    <row r="1292" spans="1:32">
      <c r="A1292" s="2" t="s">
        <v>2715</v>
      </c>
      <c r="B1292" s="3">
        <v>46228</v>
      </c>
      <c r="C1292" s="36" t="s">
        <v>2128</v>
      </c>
      <c r="D1292" s="2">
        <f>MONTH(ProductionData[[#This Row],[Month]])</f>
        <v>7</v>
      </c>
      <c r="E1292" s="2" t="s">
        <v>65</v>
      </c>
      <c r="F1292" s="2" t="s">
        <v>93</v>
      </c>
      <c r="G1292" s="2" t="s">
        <v>67</v>
      </c>
      <c r="H1292" s="2" t="s">
        <v>68</v>
      </c>
      <c r="I1292" s="2" t="s">
        <v>69</v>
      </c>
      <c r="J1292" s="2" t="s">
        <v>403</v>
      </c>
      <c r="K1292" s="2" t="s">
        <v>404</v>
      </c>
      <c r="L1292" s="2" t="s">
        <v>2716</v>
      </c>
      <c r="M1292" s="2" t="s">
        <v>95</v>
      </c>
      <c r="N1292" s="2" t="s">
        <v>74</v>
      </c>
      <c r="O1292" s="2">
        <v>16</v>
      </c>
      <c r="P1292" s="2">
        <v>15</v>
      </c>
      <c r="Q1292" s="4">
        <v>6120</v>
      </c>
      <c r="R1292" s="4">
        <v>5740</v>
      </c>
      <c r="S1292" s="4">
        <v>651</v>
      </c>
      <c r="T1292" s="19">
        <f>(ProductionData[[#This Row],[Rejected_Qty]])/ProductionData[[#This Row],[Produced_Qty]]</f>
        <v>0.11341463414634147</v>
      </c>
      <c r="U1292" s="19">
        <f>ProductionData[[#This Row],[Produced_Qty]]/ProductionData[[#This Row],[Planned_Qty]]</f>
        <v>0.93790849673202614</v>
      </c>
      <c r="V1292" s="2" t="s">
        <v>2284</v>
      </c>
      <c r="W1292" s="11">
        <v>34</v>
      </c>
      <c r="X1292" s="13">
        <f>W1292/60</f>
        <v>0.56666666666666665</v>
      </c>
      <c r="Y1292" s="2" t="s">
        <v>110</v>
      </c>
      <c r="Z1292" s="2">
        <v>58</v>
      </c>
      <c r="AA1292" s="2">
        <f>ProductionData[[#This Row],[Rejected_Qty]]*ProductionData[[#This Row],[Unit_Cost_INR]]</f>
        <v>37758</v>
      </c>
      <c r="AB1292" s="4">
        <v>15097</v>
      </c>
      <c r="AC1292" s="4">
        <v>5710</v>
      </c>
      <c r="AD1292" s="4">
        <v>5710</v>
      </c>
      <c r="AE1292" s="4">
        <v>14476</v>
      </c>
      <c r="AF1292" s="4">
        <v>9000</v>
      </c>
    </row>
    <row r="1293" spans="1:32">
      <c r="A1293" s="2" t="s">
        <v>2717</v>
      </c>
      <c r="B1293" s="3">
        <v>46217</v>
      </c>
      <c r="C1293" s="36" t="s">
        <v>2128</v>
      </c>
      <c r="D1293" s="2">
        <f>MONTH(ProductionData[[#This Row],[Month]])</f>
        <v>7</v>
      </c>
      <c r="E1293" s="2" t="s">
        <v>92</v>
      </c>
      <c r="F1293" s="2" t="s">
        <v>80</v>
      </c>
      <c r="G1293" s="2" t="s">
        <v>67</v>
      </c>
      <c r="H1293" s="2" t="s">
        <v>68</v>
      </c>
      <c r="I1293" s="2" t="s">
        <v>69</v>
      </c>
      <c r="J1293" s="2" t="s">
        <v>683</v>
      </c>
      <c r="K1293" s="2" t="s">
        <v>684</v>
      </c>
      <c r="L1293" s="2" t="s">
        <v>2718</v>
      </c>
      <c r="M1293" s="2" t="s">
        <v>102</v>
      </c>
      <c r="N1293" s="2" t="s">
        <v>96</v>
      </c>
      <c r="O1293" s="2">
        <v>16</v>
      </c>
      <c r="P1293" s="2">
        <v>14</v>
      </c>
      <c r="Q1293" s="4">
        <v>4460</v>
      </c>
      <c r="R1293" s="4">
        <v>4000</v>
      </c>
      <c r="S1293" s="4">
        <v>121</v>
      </c>
      <c r="T1293" s="19">
        <f>(ProductionData[[#This Row],[Rejected_Qty]])/ProductionData[[#This Row],[Produced_Qty]]</f>
        <v>3.0249999999999999E-2</v>
      </c>
      <c r="U1293" s="19">
        <f>ProductionData[[#This Row],[Produced_Qty]]/ProductionData[[#This Row],[Planned_Qty]]</f>
        <v>0.89686098654708524</v>
      </c>
      <c r="V1293" s="2" t="s">
        <v>113</v>
      </c>
      <c r="W1293" s="11">
        <v>0</v>
      </c>
      <c r="X1293" s="13">
        <f>W1293/60</f>
        <v>0</v>
      </c>
      <c r="Y1293" s="2" t="s">
        <v>90</v>
      </c>
      <c r="Z1293" s="2">
        <v>79</v>
      </c>
      <c r="AA1293" s="2">
        <f>ProductionData[[#This Row],[Rejected_Qty]]*ProductionData[[#This Row],[Unit_Cost_INR]]</f>
        <v>9559</v>
      </c>
      <c r="AB1293" s="4">
        <v>14723</v>
      </c>
      <c r="AC1293" s="4">
        <v>4130</v>
      </c>
      <c r="AD1293" s="4">
        <v>4130</v>
      </c>
      <c r="AE1293" s="4">
        <v>14472</v>
      </c>
      <c r="AF1293" s="4">
        <v>6750</v>
      </c>
    </row>
    <row r="1294" spans="1:32">
      <c r="A1294" s="2" t="s">
        <v>2719</v>
      </c>
      <c r="B1294" s="3">
        <v>46220</v>
      </c>
      <c r="C1294" s="36" t="s">
        <v>2128</v>
      </c>
      <c r="D1294" s="2">
        <f>MONTH(ProductionData[[#This Row],[Month]])</f>
        <v>7</v>
      </c>
      <c r="E1294" s="2" t="s">
        <v>125</v>
      </c>
      <c r="F1294" s="2" t="s">
        <v>66</v>
      </c>
      <c r="G1294" s="2" t="s">
        <v>67</v>
      </c>
      <c r="H1294" s="2" t="s">
        <v>68</v>
      </c>
      <c r="I1294" s="2" t="s">
        <v>69</v>
      </c>
      <c r="J1294" s="2" t="s">
        <v>683</v>
      </c>
      <c r="K1294" s="2" t="s">
        <v>684</v>
      </c>
      <c r="L1294" s="2" t="s">
        <v>2720</v>
      </c>
      <c r="M1294" s="2" t="s">
        <v>73</v>
      </c>
      <c r="N1294" s="2" t="s">
        <v>96</v>
      </c>
      <c r="O1294" s="2">
        <v>16</v>
      </c>
      <c r="P1294" s="2">
        <v>14</v>
      </c>
      <c r="Q1294" s="4">
        <v>4600</v>
      </c>
      <c r="R1294" s="4">
        <v>4190</v>
      </c>
      <c r="S1294" s="4">
        <v>90</v>
      </c>
      <c r="T1294" s="19">
        <f>(ProductionData[[#This Row],[Rejected_Qty]])/ProductionData[[#This Row],[Produced_Qty]]</f>
        <v>2.1479713603818614E-2</v>
      </c>
      <c r="U1294" s="19">
        <f>ProductionData[[#This Row],[Produced_Qty]]/ProductionData[[#This Row],[Planned_Qty]]</f>
        <v>0.91086956521739126</v>
      </c>
      <c r="V1294" s="2" t="s">
        <v>103</v>
      </c>
      <c r="W1294" s="11">
        <v>0</v>
      </c>
      <c r="X1294" s="13">
        <f>W1294/60</f>
        <v>0</v>
      </c>
      <c r="Y1294" s="2" t="s">
        <v>90</v>
      </c>
      <c r="Z1294" s="2">
        <v>79</v>
      </c>
      <c r="AA1294" s="2">
        <f>ProductionData[[#This Row],[Rejected_Qty]]*ProductionData[[#This Row],[Unit_Cost_INR]]</f>
        <v>7110</v>
      </c>
      <c r="AB1294" s="4">
        <v>14472</v>
      </c>
      <c r="AC1294" s="4">
        <v>4110</v>
      </c>
      <c r="AD1294" s="4">
        <v>4110</v>
      </c>
      <c r="AE1294" s="4">
        <v>14462</v>
      </c>
      <c r="AF1294" s="4">
        <v>6750</v>
      </c>
    </row>
    <row r="1295" spans="1:32">
      <c r="A1295" s="2" t="s">
        <v>2721</v>
      </c>
      <c r="B1295" s="3">
        <v>46230</v>
      </c>
      <c r="C1295" s="36" t="s">
        <v>2128</v>
      </c>
      <c r="D1295" s="2">
        <f>MONTH(ProductionData[[#This Row],[Month]])</f>
        <v>7</v>
      </c>
      <c r="E1295" s="2" t="s">
        <v>116</v>
      </c>
      <c r="F1295" s="2" t="s">
        <v>66</v>
      </c>
      <c r="G1295" s="2" t="s">
        <v>67</v>
      </c>
      <c r="H1295" s="2" t="s">
        <v>68</v>
      </c>
      <c r="I1295" s="2" t="s">
        <v>69</v>
      </c>
      <c r="J1295" s="2" t="s">
        <v>403</v>
      </c>
      <c r="K1295" s="2" t="s">
        <v>404</v>
      </c>
      <c r="L1295" s="2" t="s">
        <v>2722</v>
      </c>
      <c r="M1295" s="2" t="s">
        <v>99</v>
      </c>
      <c r="N1295" s="2" t="s">
        <v>74</v>
      </c>
      <c r="O1295" s="2">
        <v>16</v>
      </c>
      <c r="P1295" s="2">
        <v>16</v>
      </c>
      <c r="Q1295" s="4">
        <v>5750</v>
      </c>
      <c r="R1295" s="4">
        <v>5680</v>
      </c>
      <c r="S1295" s="4">
        <v>504</v>
      </c>
      <c r="T1295" s="19">
        <f>(ProductionData[[#This Row],[Rejected_Qty]])/ProductionData[[#This Row],[Produced_Qty]]</f>
        <v>8.873239436619719E-2</v>
      </c>
      <c r="U1295" s="19">
        <f>ProductionData[[#This Row],[Produced_Qty]]/ProductionData[[#This Row],[Planned_Qty]]</f>
        <v>0.98782608695652174</v>
      </c>
      <c r="V1295" s="2" t="s">
        <v>2284</v>
      </c>
      <c r="W1295" s="11">
        <v>74</v>
      </c>
      <c r="X1295" s="13">
        <f>W1295/60</f>
        <v>1.2333333333333334</v>
      </c>
      <c r="Y1295" s="2" t="s">
        <v>76</v>
      </c>
      <c r="Z1295" s="2">
        <v>58</v>
      </c>
      <c r="AA1295" s="2">
        <f>ProductionData[[#This Row],[Rejected_Qty]]*ProductionData[[#This Row],[Unit_Cost_INR]]</f>
        <v>29232</v>
      </c>
      <c r="AB1295" s="4">
        <v>14476</v>
      </c>
      <c r="AC1295" s="4">
        <v>5200</v>
      </c>
      <c r="AD1295" s="4">
        <v>5200</v>
      </c>
      <c r="AE1295" s="4">
        <v>14452</v>
      </c>
      <c r="AF1295" s="4">
        <v>9000</v>
      </c>
    </row>
    <row r="1296" spans="1:32">
      <c r="A1296" s="2" t="s">
        <v>2723</v>
      </c>
      <c r="B1296" s="3">
        <v>46228</v>
      </c>
      <c r="C1296" s="36" t="s">
        <v>2128</v>
      </c>
      <c r="D1296" s="2">
        <f>MONTH(ProductionData[[#This Row],[Month]])</f>
        <v>7</v>
      </c>
      <c r="E1296" s="2" t="s">
        <v>65</v>
      </c>
      <c r="F1296" s="2" t="s">
        <v>66</v>
      </c>
      <c r="G1296" s="2" t="s">
        <v>174</v>
      </c>
      <c r="H1296" s="2" t="s">
        <v>175</v>
      </c>
      <c r="I1296" s="2" t="s">
        <v>176</v>
      </c>
      <c r="J1296" s="2" t="s">
        <v>629</v>
      </c>
      <c r="K1296" s="2" t="s">
        <v>630</v>
      </c>
      <c r="L1296" s="2" t="s">
        <v>2724</v>
      </c>
      <c r="M1296" s="2" t="s">
        <v>73</v>
      </c>
      <c r="N1296" s="2" t="s">
        <v>96</v>
      </c>
      <c r="O1296" s="2">
        <v>10</v>
      </c>
      <c r="P1296" s="2">
        <v>10</v>
      </c>
      <c r="Q1296" s="4">
        <v>4820</v>
      </c>
      <c r="R1296" s="4">
        <v>4700</v>
      </c>
      <c r="S1296" s="4">
        <v>124</v>
      </c>
      <c r="T1296" s="19">
        <f>(ProductionData[[#This Row],[Rejected_Qty]])/ProductionData[[#This Row],[Produced_Qty]]</f>
        <v>2.6382978723404255E-2</v>
      </c>
      <c r="U1296" s="19">
        <f>ProductionData[[#This Row],[Produced_Qty]]/ProductionData[[#This Row],[Planned_Qty]]</f>
        <v>0.975103734439834</v>
      </c>
      <c r="V1296" s="2" t="s">
        <v>113</v>
      </c>
      <c r="W1296" s="11">
        <v>0</v>
      </c>
      <c r="X1296" s="13">
        <f>W1296/60</f>
        <v>0</v>
      </c>
      <c r="Y1296" s="2" t="s">
        <v>90</v>
      </c>
      <c r="Z1296" s="2">
        <v>29</v>
      </c>
      <c r="AA1296" s="2">
        <f>ProductionData[[#This Row],[Rejected_Qty]]*ProductionData[[#This Row],[Unit_Cost_INR]]</f>
        <v>3596</v>
      </c>
      <c r="AB1296" s="4">
        <v>14276</v>
      </c>
      <c r="AC1296" s="4">
        <v>4420</v>
      </c>
      <c r="AD1296" s="4">
        <v>4420</v>
      </c>
      <c r="AE1296" s="4">
        <v>14432</v>
      </c>
      <c r="AF1296" s="4">
        <v>7500</v>
      </c>
    </row>
    <row r="1297" spans="1:32">
      <c r="A1297" s="2" t="s">
        <v>2725</v>
      </c>
      <c r="B1297" s="3">
        <v>46234</v>
      </c>
      <c r="C1297" s="36" t="s">
        <v>2128</v>
      </c>
      <c r="D1297" s="2">
        <f>MONTH(ProductionData[[#This Row],[Month]])</f>
        <v>7</v>
      </c>
      <c r="E1297" s="2" t="s">
        <v>125</v>
      </c>
      <c r="F1297" s="2" t="s">
        <v>66</v>
      </c>
      <c r="G1297" s="2" t="s">
        <v>67</v>
      </c>
      <c r="H1297" s="2" t="s">
        <v>68</v>
      </c>
      <c r="I1297" s="2" t="s">
        <v>69</v>
      </c>
      <c r="J1297" s="2" t="s">
        <v>403</v>
      </c>
      <c r="K1297" s="2" t="s">
        <v>404</v>
      </c>
      <c r="L1297" s="2" t="s">
        <v>2726</v>
      </c>
      <c r="M1297" s="2" t="s">
        <v>73</v>
      </c>
      <c r="N1297" s="2" t="s">
        <v>88</v>
      </c>
      <c r="O1297" s="2">
        <v>16</v>
      </c>
      <c r="P1297" s="2">
        <v>16</v>
      </c>
      <c r="Q1297" s="4">
        <v>5770</v>
      </c>
      <c r="R1297" s="4">
        <v>5410</v>
      </c>
      <c r="S1297" s="4">
        <v>149</v>
      </c>
      <c r="T1297" s="19">
        <f>(ProductionData[[#This Row],[Rejected_Qty]])/ProductionData[[#This Row],[Produced_Qty]]</f>
        <v>2.754158964879852E-2</v>
      </c>
      <c r="U1297" s="19">
        <f>ProductionData[[#This Row],[Produced_Qty]]/ProductionData[[#This Row],[Planned_Qty]]</f>
        <v>0.93760831889081453</v>
      </c>
      <c r="V1297" s="2" t="s">
        <v>103</v>
      </c>
      <c r="W1297" s="11">
        <v>0</v>
      </c>
      <c r="X1297" s="13">
        <f>W1297/60</f>
        <v>0</v>
      </c>
      <c r="Y1297" s="2" t="s">
        <v>90</v>
      </c>
      <c r="Z1297" s="2">
        <v>58</v>
      </c>
      <c r="AA1297" s="2">
        <f>ProductionData[[#This Row],[Rejected_Qty]]*ProductionData[[#This Row],[Unit_Cost_INR]]</f>
        <v>8642</v>
      </c>
      <c r="AB1297" s="4">
        <v>14922</v>
      </c>
      <c r="AC1297" s="4">
        <v>5790</v>
      </c>
      <c r="AD1297" s="4">
        <v>5790</v>
      </c>
      <c r="AE1297" s="4">
        <v>14393</v>
      </c>
      <c r="AF1297" s="4">
        <v>9000</v>
      </c>
    </row>
    <row r="1298" spans="1:32">
      <c r="A1298" s="2" t="s">
        <v>2727</v>
      </c>
      <c r="B1298" s="3">
        <v>46226</v>
      </c>
      <c r="C1298" s="36" t="s">
        <v>2128</v>
      </c>
      <c r="D1298" s="2">
        <f>MONTH(ProductionData[[#This Row],[Month]])</f>
        <v>7</v>
      </c>
      <c r="E1298" s="2" t="s">
        <v>107</v>
      </c>
      <c r="F1298" s="2" t="s">
        <v>80</v>
      </c>
      <c r="G1298" s="2" t="s">
        <v>174</v>
      </c>
      <c r="H1298" s="2" t="s">
        <v>175</v>
      </c>
      <c r="I1298" s="2" t="s">
        <v>176</v>
      </c>
      <c r="J1298" s="2" t="s">
        <v>629</v>
      </c>
      <c r="K1298" s="2" t="s">
        <v>630</v>
      </c>
      <c r="L1298" s="2" t="s">
        <v>2728</v>
      </c>
      <c r="M1298" s="2" t="s">
        <v>87</v>
      </c>
      <c r="N1298" s="2" t="s">
        <v>88</v>
      </c>
      <c r="O1298" s="2">
        <v>10</v>
      </c>
      <c r="P1298" s="2">
        <v>10</v>
      </c>
      <c r="Q1298" s="4">
        <v>4970</v>
      </c>
      <c r="R1298" s="4">
        <v>4730</v>
      </c>
      <c r="S1298" s="4">
        <v>73</v>
      </c>
      <c r="T1298" s="19">
        <f>(ProductionData[[#This Row],[Rejected_Qty]])/ProductionData[[#This Row],[Produced_Qty]]</f>
        <v>1.5433403805496829E-2</v>
      </c>
      <c r="U1298" s="19">
        <f>ProductionData[[#This Row],[Produced_Qty]]/ProductionData[[#This Row],[Planned_Qty]]</f>
        <v>0.95171026156941652</v>
      </c>
      <c r="V1298" s="2" t="s">
        <v>89</v>
      </c>
      <c r="W1298" s="11">
        <v>0</v>
      </c>
      <c r="X1298" s="13">
        <f>W1298/60</f>
        <v>0</v>
      </c>
      <c r="Y1298" s="2" t="s">
        <v>90</v>
      </c>
      <c r="Z1298" s="2">
        <v>29</v>
      </c>
      <c r="AA1298" s="2">
        <f>ProductionData[[#This Row],[Rejected_Qty]]*ProductionData[[#This Row],[Unit_Cost_INR]]</f>
        <v>2117</v>
      </c>
      <c r="AB1298" s="4">
        <v>14099</v>
      </c>
      <c r="AC1298" s="4">
        <v>4480</v>
      </c>
      <c r="AD1298" s="4">
        <v>4480</v>
      </c>
      <c r="AE1298" s="4">
        <v>14276</v>
      </c>
      <c r="AF1298" s="4">
        <v>7500</v>
      </c>
    </row>
    <row r="1299" spans="1:32">
      <c r="A1299" s="2" t="s">
        <v>2729</v>
      </c>
      <c r="B1299" s="3">
        <v>46225</v>
      </c>
      <c r="C1299" s="36" t="s">
        <v>2128</v>
      </c>
      <c r="D1299" s="2">
        <f>MONTH(ProductionData[[#This Row],[Month]])</f>
        <v>7</v>
      </c>
      <c r="E1299" s="2" t="s">
        <v>79</v>
      </c>
      <c r="F1299" s="2" t="s">
        <v>80</v>
      </c>
      <c r="G1299" s="2" t="s">
        <v>174</v>
      </c>
      <c r="H1299" s="2" t="s">
        <v>175</v>
      </c>
      <c r="I1299" s="2" t="s">
        <v>176</v>
      </c>
      <c r="J1299" s="2" t="s">
        <v>629</v>
      </c>
      <c r="K1299" s="2" t="s">
        <v>630</v>
      </c>
      <c r="L1299" s="2" t="s">
        <v>2730</v>
      </c>
      <c r="M1299" s="2" t="s">
        <v>87</v>
      </c>
      <c r="N1299" s="2" t="s">
        <v>88</v>
      </c>
      <c r="O1299" s="2">
        <v>10</v>
      </c>
      <c r="P1299" s="2">
        <v>9</v>
      </c>
      <c r="Q1299" s="4">
        <v>4720</v>
      </c>
      <c r="R1299" s="4">
        <v>4200</v>
      </c>
      <c r="S1299" s="4">
        <v>128</v>
      </c>
      <c r="T1299" s="19">
        <f>(ProductionData[[#This Row],[Rejected_Qty]])/ProductionData[[#This Row],[Produced_Qty]]</f>
        <v>3.0476190476190476E-2</v>
      </c>
      <c r="U1299" s="19">
        <f>ProductionData[[#This Row],[Produced_Qty]]/ProductionData[[#This Row],[Planned_Qty]]</f>
        <v>0.88983050847457623</v>
      </c>
      <c r="V1299" s="2" t="s">
        <v>113</v>
      </c>
      <c r="W1299" s="11">
        <v>68</v>
      </c>
      <c r="X1299" s="13">
        <f>W1299/60</f>
        <v>1.1333333333333333</v>
      </c>
      <c r="Y1299" s="2" t="s">
        <v>136</v>
      </c>
      <c r="Z1299" s="2">
        <v>29</v>
      </c>
      <c r="AA1299" s="2">
        <f>ProductionData[[#This Row],[Rejected_Qty]]*ProductionData[[#This Row],[Unit_Cost_INR]]</f>
        <v>3712</v>
      </c>
      <c r="AB1299" s="4">
        <v>14507</v>
      </c>
      <c r="AC1299" s="4">
        <v>4480</v>
      </c>
      <c r="AD1299" s="4">
        <v>4480</v>
      </c>
      <c r="AE1299" s="4">
        <v>14099</v>
      </c>
      <c r="AF1299" s="4">
        <v>7500</v>
      </c>
    </row>
    <row r="1300" spans="1:32">
      <c r="A1300" s="2" t="s">
        <v>2731</v>
      </c>
      <c r="B1300" s="3">
        <v>46231</v>
      </c>
      <c r="C1300" s="36" t="s">
        <v>2128</v>
      </c>
      <c r="D1300" s="2">
        <f>MONTH(ProductionData[[#This Row],[Month]])</f>
        <v>7</v>
      </c>
      <c r="E1300" s="2" t="s">
        <v>92</v>
      </c>
      <c r="F1300" s="2" t="s">
        <v>66</v>
      </c>
      <c r="G1300" s="2" t="s">
        <v>67</v>
      </c>
      <c r="H1300" s="2" t="s">
        <v>68</v>
      </c>
      <c r="I1300" s="2" t="s">
        <v>69</v>
      </c>
      <c r="J1300" s="2" t="s">
        <v>403</v>
      </c>
      <c r="K1300" s="2" t="s">
        <v>404</v>
      </c>
      <c r="L1300" s="2" t="s">
        <v>2732</v>
      </c>
      <c r="M1300" s="2" t="s">
        <v>99</v>
      </c>
      <c r="N1300" s="2" t="s">
        <v>74</v>
      </c>
      <c r="O1300" s="2">
        <v>16</v>
      </c>
      <c r="P1300" s="2">
        <v>15</v>
      </c>
      <c r="Q1300" s="4">
        <v>6400</v>
      </c>
      <c r="R1300" s="4">
        <v>6210</v>
      </c>
      <c r="S1300" s="4">
        <v>547</v>
      </c>
      <c r="T1300" s="19">
        <f>(ProductionData[[#This Row],[Rejected_Qty]])/ProductionData[[#This Row],[Produced_Qty]]</f>
        <v>8.8083735909822866E-2</v>
      </c>
      <c r="U1300" s="19">
        <f>ProductionData[[#This Row],[Produced_Qty]]/ProductionData[[#This Row],[Planned_Qty]]</f>
        <v>0.97031250000000002</v>
      </c>
      <c r="V1300" s="2" t="s">
        <v>2284</v>
      </c>
      <c r="W1300" s="11">
        <v>0</v>
      </c>
      <c r="X1300" s="13">
        <f>W1300/60</f>
        <v>0</v>
      </c>
      <c r="Y1300" s="2" t="s">
        <v>90</v>
      </c>
      <c r="Z1300" s="2">
        <v>58</v>
      </c>
      <c r="AA1300" s="2">
        <f>ProductionData[[#This Row],[Rejected_Qty]]*ProductionData[[#This Row],[Unit_Cost_INR]]</f>
        <v>31726</v>
      </c>
      <c r="AB1300" s="4">
        <v>14582</v>
      </c>
      <c r="AC1300" s="4">
        <v>6190</v>
      </c>
      <c r="AD1300" s="4">
        <v>6190</v>
      </c>
      <c r="AE1300" s="4">
        <v>14055</v>
      </c>
      <c r="AF1300" s="4">
        <v>9000</v>
      </c>
    </row>
    <row r="1301" spans="1:32">
      <c r="A1301" s="2" t="s">
        <v>2733</v>
      </c>
      <c r="B1301" s="3">
        <v>46221</v>
      </c>
      <c r="C1301" s="36" t="s">
        <v>2128</v>
      </c>
      <c r="D1301" s="2">
        <f>MONTH(ProductionData[[#This Row],[Month]])</f>
        <v>7</v>
      </c>
      <c r="E1301" s="2" t="s">
        <v>65</v>
      </c>
      <c r="F1301" s="2" t="s">
        <v>66</v>
      </c>
      <c r="G1301" s="2" t="s">
        <v>67</v>
      </c>
      <c r="H1301" s="2" t="s">
        <v>68</v>
      </c>
      <c r="I1301" s="2" t="s">
        <v>69</v>
      </c>
      <c r="J1301" s="2" t="s">
        <v>683</v>
      </c>
      <c r="K1301" s="2" t="s">
        <v>684</v>
      </c>
      <c r="L1301" s="2" t="s">
        <v>2734</v>
      </c>
      <c r="M1301" s="2" t="s">
        <v>99</v>
      </c>
      <c r="N1301" s="2" t="s">
        <v>96</v>
      </c>
      <c r="O1301" s="2">
        <v>16</v>
      </c>
      <c r="P1301" s="2">
        <v>16</v>
      </c>
      <c r="Q1301" s="4">
        <v>4500</v>
      </c>
      <c r="R1301" s="4">
        <v>4410</v>
      </c>
      <c r="S1301" s="4">
        <v>94</v>
      </c>
      <c r="T1301" s="19">
        <f>(ProductionData[[#This Row],[Rejected_Qty]])/ProductionData[[#This Row],[Produced_Qty]]</f>
        <v>2.1315192743764172E-2</v>
      </c>
      <c r="U1301" s="19">
        <f>ProductionData[[#This Row],[Produced_Qty]]/ProductionData[[#This Row],[Planned_Qty]]</f>
        <v>0.98</v>
      </c>
      <c r="V1301" s="2" t="s">
        <v>89</v>
      </c>
      <c r="W1301" s="11">
        <v>0</v>
      </c>
      <c r="X1301" s="13">
        <f>W1301/60</f>
        <v>0</v>
      </c>
      <c r="Y1301" s="2" t="s">
        <v>90</v>
      </c>
      <c r="Z1301" s="2">
        <v>79</v>
      </c>
      <c r="AA1301" s="2">
        <f>ProductionData[[#This Row],[Rejected_Qty]]*ProductionData[[#This Row],[Unit_Cost_INR]]</f>
        <v>7426</v>
      </c>
      <c r="AB1301" s="4">
        <v>14462</v>
      </c>
      <c r="AC1301" s="4">
        <v>4800</v>
      </c>
      <c r="AD1301" s="4">
        <v>4800</v>
      </c>
      <c r="AE1301" s="4">
        <v>13978</v>
      </c>
      <c r="AF1301" s="4">
        <v>6750</v>
      </c>
    </row>
    <row r="1302" spans="1:32">
      <c r="A1302" s="2" t="s">
        <v>2735</v>
      </c>
      <c r="B1302" s="3">
        <v>46221</v>
      </c>
      <c r="C1302" s="36" t="s">
        <v>2128</v>
      </c>
      <c r="D1302" s="2">
        <f>MONTH(ProductionData[[#This Row],[Month]])</f>
        <v>7</v>
      </c>
      <c r="E1302" s="2" t="s">
        <v>65</v>
      </c>
      <c r="F1302" s="2" t="s">
        <v>80</v>
      </c>
      <c r="G1302" s="2" t="s">
        <v>67</v>
      </c>
      <c r="H1302" s="2" t="s">
        <v>68</v>
      </c>
      <c r="I1302" s="2" t="s">
        <v>69</v>
      </c>
      <c r="J1302" s="2" t="s">
        <v>683</v>
      </c>
      <c r="K1302" s="2" t="s">
        <v>684</v>
      </c>
      <c r="L1302" s="2" t="s">
        <v>2736</v>
      </c>
      <c r="M1302" s="2" t="s">
        <v>87</v>
      </c>
      <c r="N1302" s="2" t="s">
        <v>88</v>
      </c>
      <c r="O1302" s="2">
        <v>16</v>
      </c>
      <c r="P1302" s="2">
        <v>14</v>
      </c>
      <c r="Q1302" s="4">
        <v>4230</v>
      </c>
      <c r="R1302" s="4">
        <v>3850</v>
      </c>
      <c r="S1302" s="4">
        <v>67</v>
      </c>
      <c r="T1302" s="19">
        <f>(ProductionData[[#This Row],[Rejected_Qty]])/ProductionData[[#This Row],[Produced_Qty]]</f>
        <v>1.7402597402597402E-2</v>
      </c>
      <c r="U1302" s="19">
        <f>ProductionData[[#This Row],[Produced_Qty]]/ProductionData[[#This Row],[Planned_Qty]]</f>
        <v>0.91016548463356972</v>
      </c>
      <c r="V1302" s="2" t="s">
        <v>109</v>
      </c>
      <c r="W1302" s="11">
        <v>27</v>
      </c>
      <c r="X1302" s="13">
        <f>W1302/60</f>
        <v>0.45</v>
      </c>
      <c r="Y1302" s="2" t="s">
        <v>110</v>
      </c>
      <c r="Z1302" s="2">
        <v>79</v>
      </c>
      <c r="AA1302" s="2">
        <f>ProductionData[[#This Row],[Rejected_Qty]]*ProductionData[[#This Row],[Unit_Cost_INR]]</f>
        <v>5293</v>
      </c>
      <c r="AB1302" s="4">
        <v>13978</v>
      </c>
      <c r="AC1302" s="4">
        <v>4020</v>
      </c>
      <c r="AD1302" s="4">
        <v>4020</v>
      </c>
      <c r="AE1302" s="4">
        <v>13741</v>
      </c>
      <c r="AF1302" s="4">
        <v>6750</v>
      </c>
    </row>
    <row r="1303" spans="1:32">
      <c r="A1303" s="2" t="s">
        <v>2737</v>
      </c>
      <c r="B1303" s="3">
        <v>46223</v>
      </c>
      <c r="C1303" s="36" t="s">
        <v>2128</v>
      </c>
      <c r="D1303" s="2">
        <f>MONTH(ProductionData[[#This Row],[Month]])</f>
        <v>7</v>
      </c>
      <c r="E1303" s="2" t="s">
        <v>116</v>
      </c>
      <c r="F1303" s="2" t="s">
        <v>80</v>
      </c>
      <c r="G1303" s="2" t="s">
        <v>67</v>
      </c>
      <c r="H1303" s="2" t="s">
        <v>68</v>
      </c>
      <c r="I1303" s="2" t="s">
        <v>69</v>
      </c>
      <c r="J1303" s="2" t="s">
        <v>683</v>
      </c>
      <c r="K1303" s="2" t="s">
        <v>684</v>
      </c>
      <c r="L1303" s="2" t="s">
        <v>2738</v>
      </c>
      <c r="M1303" s="2" t="s">
        <v>87</v>
      </c>
      <c r="N1303" s="2" t="s">
        <v>88</v>
      </c>
      <c r="O1303" s="2">
        <v>16</v>
      </c>
      <c r="P1303" s="2">
        <v>16</v>
      </c>
      <c r="Q1303" s="4">
        <v>4360</v>
      </c>
      <c r="R1303" s="4">
        <v>3990</v>
      </c>
      <c r="S1303" s="4">
        <v>97</v>
      </c>
      <c r="T1303" s="19">
        <f>(ProductionData[[#This Row],[Rejected_Qty]])/ProductionData[[#This Row],[Produced_Qty]]</f>
        <v>2.431077694235589E-2</v>
      </c>
      <c r="U1303" s="19">
        <f>ProductionData[[#This Row],[Produced_Qty]]/ProductionData[[#This Row],[Planned_Qty]]</f>
        <v>0.91513761467889909</v>
      </c>
      <c r="V1303" s="2" t="s">
        <v>103</v>
      </c>
      <c r="W1303" s="11">
        <v>69</v>
      </c>
      <c r="X1303" s="13">
        <f>W1303/60</f>
        <v>1.1499999999999999</v>
      </c>
      <c r="Y1303" s="2" t="s">
        <v>110</v>
      </c>
      <c r="Z1303" s="2">
        <v>79</v>
      </c>
      <c r="AA1303" s="2">
        <f>ProductionData[[#This Row],[Rejected_Qty]]*ProductionData[[#This Row],[Unit_Cost_INR]]</f>
        <v>7663</v>
      </c>
      <c r="AB1303" s="4">
        <v>13741</v>
      </c>
      <c r="AC1303" s="4">
        <v>4170</v>
      </c>
      <c r="AD1303" s="4">
        <v>4170</v>
      </c>
      <c r="AE1303" s="4">
        <v>13464</v>
      </c>
      <c r="AF1303" s="4">
        <v>6750</v>
      </c>
    </row>
    <row r="1304" spans="1:32">
      <c r="A1304" s="2" t="s">
        <v>2739</v>
      </c>
      <c r="B1304" s="3">
        <v>46232</v>
      </c>
      <c r="C1304" s="36" t="s">
        <v>2128</v>
      </c>
      <c r="D1304" s="2">
        <f>MONTH(ProductionData[[#This Row],[Month]])</f>
        <v>7</v>
      </c>
      <c r="E1304" s="2" t="s">
        <v>79</v>
      </c>
      <c r="F1304" s="2" t="s">
        <v>66</v>
      </c>
      <c r="G1304" s="2" t="s">
        <v>67</v>
      </c>
      <c r="H1304" s="2" t="s">
        <v>68</v>
      </c>
      <c r="I1304" s="2" t="s">
        <v>69</v>
      </c>
      <c r="J1304" s="2" t="s">
        <v>683</v>
      </c>
      <c r="K1304" s="2" t="s">
        <v>684</v>
      </c>
      <c r="L1304" s="2" t="s">
        <v>2740</v>
      </c>
      <c r="M1304" s="2" t="s">
        <v>73</v>
      </c>
      <c r="N1304" s="2" t="s">
        <v>96</v>
      </c>
      <c r="O1304" s="2">
        <v>16</v>
      </c>
      <c r="P1304" s="2">
        <v>15</v>
      </c>
      <c r="Q1304" s="4">
        <v>4370</v>
      </c>
      <c r="R1304" s="4">
        <v>4210</v>
      </c>
      <c r="S1304" s="4">
        <v>149</v>
      </c>
      <c r="T1304" s="19">
        <f>(ProductionData[[#This Row],[Rejected_Qty]])/ProductionData[[#This Row],[Produced_Qty]]</f>
        <v>3.5391923990498814E-2</v>
      </c>
      <c r="U1304" s="19">
        <f>ProductionData[[#This Row],[Produced_Qty]]/ProductionData[[#This Row],[Planned_Qty]]</f>
        <v>0.96338672768878719</v>
      </c>
      <c r="V1304" s="2" t="s">
        <v>75</v>
      </c>
      <c r="W1304" s="11">
        <v>0</v>
      </c>
      <c r="X1304" s="13">
        <f>W1304/60</f>
        <v>0</v>
      </c>
      <c r="Y1304" s="2" t="s">
        <v>90</v>
      </c>
      <c r="Z1304" s="2">
        <v>79</v>
      </c>
      <c r="AA1304" s="2">
        <f>ProductionData[[#This Row],[Rejected_Qty]]*ProductionData[[#This Row],[Unit_Cost_INR]]</f>
        <v>11771</v>
      </c>
      <c r="AB1304" s="4">
        <v>12518</v>
      </c>
      <c r="AC1304" s="4">
        <v>3440</v>
      </c>
      <c r="AD1304" s="4">
        <v>3440</v>
      </c>
      <c r="AE1304" s="4">
        <v>13139</v>
      </c>
      <c r="AF1304" s="4">
        <v>6750</v>
      </c>
    </row>
    <row r="1305" spans="1:32">
      <c r="A1305" s="2" t="s">
        <v>2741</v>
      </c>
      <c r="B1305" s="3">
        <v>46228</v>
      </c>
      <c r="C1305" s="36" t="s">
        <v>2128</v>
      </c>
      <c r="D1305" s="2">
        <f>MONTH(ProductionData[[#This Row],[Month]])</f>
        <v>7</v>
      </c>
      <c r="E1305" s="2" t="s">
        <v>65</v>
      </c>
      <c r="F1305" s="2" t="s">
        <v>80</v>
      </c>
      <c r="G1305" s="2" t="s">
        <v>67</v>
      </c>
      <c r="H1305" s="2" t="s">
        <v>68</v>
      </c>
      <c r="I1305" s="2" t="s">
        <v>69</v>
      </c>
      <c r="J1305" s="2" t="s">
        <v>683</v>
      </c>
      <c r="K1305" s="2" t="s">
        <v>684</v>
      </c>
      <c r="L1305" s="2" t="s">
        <v>2742</v>
      </c>
      <c r="M1305" s="2" t="s">
        <v>102</v>
      </c>
      <c r="N1305" s="2" t="s">
        <v>88</v>
      </c>
      <c r="O1305" s="2">
        <v>16</v>
      </c>
      <c r="P1305" s="2">
        <v>16</v>
      </c>
      <c r="Q1305" s="4">
        <v>4380</v>
      </c>
      <c r="R1305" s="4">
        <v>4140</v>
      </c>
      <c r="S1305" s="4">
        <v>59</v>
      </c>
      <c r="T1305" s="19">
        <f>(ProductionData[[#This Row],[Rejected_Qty]])/ProductionData[[#This Row],[Produced_Qty]]</f>
        <v>1.4251207729468598E-2</v>
      </c>
      <c r="U1305" s="19">
        <f>ProductionData[[#This Row],[Produced_Qty]]/ProductionData[[#This Row],[Planned_Qty]]</f>
        <v>0.9452054794520548</v>
      </c>
      <c r="V1305" s="2" t="s">
        <v>89</v>
      </c>
      <c r="W1305" s="11">
        <v>43</v>
      </c>
      <c r="X1305" s="13">
        <f>W1305/60</f>
        <v>0.71666666666666667</v>
      </c>
      <c r="Y1305" s="2" t="s">
        <v>76</v>
      </c>
      <c r="Z1305" s="2">
        <v>79</v>
      </c>
      <c r="AA1305" s="2">
        <f>ProductionData[[#This Row],[Rejected_Qty]]*ProductionData[[#This Row],[Unit_Cost_INR]]</f>
        <v>4661</v>
      </c>
      <c r="AB1305" s="4">
        <v>12494</v>
      </c>
      <c r="AC1305" s="4">
        <v>3480</v>
      </c>
      <c r="AD1305" s="4">
        <v>3480</v>
      </c>
      <c r="AE1305" s="4">
        <v>13095</v>
      </c>
      <c r="AF1305" s="4">
        <v>6750</v>
      </c>
    </row>
    <row r="1306" spans="1:32">
      <c r="A1306" s="2" t="s">
        <v>2743</v>
      </c>
      <c r="B1306" s="3">
        <v>46224</v>
      </c>
      <c r="C1306" s="36" t="s">
        <v>2128</v>
      </c>
      <c r="D1306" s="2">
        <f>MONTH(ProductionData[[#This Row],[Month]])</f>
        <v>7</v>
      </c>
      <c r="E1306" s="2" t="s">
        <v>92</v>
      </c>
      <c r="F1306" s="2" t="s">
        <v>80</v>
      </c>
      <c r="G1306" s="2" t="s">
        <v>67</v>
      </c>
      <c r="H1306" s="2" t="s">
        <v>68</v>
      </c>
      <c r="I1306" s="2" t="s">
        <v>69</v>
      </c>
      <c r="J1306" s="2" t="s">
        <v>683</v>
      </c>
      <c r="K1306" s="2" t="s">
        <v>684</v>
      </c>
      <c r="L1306" s="2" t="s">
        <v>2744</v>
      </c>
      <c r="M1306" s="2" t="s">
        <v>102</v>
      </c>
      <c r="N1306" s="2" t="s">
        <v>74</v>
      </c>
      <c r="O1306" s="2">
        <v>16</v>
      </c>
      <c r="P1306" s="2">
        <v>16</v>
      </c>
      <c r="Q1306" s="4">
        <v>4550</v>
      </c>
      <c r="R1306" s="4">
        <v>4520</v>
      </c>
      <c r="S1306" s="4">
        <v>463</v>
      </c>
      <c r="T1306" s="19">
        <f>(ProductionData[[#This Row],[Rejected_Qty]])/ProductionData[[#This Row],[Produced_Qty]]</f>
        <v>0.10243362831858407</v>
      </c>
      <c r="U1306" s="19">
        <f>ProductionData[[#This Row],[Produced_Qty]]/ProductionData[[#This Row],[Planned_Qty]]</f>
        <v>0.99340659340659343</v>
      </c>
      <c r="V1306" s="2" t="s">
        <v>2284</v>
      </c>
      <c r="W1306" s="11">
        <v>48</v>
      </c>
      <c r="X1306" s="13">
        <f>W1306/60</f>
        <v>0.8</v>
      </c>
      <c r="Y1306" s="2" t="s">
        <v>110</v>
      </c>
      <c r="Z1306" s="2">
        <v>79</v>
      </c>
      <c r="AA1306" s="2">
        <f>ProductionData[[#This Row],[Rejected_Qty]]*ProductionData[[#This Row],[Unit_Cost_INR]]</f>
        <v>36577</v>
      </c>
      <c r="AB1306" s="4">
        <v>12947</v>
      </c>
      <c r="AC1306" s="4">
        <v>3950</v>
      </c>
      <c r="AD1306" s="4">
        <v>3950</v>
      </c>
      <c r="AE1306" s="4">
        <v>13054</v>
      </c>
      <c r="AF1306" s="4">
        <v>6750</v>
      </c>
    </row>
    <row r="1307" spans="1:32">
      <c r="A1307" s="2" t="s">
        <v>2745</v>
      </c>
      <c r="B1307" s="3">
        <v>46224</v>
      </c>
      <c r="C1307" s="36" t="s">
        <v>2128</v>
      </c>
      <c r="D1307" s="2">
        <f>MONTH(ProductionData[[#This Row],[Month]])</f>
        <v>7</v>
      </c>
      <c r="E1307" s="2" t="s">
        <v>92</v>
      </c>
      <c r="F1307" s="2" t="s">
        <v>66</v>
      </c>
      <c r="G1307" s="2" t="s">
        <v>67</v>
      </c>
      <c r="H1307" s="2" t="s">
        <v>68</v>
      </c>
      <c r="I1307" s="2" t="s">
        <v>69</v>
      </c>
      <c r="J1307" s="2" t="s">
        <v>683</v>
      </c>
      <c r="K1307" s="2" t="s">
        <v>684</v>
      </c>
      <c r="L1307" s="2" t="s">
        <v>2746</v>
      </c>
      <c r="M1307" s="2" t="s">
        <v>99</v>
      </c>
      <c r="N1307" s="2" t="s">
        <v>88</v>
      </c>
      <c r="O1307" s="2">
        <v>16</v>
      </c>
      <c r="P1307" s="2">
        <v>14</v>
      </c>
      <c r="Q1307" s="4">
        <v>4550</v>
      </c>
      <c r="R1307" s="4">
        <v>3790</v>
      </c>
      <c r="S1307" s="4">
        <v>117</v>
      </c>
      <c r="T1307" s="19">
        <f>(ProductionData[[#This Row],[Rejected_Qty]])/ProductionData[[#This Row],[Produced_Qty]]</f>
        <v>3.0870712401055409E-2</v>
      </c>
      <c r="U1307" s="19">
        <f>ProductionData[[#This Row],[Produced_Qty]]/ProductionData[[#This Row],[Planned_Qty]]</f>
        <v>0.83296703296703301</v>
      </c>
      <c r="V1307" s="2" t="s">
        <v>89</v>
      </c>
      <c r="W1307" s="11">
        <v>13</v>
      </c>
      <c r="X1307" s="13">
        <f>W1307/60</f>
        <v>0.21666666666666667</v>
      </c>
      <c r="Y1307" s="2" t="s">
        <v>182</v>
      </c>
      <c r="Z1307" s="2">
        <v>79</v>
      </c>
      <c r="AA1307" s="2">
        <f>ProductionData[[#This Row],[Rejected_Qty]]*ProductionData[[#This Row],[Unit_Cost_INR]]</f>
        <v>9243</v>
      </c>
      <c r="AB1307" s="4">
        <v>13464</v>
      </c>
      <c r="AC1307" s="4">
        <v>4190</v>
      </c>
      <c r="AD1307" s="4">
        <v>4190</v>
      </c>
      <c r="AE1307" s="4">
        <v>12947</v>
      </c>
      <c r="AF1307" s="4">
        <v>6750</v>
      </c>
    </row>
    <row r="1308" spans="1:32">
      <c r="A1308" s="2" t="s">
        <v>2747</v>
      </c>
      <c r="B1308" s="3">
        <v>46233</v>
      </c>
      <c r="C1308" s="36" t="s">
        <v>2128</v>
      </c>
      <c r="D1308" s="2">
        <f>MONTH(ProductionData[[#This Row],[Month]])</f>
        <v>7</v>
      </c>
      <c r="E1308" s="2" t="s">
        <v>107</v>
      </c>
      <c r="F1308" s="2" t="s">
        <v>93</v>
      </c>
      <c r="G1308" s="2" t="s">
        <v>67</v>
      </c>
      <c r="H1308" s="2" t="s">
        <v>68</v>
      </c>
      <c r="I1308" s="2" t="s">
        <v>69</v>
      </c>
      <c r="J1308" s="2" t="s">
        <v>683</v>
      </c>
      <c r="K1308" s="2" t="s">
        <v>684</v>
      </c>
      <c r="L1308" s="2" t="s">
        <v>2748</v>
      </c>
      <c r="M1308" s="2" t="s">
        <v>95</v>
      </c>
      <c r="N1308" s="2" t="s">
        <v>74</v>
      </c>
      <c r="O1308" s="2">
        <v>16</v>
      </c>
      <c r="P1308" s="2">
        <v>15</v>
      </c>
      <c r="Q1308" s="4">
        <v>4570</v>
      </c>
      <c r="R1308" s="4">
        <v>4370</v>
      </c>
      <c r="S1308" s="4">
        <v>550</v>
      </c>
      <c r="T1308" s="19">
        <f>(ProductionData[[#This Row],[Rejected_Qty]])/ProductionData[[#This Row],[Produced_Qty]]</f>
        <v>0.12585812356979406</v>
      </c>
      <c r="U1308" s="19">
        <f>ProductionData[[#This Row],[Produced_Qty]]/ProductionData[[#This Row],[Planned_Qty]]</f>
        <v>0.9562363238512035</v>
      </c>
      <c r="V1308" s="2" t="s">
        <v>2284</v>
      </c>
      <c r="W1308" s="11">
        <v>0</v>
      </c>
      <c r="X1308" s="13">
        <f>W1308/60</f>
        <v>0</v>
      </c>
      <c r="Y1308" s="2" t="s">
        <v>90</v>
      </c>
      <c r="Z1308" s="2">
        <v>79</v>
      </c>
      <c r="AA1308" s="2">
        <f>ProductionData[[#This Row],[Rejected_Qty]]*ProductionData[[#This Row],[Unit_Cost_INR]]</f>
        <v>43450</v>
      </c>
      <c r="AB1308" s="4">
        <v>13139</v>
      </c>
      <c r="AC1308" s="4">
        <v>4410</v>
      </c>
      <c r="AD1308" s="4">
        <v>4410</v>
      </c>
      <c r="AE1308" s="4">
        <v>12549</v>
      </c>
      <c r="AF1308" s="4">
        <v>6750</v>
      </c>
    </row>
    <row r="1309" spans="1:32">
      <c r="A1309" s="2" t="s">
        <v>2749</v>
      </c>
      <c r="B1309" s="3">
        <v>46231</v>
      </c>
      <c r="C1309" s="36" t="s">
        <v>2128</v>
      </c>
      <c r="D1309" s="2">
        <f>MONTH(ProductionData[[#This Row],[Month]])</f>
        <v>7</v>
      </c>
      <c r="E1309" s="2" t="s">
        <v>92</v>
      </c>
      <c r="F1309" s="2" t="s">
        <v>93</v>
      </c>
      <c r="G1309" s="2" t="s">
        <v>67</v>
      </c>
      <c r="H1309" s="2" t="s">
        <v>68</v>
      </c>
      <c r="I1309" s="2" t="s">
        <v>69</v>
      </c>
      <c r="J1309" s="2" t="s">
        <v>683</v>
      </c>
      <c r="K1309" s="2" t="s">
        <v>684</v>
      </c>
      <c r="L1309" s="2" t="s">
        <v>2750</v>
      </c>
      <c r="M1309" s="2" t="s">
        <v>133</v>
      </c>
      <c r="N1309" s="2" t="s">
        <v>74</v>
      </c>
      <c r="O1309" s="2">
        <v>16</v>
      </c>
      <c r="P1309" s="2">
        <v>16</v>
      </c>
      <c r="Q1309" s="4">
        <v>4090</v>
      </c>
      <c r="R1309" s="4">
        <v>3990</v>
      </c>
      <c r="S1309" s="4">
        <v>527</v>
      </c>
      <c r="T1309" s="19">
        <f>(ProductionData[[#This Row],[Rejected_Qty]])/ProductionData[[#This Row],[Produced_Qty]]</f>
        <v>0.13208020050125313</v>
      </c>
      <c r="U1309" s="19">
        <f>ProductionData[[#This Row],[Produced_Qty]]/ProductionData[[#This Row],[Planned_Qty]]</f>
        <v>0.97555012224938875</v>
      </c>
      <c r="V1309" s="2" t="s">
        <v>2284</v>
      </c>
      <c r="W1309" s="11">
        <v>0</v>
      </c>
      <c r="X1309" s="13">
        <f>W1309/60</f>
        <v>0</v>
      </c>
      <c r="Y1309" s="2" t="s">
        <v>90</v>
      </c>
      <c r="Z1309" s="2">
        <v>79</v>
      </c>
      <c r="AA1309" s="2">
        <f>ProductionData[[#This Row],[Rejected_Qty]]*ProductionData[[#This Row],[Unit_Cost_INR]]</f>
        <v>41633</v>
      </c>
      <c r="AB1309" s="4">
        <v>13095</v>
      </c>
      <c r="AC1309" s="4">
        <v>4040</v>
      </c>
      <c r="AD1309" s="4">
        <v>4040</v>
      </c>
      <c r="AE1309" s="4">
        <v>12518</v>
      </c>
      <c r="AF1309" s="4">
        <v>6750</v>
      </c>
    </row>
    <row r="1310" spans="1:32">
      <c r="A1310" s="2" t="s">
        <v>2751</v>
      </c>
      <c r="B1310" s="3">
        <v>46227</v>
      </c>
      <c r="C1310" s="36" t="s">
        <v>2128</v>
      </c>
      <c r="D1310" s="2">
        <f>MONTH(ProductionData[[#This Row],[Month]])</f>
        <v>7</v>
      </c>
      <c r="E1310" s="2" t="s">
        <v>125</v>
      </c>
      <c r="F1310" s="2" t="s">
        <v>80</v>
      </c>
      <c r="G1310" s="2" t="s">
        <v>67</v>
      </c>
      <c r="H1310" s="2" t="s">
        <v>68</v>
      </c>
      <c r="I1310" s="2" t="s">
        <v>69</v>
      </c>
      <c r="J1310" s="2" t="s">
        <v>683</v>
      </c>
      <c r="K1310" s="2" t="s">
        <v>684</v>
      </c>
      <c r="L1310" s="2" t="s">
        <v>2752</v>
      </c>
      <c r="M1310" s="2" t="s">
        <v>102</v>
      </c>
      <c r="N1310" s="2" t="s">
        <v>96</v>
      </c>
      <c r="O1310" s="2">
        <v>16</v>
      </c>
      <c r="P1310" s="2">
        <v>15</v>
      </c>
      <c r="Q1310" s="4">
        <v>4470</v>
      </c>
      <c r="R1310" s="4">
        <v>4120</v>
      </c>
      <c r="S1310" s="4">
        <v>16</v>
      </c>
      <c r="T1310" s="19">
        <f>(ProductionData[[#This Row],[Rejected_Qty]])/ProductionData[[#This Row],[Produced_Qty]]</f>
        <v>3.8834951456310678E-3</v>
      </c>
      <c r="U1310" s="19">
        <f>ProductionData[[#This Row],[Produced_Qty]]/ProductionData[[#This Row],[Planned_Qty]]</f>
        <v>0.92170022371364657</v>
      </c>
      <c r="V1310" s="2" t="s">
        <v>103</v>
      </c>
      <c r="W1310" s="11">
        <v>50</v>
      </c>
      <c r="X1310" s="13">
        <f>W1310/60</f>
        <v>0.83333333333333337</v>
      </c>
      <c r="Y1310" s="2" t="s">
        <v>110</v>
      </c>
      <c r="Z1310" s="2">
        <v>79</v>
      </c>
      <c r="AA1310" s="2">
        <f>ProductionData[[#This Row],[Rejected_Qty]]*ProductionData[[#This Row],[Unit_Cost_INR]]</f>
        <v>1264</v>
      </c>
      <c r="AB1310" s="4">
        <v>12270</v>
      </c>
      <c r="AC1310" s="4">
        <v>3880</v>
      </c>
      <c r="AD1310" s="4">
        <v>3880</v>
      </c>
      <c r="AE1310" s="4">
        <v>12494</v>
      </c>
      <c r="AF1310" s="4">
        <v>6750</v>
      </c>
    </row>
    <row r="1311" spans="1:32">
      <c r="A1311" s="2" t="s">
        <v>2753</v>
      </c>
      <c r="B1311" s="3">
        <v>46225</v>
      </c>
      <c r="C1311" s="36" t="s">
        <v>2128</v>
      </c>
      <c r="D1311" s="2">
        <f>MONTH(ProductionData[[#This Row],[Month]])</f>
        <v>7</v>
      </c>
      <c r="E1311" s="2" t="s">
        <v>79</v>
      </c>
      <c r="F1311" s="2" t="s">
        <v>80</v>
      </c>
      <c r="G1311" s="2" t="s">
        <v>67</v>
      </c>
      <c r="H1311" s="2" t="s">
        <v>68</v>
      </c>
      <c r="I1311" s="2" t="s">
        <v>69</v>
      </c>
      <c r="J1311" s="2" t="s">
        <v>683</v>
      </c>
      <c r="K1311" s="2" t="s">
        <v>684</v>
      </c>
      <c r="L1311" s="2" t="s">
        <v>2754</v>
      </c>
      <c r="M1311" s="2" t="s">
        <v>102</v>
      </c>
      <c r="N1311" s="2" t="s">
        <v>74</v>
      </c>
      <c r="O1311" s="2">
        <v>16</v>
      </c>
      <c r="P1311" s="2">
        <v>15</v>
      </c>
      <c r="Q1311" s="4">
        <v>4150</v>
      </c>
      <c r="R1311" s="4">
        <v>3940</v>
      </c>
      <c r="S1311" s="4">
        <v>197</v>
      </c>
      <c r="T1311" s="19">
        <f>(ProductionData[[#This Row],[Rejected_Qty]])/ProductionData[[#This Row],[Produced_Qty]]</f>
        <v>0.05</v>
      </c>
      <c r="U1311" s="19">
        <f>ProductionData[[#This Row],[Produced_Qty]]/ProductionData[[#This Row],[Planned_Qty]]</f>
        <v>0.94939759036144578</v>
      </c>
      <c r="V1311" s="2" t="s">
        <v>2284</v>
      </c>
      <c r="W1311" s="11">
        <v>33</v>
      </c>
      <c r="X1311" s="13">
        <f>W1311/60</f>
        <v>0.55000000000000004</v>
      </c>
      <c r="Y1311" s="2" t="s">
        <v>110</v>
      </c>
      <c r="Z1311" s="2">
        <v>79</v>
      </c>
      <c r="AA1311" s="2">
        <f>ProductionData[[#This Row],[Rejected_Qty]]*ProductionData[[#This Row],[Unit_Cost_INR]]</f>
        <v>15563</v>
      </c>
      <c r="AB1311" s="4">
        <v>13054</v>
      </c>
      <c r="AC1311" s="4">
        <v>4370</v>
      </c>
      <c r="AD1311" s="4">
        <v>4370</v>
      </c>
      <c r="AE1311" s="4">
        <v>12427</v>
      </c>
      <c r="AF1311" s="4">
        <v>6750</v>
      </c>
    </row>
    <row r="1312" spans="1:32">
      <c r="A1312" s="2" t="s">
        <v>2755</v>
      </c>
      <c r="B1312" s="3">
        <v>46227</v>
      </c>
      <c r="C1312" s="36" t="s">
        <v>2128</v>
      </c>
      <c r="D1312" s="2">
        <f>MONTH(ProductionData[[#This Row],[Month]])</f>
        <v>7</v>
      </c>
      <c r="E1312" s="2" t="s">
        <v>125</v>
      </c>
      <c r="F1312" s="2" t="s">
        <v>66</v>
      </c>
      <c r="G1312" s="2" t="s">
        <v>67</v>
      </c>
      <c r="H1312" s="2" t="s">
        <v>68</v>
      </c>
      <c r="I1312" s="2" t="s">
        <v>69</v>
      </c>
      <c r="J1312" s="2" t="s">
        <v>683</v>
      </c>
      <c r="K1312" s="2" t="s">
        <v>684</v>
      </c>
      <c r="L1312" s="2" t="s">
        <v>2756</v>
      </c>
      <c r="M1312" s="2" t="s">
        <v>73</v>
      </c>
      <c r="N1312" s="2" t="s">
        <v>88</v>
      </c>
      <c r="O1312" s="2">
        <v>16</v>
      </c>
      <c r="P1312" s="2">
        <v>15</v>
      </c>
      <c r="Q1312" s="4">
        <v>4300</v>
      </c>
      <c r="R1312" s="4">
        <v>4050</v>
      </c>
      <c r="S1312" s="4">
        <v>97</v>
      </c>
      <c r="T1312" s="19">
        <f>(ProductionData[[#This Row],[Rejected_Qty]])/ProductionData[[#This Row],[Produced_Qty]]</f>
        <v>2.3950617283950617E-2</v>
      </c>
      <c r="U1312" s="19">
        <f>ProductionData[[#This Row],[Produced_Qty]]/ProductionData[[#This Row],[Planned_Qty]]</f>
        <v>0.94186046511627908</v>
      </c>
      <c r="V1312" s="2" t="s">
        <v>103</v>
      </c>
      <c r="W1312" s="11">
        <v>0</v>
      </c>
      <c r="X1312" s="13">
        <f>W1312/60</f>
        <v>0</v>
      </c>
      <c r="Y1312" s="2" t="s">
        <v>90</v>
      </c>
      <c r="Z1312" s="2">
        <v>79</v>
      </c>
      <c r="AA1312" s="2">
        <f>ProductionData[[#This Row],[Rejected_Qty]]*ProductionData[[#This Row],[Unit_Cost_INR]]</f>
        <v>7663</v>
      </c>
      <c r="AB1312" s="4">
        <v>12427</v>
      </c>
      <c r="AC1312" s="4">
        <v>4110</v>
      </c>
      <c r="AD1312" s="4">
        <v>4110</v>
      </c>
      <c r="AE1312" s="4">
        <v>12270</v>
      </c>
      <c r="AF1312" s="4">
        <v>6750</v>
      </c>
    </row>
    <row r="1313" spans="1:32">
      <c r="A1313" s="2" t="s">
        <v>2757</v>
      </c>
      <c r="B1313" s="3">
        <v>46234</v>
      </c>
      <c r="C1313" s="36" t="s">
        <v>2128</v>
      </c>
      <c r="D1313" s="2">
        <f>MONTH(ProductionData[[#This Row],[Month]])</f>
        <v>7</v>
      </c>
      <c r="E1313" s="2" t="s">
        <v>125</v>
      </c>
      <c r="F1313" s="2" t="s">
        <v>93</v>
      </c>
      <c r="G1313" s="2" t="s">
        <v>67</v>
      </c>
      <c r="H1313" s="2" t="s">
        <v>68</v>
      </c>
      <c r="I1313" s="2" t="s">
        <v>69</v>
      </c>
      <c r="J1313" s="2" t="s">
        <v>683</v>
      </c>
      <c r="K1313" s="2" t="s">
        <v>684</v>
      </c>
      <c r="L1313" s="2" t="s">
        <v>2758</v>
      </c>
      <c r="M1313" s="2" t="s">
        <v>95</v>
      </c>
      <c r="N1313" s="2" t="s">
        <v>74</v>
      </c>
      <c r="O1313" s="2">
        <v>16</v>
      </c>
      <c r="P1313" s="2">
        <v>12</v>
      </c>
      <c r="Q1313" s="4">
        <v>4400</v>
      </c>
      <c r="R1313" s="4">
        <v>3680</v>
      </c>
      <c r="S1313" s="4">
        <v>589</v>
      </c>
      <c r="T1313" s="19">
        <f>(ProductionData[[#This Row],[Rejected_Qty]])/ProductionData[[#This Row],[Produced_Qty]]</f>
        <v>0.16005434782608696</v>
      </c>
      <c r="U1313" s="19">
        <f>ProductionData[[#This Row],[Produced_Qty]]/ProductionData[[#This Row],[Planned_Qty]]</f>
        <v>0.83636363636363631</v>
      </c>
      <c r="V1313" s="2" t="s">
        <v>2284</v>
      </c>
      <c r="W1313" s="11">
        <v>14</v>
      </c>
      <c r="X1313" s="13">
        <f>W1313/60</f>
        <v>0.23333333333333334</v>
      </c>
      <c r="Y1313" s="2" t="s">
        <v>76</v>
      </c>
      <c r="Z1313" s="2">
        <v>79</v>
      </c>
      <c r="AA1313" s="2">
        <f>ProductionData[[#This Row],[Rejected_Qty]]*ProductionData[[#This Row],[Unit_Cost_INR]]</f>
        <v>46531</v>
      </c>
      <c r="AB1313" s="4">
        <v>12549</v>
      </c>
      <c r="AC1313" s="4">
        <v>3990</v>
      </c>
      <c r="AD1313" s="4">
        <v>3990</v>
      </c>
      <c r="AE1313" s="4">
        <v>11650</v>
      </c>
      <c r="AF1313" s="4">
        <v>6750</v>
      </c>
    </row>
    <row r="1314" spans="1:32">
      <c r="A1314" s="2" t="s">
        <v>2759</v>
      </c>
      <c r="B1314" s="3">
        <v>46214</v>
      </c>
      <c r="C1314" s="36" t="s">
        <v>2128</v>
      </c>
      <c r="D1314" s="2">
        <f>MONTH(ProductionData[[#This Row],[Month]])</f>
        <v>7</v>
      </c>
      <c r="E1314" s="2" t="s">
        <v>65</v>
      </c>
      <c r="F1314" s="2" t="s">
        <v>66</v>
      </c>
      <c r="G1314" s="2" t="s">
        <v>81</v>
      </c>
      <c r="H1314" s="2" t="s">
        <v>82</v>
      </c>
      <c r="I1314" s="2" t="s">
        <v>83</v>
      </c>
      <c r="J1314" s="2" t="s">
        <v>721</v>
      </c>
      <c r="K1314" s="2" t="s">
        <v>722</v>
      </c>
      <c r="L1314" s="2" t="s">
        <v>2760</v>
      </c>
      <c r="M1314" s="2" t="s">
        <v>99</v>
      </c>
      <c r="N1314" s="2" t="s">
        <v>96</v>
      </c>
      <c r="O1314" s="2">
        <v>18</v>
      </c>
      <c r="P1314" s="2">
        <v>17</v>
      </c>
      <c r="Q1314" s="4">
        <v>3440</v>
      </c>
      <c r="R1314" s="4">
        <v>3370</v>
      </c>
      <c r="S1314" s="4">
        <v>117</v>
      </c>
      <c r="T1314" s="19">
        <f>(ProductionData[[#This Row],[Rejected_Qty]])/ProductionData[[#This Row],[Produced_Qty]]</f>
        <v>3.4718100890207715E-2</v>
      </c>
      <c r="U1314" s="19">
        <f>ProductionData[[#This Row],[Produced_Qty]]/ProductionData[[#This Row],[Planned_Qty]]</f>
        <v>0.97965116279069764</v>
      </c>
      <c r="V1314" s="2" t="s">
        <v>103</v>
      </c>
      <c r="W1314" s="11">
        <v>0</v>
      </c>
      <c r="X1314" s="13">
        <f>W1314/60</f>
        <v>0</v>
      </c>
      <c r="Y1314" s="2" t="s">
        <v>90</v>
      </c>
      <c r="Z1314" s="2">
        <v>64</v>
      </c>
      <c r="AA1314" s="2">
        <f>ProductionData[[#This Row],[Rejected_Qty]]*ProductionData[[#This Row],[Unit_Cost_INR]]</f>
        <v>7488</v>
      </c>
      <c r="AB1314" s="4">
        <v>8615</v>
      </c>
      <c r="AC1314" s="4">
        <v>2860</v>
      </c>
      <c r="AD1314" s="4">
        <v>2860</v>
      </c>
      <c r="AE1314" s="4">
        <v>9008</v>
      </c>
      <c r="AF1314" s="4">
        <v>5250</v>
      </c>
    </row>
    <row r="1315" spans="1:32">
      <c r="A1315" s="2" t="s">
        <v>2761</v>
      </c>
      <c r="B1315" s="3">
        <v>46218</v>
      </c>
      <c r="C1315" s="36" t="s">
        <v>2128</v>
      </c>
      <c r="D1315" s="2">
        <f>MONTH(ProductionData[[#This Row],[Month]])</f>
        <v>7</v>
      </c>
      <c r="E1315" s="2" t="s">
        <v>79</v>
      </c>
      <c r="F1315" s="2" t="s">
        <v>66</v>
      </c>
      <c r="G1315" s="2" t="s">
        <v>81</v>
      </c>
      <c r="H1315" s="2" t="s">
        <v>82</v>
      </c>
      <c r="I1315" s="2" t="s">
        <v>83</v>
      </c>
      <c r="J1315" s="2" t="s">
        <v>721</v>
      </c>
      <c r="K1315" s="2" t="s">
        <v>722</v>
      </c>
      <c r="L1315" s="2" t="s">
        <v>2762</v>
      </c>
      <c r="M1315" s="2" t="s">
        <v>73</v>
      </c>
      <c r="N1315" s="2" t="s">
        <v>96</v>
      </c>
      <c r="O1315" s="2">
        <v>18</v>
      </c>
      <c r="P1315" s="2">
        <v>18</v>
      </c>
      <c r="Q1315" s="4">
        <v>3610</v>
      </c>
      <c r="R1315" s="4">
        <v>3550</v>
      </c>
      <c r="S1315" s="4">
        <v>59</v>
      </c>
      <c r="T1315" s="19">
        <f>(ProductionData[[#This Row],[Rejected_Qty]])/ProductionData[[#This Row],[Produced_Qty]]</f>
        <v>1.6619718309859154E-2</v>
      </c>
      <c r="U1315" s="19">
        <f>ProductionData[[#This Row],[Produced_Qty]]/ProductionData[[#This Row],[Planned_Qty]]</f>
        <v>0.9833795013850416</v>
      </c>
      <c r="V1315" s="2" t="s">
        <v>75</v>
      </c>
      <c r="W1315" s="11">
        <v>0</v>
      </c>
      <c r="X1315" s="13">
        <f>W1315/60</f>
        <v>0</v>
      </c>
      <c r="Y1315" s="2" t="s">
        <v>90</v>
      </c>
      <c r="Z1315" s="2">
        <v>64</v>
      </c>
      <c r="AA1315" s="2">
        <f>ProductionData[[#This Row],[Rejected_Qty]]*ProductionData[[#This Row],[Unit_Cost_INR]]</f>
        <v>3776</v>
      </c>
      <c r="AB1315" s="4">
        <v>9008</v>
      </c>
      <c r="AC1315" s="4">
        <v>3700</v>
      </c>
      <c r="AD1315" s="4">
        <v>3700</v>
      </c>
      <c r="AE1315" s="4">
        <v>8799</v>
      </c>
      <c r="AF1315" s="4">
        <v>5250</v>
      </c>
    </row>
    <row r="1316" spans="1:32">
      <c r="A1316" s="2" t="s">
        <v>2763</v>
      </c>
      <c r="B1316" s="3">
        <v>46231</v>
      </c>
      <c r="C1316" s="36" t="s">
        <v>2128</v>
      </c>
      <c r="D1316" s="2">
        <f>MONTH(ProductionData[[#This Row],[Month]])</f>
        <v>7</v>
      </c>
      <c r="E1316" s="2" t="s">
        <v>92</v>
      </c>
      <c r="F1316" s="2" t="s">
        <v>66</v>
      </c>
      <c r="G1316" s="2" t="s">
        <v>81</v>
      </c>
      <c r="H1316" s="2" t="s">
        <v>82</v>
      </c>
      <c r="I1316" s="2" t="s">
        <v>83</v>
      </c>
      <c r="J1316" s="2" t="s">
        <v>721</v>
      </c>
      <c r="K1316" s="2" t="s">
        <v>722</v>
      </c>
      <c r="L1316" s="2" t="s">
        <v>2764</v>
      </c>
      <c r="M1316" s="2" t="s">
        <v>73</v>
      </c>
      <c r="N1316" s="2" t="s">
        <v>96</v>
      </c>
      <c r="O1316" s="2">
        <v>18</v>
      </c>
      <c r="P1316" s="2">
        <v>17</v>
      </c>
      <c r="Q1316" s="4">
        <v>3730</v>
      </c>
      <c r="R1316" s="4">
        <v>3410</v>
      </c>
      <c r="S1316" s="4">
        <v>74</v>
      </c>
      <c r="T1316" s="19">
        <f>(ProductionData[[#This Row],[Rejected_Qty]])/ProductionData[[#This Row],[Produced_Qty]]</f>
        <v>2.1700879765395895E-2</v>
      </c>
      <c r="U1316" s="19">
        <f>ProductionData[[#This Row],[Produced_Qty]]/ProductionData[[#This Row],[Planned_Qty]]</f>
        <v>0.91420911528150139</v>
      </c>
      <c r="V1316" s="2" t="s">
        <v>75</v>
      </c>
      <c r="W1316" s="11">
        <v>0</v>
      </c>
      <c r="X1316" s="13">
        <f>W1316/60</f>
        <v>0</v>
      </c>
      <c r="Y1316" s="2" t="s">
        <v>90</v>
      </c>
      <c r="Z1316" s="2">
        <v>64</v>
      </c>
      <c r="AA1316" s="2">
        <f>ProductionData[[#This Row],[Rejected_Qty]]*ProductionData[[#This Row],[Unit_Cost_INR]]</f>
        <v>4736</v>
      </c>
      <c r="AB1316" s="4">
        <v>8593</v>
      </c>
      <c r="AC1316" s="4">
        <v>3160</v>
      </c>
      <c r="AD1316" s="4">
        <v>3160</v>
      </c>
      <c r="AE1316" s="4">
        <v>8769</v>
      </c>
      <c r="AF1316" s="4">
        <v>5250</v>
      </c>
    </row>
    <row r="1317" spans="1:32">
      <c r="A1317" s="2" t="s">
        <v>2765</v>
      </c>
      <c r="B1317" s="3">
        <v>46232</v>
      </c>
      <c r="C1317" s="36" t="s">
        <v>2128</v>
      </c>
      <c r="D1317" s="2">
        <f>MONTH(ProductionData[[#This Row],[Month]])</f>
        <v>7</v>
      </c>
      <c r="E1317" s="2" t="s">
        <v>79</v>
      </c>
      <c r="F1317" s="2" t="s">
        <v>93</v>
      </c>
      <c r="G1317" s="2" t="s">
        <v>81</v>
      </c>
      <c r="H1317" s="2" t="s">
        <v>82</v>
      </c>
      <c r="I1317" s="2" t="s">
        <v>83</v>
      </c>
      <c r="J1317" s="2" t="s">
        <v>721</v>
      </c>
      <c r="K1317" s="2" t="s">
        <v>722</v>
      </c>
      <c r="L1317" s="2" t="s">
        <v>2766</v>
      </c>
      <c r="M1317" s="2" t="s">
        <v>133</v>
      </c>
      <c r="N1317" s="2" t="s">
        <v>96</v>
      </c>
      <c r="O1317" s="2">
        <v>18</v>
      </c>
      <c r="P1317" s="2">
        <v>15</v>
      </c>
      <c r="Q1317" s="4">
        <v>3270</v>
      </c>
      <c r="R1317" s="4">
        <v>3060</v>
      </c>
      <c r="S1317" s="4">
        <v>74</v>
      </c>
      <c r="T1317" s="19">
        <f>(ProductionData[[#This Row],[Rejected_Qty]])/ProductionData[[#This Row],[Produced_Qty]]</f>
        <v>2.4183006535947713E-2</v>
      </c>
      <c r="U1317" s="19">
        <f>ProductionData[[#This Row],[Produced_Qty]]/ProductionData[[#This Row],[Planned_Qty]]</f>
        <v>0.93577981651376152</v>
      </c>
      <c r="V1317" s="2" t="s">
        <v>113</v>
      </c>
      <c r="W1317" s="11">
        <v>0</v>
      </c>
      <c r="X1317" s="13">
        <f>W1317/60</f>
        <v>0</v>
      </c>
      <c r="Y1317" s="2" t="s">
        <v>90</v>
      </c>
      <c r="Z1317" s="2">
        <v>64</v>
      </c>
      <c r="AA1317" s="2">
        <f>ProductionData[[#This Row],[Rejected_Qty]]*ProductionData[[#This Row],[Unit_Cost_INR]]</f>
        <v>4736</v>
      </c>
      <c r="AB1317" s="4">
        <v>8769</v>
      </c>
      <c r="AC1317" s="4">
        <v>2990</v>
      </c>
      <c r="AD1317" s="4">
        <v>2990</v>
      </c>
      <c r="AE1317" s="4">
        <v>8765</v>
      </c>
      <c r="AF1317" s="4">
        <v>5250</v>
      </c>
    </row>
    <row r="1318" spans="1:32">
      <c r="A1318" s="2" t="s">
        <v>2767</v>
      </c>
      <c r="B1318" s="3">
        <v>46206</v>
      </c>
      <c r="C1318" s="36" t="s">
        <v>2128</v>
      </c>
      <c r="D1318" s="2">
        <f>MONTH(ProductionData[[#This Row],[Month]])</f>
        <v>7</v>
      </c>
      <c r="E1318" s="2" t="s">
        <v>125</v>
      </c>
      <c r="F1318" s="2" t="s">
        <v>93</v>
      </c>
      <c r="G1318" s="2" t="s">
        <v>81</v>
      </c>
      <c r="H1318" s="2" t="s">
        <v>82</v>
      </c>
      <c r="I1318" s="2" t="s">
        <v>83</v>
      </c>
      <c r="J1318" s="2" t="s">
        <v>721</v>
      </c>
      <c r="K1318" s="2" t="s">
        <v>722</v>
      </c>
      <c r="L1318" s="2" t="s">
        <v>2768</v>
      </c>
      <c r="M1318" s="2" t="s">
        <v>95</v>
      </c>
      <c r="N1318" s="2" t="s">
        <v>96</v>
      </c>
      <c r="O1318" s="2">
        <v>18</v>
      </c>
      <c r="P1318" s="2">
        <v>17</v>
      </c>
      <c r="Q1318" s="4">
        <v>3500</v>
      </c>
      <c r="R1318" s="4">
        <v>3260</v>
      </c>
      <c r="S1318" s="4">
        <v>107</v>
      </c>
      <c r="T1318" s="19">
        <f>(ProductionData[[#This Row],[Rejected_Qty]])/ProductionData[[#This Row],[Produced_Qty]]</f>
        <v>3.282208588957055E-2</v>
      </c>
      <c r="U1318" s="19">
        <f>ProductionData[[#This Row],[Produced_Qty]]/ProductionData[[#This Row],[Planned_Qty]]</f>
        <v>0.93142857142857138</v>
      </c>
      <c r="V1318" s="2" t="s">
        <v>113</v>
      </c>
      <c r="W1318" s="11">
        <v>0</v>
      </c>
      <c r="X1318" s="13">
        <f>W1318/60</f>
        <v>0</v>
      </c>
      <c r="Y1318" s="2" t="s">
        <v>90</v>
      </c>
      <c r="Z1318" s="2">
        <v>64</v>
      </c>
      <c r="AA1318" s="2">
        <f>ProductionData[[#This Row],[Rejected_Qty]]*ProductionData[[#This Row],[Unit_Cost_INR]]</f>
        <v>6848</v>
      </c>
      <c r="AB1318" s="4">
        <v>8584</v>
      </c>
      <c r="AC1318" s="4">
        <v>3000</v>
      </c>
      <c r="AD1318" s="4">
        <v>3000</v>
      </c>
      <c r="AE1318" s="4">
        <v>8737</v>
      </c>
      <c r="AF1318" s="4">
        <v>5250</v>
      </c>
    </row>
    <row r="1319" spans="1:32">
      <c r="A1319" s="2" t="s">
        <v>2769</v>
      </c>
      <c r="B1319" s="3">
        <v>46205</v>
      </c>
      <c r="C1319" s="36" t="s">
        <v>2128</v>
      </c>
      <c r="D1319" s="2">
        <f>MONTH(ProductionData[[#This Row],[Month]])</f>
        <v>7</v>
      </c>
      <c r="E1319" s="2" t="s">
        <v>107</v>
      </c>
      <c r="F1319" s="2" t="s">
        <v>80</v>
      </c>
      <c r="G1319" s="2" t="s">
        <v>81</v>
      </c>
      <c r="H1319" s="2" t="s">
        <v>82</v>
      </c>
      <c r="I1319" s="2" t="s">
        <v>83</v>
      </c>
      <c r="J1319" s="2" t="s">
        <v>721</v>
      </c>
      <c r="K1319" s="2" t="s">
        <v>722</v>
      </c>
      <c r="L1319" s="2" t="s">
        <v>2770</v>
      </c>
      <c r="M1319" s="2" t="s">
        <v>87</v>
      </c>
      <c r="N1319" s="2" t="s">
        <v>88</v>
      </c>
      <c r="O1319" s="2">
        <v>18</v>
      </c>
      <c r="P1319" s="2">
        <v>17</v>
      </c>
      <c r="Q1319" s="4">
        <v>3240</v>
      </c>
      <c r="R1319" s="4">
        <v>3050</v>
      </c>
      <c r="S1319" s="4">
        <v>46</v>
      </c>
      <c r="T1319" s="19">
        <f>(ProductionData[[#This Row],[Rejected_Qty]])/ProductionData[[#This Row],[Produced_Qty]]</f>
        <v>1.5081967213114755E-2</v>
      </c>
      <c r="U1319" s="19">
        <f>ProductionData[[#This Row],[Produced_Qty]]/ProductionData[[#This Row],[Planned_Qty]]</f>
        <v>0.94135802469135799</v>
      </c>
      <c r="V1319" s="2" t="s">
        <v>103</v>
      </c>
      <c r="W1319" s="11">
        <v>0</v>
      </c>
      <c r="X1319" s="13">
        <f>W1319/60</f>
        <v>0</v>
      </c>
      <c r="Y1319" s="2" t="s">
        <v>90</v>
      </c>
      <c r="Z1319" s="2">
        <v>64</v>
      </c>
      <c r="AA1319" s="2">
        <f>ProductionData[[#This Row],[Rejected_Qty]]*ProductionData[[#This Row],[Unit_Cost_INR]]</f>
        <v>2944</v>
      </c>
      <c r="AB1319" s="4">
        <v>8710</v>
      </c>
      <c r="AC1319" s="4">
        <v>3000</v>
      </c>
      <c r="AD1319" s="4">
        <v>3000</v>
      </c>
      <c r="AE1319" s="4">
        <v>8714</v>
      </c>
      <c r="AF1319" s="4">
        <v>5250</v>
      </c>
    </row>
    <row r="1320" spans="1:32">
      <c r="A1320" s="2" t="s">
        <v>2771</v>
      </c>
      <c r="B1320" s="3">
        <v>46205</v>
      </c>
      <c r="C1320" s="36" t="s">
        <v>2128</v>
      </c>
      <c r="D1320" s="2">
        <f>MONTH(ProductionData[[#This Row],[Month]])</f>
        <v>7</v>
      </c>
      <c r="E1320" s="2" t="s">
        <v>107</v>
      </c>
      <c r="F1320" s="2" t="s">
        <v>66</v>
      </c>
      <c r="G1320" s="2" t="s">
        <v>81</v>
      </c>
      <c r="H1320" s="2" t="s">
        <v>82</v>
      </c>
      <c r="I1320" s="2" t="s">
        <v>83</v>
      </c>
      <c r="J1320" s="2" t="s">
        <v>721</v>
      </c>
      <c r="K1320" s="2" t="s">
        <v>722</v>
      </c>
      <c r="L1320" s="2" t="s">
        <v>2772</v>
      </c>
      <c r="M1320" s="2" t="s">
        <v>99</v>
      </c>
      <c r="N1320" s="2" t="s">
        <v>96</v>
      </c>
      <c r="O1320" s="2">
        <v>18</v>
      </c>
      <c r="P1320" s="2">
        <v>17</v>
      </c>
      <c r="Q1320" s="4">
        <v>3420</v>
      </c>
      <c r="R1320" s="4">
        <v>3020</v>
      </c>
      <c r="S1320" s="4">
        <v>79</v>
      </c>
      <c r="T1320" s="19">
        <f>(ProductionData[[#This Row],[Rejected_Qty]])/ProductionData[[#This Row],[Produced_Qty]]</f>
        <v>2.6158940397350994E-2</v>
      </c>
      <c r="U1320" s="19">
        <f>ProductionData[[#This Row],[Produced_Qty]]/ProductionData[[#This Row],[Planned_Qty]]</f>
        <v>0.88304093567251463</v>
      </c>
      <c r="V1320" s="2" t="s">
        <v>109</v>
      </c>
      <c r="W1320" s="11">
        <v>48</v>
      </c>
      <c r="X1320" s="13">
        <f>W1320/60</f>
        <v>0.8</v>
      </c>
      <c r="Y1320" s="2" t="s">
        <v>136</v>
      </c>
      <c r="Z1320" s="2">
        <v>64</v>
      </c>
      <c r="AA1320" s="2">
        <f>ProductionData[[#This Row],[Rejected_Qty]]*ProductionData[[#This Row],[Unit_Cost_INR]]</f>
        <v>5056</v>
      </c>
      <c r="AB1320" s="4">
        <v>9019</v>
      </c>
      <c r="AC1320" s="4">
        <v>3250</v>
      </c>
      <c r="AD1320" s="4">
        <v>3250</v>
      </c>
      <c r="AE1320" s="4">
        <v>8710</v>
      </c>
      <c r="AF1320" s="4">
        <v>5250</v>
      </c>
    </row>
    <row r="1321" spans="1:32">
      <c r="A1321" s="2" t="s">
        <v>2773</v>
      </c>
      <c r="B1321" s="3">
        <v>46209</v>
      </c>
      <c r="C1321" s="36" t="s">
        <v>2128</v>
      </c>
      <c r="D1321" s="2">
        <f>MONTH(ProductionData[[#This Row],[Month]])</f>
        <v>7</v>
      </c>
      <c r="E1321" s="2" t="s">
        <v>116</v>
      </c>
      <c r="F1321" s="2" t="s">
        <v>66</v>
      </c>
      <c r="G1321" s="2" t="s">
        <v>81</v>
      </c>
      <c r="H1321" s="2" t="s">
        <v>82</v>
      </c>
      <c r="I1321" s="2" t="s">
        <v>83</v>
      </c>
      <c r="J1321" s="2" t="s">
        <v>721</v>
      </c>
      <c r="K1321" s="2" t="s">
        <v>722</v>
      </c>
      <c r="L1321" s="2" t="s">
        <v>2774</v>
      </c>
      <c r="M1321" s="2" t="s">
        <v>99</v>
      </c>
      <c r="N1321" s="2" t="s">
        <v>88</v>
      </c>
      <c r="O1321" s="2">
        <v>18</v>
      </c>
      <c r="P1321" s="2">
        <v>17</v>
      </c>
      <c r="Q1321" s="4">
        <v>3740</v>
      </c>
      <c r="R1321" s="4">
        <v>3540</v>
      </c>
      <c r="S1321" s="4">
        <v>86</v>
      </c>
      <c r="T1321" s="19">
        <f>(ProductionData[[#This Row],[Rejected_Qty]])/ProductionData[[#This Row],[Produced_Qty]]</f>
        <v>2.4293785310734464E-2</v>
      </c>
      <c r="U1321" s="19">
        <f>ProductionData[[#This Row],[Produced_Qty]]/ProductionData[[#This Row],[Planned_Qty]]</f>
        <v>0.946524064171123</v>
      </c>
      <c r="V1321" s="2" t="s">
        <v>109</v>
      </c>
      <c r="W1321" s="11">
        <v>47</v>
      </c>
      <c r="X1321" s="13">
        <f>W1321/60</f>
        <v>0.78333333333333333</v>
      </c>
      <c r="Y1321" s="2" t="s">
        <v>182</v>
      </c>
      <c r="Z1321" s="2">
        <v>64</v>
      </c>
      <c r="AA1321" s="2">
        <f>ProductionData[[#This Row],[Rejected_Qty]]*ProductionData[[#This Row],[Unit_Cost_INR]]</f>
        <v>5504</v>
      </c>
      <c r="AB1321" s="4">
        <v>8399</v>
      </c>
      <c r="AC1321" s="4">
        <v>3150</v>
      </c>
      <c r="AD1321" s="4">
        <v>3150</v>
      </c>
      <c r="AE1321" s="4">
        <v>8703</v>
      </c>
      <c r="AF1321" s="4">
        <v>5250</v>
      </c>
    </row>
    <row r="1322" spans="1:32">
      <c r="A1322" s="2" t="s">
        <v>2775</v>
      </c>
      <c r="B1322" s="3">
        <v>46225</v>
      </c>
      <c r="C1322" s="36" t="s">
        <v>2128</v>
      </c>
      <c r="D1322" s="2">
        <f>MONTH(ProductionData[[#This Row],[Month]])</f>
        <v>7</v>
      </c>
      <c r="E1322" s="2" t="s">
        <v>79</v>
      </c>
      <c r="F1322" s="2" t="s">
        <v>93</v>
      </c>
      <c r="G1322" s="2" t="s">
        <v>81</v>
      </c>
      <c r="H1322" s="2" t="s">
        <v>82</v>
      </c>
      <c r="I1322" s="2" t="s">
        <v>83</v>
      </c>
      <c r="J1322" s="2" t="s">
        <v>721</v>
      </c>
      <c r="K1322" s="2" t="s">
        <v>722</v>
      </c>
      <c r="L1322" s="2" t="s">
        <v>2776</v>
      </c>
      <c r="M1322" s="2" t="s">
        <v>133</v>
      </c>
      <c r="N1322" s="2" t="s">
        <v>88</v>
      </c>
      <c r="O1322" s="2">
        <v>18</v>
      </c>
      <c r="P1322" s="2">
        <v>17</v>
      </c>
      <c r="Q1322" s="4">
        <v>3290</v>
      </c>
      <c r="R1322" s="4">
        <v>3200</v>
      </c>
      <c r="S1322" s="4">
        <v>44</v>
      </c>
      <c r="T1322" s="19">
        <f>(ProductionData[[#This Row],[Rejected_Qty]])/ProductionData[[#This Row],[Produced_Qty]]</f>
        <v>1.375E-2</v>
      </c>
      <c r="U1322" s="19">
        <f>ProductionData[[#This Row],[Produced_Qty]]/ProductionData[[#This Row],[Planned_Qty]]</f>
        <v>0.97264437689969607</v>
      </c>
      <c r="V1322" s="2" t="s">
        <v>109</v>
      </c>
      <c r="W1322" s="11">
        <v>0</v>
      </c>
      <c r="X1322" s="13">
        <f>W1322/60</f>
        <v>0</v>
      </c>
      <c r="Y1322" s="2" t="s">
        <v>90</v>
      </c>
      <c r="Z1322" s="2">
        <v>64</v>
      </c>
      <c r="AA1322" s="2">
        <f>ProductionData[[#This Row],[Rejected_Qty]]*ProductionData[[#This Row],[Unit_Cost_INR]]</f>
        <v>2816</v>
      </c>
      <c r="AB1322" s="4">
        <v>8425</v>
      </c>
      <c r="AC1322" s="4">
        <v>2910</v>
      </c>
      <c r="AD1322" s="4">
        <v>2910</v>
      </c>
      <c r="AE1322" s="4">
        <v>8671</v>
      </c>
      <c r="AF1322" s="4">
        <v>5250</v>
      </c>
    </row>
    <row r="1323" spans="1:32">
      <c r="A1323" s="2" t="s">
        <v>2777</v>
      </c>
      <c r="B1323" s="3">
        <v>46219</v>
      </c>
      <c r="C1323" s="36" t="s">
        <v>2128</v>
      </c>
      <c r="D1323" s="2">
        <f>MONTH(ProductionData[[#This Row],[Month]])</f>
        <v>7</v>
      </c>
      <c r="E1323" s="2" t="s">
        <v>107</v>
      </c>
      <c r="F1323" s="2" t="s">
        <v>93</v>
      </c>
      <c r="G1323" s="2" t="s">
        <v>81</v>
      </c>
      <c r="H1323" s="2" t="s">
        <v>82</v>
      </c>
      <c r="I1323" s="2" t="s">
        <v>83</v>
      </c>
      <c r="J1323" s="2" t="s">
        <v>721</v>
      </c>
      <c r="K1323" s="2" t="s">
        <v>722</v>
      </c>
      <c r="L1323" s="2" t="s">
        <v>2778</v>
      </c>
      <c r="M1323" s="2" t="s">
        <v>95</v>
      </c>
      <c r="N1323" s="2" t="s">
        <v>96</v>
      </c>
      <c r="O1323" s="2">
        <v>18</v>
      </c>
      <c r="P1323" s="2">
        <v>16</v>
      </c>
      <c r="Q1323" s="4">
        <v>3360</v>
      </c>
      <c r="R1323" s="4">
        <v>3130</v>
      </c>
      <c r="S1323" s="4">
        <v>79</v>
      </c>
      <c r="T1323" s="19">
        <f>(ProductionData[[#This Row],[Rejected_Qty]])/ProductionData[[#This Row],[Produced_Qty]]</f>
        <v>2.5239616613418531E-2</v>
      </c>
      <c r="U1323" s="19">
        <f>ProductionData[[#This Row],[Produced_Qty]]/ProductionData[[#This Row],[Planned_Qty]]</f>
        <v>0.93154761904761907</v>
      </c>
      <c r="V1323" s="2" t="s">
        <v>113</v>
      </c>
      <c r="W1323" s="11">
        <v>0</v>
      </c>
      <c r="X1323" s="13">
        <f>W1323/60</f>
        <v>0</v>
      </c>
      <c r="Y1323" s="2" t="s">
        <v>90</v>
      </c>
      <c r="Z1323" s="2">
        <v>64</v>
      </c>
      <c r="AA1323" s="2">
        <f>ProductionData[[#This Row],[Rejected_Qty]]*ProductionData[[#This Row],[Unit_Cost_INR]]</f>
        <v>5056</v>
      </c>
      <c r="AB1323" s="4">
        <v>8605</v>
      </c>
      <c r="AC1323" s="4">
        <v>3020</v>
      </c>
      <c r="AD1323" s="4">
        <v>3020</v>
      </c>
      <c r="AE1323" s="4">
        <v>8636</v>
      </c>
      <c r="AF1323" s="4">
        <v>5250</v>
      </c>
    </row>
    <row r="1324" spans="1:32">
      <c r="A1324" s="2" t="s">
        <v>2779</v>
      </c>
      <c r="B1324" s="3">
        <v>46233</v>
      </c>
      <c r="C1324" s="36" t="s">
        <v>2128</v>
      </c>
      <c r="D1324" s="2">
        <f>MONTH(ProductionData[[#This Row],[Month]])</f>
        <v>7</v>
      </c>
      <c r="E1324" s="2" t="s">
        <v>107</v>
      </c>
      <c r="F1324" s="2" t="s">
        <v>80</v>
      </c>
      <c r="G1324" s="2" t="s">
        <v>81</v>
      </c>
      <c r="H1324" s="2" t="s">
        <v>82</v>
      </c>
      <c r="I1324" s="2" t="s">
        <v>83</v>
      </c>
      <c r="J1324" s="2" t="s">
        <v>721</v>
      </c>
      <c r="K1324" s="2" t="s">
        <v>722</v>
      </c>
      <c r="L1324" s="2" t="s">
        <v>2780</v>
      </c>
      <c r="M1324" s="2" t="s">
        <v>102</v>
      </c>
      <c r="N1324" s="2" t="s">
        <v>88</v>
      </c>
      <c r="O1324" s="2">
        <v>18</v>
      </c>
      <c r="P1324" s="2">
        <v>15</v>
      </c>
      <c r="Q1324" s="4">
        <v>3460</v>
      </c>
      <c r="R1324" s="4">
        <v>3000</v>
      </c>
      <c r="S1324" s="4">
        <v>57</v>
      </c>
      <c r="T1324" s="19">
        <f>(ProductionData[[#This Row],[Rejected_Qty]])/ProductionData[[#This Row],[Produced_Qty]]</f>
        <v>1.9E-2</v>
      </c>
      <c r="U1324" s="19">
        <f>ProductionData[[#This Row],[Produced_Qty]]/ProductionData[[#This Row],[Planned_Qty]]</f>
        <v>0.86705202312138729</v>
      </c>
      <c r="V1324" s="2" t="s">
        <v>75</v>
      </c>
      <c r="W1324" s="11">
        <v>18</v>
      </c>
      <c r="X1324" s="13">
        <f>W1324/60</f>
        <v>0.3</v>
      </c>
      <c r="Y1324" s="2" t="s">
        <v>259</v>
      </c>
      <c r="Z1324" s="2">
        <v>64</v>
      </c>
      <c r="AA1324" s="2">
        <f>ProductionData[[#This Row],[Rejected_Qty]]*ProductionData[[#This Row],[Unit_Cost_INR]]</f>
        <v>3648</v>
      </c>
      <c r="AB1324" s="4">
        <v>8765</v>
      </c>
      <c r="AC1324" s="4">
        <v>3090</v>
      </c>
      <c r="AD1324" s="4">
        <v>3090</v>
      </c>
      <c r="AE1324" s="4">
        <v>8618</v>
      </c>
      <c r="AF1324" s="4">
        <v>5250</v>
      </c>
    </row>
    <row r="1325" spans="1:32">
      <c r="A1325" s="2" t="s">
        <v>2781</v>
      </c>
      <c r="B1325" s="3">
        <v>46211</v>
      </c>
      <c r="C1325" s="36" t="s">
        <v>2128</v>
      </c>
      <c r="D1325" s="2">
        <f>MONTH(ProductionData[[#This Row],[Month]])</f>
        <v>7</v>
      </c>
      <c r="E1325" s="2" t="s">
        <v>79</v>
      </c>
      <c r="F1325" s="2" t="s">
        <v>93</v>
      </c>
      <c r="G1325" s="2" t="s">
        <v>81</v>
      </c>
      <c r="H1325" s="2" t="s">
        <v>82</v>
      </c>
      <c r="I1325" s="2" t="s">
        <v>83</v>
      </c>
      <c r="J1325" s="2" t="s">
        <v>721</v>
      </c>
      <c r="K1325" s="2" t="s">
        <v>722</v>
      </c>
      <c r="L1325" s="2" t="s">
        <v>2782</v>
      </c>
      <c r="M1325" s="2" t="s">
        <v>95</v>
      </c>
      <c r="N1325" s="2" t="s">
        <v>88</v>
      </c>
      <c r="O1325" s="2">
        <v>18</v>
      </c>
      <c r="P1325" s="2">
        <v>15</v>
      </c>
      <c r="Q1325" s="4">
        <v>3480</v>
      </c>
      <c r="R1325" s="4">
        <v>3070</v>
      </c>
      <c r="S1325" s="4">
        <v>82</v>
      </c>
      <c r="T1325" s="19">
        <f>(ProductionData[[#This Row],[Rejected_Qty]])/ProductionData[[#This Row],[Produced_Qty]]</f>
        <v>2.6710097719869708E-2</v>
      </c>
      <c r="U1325" s="19">
        <f>ProductionData[[#This Row],[Produced_Qty]]/ProductionData[[#This Row],[Planned_Qty]]</f>
        <v>0.88218390804597702</v>
      </c>
      <c r="V1325" s="2" t="s">
        <v>89</v>
      </c>
      <c r="W1325" s="11">
        <v>0</v>
      </c>
      <c r="X1325" s="13">
        <f>W1325/60</f>
        <v>0</v>
      </c>
      <c r="Y1325" s="2" t="s">
        <v>90</v>
      </c>
      <c r="Z1325" s="2">
        <v>64</v>
      </c>
      <c r="AA1325" s="2">
        <f>ProductionData[[#This Row],[Rejected_Qty]]*ProductionData[[#This Row],[Unit_Cost_INR]]</f>
        <v>5248</v>
      </c>
      <c r="AB1325" s="4">
        <v>8597</v>
      </c>
      <c r="AC1325" s="4">
        <v>2970</v>
      </c>
      <c r="AD1325" s="4">
        <v>2970</v>
      </c>
      <c r="AE1325" s="4">
        <v>8615</v>
      </c>
      <c r="AF1325" s="4">
        <v>5250</v>
      </c>
    </row>
    <row r="1326" spans="1:32">
      <c r="A1326" s="2" t="s">
        <v>2783</v>
      </c>
      <c r="B1326" s="3">
        <v>46205</v>
      </c>
      <c r="C1326" s="36" t="s">
        <v>2128</v>
      </c>
      <c r="D1326" s="2">
        <f>MONTH(ProductionData[[#This Row],[Month]])</f>
        <v>7</v>
      </c>
      <c r="E1326" s="2" t="s">
        <v>107</v>
      </c>
      <c r="F1326" s="2" t="s">
        <v>93</v>
      </c>
      <c r="G1326" s="2" t="s">
        <v>81</v>
      </c>
      <c r="H1326" s="2" t="s">
        <v>82</v>
      </c>
      <c r="I1326" s="2" t="s">
        <v>83</v>
      </c>
      <c r="J1326" s="2" t="s">
        <v>721</v>
      </c>
      <c r="K1326" s="2" t="s">
        <v>722</v>
      </c>
      <c r="L1326" s="2" t="s">
        <v>2784</v>
      </c>
      <c r="M1326" s="2" t="s">
        <v>133</v>
      </c>
      <c r="N1326" s="2" t="s">
        <v>96</v>
      </c>
      <c r="O1326" s="2">
        <v>18</v>
      </c>
      <c r="P1326" s="2">
        <v>14</v>
      </c>
      <c r="Q1326" s="4">
        <v>3420</v>
      </c>
      <c r="R1326" s="4">
        <v>2980</v>
      </c>
      <c r="S1326" s="4">
        <v>45</v>
      </c>
      <c r="T1326" s="19">
        <f>(ProductionData[[#This Row],[Rejected_Qty]])/ProductionData[[#This Row],[Produced_Qty]]</f>
        <v>1.5100671140939598E-2</v>
      </c>
      <c r="U1326" s="19">
        <f>ProductionData[[#This Row],[Produced_Qty]]/ProductionData[[#This Row],[Planned_Qty]]</f>
        <v>0.87134502923976609</v>
      </c>
      <c r="V1326" s="2" t="s">
        <v>75</v>
      </c>
      <c r="W1326" s="11">
        <v>0</v>
      </c>
      <c r="X1326" s="13">
        <f>W1326/60</f>
        <v>0</v>
      </c>
      <c r="Y1326" s="2" t="s">
        <v>90</v>
      </c>
      <c r="Z1326" s="2">
        <v>64</v>
      </c>
      <c r="AA1326" s="2">
        <f>ProductionData[[#This Row],[Rejected_Qty]]*ProductionData[[#This Row],[Unit_Cost_INR]]</f>
        <v>2880</v>
      </c>
      <c r="AB1326" s="4">
        <v>8714</v>
      </c>
      <c r="AC1326" s="4">
        <v>3040</v>
      </c>
      <c r="AD1326" s="4">
        <v>3040</v>
      </c>
      <c r="AE1326" s="4">
        <v>8609</v>
      </c>
      <c r="AF1326" s="4">
        <v>5250</v>
      </c>
    </row>
    <row r="1327" spans="1:32">
      <c r="A1327" s="2" t="s">
        <v>2785</v>
      </c>
      <c r="B1327" s="3">
        <v>46219</v>
      </c>
      <c r="C1327" s="36" t="s">
        <v>2128</v>
      </c>
      <c r="D1327" s="2">
        <f>MONTH(ProductionData[[#This Row],[Month]])</f>
        <v>7</v>
      </c>
      <c r="E1327" s="2" t="s">
        <v>107</v>
      </c>
      <c r="F1327" s="2" t="s">
        <v>66</v>
      </c>
      <c r="G1327" s="2" t="s">
        <v>81</v>
      </c>
      <c r="H1327" s="2" t="s">
        <v>82</v>
      </c>
      <c r="I1327" s="2" t="s">
        <v>83</v>
      </c>
      <c r="J1327" s="2" t="s">
        <v>721</v>
      </c>
      <c r="K1327" s="2" t="s">
        <v>722</v>
      </c>
      <c r="L1327" s="2" t="s">
        <v>2786</v>
      </c>
      <c r="M1327" s="2" t="s">
        <v>99</v>
      </c>
      <c r="N1327" s="2" t="s">
        <v>88</v>
      </c>
      <c r="O1327" s="2">
        <v>18</v>
      </c>
      <c r="P1327" s="2">
        <v>17</v>
      </c>
      <c r="Q1327" s="4">
        <v>3270</v>
      </c>
      <c r="R1327" s="4">
        <v>3040</v>
      </c>
      <c r="S1327" s="4">
        <v>82</v>
      </c>
      <c r="T1327" s="19">
        <f>(ProductionData[[#This Row],[Rejected_Qty]])/ProductionData[[#This Row],[Produced_Qty]]</f>
        <v>2.6973684210526316E-2</v>
      </c>
      <c r="U1327" s="19">
        <f>ProductionData[[#This Row],[Produced_Qty]]/ProductionData[[#This Row],[Planned_Qty]]</f>
        <v>0.92966360856269115</v>
      </c>
      <c r="V1327" s="2" t="s">
        <v>103</v>
      </c>
      <c r="W1327" s="11">
        <v>0</v>
      </c>
      <c r="X1327" s="13">
        <f>W1327/60</f>
        <v>0</v>
      </c>
      <c r="Y1327" s="2" t="s">
        <v>90</v>
      </c>
      <c r="Z1327" s="2">
        <v>64</v>
      </c>
      <c r="AA1327" s="2">
        <f>ProductionData[[#This Row],[Rejected_Qty]]*ProductionData[[#This Row],[Unit_Cost_INR]]</f>
        <v>5248</v>
      </c>
      <c r="AB1327" s="4">
        <v>8477</v>
      </c>
      <c r="AC1327" s="4">
        <v>2830</v>
      </c>
      <c r="AD1327" s="4">
        <v>2830</v>
      </c>
      <c r="AE1327" s="4">
        <v>8605</v>
      </c>
      <c r="AF1327" s="4">
        <v>5250</v>
      </c>
    </row>
    <row r="1328" spans="1:32">
      <c r="A1328" s="2" t="s">
        <v>2787</v>
      </c>
      <c r="B1328" s="3">
        <v>46210</v>
      </c>
      <c r="C1328" s="36" t="s">
        <v>2128</v>
      </c>
      <c r="D1328" s="2">
        <f>MONTH(ProductionData[[#This Row],[Month]])</f>
        <v>7</v>
      </c>
      <c r="E1328" s="2" t="s">
        <v>92</v>
      </c>
      <c r="F1328" s="2" t="s">
        <v>66</v>
      </c>
      <c r="G1328" s="2" t="s">
        <v>81</v>
      </c>
      <c r="H1328" s="2" t="s">
        <v>82</v>
      </c>
      <c r="I1328" s="2" t="s">
        <v>83</v>
      </c>
      <c r="J1328" s="2" t="s">
        <v>721</v>
      </c>
      <c r="K1328" s="2" t="s">
        <v>722</v>
      </c>
      <c r="L1328" s="2" t="s">
        <v>2788</v>
      </c>
      <c r="M1328" s="2" t="s">
        <v>99</v>
      </c>
      <c r="N1328" s="2" t="s">
        <v>96</v>
      </c>
      <c r="O1328" s="2">
        <v>18</v>
      </c>
      <c r="P1328" s="2">
        <v>18</v>
      </c>
      <c r="Q1328" s="4">
        <v>3340</v>
      </c>
      <c r="R1328" s="4">
        <v>3280</v>
      </c>
      <c r="S1328" s="4">
        <v>76</v>
      </c>
      <c r="T1328" s="19">
        <f>(ProductionData[[#This Row],[Rejected_Qty]])/ProductionData[[#This Row],[Produced_Qty]]</f>
        <v>2.3170731707317073E-2</v>
      </c>
      <c r="U1328" s="19">
        <f>ProductionData[[#This Row],[Produced_Qty]]/ProductionData[[#This Row],[Planned_Qty]]</f>
        <v>0.98203592814371254</v>
      </c>
      <c r="V1328" s="2" t="s">
        <v>109</v>
      </c>
      <c r="W1328" s="11">
        <v>0</v>
      </c>
      <c r="X1328" s="13">
        <f>W1328/60</f>
        <v>0</v>
      </c>
      <c r="Y1328" s="2" t="s">
        <v>90</v>
      </c>
      <c r="Z1328" s="2">
        <v>64</v>
      </c>
      <c r="AA1328" s="2">
        <f>ProductionData[[#This Row],[Rejected_Qty]]*ProductionData[[#This Row],[Unit_Cost_INR]]</f>
        <v>4864</v>
      </c>
      <c r="AB1328" s="4">
        <v>8703</v>
      </c>
      <c r="AC1328" s="4">
        <v>3310</v>
      </c>
      <c r="AD1328" s="4">
        <v>3310</v>
      </c>
      <c r="AE1328" s="4">
        <v>8597</v>
      </c>
      <c r="AF1328" s="4">
        <v>5250</v>
      </c>
    </row>
    <row r="1329" spans="1:32">
      <c r="A1329" s="2" t="s">
        <v>2789</v>
      </c>
      <c r="B1329" s="3">
        <v>46230</v>
      </c>
      <c r="C1329" s="36" t="s">
        <v>2128</v>
      </c>
      <c r="D1329" s="2">
        <f>MONTH(ProductionData[[#This Row],[Month]])</f>
        <v>7</v>
      </c>
      <c r="E1329" s="2" t="s">
        <v>116</v>
      </c>
      <c r="F1329" s="2" t="s">
        <v>93</v>
      </c>
      <c r="G1329" s="2" t="s">
        <v>81</v>
      </c>
      <c r="H1329" s="2" t="s">
        <v>82</v>
      </c>
      <c r="I1329" s="2" t="s">
        <v>83</v>
      </c>
      <c r="J1329" s="2" t="s">
        <v>721</v>
      </c>
      <c r="K1329" s="2" t="s">
        <v>722</v>
      </c>
      <c r="L1329" s="2" t="s">
        <v>2790</v>
      </c>
      <c r="M1329" s="2" t="s">
        <v>133</v>
      </c>
      <c r="N1329" s="2" t="s">
        <v>96</v>
      </c>
      <c r="O1329" s="2">
        <v>18</v>
      </c>
      <c r="P1329" s="2">
        <v>16</v>
      </c>
      <c r="Q1329" s="4">
        <v>3170</v>
      </c>
      <c r="R1329" s="4">
        <v>3030</v>
      </c>
      <c r="S1329" s="4">
        <v>66</v>
      </c>
      <c r="T1329" s="19">
        <f>(ProductionData[[#This Row],[Rejected_Qty]])/ProductionData[[#This Row],[Produced_Qty]]</f>
        <v>2.1782178217821781E-2</v>
      </c>
      <c r="U1329" s="19">
        <f>ProductionData[[#This Row],[Produced_Qty]]/ProductionData[[#This Row],[Planned_Qty]]</f>
        <v>0.95583596214511046</v>
      </c>
      <c r="V1329" s="2" t="s">
        <v>89</v>
      </c>
      <c r="W1329" s="11">
        <v>60</v>
      </c>
      <c r="X1329" s="13">
        <f>W1329/60</f>
        <v>1</v>
      </c>
      <c r="Y1329" s="2" t="s">
        <v>110</v>
      </c>
      <c r="Z1329" s="2">
        <v>64</v>
      </c>
      <c r="AA1329" s="2">
        <f>ProductionData[[#This Row],[Rejected_Qty]]*ProductionData[[#This Row],[Unit_Cost_INR]]</f>
        <v>4224</v>
      </c>
      <c r="AB1329" s="4">
        <v>8319</v>
      </c>
      <c r="AC1329" s="4">
        <v>2690</v>
      </c>
      <c r="AD1329" s="4">
        <v>2690</v>
      </c>
      <c r="AE1329" s="4">
        <v>8593</v>
      </c>
      <c r="AF1329" s="4">
        <v>5250</v>
      </c>
    </row>
    <row r="1330" spans="1:32">
      <c r="A1330" s="2" t="s">
        <v>2791</v>
      </c>
      <c r="B1330" s="3">
        <v>46206</v>
      </c>
      <c r="C1330" s="36" t="s">
        <v>2128</v>
      </c>
      <c r="D1330" s="2">
        <f>MONTH(ProductionData[[#This Row],[Month]])</f>
        <v>7</v>
      </c>
      <c r="E1330" s="2" t="s">
        <v>125</v>
      </c>
      <c r="F1330" s="2" t="s">
        <v>66</v>
      </c>
      <c r="G1330" s="2" t="s">
        <v>81</v>
      </c>
      <c r="H1330" s="2" t="s">
        <v>82</v>
      </c>
      <c r="I1330" s="2" t="s">
        <v>83</v>
      </c>
      <c r="J1330" s="2" t="s">
        <v>721</v>
      </c>
      <c r="K1330" s="2" t="s">
        <v>722</v>
      </c>
      <c r="L1330" s="2" t="s">
        <v>2792</v>
      </c>
      <c r="M1330" s="2" t="s">
        <v>99</v>
      </c>
      <c r="N1330" s="2" t="s">
        <v>96</v>
      </c>
      <c r="O1330" s="2">
        <v>18</v>
      </c>
      <c r="P1330" s="2">
        <v>17</v>
      </c>
      <c r="Q1330" s="4">
        <v>3720</v>
      </c>
      <c r="R1330" s="4">
        <v>3490</v>
      </c>
      <c r="S1330" s="4">
        <v>105</v>
      </c>
      <c r="T1330" s="19">
        <f>(ProductionData[[#This Row],[Rejected_Qty]])/ProductionData[[#This Row],[Produced_Qty]]</f>
        <v>3.0085959885386818E-2</v>
      </c>
      <c r="U1330" s="19">
        <f>ProductionData[[#This Row],[Produced_Qty]]/ProductionData[[#This Row],[Planned_Qty]]</f>
        <v>0.93817204301075274</v>
      </c>
      <c r="V1330" s="2" t="s">
        <v>109</v>
      </c>
      <c r="W1330" s="11">
        <v>0</v>
      </c>
      <c r="X1330" s="13">
        <f>W1330/60</f>
        <v>0</v>
      </c>
      <c r="Y1330" s="2" t="s">
        <v>90</v>
      </c>
      <c r="Z1330" s="2">
        <v>64</v>
      </c>
      <c r="AA1330" s="2">
        <f>ProductionData[[#This Row],[Rejected_Qty]]*ProductionData[[#This Row],[Unit_Cost_INR]]</f>
        <v>6720</v>
      </c>
      <c r="AB1330" s="4">
        <v>8609</v>
      </c>
      <c r="AC1330" s="4">
        <v>3410</v>
      </c>
      <c r="AD1330" s="4">
        <v>3410</v>
      </c>
      <c r="AE1330" s="4">
        <v>8584</v>
      </c>
      <c r="AF1330" s="4">
        <v>5250</v>
      </c>
    </row>
    <row r="1331" spans="1:32">
      <c r="A1331" s="2" t="s">
        <v>2793</v>
      </c>
      <c r="B1331" s="3">
        <v>46218</v>
      </c>
      <c r="C1331" s="36" t="s">
        <v>2128</v>
      </c>
      <c r="D1331" s="2">
        <f>MONTH(ProductionData[[#This Row],[Month]])</f>
        <v>7</v>
      </c>
      <c r="E1331" s="2" t="s">
        <v>79</v>
      </c>
      <c r="F1331" s="2" t="s">
        <v>80</v>
      </c>
      <c r="G1331" s="2" t="s">
        <v>81</v>
      </c>
      <c r="H1331" s="2" t="s">
        <v>82</v>
      </c>
      <c r="I1331" s="2" t="s">
        <v>83</v>
      </c>
      <c r="J1331" s="2" t="s">
        <v>721</v>
      </c>
      <c r="K1331" s="2" t="s">
        <v>722</v>
      </c>
      <c r="L1331" s="2" t="s">
        <v>2794</v>
      </c>
      <c r="M1331" s="2" t="s">
        <v>87</v>
      </c>
      <c r="N1331" s="2" t="s">
        <v>88</v>
      </c>
      <c r="O1331" s="2">
        <v>18</v>
      </c>
      <c r="P1331" s="2">
        <v>17</v>
      </c>
      <c r="Q1331" s="4">
        <v>3660</v>
      </c>
      <c r="R1331" s="4">
        <v>3470</v>
      </c>
      <c r="S1331" s="4">
        <v>102</v>
      </c>
      <c r="T1331" s="19">
        <f>(ProductionData[[#This Row],[Rejected_Qty]])/ProductionData[[#This Row],[Produced_Qty]]</f>
        <v>2.9394812680115272E-2</v>
      </c>
      <c r="U1331" s="19">
        <f>ProductionData[[#This Row],[Produced_Qty]]/ProductionData[[#This Row],[Planned_Qty]]</f>
        <v>0.94808743169398912</v>
      </c>
      <c r="V1331" s="2" t="s">
        <v>75</v>
      </c>
      <c r="W1331" s="11">
        <v>0</v>
      </c>
      <c r="X1331" s="13">
        <f>W1331/60</f>
        <v>0</v>
      </c>
      <c r="Y1331" s="2" t="s">
        <v>90</v>
      </c>
      <c r="Z1331" s="2">
        <v>64</v>
      </c>
      <c r="AA1331" s="2">
        <f>ProductionData[[#This Row],[Rejected_Qty]]*ProductionData[[#This Row],[Unit_Cost_INR]]</f>
        <v>6528</v>
      </c>
      <c r="AB1331" s="4">
        <v>8799</v>
      </c>
      <c r="AC1331" s="4">
        <v>3690</v>
      </c>
      <c r="AD1331" s="4">
        <v>3690</v>
      </c>
      <c r="AE1331" s="4">
        <v>8477</v>
      </c>
      <c r="AF1331" s="4">
        <v>5250</v>
      </c>
    </row>
    <row r="1332" spans="1:32">
      <c r="A1332" s="2" t="s">
        <v>2795</v>
      </c>
      <c r="B1332" s="3">
        <v>46225</v>
      </c>
      <c r="C1332" s="36" t="s">
        <v>2128</v>
      </c>
      <c r="D1332" s="2">
        <f>MONTH(ProductionData[[#This Row],[Month]])</f>
        <v>7</v>
      </c>
      <c r="E1332" s="2" t="s">
        <v>79</v>
      </c>
      <c r="F1332" s="2" t="s">
        <v>66</v>
      </c>
      <c r="G1332" s="2" t="s">
        <v>81</v>
      </c>
      <c r="H1332" s="2" t="s">
        <v>82</v>
      </c>
      <c r="I1332" s="2" t="s">
        <v>83</v>
      </c>
      <c r="J1332" s="2" t="s">
        <v>721</v>
      </c>
      <c r="K1332" s="2" t="s">
        <v>722</v>
      </c>
      <c r="L1332" s="2" t="s">
        <v>2796</v>
      </c>
      <c r="M1332" s="2" t="s">
        <v>99</v>
      </c>
      <c r="N1332" s="2" t="s">
        <v>96</v>
      </c>
      <c r="O1332" s="2">
        <v>18</v>
      </c>
      <c r="P1332" s="2">
        <v>18</v>
      </c>
      <c r="Q1332" s="4">
        <v>3340</v>
      </c>
      <c r="R1332" s="4">
        <v>3180</v>
      </c>
      <c r="S1332" s="4">
        <v>37</v>
      </c>
      <c r="T1332" s="19">
        <f>(ProductionData[[#This Row],[Rejected_Qty]])/ProductionData[[#This Row],[Produced_Qty]]</f>
        <v>1.1635220125786163E-2</v>
      </c>
      <c r="U1332" s="19">
        <f>ProductionData[[#This Row],[Produced_Qty]]/ProductionData[[#This Row],[Planned_Qty]]</f>
        <v>0.95209580838323349</v>
      </c>
      <c r="V1332" s="2" t="s">
        <v>113</v>
      </c>
      <c r="W1332" s="11">
        <v>0</v>
      </c>
      <c r="X1332" s="13">
        <f>W1332/60</f>
        <v>0</v>
      </c>
      <c r="Y1332" s="2" t="s">
        <v>90</v>
      </c>
      <c r="Z1332" s="2">
        <v>64</v>
      </c>
      <c r="AA1332" s="2">
        <f>ProductionData[[#This Row],[Rejected_Qty]]*ProductionData[[#This Row],[Unit_Cost_INR]]</f>
        <v>2368</v>
      </c>
      <c r="AB1332" s="4">
        <v>8392</v>
      </c>
      <c r="AC1332" s="4">
        <v>3110</v>
      </c>
      <c r="AD1332" s="4">
        <v>3110</v>
      </c>
      <c r="AE1332" s="4">
        <v>8425</v>
      </c>
      <c r="AF1332" s="4">
        <v>5250</v>
      </c>
    </row>
    <row r="1333" spans="1:32">
      <c r="A1333" s="2" t="s">
        <v>2797</v>
      </c>
      <c r="B1333" s="3">
        <v>46207</v>
      </c>
      <c r="C1333" s="36" t="s">
        <v>2128</v>
      </c>
      <c r="D1333" s="2">
        <f>MONTH(ProductionData[[#This Row],[Month]])</f>
        <v>7</v>
      </c>
      <c r="E1333" s="2" t="s">
        <v>65</v>
      </c>
      <c r="F1333" s="2" t="s">
        <v>93</v>
      </c>
      <c r="G1333" s="2" t="s">
        <v>81</v>
      </c>
      <c r="H1333" s="2" t="s">
        <v>82</v>
      </c>
      <c r="I1333" s="2" t="s">
        <v>83</v>
      </c>
      <c r="J1333" s="2" t="s">
        <v>721</v>
      </c>
      <c r="K1333" s="2" t="s">
        <v>722</v>
      </c>
      <c r="L1333" s="2" t="s">
        <v>2798</v>
      </c>
      <c r="M1333" s="2" t="s">
        <v>95</v>
      </c>
      <c r="N1333" s="2" t="s">
        <v>88</v>
      </c>
      <c r="O1333" s="2">
        <v>18</v>
      </c>
      <c r="P1333" s="2">
        <v>16</v>
      </c>
      <c r="Q1333" s="4">
        <v>3410</v>
      </c>
      <c r="R1333" s="4">
        <v>3030</v>
      </c>
      <c r="S1333" s="4">
        <v>78</v>
      </c>
      <c r="T1333" s="19">
        <f>(ProductionData[[#This Row],[Rejected_Qty]])/ProductionData[[#This Row],[Produced_Qty]]</f>
        <v>2.5742574257425741E-2</v>
      </c>
      <c r="U1333" s="19">
        <f>ProductionData[[#This Row],[Produced_Qty]]/ProductionData[[#This Row],[Planned_Qty]]</f>
        <v>0.88856304985337242</v>
      </c>
      <c r="V1333" s="2" t="s">
        <v>113</v>
      </c>
      <c r="W1333" s="11">
        <v>0</v>
      </c>
      <c r="X1333" s="13">
        <f>W1333/60</f>
        <v>0</v>
      </c>
      <c r="Y1333" s="2" t="s">
        <v>90</v>
      </c>
      <c r="Z1333" s="2">
        <v>64</v>
      </c>
      <c r="AA1333" s="2">
        <f>ProductionData[[#This Row],[Rejected_Qty]]*ProductionData[[#This Row],[Unit_Cost_INR]]</f>
        <v>4992</v>
      </c>
      <c r="AB1333" s="4">
        <v>8737</v>
      </c>
      <c r="AC1333" s="4">
        <v>3290</v>
      </c>
      <c r="AD1333" s="4">
        <v>3290</v>
      </c>
      <c r="AE1333" s="4">
        <v>8399</v>
      </c>
      <c r="AF1333" s="4">
        <v>5250</v>
      </c>
    </row>
    <row r="1334" spans="1:32">
      <c r="A1334" s="2" t="s">
        <v>2799</v>
      </c>
      <c r="B1334" s="3">
        <v>46224</v>
      </c>
      <c r="C1334" s="36" t="s">
        <v>2128</v>
      </c>
      <c r="D1334" s="2">
        <f>MONTH(ProductionData[[#This Row],[Month]])</f>
        <v>7</v>
      </c>
      <c r="E1334" s="2" t="s">
        <v>92</v>
      </c>
      <c r="F1334" s="2" t="s">
        <v>80</v>
      </c>
      <c r="G1334" s="2" t="s">
        <v>81</v>
      </c>
      <c r="H1334" s="2" t="s">
        <v>82</v>
      </c>
      <c r="I1334" s="2" t="s">
        <v>83</v>
      </c>
      <c r="J1334" s="2" t="s">
        <v>721</v>
      </c>
      <c r="K1334" s="2" t="s">
        <v>722</v>
      </c>
      <c r="L1334" s="2" t="s">
        <v>2800</v>
      </c>
      <c r="M1334" s="2" t="s">
        <v>87</v>
      </c>
      <c r="N1334" s="2" t="s">
        <v>88</v>
      </c>
      <c r="O1334" s="2">
        <v>18</v>
      </c>
      <c r="P1334" s="2">
        <v>16</v>
      </c>
      <c r="Q1334" s="4">
        <v>3430</v>
      </c>
      <c r="R1334" s="4">
        <v>3240</v>
      </c>
      <c r="S1334" s="4">
        <v>103</v>
      </c>
      <c r="T1334" s="19">
        <f>(ProductionData[[#This Row],[Rejected_Qty]])/ProductionData[[#This Row],[Produced_Qty]]</f>
        <v>3.1790123456790123E-2</v>
      </c>
      <c r="U1334" s="19">
        <f>ProductionData[[#This Row],[Produced_Qty]]/ProductionData[[#This Row],[Planned_Qty]]</f>
        <v>0.94460641399416911</v>
      </c>
      <c r="V1334" s="2" t="s">
        <v>75</v>
      </c>
      <c r="W1334" s="11">
        <v>0</v>
      </c>
      <c r="X1334" s="13">
        <f>W1334/60</f>
        <v>0</v>
      </c>
      <c r="Y1334" s="2" t="s">
        <v>90</v>
      </c>
      <c r="Z1334" s="2">
        <v>64</v>
      </c>
      <c r="AA1334" s="2">
        <f>ProductionData[[#This Row],[Rejected_Qty]]*ProductionData[[#This Row],[Unit_Cost_INR]]</f>
        <v>6592</v>
      </c>
      <c r="AB1334" s="4">
        <v>8085</v>
      </c>
      <c r="AC1334" s="4">
        <v>2830</v>
      </c>
      <c r="AD1334" s="4">
        <v>2830</v>
      </c>
      <c r="AE1334" s="4">
        <v>8392</v>
      </c>
      <c r="AF1334" s="4">
        <v>5250</v>
      </c>
    </row>
    <row r="1335" spans="1:32">
      <c r="A1335" s="2" t="s">
        <v>2801</v>
      </c>
      <c r="B1335" s="3">
        <v>46221</v>
      </c>
      <c r="C1335" s="36" t="s">
        <v>2128</v>
      </c>
      <c r="D1335" s="2">
        <f>MONTH(ProductionData[[#This Row],[Month]])</f>
        <v>7</v>
      </c>
      <c r="E1335" s="2" t="s">
        <v>65</v>
      </c>
      <c r="F1335" s="2" t="s">
        <v>80</v>
      </c>
      <c r="G1335" s="2" t="s">
        <v>81</v>
      </c>
      <c r="H1335" s="2" t="s">
        <v>82</v>
      </c>
      <c r="I1335" s="2" t="s">
        <v>83</v>
      </c>
      <c r="J1335" s="2" t="s">
        <v>721</v>
      </c>
      <c r="K1335" s="2" t="s">
        <v>722</v>
      </c>
      <c r="L1335" s="2" t="s">
        <v>2802</v>
      </c>
      <c r="M1335" s="2" t="s">
        <v>102</v>
      </c>
      <c r="N1335" s="2" t="s">
        <v>88</v>
      </c>
      <c r="O1335" s="2">
        <v>18</v>
      </c>
      <c r="P1335" s="2">
        <v>16</v>
      </c>
      <c r="Q1335" s="4">
        <v>3390</v>
      </c>
      <c r="R1335" s="4">
        <v>3070</v>
      </c>
      <c r="S1335" s="4">
        <v>78</v>
      </c>
      <c r="T1335" s="19">
        <f>(ProductionData[[#This Row],[Rejected_Qty]])/ProductionData[[#This Row],[Produced_Qty]]</f>
        <v>2.5407166123778503E-2</v>
      </c>
      <c r="U1335" s="19">
        <f>ProductionData[[#This Row],[Produced_Qty]]/ProductionData[[#This Row],[Planned_Qty]]</f>
        <v>0.9056047197640118</v>
      </c>
      <c r="V1335" s="2" t="s">
        <v>109</v>
      </c>
      <c r="W1335" s="11">
        <v>23</v>
      </c>
      <c r="X1335" s="13">
        <f>W1335/60</f>
        <v>0.38333333333333336</v>
      </c>
      <c r="Y1335" s="2" t="s">
        <v>182</v>
      </c>
      <c r="Z1335" s="2">
        <v>64</v>
      </c>
      <c r="AA1335" s="2">
        <f>ProductionData[[#This Row],[Rejected_Qty]]*ProductionData[[#This Row],[Unit_Cost_INR]]</f>
        <v>4992</v>
      </c>
      <c r="AB1335" s="4">
        <v>8636</v>
      </c>
      <c r="AC1335" s="4">
        <v>3260</v>
      </c>
      <c r="AD1335" s="4">
        <v>3260</v>
      </c>
      <c r="AE1335" s="4">
        <v>8368</v>
      </c>
      <c r="AF1335" s="4">
        <v>5250</v>
      </c>
    </row>
    <row r="1336" spans="1:32">
      <c r="A1336" s="2" t="s">
        <v>2803</v>
      </c>
      <c r="B1336" s="3">
        <v>46226</v>
      </c>
      <c r="C1336" s="36" t="s">
        <v>2128</v>
      </c>
      <c r="D1336" s="2">
        <f>MONTH(ProductionData[[#This Row],[Month]])</f>
        <v>7</v>
      </c>
      <c r="E1336" s="2" t="s">
        <v>107</v>
      </c>
      <c r="F1336" s="2" t="s">
        <v>66</v>
      </c>
      <c r="G1336" s="2" t="s">
        <v>81</v>
      </c>
      <c r="H1336" s="2" t="s">
        <v>82</v>
      </c>
      <c r="I1336" s="2" t="s">
        <v>83</v>
      </c>
      <c r="J1336" s="2" t="s">
        <v>721</v>
      </c>
      <c r="K1336" s="2" t="s">
        <v>722</v>
      </c>
      <c r="L1336" s="2" t="s">
        <v>2804</v>
      </c>
      <c r="M1336" s="2" t="s">
        <v>99</v>
      </c>
      <c r="N1336" s="2" t="s">
        <v>88</v>
      </c>
      <c r="O1336" s="2">
        <v>18</v>
      </c>
      <c r="P1336" s="2">
        <v>15</v>
      </c>
      <c r="Q1336" s="4">
        <v>3400</v>
      </c>
      <c r="R1336" s="4">
        <v>3040</v>
      </c>
      <c r="S1336" s="4">
        <v>68</v>
      </c>
      <c r="T1336" s="19">
        <f>(ProductionData[[#This Row],[Rejected_Qty]])/ProductionData[[#This Row],[Produced_Qty]]</f>
        <v>2.2368421052631579E-2</v>
      </c>
      <c r="U1336" s="19">
        <f>ProductionData[[#This Row],[Produced_Qty]]/ProductionData[[#This Row],[Planned_Qty]]</f>
        <v>0.89411764705882357</v>
      </c>
      <c r="V1336" s="2" t="s">
        <v>109</v>
      </c>
      <c r="W1336" s="11">
        <v>0</v>
      </c>
      <c r="X1336" s="13">
        <f>W1336/60</f>
        <v>0</v>
      </c>
      <c r="Y1336" s="2" t="s">
        <v>90</v>
      </c>
      <c r="Z1336" s="2">
        <v>64</v>
      </c>
      <c r="AA1336" s="2">
        <f>ProductionData[[#This Row],[Rejected_Qty]]*ProductionData[[#This Row],[Unit_Cost_INR]]</f>
        <v>4352</v>
      </c>
      <c r="AB1336" s="4">
        <v>8671</v>
      </c>
      <c r="AC1336" s="4">
        <v>3320</v>
      </c>
      <c r="AD1336" s="4">
        <v>3320</v>
      </c>
      <c r="AE1336" s="4">
        <v>8323</v>
      </c>
      <c r="AF1336" s="4">
        <v>5250</v>
      </c>
    </row>
    <row r="1337" spans="1:32">
      <c r="A1337" s="2" t="s">
        <v>2805</v>
      </c>
      <c r="B1337" s="3">
        <v>46226</v>
      </c>
      <c r="C1337" s="36" t="s">
        <v>2128</v>
      </c>
      <c r="D1337" s="2">
        <f>MONTH(ProductionData[[#This Row],[Month]])</f>
        <v>7</v>
      </c>
      <c r="E1337" s="2" t="s">
        <v>107</v>
      </c>
      <c r="F1337" s="2" t="s">
        <v>93</v>
      </c>
      <c r="G1337" s="2" t="s">
        <v>81</v>
      </c>
      <c r="H1337" s="2" t="s">
        <v>82</v>
      </c>
      <c r="I1337" s="2" t="s">
        <v>83</v>
      </c>
      <c r="J1337" s="2" t="s">
        <v>721</v>
      </c>
      <c r="K1337" s="2" t="s">
        <v>722</v>
      </c>
      <c r="L1337" s="2" t="s">
        <v>2806</v>
      </c>
      <c r="M1337" s="2" t="s">
        <v>133</v>
      </c>
      <c r="N1337" s="2" t="s">
        <v>88</v>
      </c>
      <c r="O1337" s="2">
        <v>18</v>
      </c>
      <c r="P1337" s="2">
        <v>16</v>
      </c>
      <c r="Q1337" s="4">
        <v>3160</v>
      </c>
      <c r="R1337" s="4">
        <v>2810</v>
      </c>
      <c r="S1337" s="4">
        <v>94</v>
      </c>
      <c r="T1337" s="19">
        <f>(ProductionData[[#This Row],[Rejected_Qty]])/ProductionData[[#This Row],[Produced_Qty]]</f>
        <v>3.3451957295373667E-2</v>
      </c>
      <c r="U1337" s="19">
        <f>ProductionData[[#This Row],[Produced_Qty]]/ProductionData[[#This Row],[Planned_Qty]]</f>
        <v>0.88924050632911389</v>
      </c>
      <c r="V1337" s="2" t="s">
        <v>75</v>
      </c>
      <c r="W1337" s="11">
        <v>0</v>
      </c>
      <c r="X1337" s="13">
        <f>W1337/60</f>
        <v>0</v>
      </c>
      <c r="Y1337" s="2" t="s">
        <v>90</v>
      </c>
      <c r="Z1337" s="2">
        <v>64</v>
      </c>
      <c r="AA1337" s="2">
        <f>ProductionData[[#This Row],[Rejected_Qty]]*ProductionData[[#This Row],[Unit_Cost_INR]]</f>
        <v>6016</v>
      </c>
      <c r="AB1337" s="4">
        <v>8323</v>
      </c>
      <c r="AC1337" s="4">
        <v>2720</v>
      </c>
      <c r="AD1337" s="4">
        <v>2720</v>
      </c>
      <c r="AE1337" s="4">
        <v>8319</v>
      </c>
      <c r="AF1337" s="4">
        <v>5250</v>
      </c>
    </row>
    <row r="1338" spans="1:32">
      <c r="A1338" s="2" t="s">
        <v>2807</v>
      </c>
      <c r="B1338" s="3">
        <v>46221</v>
      </c>
      <c r="C1338" s="36" t="s">
        <v>2128</v>
      </c>
      <c r="D1338" s="2">
        <f>MONTH(ProductionData[[#This Row],[Month]])</f>
        <v>7</v>
      </c>
      <c r="E1338" s="2" t="s">
        <v>65</v>
      </c>
      <c r="F1338" s="2" t="s">
        <v>93</v>
      </c>
      <c r="G1338" s="2" t="s">
        <v>81</v>
      </c>
      <c r="H1338" s="2" t="s">
        <v>82</v>
      </c>
      <c r="I1338" s="2" t="s">
        <v>83</v>
      </c>
      <c r="J1338" s="2" t="s">
        <v>721</v>
      </c>
      <c r="K1338" s="2" t="s">
        <v>722</v>
      </c>
      <c r="L1338" s="2" t="s">
        <v>2808</v>
      </c>
      <c r="M1338" s="2" t="s">
        <v>95</v>
      </c>
      <c r="N1338" s="2" t="s">
        <v>88</v>
      </c>
      <c r="O1338" s="2">
        <v>18</v>
      </c>
      <c r="P1338" s="2">
        <v>16</v>
      </c>
      <c r="Q1338" s="4">
        <v>3260</v>
      </c>
      <c r="R1338" s="4">
        <v>2950</v>
      </c>
      <c r="S1338" s="4">
        <v>65</v>
      </c>
      <c r="T1338" s="19">
        <f>(ProductionData[[#This Row],[Rejected_Qty]])/ProductionData[[#This Row],[Produced_Qty]]</f>
        <v>2.2033898305084745E-2</v>
      </c>
      <c r="U1338" s="19">
        <f>ProductionData[[#This Row],[Produced_Qty]]/ProductionData[[#This Row],[Planned_Qty]]</f>
        <v>0.90490797546012269</v>
      </c>
      <c r="V1338" s="2" t="s">
        <v>89</v>
      </c>
      <c r="W1338" s="11">
        <v>0</v>
      </c>
      <c r="X1338" s="13">
        <f>W1338/60</f>
        <v>0</v>
      </c>
      <c r="Y1338" s="2" t="s">
        <v>90</v>
      </c>
      <c r="Z1338" s="2">
        <v>64</v>
      </c>
      <c r="AA1338" s="2">
        <f>ProductionData[[#This Row],[Rejected_Qty]]*ProductionData[[#This Row],[Unit_Cost_INR]]</f>
        <v>4160</v>
      </c>
      <c r="AB1338" s="4">
        <v>8368</v>
      </c>
      <c r="AC1338" s="4">
        <v>2990</v>
      </c>
      <c r="AD1338" s="4">
        <v>2990</v>
      </c>
      <c r="AE1338" s="4">
        <v>8263</v>
      </c>
      <c r="AF1338" s="4">
        <v>5250</v>
      </c>
    </row>
    <row r="1339" spans="1:32">
      <c r="A1339" s="2" t="s">
        <v>2809</v>
      </c>
      <c r="B1339" s="3">
        <v>46222</v>
      </c>
      <c r="C1339" s="36" t="s">
        <v>2128</v>
      </c>
      <c r="D1339" s="2">
        <f>MONTH(ProductionData[[#This Row],[Month]])</f>
        <v>7</v>
      </c>
      <c r="E1339" s="2" t="s">
        <v>186</v>
      </c>
      <c r="F1339" s="2" t="s">
        <v>66</v>
      </c>
      <c r="G1339" s="2" t="s">
        <v>81</v>
      </c>
      <c r="H1339" s="2" t="s">
        <v>82</v>
      </c>
      <c r="I1339" s="2" t="s">
        <v>83</v>
      </c>
      <c r="J1339" s="2" t="s">
        <v>721</v>
      </c>
      <c r="K1339" s="2" t="s">
        <v>722</v>
      </c>
      <c r="L1339" s="2" t="s">
        <v>2810</v>
      </c>
      <c r="M1339" s="2" t="s">
        <v>99</v>
      </c>
      <c r="N1339" s="2" t="s">
        <v>88</v>
      </c>
      <c r="O1339" s="2">
        <v>18</v>
      </c>
      <c r="P1339" s="2">
        <v>17</v>
      </c>
      <c r="Q1339" s="4">
        <v>2280</v>
      </c>
      <c r="R1339" s="4">
        <v>2130</v>
      </c>
      <c r="S1339" s="4">
        <v>41</v>
      </c>
      <c r="T1339" s="19">
        <f>(ProductionData[[#This Row],[Rejected_Qty]])/ProductionData[[#This Row],[Produced_Qty]]</f>
        <v>1.9248826291079813E-2</v>
      </c>
      <c r="U1339" s="19">
        <f>ProductionData[[#This Row],[Produced_Qty]]/ProductionData[[#This Row],[Planned_Qty]]</f>
        <v>0.93421052631578949</v>
      </c>
      <c r="V1339" s="2" t="s">
        <v>109</v>
      </c>
      <c r="W1339" s="11">
        <v>28</v>
      </c>
      <c r="X1339" s="13">
        <f>W1339/60</f>
        <v>0.46666666666666667</v>
      </c>
      <c r="Y1339" s="2" t="s">
        <v>114</v>
      </c>
      <c r="Z1339" s="2">
        <v>64</v>
      </c>
      <c r="AA1339" s="2">
        <f>ProductionData[[#This Row],[Rejected_Qty]]*ProductionData[[#This Row],[Unit_Cost_INR]]</f>
        <v>2624</v>
      </c>
      <c r="AB1339" s="4">
        <v>8263</v>
      </c>
      <c r="AC1339" s="4">
        <v>2160</v>
      </c>
      <c r="AD1339" s="4">
        <v>2160</v>
      </c>
      <c r="AE1339" s="4">
        <v>8192</v>
      </c>
      <c r="AF1339" s="4">
        <v>5250</v>
      </c>
    </row>
    <row r="1340" spans="1:32">
      <c r="A1340" s="2" t="s">
        <v>2811</v>
      </c>
      <c r="B1340" s="3">
        <v>46223</v>
      </c>
      <c r="C1340" s="36" t="s">
        <v>2128</v>
      </c>
      <c r="D1340" s="2">
        <f>MONTH(ProductionData[[#This Row],[Month]])</f>
        <v>7</v>
      </c>
      <c r="E1340" s="2" t="s">
        <v>116</v>
      </c>
      <c r="F1340" s="2" t="s">
        <v>66</v>
      </c>
      <c r="G1340" s="2" t="s">
        <v>81</v>
      </c>
      <c r="H1340" s="2" t="s">
        <v>82</v>
      </c>
      <c r="I1340" s="2" t="s">
        <v>83</v>
      </c>
      <c r="J1340" s="2" t="s">
        <v>721</v>
      </c>
      <c r="K1340" s="2" t="s">
        <v>722</v>
      </c>
      <c r="L1340" s="2" t="s">
        <v>2812</v>
      </c>
      <c r="M1340" s="2" t="s">
        <v>99</v>
      </c>
      <c r="N1340" s="2" t="s">
        <v>88</v>
      </c>
      <c r="O1340" s="2">
        <v>18</v>
      </c>
      <c r="P1340" s="2">
        <v>18</v>
      </c>
      <c r="Q1340" s="4">
        <v>3300</v>
      </c>
      <c r="R1340" s="4">
        <v>3090</v>
      </c>
      <c r="S1340" s="4">
        <v>75</v>
      </c>
      <c r="T1340" s="19">
        <f>(ProductionData[[#This Row],[Rejected_Qty]])/ProductionData[[#This Row],[Produced_Qty]]</f>
        <v>2.4271844660194174E-2</v>
      </c>
      <c r="U1340" s="19">
        <f>ProductionData[[#This Row],[Produced_Qty]]/ProductionData[[#This Row],[Planned_Qty]]</f>
        <v>0.9363636363636364</v>
      </c>
      <c r="V1340" s="2" t="s">
        <v>75</v>
      </c>
      <c r="W1340" s="11">
        <v>0</v>
      </c>
      <c r="X1340" s="13">
        <f>W1340/60</f>
        <v>0</v>
      </c>
      <c r="Y1340" s="2" t="s">
        <v>90</v>
      </c>
      <c r="Z1340" s="2">
        <v>64</v>
      </c>
      <c r="AA1340" s="2">
        <f>ProductionData[[#This Row],[Rejected_Qty]]*ProductionData[[#This Row],[Unit_Cost_INR]]</f>
        <v>4800</v>
      </c>
      <c r="AB1340" s="4">
        <v>8192</v>
      </c>
      <c r="AC1340" s="4">
        <v>3080</v>
      </c>
      <c r="AD1340" s="4">
        <v>3080</v>
      </c>
      <c r="AE1340" s="4">
        <v>8127</v>
      </c>
      <c r="AF1340" s="4">
        <v>5250</v>
      </c>
    </row>
    <row r="1341" spans="1:32">
      <c r="A1341" s="2" t="s">
        <v>2813</v>
      </c>
      <c r="B1341" s="3">
        <v>46224</v>
      </c>
      <c r="C1341" s="36" t="s">
        <v>2128</v>
      </c>
      <c r="D1341" s="2">
        <f>MONTH(ProductionData[[#This Row],[Month]])</f>
        <v>7</v>
      </c>
      <c r="E1341" s="2" t="s">
        <v>92</v>
      </c>
      <c r="F1341" s="2" t="s">
        <v>66</v>
      </c>
      <c r="G1341" s="2" t="s">
        <v>81</v>
      </c>
      <c r="H1341" s="2" t="s">
        <v>82</v>
      </c>
      <c r="I1341" s="2" t="s">
        <v>83</v>
      </c>
      <c r="J1341" s="2" t="s">
        <v>721</v>
      </c>
      <c r="K1341" s="2" t="s">
        <v>722</v>
      </c>
      <c r="L1341" s="2" t="s">
        <v>2814</v>
      </c>
      <c r="M1341" s="2" t="s">
        <v>73</v>
      </c>
      <c r="N1341" s="2" t="s">
        <v>96</v>
      </c>
      <c r="O1341" s="2">
        <v>18</v>
      </c>
      <c r="P1341" s="2">
        <v>18</v>
      </c>
      <c r="Q1341" s="4">
        <v>3550</v>
      </c>
      <c r="R1341" s="4">
        <v>3160</v>
      </c>
      <c r="S1341" s="4">
        <v>102</v>
      </c>
      <c r="T1341" s="19">
        <f>(ProductionData[[#This Row],[Rejected_Qty]])/ProductionData[[#This Row],[Produced_Qty]]</f>
        <v>3.2278481012658226E-2</v>
      </c>
      <c r="U1341" s="19">
        <f>ProductionData[[#This Row],[Produced_Qty]]/ProductionData[[#This Row],[Planned_Qty]]</f>
        <v>0.89014084507042257</v>
      </c>
      <c r="V1341" s="2" t="s">
        <v>103</v>
      </c>
      <c r="W1341" s="11">
        <v>72</v>
      </c>
      <c r="X1341" s="13">
        <f>W1341/60</f>
        <v>1.2</v>
      </c>
      <c r="Y1341" s="2" t="s">
        <v>110</v>
      </c>
      <c r="Z1341" s="2">
        <v>64</v>
      </c>
      <c r="AA1341" s="2">
        <f>ProductionData[[#This Row],[Rejected_Qty]]*ProductionData[[#This Row],[Unit_Cost_INR]]</f>
        <v>6528</v>
      </c>
      <c r="AB1341" s="4">
        <v>8127</v>
      </c>
      <c r="AC1341" s="4">
        <v>3100</v>
      </c>
      <c r="AD1341" s="4">
        <v>3100</v>
      </c>
      <c r="AE1341" s="4">
        <v>8085</v>
      </c>
      <c r="AF1341" s="4">
        <v>5250</v>
      </c>
    </row>
    <row r="1342" spans="1:32">
      <c r="A1342" s="2" t="s">
        <v>2815</v>
      </c>
      <c r="B1342" s="3">
        <v>46245</v>
      </c>
      <c r="C1342" s="36" t="s">
        <v>2816</v>
      </c>
      <c r="D1342" s="2">
        <f>MONTH(ProductionData[[#This Row],[Month]])</f>
        <v>8</v>
      </c>
      <c r="E1342" s="2" t="s">
        <v>92</v>
      </c>
      <c r="F1342" s="2" t="s">
        <v>66</v>
      </c>
      <c r="G1342" s="2" t="s">
        <v>81</v>
      </c>
      <c r="H1342" s="2" t="s">
        <v>82</v>
      </c>
      <c r="I1342" s="2" t="s">
        <v>83</v>
      </c>
      <c r="J1342" s="2" t="s">
        <v>84</v>
      </c>
      <c r="K1342" s="2" t="s">
        <v>85</v>
      </c>
      <c r="L1342" s="2" t="s">
        <v>2817</v>
      </c>
      <c r="M1342" s="2" t="s">
        <v>73</v>
      </c>
      <c r="N1342" s="2" t="s">
        <v>88</v>
      </c>
      <c r="O1342" s="2">
        <v>18</v>
      </c>
      <c r="P1342" s="2">
        <v>17</v>
      </c>
      <c r="Q1342" s="4">
        <v>9310</v>
      </c>
      <c r="R1342" s="4">
        <v>9180</v>
      </c>
      <c r="S1342" s="4">
        <v>279</v>
      </c>
      <c r="T1342" s="19">
        <f>(ProductionData[[#This Row],[Rejected_Qty]])/ProductionData[[#This Row],[Produced_Qty]]</f>
        <v>3.0392156862745098E-2</v>
      </c>
      <c r="U1342" s="19">
        <f>ProductionData[[#This Row],[Produced_Qty]]/ProductionData[[#This Row],[Planned_Qty]]</f>
        <v>0.9860365198711063</v>
      </c>
      <c r="V1342" s="2" t="s">
        <v>89</v>
      </c>
      <c r="W1342" s="11">
        <v>25</v>
      </c>
      <c r="X1342" s="13">
        <f>W1342/60</f>
        <v>0.41666666666666669</v>
      </c>
      <c r="Y1342" s="2" t="s">
        <v>76</v>
      </c>
      <c r="Z1342" s="2">
        <v>18</v>
      </c>
      <c r="AA1342" s="2">
        <f>ProductionData[[#This Row],[Rejected_Qty]]*ProductionData[[#This Row],[Unit_Cost_INR]]</f>
        <v>5022</v>
      </c>
      <c r="AB1342" s="4">
        <v>42789</v>
      </c>
      <c r="AC1342" s="4">
        <v>7690</v>
      </c>
      <c r="AD1342" s="4">
        <v>7690</v>
      </c>
      <c r="AE1342" s="4">
        <v>44000</v>
      </c>
      <c r="AF1342" s="4">
        <v>15000</v>
      </c>
    </row>
    <row r="1343" spans="1:32">
      <c r="A1343" s="2" t="s">
        <v>2818</v>
      </c>
      <c r="B1343" s="3">
        <v>46240</v>
      </c>
      <c r="C1343" s="36" t="s">
        <v>2816</v>
      </c>
      <c r="D1343" s="2">
        <f>MONTH(ProductionData[[#This Row],[Month]])</f>
        <v>8</v>
      </c>
      <c r="E1343" s="2" t="s">
        <v>107</v>
      </c>
      <c r="F1343" s="2" t="s">
        <v>66</v>
      </c>
      <c r="G1343" s="2" t="s">
        <v>81</v>
      </c>
      <c r="H1343" s="2" t="s">
        <v>82</v>
      </c>
      <c r="I1343" s="2" t="s">
        <v>83</v>
      </c>
      <c r="J1343" s="2" t="s">
        <v>84</v>
      </c>
      <c r="K1343" s="2" t="s">
        <v>85</v>
      </c>
      <c r="L1343" s="2" t="s">
        <v>2819</v>
      </c>
      <c r="M1343" s="2" t="s">
        <v>99</v>
      </c>
      <c r="N1343" s="2" t="s">
        <v>96</v>
      </c>
      <c r="O1343" s="2">
        <v>18</v>
      </c>
      <c r="P1343" s="2">
        <v>17</v>
      </c>
      <c r="Q1343" s="4">
        <v>10640</v>
      </c>
      <c r="R1343" s="4">
        <v>10710</v>
      </c>
      <c r="S1343" s="4">
        <v>250</v>
      </c>
      <c r="T1343" s="19">
        <f>(ProductionData[[#This Row],[Rejected_Qty]])/ProductionData[[#This Row],[Produced_Qty]]</f>
        <v>2.3342670401493931E-2</v>
      </c>
      <c r="U1343" s="19">
        <f>ProductionData[[#This Row],[Produced_Qty]]/ProductionData[[#This Row],[Planned_Qty]]</f>
        <v>1.006578947368421</v>
      </c>
      <c r="V1343" s="2" t="s">
        <v>75</v>
      </c>
      <c r="W1343" s="11">
        <v>0</v>
      </c>
      <c r="X1343" s="13">
        <f>W1343/60</f>
        <v>0</v>
      </c>
      <c r="Y1343" s="2" t="s">
        <v>90</v>
      </c>
      <c r="Z1343" s="2">
        <v>18</v>
      </c>
      <c r="AA1343" s="2">
        <f>ProductionData[[#This Row],[Rejected_Qty]]*ProductionData[[#This Row],[Unit_Cost_INR]]</f>
        <v>4500</v>
      </c>
      <c r="AB1343" s="4">
        <v>42450</v>
      </c>
      <c r="AC1343" s="4">
        <v>8960</v>
      </c>
      <c r="AD1343" s="4">
        <v>8960</v>
      </c>
      <c r="AE1343" s="4">
        <v>43950</v>
      </c>
      <c r="AF1343" s="4">
        <v>15000</v>
      </c>
    </row>
    <row r="1344" spans="1:32">
      <c r="A1344" s="2" t="s">
        <v>2820</v>
      </c>
      <c r="B1344" s="3">
        <v>46240</v>
      </c>
      <c r="C1344" s="36" t="s">
        <v>2816</v>
      </c>
      <c r="D1344" s="2">
        <f>MONTH(ProductionData[[#This Row],[Month]])</f>
        <v>8</v>
      </c>
      <c r="E1344" s="2" t="s">
        <v>107</v>
      </c>
      <c r="F1344" s="2" t="s">
        <v>80</v>
      </c>
      <c r="G1344" s="2" t="s">
        <v>81</v>
      </c>
      <c r="H1344" s="2" t="s">
        <v>82</v>
      </c>
      <c r="I1344" s="2" t="s">
        <v>83</v>
      </c>
      <c r="J1344" s="2" t="s">
        <v>84</v>
      </c>
      <c r="K1344" s="2" t="s">
        <v>85</v>
      </c>
      <c r="L1344" s="2" t="s">
        <v>2821</v>
      </c>
      <c r="M1344" s="2" t="s">
        <v>87</v>
      </c>
      <c r="N1344" s="2" t="s">
        <v>88</v>
      </c>
      <c r="O1344" s="2">
        <v>18</v>
      </c>
      <c r="P1344" s="2">
        <v>17</v>
      </c>
      <c r="Q1344" s="4">
        <v>9720</v>
      </c>
      <c r="R1344" s="4">
        <v>9250</v>
      </c>
      <c r="S1344" s="4">
        <v>405</v>
      </c>
      <c r="T1344" s="19">
        <f>(ProductionData[[#This Row],[Rejected_Qty]])/ProductionData[[#This Row],[Produced_Qty]]</f>
        <v>4.3783783783783781E-2</v>
      </c>
      <c r="U1344" s="19">
        <f>ProductionData[[#This Row],[Produced_Qty]]/ProductionData[[#This Row],[Planned_Qty]]</f>
        <v>0.95164609053497939</v>
      </c>
      <c r="V1344" s="2" t="s">
        <v>89</v>
      </c>
      <c r="W1344" s="11">
        <v>39</v>
      </c>
      <c r="X1344" s="13">
        <f>W1344/60</f>
        <v>0.65</v>
      </c>
      <c r="Y1344" s="2" t="s">
        <v>182</v>
      </c>
      <c r="Z1344" s="2">
        <v>18</v>
      </c>
      <c r="AA1344" s="2">
        <f>ProductionData[[#This Row],[Rejected_Qty]]*ProductionData[[#This Row],[Unit_Cost_INR]]</f>
        <v>7290</v>
      </c>
      <c r="AB1344" s="4">
        <v>43950</v>
      </c>
      <c r="AC1344" s="4">
        <v>9410</v>
      </c>
      <c r="AD1344" s="4">
        <v>9410</v>
      </c>
      <c r="AE1344" s="4">
        <v>43385</v>
      </c>
      <c r="AF1344" s="4">
        <v>15000</v>
      </c>
    </row>
    <row r="1345" spans="1:32">
      <c r="A1345" s="2" t="s">
        <v>2822</v>
      </c>
      <c r="B1345" s="3">
        <v>46245</v>
      </c>
      <c r="C1345" s="36" t="s">
        <v>2816</v>
      </c>
      <c r="D1345" s="2">
        <f>MONTH(ProductionData[[#This Row],[Month]])</f>
        <v>8</v>
      </c>
      <c r="E1345" s="2" t="s">
        <v>92</v>
      </c>
      <c r="F1345" s="2" t="s">
        <v>93</v>
      </c>
      <c r="G1345" s="2" t="s">
        <v>81</v>
      </c>
      <c r="H1345" s="2" t="s">
        <v>82</v>
      </c>
      <c r="I1345" s="2" t="s">
        <v>83</v>
      </c>
      <c r="J1345" s="2" t="s">
        <v>84</v>
      </c>
      <c r="K1345" s="2" t="s">
        <v>85</v>
      </c>
      <c r="L1345" s="2" t="s">
        <v>2823</v>
      </c>
      <c r="M1345" s="2" t="s">
        <v>95</v>
      </c>
      <c r="N1345" s="2" t="s">
        <v>88</v>
      </c>
      <c r="O1345" s="2">
        <v>18</v>
      </c>
      <c r="P1345" s="2">
        <v>16</v>
      </c>
      <c r="Q1345" s="4">
        <v>9940</v>
      </c>
      <c r="R1345" s="4">
        <v>9430</v>
      </c>
      <c r="S1345" s="4">
        <v>257</v>
      </c>
      <c r="T1345" s="19">
        <f>(ProductionData[[#This Row],[Rejected_Qty]])/ProductionData[[#This Row],[Produced_Qty]]</f>
        <v>2.7253446447507955E-2</v>
      </c>
      <c r="U1345" s="19">
        <f>ProductionData[[#This Row],[Produced_Qty]]/ProductionData[[#This Row],[Planned_Qty]]</f>
        <v>0.94869215291750508</v>
      </c>
      <c r="V1345" s="2" t="s">
        <v>75</v>
      </c>
      <c r="W1345" s="11">
        <v>44</v>
      </c>
      <c r="X1345" s="13">
        <f>W1345/60</f>
        <v>0.73333333333333328</v>
      </c>
      <c r="Y1345" s="2" t="s">
        <v>110</v>
      </c>
      <c r="Z1345" s="2">
        <v>18</v>
      </c>
      <c r="AA1345" s="2">
        <f>ProductionData[[#This Row],[Rejected_Qty]]*ProductionData[[#This Row],[Unit_Cost_INR]]</f>
        <v>4626</v>
      </c>
      <c r="AB1345" s="4">
        <v>44000</v>
      </c>
      <c r="AC1345" s="4">
        <v>10150</v>
      </c>
      <c r="AD1345" s="4">
        <v>10150</v>
      </c>
      <c r="AE1345" s="4">
        <v>43023</v>
      </c>
      <c r="AF1345" s="4">
        <v>15000</v>
      </c>
    </row>
    <row r="1346" spans="1:32">
      <c r="A1346" s="2" t="s">
        <v>2824</v>
      </c>
      <c r="B1346" s="3">
        <v>46240</v>
      </c>
      <c r="C1346" s="36" t="s">
        <v>2816</v>
      </c>
      <c r="D1346" s="2">
        <f>MONTH(ProductionData[[#This Row],[Month]])</f>
        <v>8</v>
      </c>
      <c r="E1346" s="2" t="s">
        <v>107</v>
      </c>
      <c r="F1346" s="2" t="s">
        <v>93</v>
      </c>
      <c r="G1346" s="2" t="s">
        <v>81</v>
      </c>
      <c r="H1346" s="2" t="s">
        <v>82</v>
      </c>
      <c r="I1346" s="2" t="s">
        <v>83</v>
      </c>
      <c r="J1346" s="2" t="s">
        <v>84</v>
      </c>
      <c r="K1346" s="2" t="s">
        <v>85</v>
      </c>
      <c r="L1346" s="2" t="s">
        <v>2825</v>
      </c>
      <c r="M1346" s="2" t="s">
        <v>133</v>
      </c>
      <c r="N1346" s="2" t="s">
        <v>96</v>
      </c>
      <c r="O1346" s="2">
        <v>18</v>
      </c>
      <c r="P1346" s="2">
        <v>18</v>
      </c>
      <c r="Q1346" s="4">
        <v>8810</v>
      </c>
      <c r="R1346" s="4">
        <v>8040</v>
      </c>
      <c r="S1346" s="4">
        <v>171</v>
      </c>
      <c r="T1346" s="19">
        <f>(ProductionData[[#This Row],[Rejected_Qty]])/ProductionData[[#This Row],[Produced_Qty]]</f>
        <v>2.1268656716417911E-2</v>
      </c>
      <c r="U1346" s="19">
        <f>ProductionData[[#This Row],[Produced_Qty]]/ProductionData[[#This Row],[Planned_Qty]]</f>
        <v>0.9125993189557321</v>
      </c>
      <c r="V1346" s="2" t="s">
        <v>89</v>
      </c>
      <c r="W1346" s="11">
        <v>0</v>
      </c>
      <c r="X1346" s="13">
        <f>W1346/60</f>
        <v>0</v>
      </c>
      <c r="Y1346" s="2" t="s">
        <v>90</v>
      </c>
      <c r="Z1346" s="2">
        <v>18</v>
      </c>
      <c r="AA1346" s="2">
        <f>ProductionData[[#This Row],[Rejected_Qty]]*ProductionData[[#This Row],[Unit_Cost_INR]]</f>
        <v>3078</v>
      </c>
      <c r="AB1346" s="4">
        <v>43385</v>
      </c>
      <c r="AC1346" s="4">
        <v>8400</v>
      </c>
      <c r="AD1346" s="4">
        <v>8400</v>
      </c>
      <c r="AE1346" s="4">
        <v>42854</v>
      </c>
      <c r="AF1346" s="4">
        <v>15000</v>
      </c>
    </row>
    <row r="1347" spans="1:32">
      <c r="A1347" s="2" t="s">
        <v>2826</v>
      </c>
      <c r="B1347" s="3">
        <v>46244</v>
      </c>
      <c r="C1347" s="36" t="s">
        <v>2816</v>
      </c>
      <c r="D1347" s="2">
        <f>MONTH(ProductionData[[#This Row],[Month]])</f>
        <v>8</v>
      </c>
      <c r="E1347" s="2" t="s">
        <v>116</v>
      </c>
      <c r="F1347" s="2" t="s">
        <v>80</v>
      </c>
      <c r="G1347" s="2" t="s">
        <v>81</v>
      </c>
      <c r="H1347" s="2" t="s">
        <v>82</v>
      </c>
      <c r="I1347" s="2" t="s">
        <v>83</v>
      </c>
      <c r="J1347" s="2" t="s">
        <v>84</v>
      </c>
      <c r="K1347" s="2" t="s">
        <v>85</v>
      </c>
      <c r="L1347" s="2" t="s">
        <v>2827</v>
      </c>
      <c r="M1347" s="2" t="s">
        <v>87</v>
      </c>
      <c r="N1347" s="2" t="s">
        <v>88</v>
      </c>
      <c r="O1347" s="2">
        <v>18</v>
      </c>
      <c r="P1347" s="2">
        <v>17</v>
      </c>
      <c r="Q1347" s="4">
        <v>10310</v>
      </c>
      <c r="R1347" s="4">
        <v>9930</v>
      </c>
      <c r="S1347" s="4">
        <v>311</v>
      </c>
      <c r="T1347" s="19">
        <f>(ProductionData[[#This Row],[Rejected_Qty]])/ProductionData[[#This Row],[Produced_Qty]]</f>
        <v>3.131923464249748E-2</v>
      </c>
      <c r="U1347" s="19">
        <f>ProductionData[[#This Row],[Produced_Qty]]/ProductionData[[#This Row],[Planned_Qty]]</f>
        <v>0.96314258001939868</v>
      </c>
      <c r="V1347" s="2" t="s">
        <v>89</v>
      </c>
      <c r="W1347" s="11">
        <v>45</v>
      </c>
      <c r="X1347" s="13">
        <f>W1347/60</f>
        <v>0.75</v>
      </c>
      <c r="Y1347" s="2" t="s">
        <v>76</v>
      </c>
      <c r="Z1347" s="2">
        <v>18</v>
      </c>
      <c r="AA1347" s="2">
        <f>ProductionData[[#This Row],[Rejected_Qty]]*ProductionData[[#This Row],[Unit_Cost_INR]]</f>
        <v>5598</v>
      </c>
      <c r="AB1347" s="4">
        <v>41930</v>
      </c>
      <c r="AC1347" s="4">
        <v>8760</v>
      </c>
      <c r="AD1347" s="4">
        <v>8760</v>
      </c>
      <c r="AE1347" s="4">
        <v>42789</v>
      </c>
      <c r="AF1347" s="4">
        <v>15000</v>
      </c>
    </row>
    <row r="1348" spans="1:32">
      <c r="A1348" s="2" t="s">
        <v>2828</v>
      </c>
      <c r="B1348" s="3">
        <v>46249</v>
      </c>
      <c r="C1348" s="36" t="s">
        <v>2816</v>
      </c>
      <c r="D1348" s="2">
        <f>MONTH(ProductionData[[#This Row],[Month]])</f>
        <v>8</v>
      </c>
      <c r="E1348" s="2" t="s">
        <v>65</v>
      </c>
      <c r="F1348" s="2" t="s">
        <v>66</v>
      </c>
      <c r="G1348" s="2" t="s">
        <v>81</v>
      </c>
      <c r="H1348" s="2" t="s">
        <v>82</v>
      </c>
      <c r="I1348" s="2" t="s">
        <v>83</v>
      </c>
      <c r="J1348" s="2" t="s">
        <v>84</v>
      </c>
      <c r="K1348" s="2" t="s">
        <v>85</v>
      </c>
      <c r="L1348" s="2" t="s">
        <v>2829</v>
      </c>
      <c r="M1348" s="2" t="s">
        <v>99</v>
      </c>
      <c r="N1348" s="2" t="s">
        <v>88</v>
      </c>
      <c r="O1348" s="2">
        <v>18</v>
      </c>
      <c r="P1348" s="2">
        <v>17</v>
      </c>
      <c r="Q1348" s="4">
        <v>9290</v>
      </c>
      <c r="R1348" s="4">
        <v>8370</v>
      </c>
      <c r="S1348" s="4">
        <v>138</v>
      </c>
      <c r="T1348" s="19">
        <f>(ProductionData[[#This Row],[Rejected_Qty]])/ProductionData[[#This Row],[Produced_Qty]]</f>
        <v>1.6487455197132617E-2</v>
      </c>
      <c r="U1348" s="19">
        <f>ProductionData[[#This Row],[Produced_Qty]]/ProductionData[[#This Row],[Planned_Qty]]</f>
        <v>0.90096878363832078</v>
      </c>
      <c r="V1348" s="2" t="s">
        <v>75</v>
      </c>
      <c r="W1348" s="11">
        <v>0</v>
      </c>
      <c r="X1348" s="13">
        <f>W1348/60</f>
        <v>0</v>
      </c>
      <c r="Y1348" s="2" t="s">
        <v>90</v>
      </c>
      <c r="Z1348" s="2">
        <v>18</v>
      </c>
      <c r="AA1348" s="2">
        <f>ProductionData[[#This Row],[Rejected_Qty]]*ProductionData[[#This Row],[Unit_Cost_INR]]</f>
        <v>2484</v>
      </c>
      <c r="AB1348" s="4">
        <v>43023</v>
      </c>
      <c r="AC1348" s="4">
        <v>8650</v>
      </c>
      <c r="AD1348" s="4">
        <v>8650</v>
      </c>
      <c r="AE1348" s="4">
        <v>42605</v>
      </c>
      <c r="AF1348" s="4">
        <v>15000</v>
      </c>
    </row>
    <row r="1349" spans="1:32">
      <c r="A1349" s="2" t="s">
        <v>2830</v>
      </c>
      <c r="B1349" s="3">
        <v>46255</v>
      </c>
      <c r="C1349" s="36" t="s">
        <v>2816</v>
      </c>
      <c r="D1349" s="2">
        <f>MONTH(ProductionData[[#This Row],[Month]])</f>
        <v>8</v>
      </c>
      <c r="E1349" s="2" t="s">
        <v>125</v>
      </c>
      <c r="F1349" s="2" t="s">
        <v>66</v>
      </c>
      <c r="G1349" s="2" t="s">
        <v>81</v>
      </c>
      <c r="H1349" s="2" t="s">
        <v>82</v>
      </c>
      <c r="I1349" s="2" t="s">
        <v>83</v>
      </c>
      <c r="J1349" s="2" t="s">
        <v>84</v>
      </c>
      <c r="K1349" s="2" t="s">
        <v>85</v>
      </c>
      <c r="L1349" s="2" t="s">
        <v>2831</v>
      </c>
      <c r="M1349" s="2" t="s">
        <v>73</v>
      </c>
      <c r="N1349" s="2" t="s">
        <v>88</v>
      </c>
      <c r="O1349" s="2">
        <v>18</v>
      </c>
      <c r="P1349" s="2">
        <v>17</v>
      </c>
      <c r="Q1349" s="4">
        <v>10470</v>
      </c>
      <c r="R1349" s="4">
        <v>9920</v>
      </c>
      <c r="S1349" s="4">
        <v>374</v>
      </c>
      <c r="T1349" s="19">
        <f>(ProductionData[[#This Row],[Rejected_Qty]])/ProductionData[[#This Row],[Produced_Qty]]</f>
        <v>3.7701612903225809E-2</v>
      </c>
      <c r="U1349" s="19">
        <f>ProductionData[[#This Row],[Produced_Qty]]/ProductionData[[#This Row],[Planned_Qty]]</f>
        <v>0.94746895893027694</v>
      </c>
      <c r="V1349" s="2" t="s">
        <v>75</v>
      </c>
      <c r="W1349" s="11">
        <v>0</v>
      </c>
      <c r="X1349" s="13">
        <f>W1349/60</f>
        <v>0</v>
      </c>
      <c r="Y1349" s="2" t="s">
        <v>90</v>
      </c>
      <c r="Z1349" s="2">
        <v>18</v>
      </c>
      <c r="AA1349" s="2">
        <f>ProductionData[[#This Row],[Rejected_Qty]]*ProductionData[[#This Row],[Unit_Cost_INR]]</f>
        <v>6732</v>
      </c>
      <c r="AB1349" s="4">
        <v>41836</v>
      </c>
      <c r="AC1349" s="4">
        <v>8780</v>
      </c>
      <c r="AD1349" s="4">
        <v>8780</v>
      </c>
      <c r="AE1349" s="4">
        <v>42602</v>
      </c>
      <c r="AF1349" s="4">
        <v>15000</v>
      </c>
    </row>
    <row r="1350" spans="1:32">
      <c r="A1350" s="2" t="s">
        <v>2832</v>
      </c>
      <c r="B1350" s="3">
        <v>46241</v>
      </c>
      <c r="C1350" s="36" t="s">
        <v>2816</v>
      </c>
      <c r="D1350" s="2">
        <f>MONTH(ProductionData[[#This Row],[Month]])</f>
        <v>8</v>
      </c>
      <c r="E1350" s="2" t="s">
        <v>125</v>
      </c>
      <c r="F1350" s="2" t="s">
        <v>93</v>
      </c>
      <c r="G1350" s="2" t="s">
        <v>81</v>
      </c>
      <c r="H1350" s="2" t="s">
        <v>82</v>
      </c>
      <c r="I1350" s="2" t="s">
        <v>83</v>
      </c>
      <c r="J1350" s="2" t="s">
        <v>84</v>
      </c>
      <c r="K1350" s="2" t="s">
        <v>85</v>
      </c>
      <c r="L1350" s="2" t="s">
        <v>2833</v>
      </c>
      <c r="M1350" s="2" t="s">
        <v>95</v>
      </c>
      <c r="N1350" s="2" t="s">
        <v>88</v>
      </c>
      <c r="O1350" s="2">
        <v>18</v>
      </c>
      <c r="P1350" s="2">
        <v>14</v>
      </c>
      <c r="Q1350" s="4">
        <v>9420</v>
      </c>
      <c r="R1350" s="4">
        <v>8000</v>
      </c>
      <c r="S1350" s="4">
        <v>191</v>
      </c>
      <c r="T1350" s="19">
        <f>(ProductionData[[#This Row],[Rejected_Qty]])/ProductionData[[#This Row],[Produced_Qty]]</f>
        <v>2.3875E-2</v>
      </c>
      <c r="U1350" s="19">
        <f>ProductionData[[#This Row],[Produced_Qty]]/ProductionData[[#This Row],[Planned_Qty]]</f>
        <v>0.84925690021231426</v>
      </c>
      <c r="V1350" s="2" t="s">
        <v>75</v>
      </c>
      <c r="W1350" s="11">
        <v>0</v>
      </c>
      <c r="X1350" s="13">
        <f>W1350/60</f>
        <v>0</v>
      </c>
      <c r="Y1350" s="2" t="s">
        <v>90</v>
      </c>
      <c r="Z1350" s="2">
        <v>18</v>
      </c>
      <c r="AA1350" s="2">
        <f>ProductionData[[#This Row],[Rejected_Qty]]*ProductionData[[#This Row],[Unit_Cost_INR]]</f>
        <v>3438</v>
      </c>
      <c r="AB1350" s="4">
        <v>42854</v>
      </c>
      <c r="AC1350" s="4">
        <v>8170</v>
      </c>
      <c r="AD1350" s="4">
        <v>8170</v>
      </c>
      <c r="AE1350" s="4">
        <v>42493</v>
      </c>
      <c r="AF1350" s="4">
        <v>15000</v>
      </c>
    </row>
    <row r="1351" spans="1:32">
      <c r="A1351" s="2" t="s">
        <v>2834</v>
      </c>
      <c r="B1351" s="3">
        <v>46255</v>
      </c>
      <c r="C1351" s="36" t="s">
        <v>2816</v>
      </c>
      <c r="D1351" s="2">
        <f>MONTH(ProductionData[[#This Row],[Month]])</f>
        <v>8</v>
      </c>
      <c r="E1351" s="2" t="s">
        <v>125</v>
      </c>
      <c r="F1351" s="2" t="s">
        <v>80</v>
      </c>
      <c r="G1351" s="2" t="s">
        <v>81</v>
      </c>
      <c r="H1351" s="2" t="s">
        <v>82</v>
      </c>
      <c r="I1351" s="2" t="s">
        <v>83</v>
      </c>
      <c r="J1351" s="2" t="s">
        <v>84</v>
      </c>
      <c r="K1351" s="2" t="s">
        <v>85</v>
      </c>
      <c r="L1351" s="2" t="s">
        <v>2835</v>
      </c>
      <c r="M1351" s="2" t="s">
        <v>102</v>
      </c>
      <c r="N1351" s="2" t="s">
        <v>96</v>
      </c>
      <c r="O1351" s="2">
        <v>18</v>
      </c>
      <c r="P1351" s="2">
        <v>17</v>
      </c>
      <c r="Q1351" s="4">
        <v>9610</v>
      </c>
      <c r="R1351" s="4">
        <v>8730</v>
      </c>
      <c r="S1351" s="4">
        <v>242</v>
      </c>
      <c r="T1351" s="19">
        <f>(ProductionData[[#This Row],[Rejected_Qty]])/ProductionData[[#This Row],[Produced_Qty]]</f>
        <v>2.7720504009163802E-2</v>
      </c>
      <c r="U1351" s="19">
        <f>ProductionData[[#This Row],[Produced_Qty]]/ProductionData[[#This Row],[Planned_Qty]]</f>
        <v>0.9084287200832466</v>
      </c>
      <c r="V1351" s="2" t="s">
        <v>103</v>
      </c>
      <c r="W1351" s="11">
        <v>0</v>
      </c>
      <c r="X1351" s="13">
        <f>W1351/60</f>
        <v>0</v>
      </c>
      <c r="Y1351" s="2" t="s">
        <v>90</v>
      </c>
      <c r="Z1351" s="2">
        <v>18</v>
      </c>
      <c r="AA1351" s="2">
        <f>ProductionData[[#This Row],[Rejected_Qty]]*ProductionData[[#This Row],[Unit_Cost_INR]]</f>
        <v>4356</v>
      </c>
      <c r="AB1351" s="4">
        <v>42602</v>
      </c>
      <c r="AC1351" s="4">
        <v>8610</v>
      </c>
      <c r="AD1351" s="4">
        <v>8610</v>
      </c>
      <c r="AE1351" s="4">
        <v>42480</v>
      </c>
      <c r="AF1351" s="4">
        <v>15000</v>
      </c>
    </row>
    <row r="1352" spans="1:32">
      <c r="A1352" s="2" t="s">
        <v>2836</v>
      </c>
      <c r="B1352" s="3">
        <v>46239</v>
      </c>
      <c r="C1352" s="36" t="s">
        <v>2816</v>
      </c>
      <c r="D1352" s="2">
        <f>MONTH(ProductionData[[#This Row],[Month]])</f>
        <v>8</v>
      </c>
      <c r="E1352" s="2" t="s">
        <v>79</v>
      </c>
      <c r="F1352" s="2" t="s">
        <v>93</v>
      </c>
      <c r="G1352" s="2" t="s">
        <v>81</v>
      </c>
      <c r="H1352" s="2" t="s">
        <v>82</v>
      </c>
      <c r="I1352" s="2" t="s">
        <v>83</v>
      </c>
      <c r="J1352" s="2" t="s">
        <v>84</v>
      </c>
      <c r="K1352" s="2" t="s">
        <v>85</v>
      </c>
      <c r="L1352" s="2" t="s">
        <v>2837</v>
      </c>
      <c r="M1352" s="2" t="s">
        <v>95</v>
      </c>
      <c r="N1352" s="2" t="s">
        <v>96</v>
      </c>
      <c r="O1352" s="2">
        <v>18</v>
      </c>
      <c r="P1352" s="2">
        <v>17</v>
      </c>
      <c r="Q1352" s="4">
        <v>9020</v>
      </c>
      <c r="R1352" s="4">
        <v>8950</v>
      </c>
      <c r="S1352" s="4">
        <v>135</v>
      </c>
      <c r="T1352" s="19">
        <f>(ProductionData[[#This Row],[Rejected_Qty]])/ProductionData[[#This Row],[Produced_Qty]]</f>
        <v>1.5083798882681564E-2</v>
      </c>
      <c r="U1352" s="19">
        <f>ProductionData[[#This Row],[Produced_Qty]]/ProductionData[[#This Row],[Planned_Qty]]</f>
        <v>0.9922394678492239</v>
      </c>
      <c r="V1352" s="2" t="s">
        <v>109</v>
      </c>
      <c r="W1352" s="11">
        <v>0</v>
      </c>
      <c r="X1352" s="13">
        <f>W1352/60</f>
        <v>0</v>
      </c>
      <c r="Y1352" s="2" t="s">
        <v>90</v>
      </c>
      <c r="Z1352" s="2">
        <v>18</v>
      </c>
      <c r="AA1352" s="2">
        <f>ProductionData[[#This Row],[Rejected_Qty]]*ProductionData[[#This Row],[Unit_Cost_INR]]</f>
        <v>2430</v>
      </c>
      <c r="AB1352" s="4">
        <v>41625</v>
      </c>
      <c r="AC1352" s="4">
        <v>7990</v>
      </c>
      <c r="AD1352" s="4">
        <v>7990</v>
      </c>
      <c r="AE1352" s="4">
        <v>42450</v>
      </c>
      <c r="AF1352" s="4">
        <v>15000</v>
      </c>
    </row>
    <row r="1353" spans="1:32">
      <c r="A1353" s="2" t="s">
        <v>2838</v>
      </c>
      <c r="B1353" s="3">
        <v>46242</v>
      </c>
      <c r="C1353" s="36" t="s">
        <v>2816</v>
      </c>
      <c r="D1353" s="2">
        <f>MONTH(ProductionData[[#This Row],[Month]])</f>
        <v>8</v>
      </c>
      <c r="E1353" s="2" t="s">
        <v>65</v>
      </c>
      <c r="F1353" s="2" t="s">
        <v>80</v>
      </c>
      <c r="G1353" s="2" t="s">
        <v>81</v>
      </c>
      <c r="H1353" s="2" t="s">
        <v>82</v>
      </c>
      <c r="I1353" s="2" t="s">
        <v>83</v>
      </c>
      <c r="J1353" s="2" t="s">
        <v>84</v>
      </c>
      <c r="K1353" s="2" t="s">
        <v>85</v>
      </c>
      <c r="L1353" s="2" t="s">
        <v>2839</v>
      </c>
      <c r="M1353" s="2" t="s">
        <v>102</v>
      </c>
      <c r="N1353" s="2" t="s">
        <v>88</v>
      </c>
      <c r="O1353" s="2">
        <v>18</v>
      </c>
      <c r="P1353" s="2">
        <v>17</v>
      </c>
      <c r="Q1353" s="4">
        <v>9810</v>
      </c>
      <c r="R1353" s="4">
        <v>9190</v>
      </c>
      <c r="S1353" s="4">
        <v>363</v>
      </c>
      <c r="T1353" s="19">
        <f>(ProductionData[[#This Row],[Rejected_Qty]])/ProductionData[[#This Row],[Produced_Qty]]</f>
        <v>3.9499455930359084E-2</v>
      </c>
      <c r="U1353" s="19">
        <f>ProductionData[[#This Row],[Produced_Qty]]/ProductionData[[#This Row],[Planned_Qty]]</f>
        <v>0.93679918450560651</v>
      </c>
      <c r="V1353" s="2" t="s">
        <v>103</v>
      </c>
      <c r="W1353" s="11">
        <v>55</v>
      </c>
      <c r="X1353" s="13">
        <f>W1353/60</f>
        <v>0.91666666666666663</v>
      </c>
      <c r="Y1353" s="2" t="s">
        <v>114</v>
      </c>
      <c r="Z1353" s="2">
        <v>18</v>
      </c>
      <c r="AA1353" s="2">
        <f>ProductionData[[#This Row],[Rejected_Qty]]*ProductionData[[#This Row],[Unit_Cost_INR]]</f>
        <v>6534</v>
      </c>
      <c r="AB1353" s="4">
        <v>42493</v>
      </c>
      <c r="AC1353" s="4">
        <v>9390</v>
      </c>
      <c r="AD1353" s="4">
        <v>9390</v>
      </c>
      <c r="AE1353" s="4">
        <v>41930</v>
      </c>
      <c r="AF1353" s="4">
        <v>15000</v>
      </c>
    </row>
    <row r="1354" spans="1:32">
      <c r="A1354" s="2" t="s">
        <v>2840</v>
      </c>
      <c r="B1354" s="3">
        <v>46265</v>
      </c>
      <c r="C1354" s="36" t="s">
        <v>2816</v>
      </c>
      <c r="D1354" s="2">
        <f>MONTH(ProductionData[[#This Row],[Month]])</f>
        <v>8</v>
      </c>
      <c r="E1354" s="2" t="s">
        <v>116</v>
      </c>
      <c r="F1354" s="2" t="s">
        <v>66</v>
      </c>
      <c r="G1354" s="2" t="s">
        <v>195</v>
      </c>
      <c r="H1354" s="2" t="s">
        <v>196</v>
      </c>
      <c r="I1354" s="2" t="s">
        <v>197</v>
      </c>
      <c r="J1354" s="2" t="s">
        <v>198</v>
      </c>
      <c r="K1354" s="2" t="s">
        <v>199</v>
      </c>
      <c r="L1354" s="2" t="s">
        <v>2841</v>
      </c>
      <c r="M1354" s="2" t="s">
        <v>73</v>
      </c>
      <c r="N1354" s="2" t="s">
        <v>96</v>
      </c>
      <c r="O1354" s="2">
        <v>14</v>
      </c>
      <c r="P1354" s="2">
        <v>14</v>
      </c>
      <c r="Q1354" s="4">
        <v>7050</v>
      </c>
      <c r="R1354" s="4">
        <v>6770</v>
      </c>
      <c r="S1354" s="4">
        <v>39</v>
      </c>
      <c r="T1354" s="19">
        <f>(ProductionData[[#This Row],[Rejected_Qty]])/ProductionData[[#This Row],[Produced_Qty]]</f>
        <v>5.7607090103397344E-3</v>
      </c>
      <c r="U1354" s="19">
        <f>ProductionData[[#This Row],[Produced_Qty]]/ProductionData[[#This Row],[Planned_Qty]]</f>
        <v>0.96028368794326247</v>
      </c>
      <c r="V1354" s="2" t="s">
        <v>89</v>
      </c>
      <c r="W1354" s="11">
        <v>44</v>
      </c>
      <c r="X1354" s="13">
        <f>W1354/60</f>
        <v>0.73333333333333328</v>
      </c>
      <c r="Y1354" s="2" t="s">
        <v>110</v>
      </c>
      <c r="Z1354" s="2">
        <v>38</v>
      </c>
      <c r="AA1354" s="2">
        <f>ProductionData[[#This Row],[Rejected_Qty]]*ProductionData[[#This Row],[Unit_Cost_INR]]</f>
        <v>1482</v>
      </c>
      <c r="AB1354" s="4">
        <v>41301</v>
      </c>
      <c r="AC1354" s="4">
        <v>6180</v>
      </c>
      <c r="AD1354" s="4">
        <v>6180</v>
      </c>
      <c r="AE1354" s="4">
        <v>41852</v>
      </c>
      <c r="AF1354" s="4">
        <v>13500</v>
      </c>
    </row>
    <row r="1355" spans="1:32">
      <c r="A1355" s="2" t="s">
        <v>2842</v>
      </c>
      <c r="B1355" s="3">
        <v>46251</v>
      </c>
      <c r="C1355" s="36" t="s">
        <v>2816</v>
      </c>
      <c r="D1355" s="2">
        <f>MONTH(ProductionData[[#This Row],[Month]])</f>
        <v>8</v>
      </c>
      <c r="E1355" s="2" t="s">
        <v>116</v>
      </c>
      <c r="F1355" s="2" t="s">
        <v>93</v>
      </c>
      <c r="G1355" s="2" t="s">
        <v>81</v>
      </c>
      <c r="H1355" s="2" t="s">
        <v>82</v>
      </c>
      <c r="I1355" s="2" t="s">
        <v>83</v>
      </c>
      <c r="J1355" s="2" t="s">
        <v>84</v>
      </c>
      <c r="K1355" s="2" t="s">
        <v>85</v>
      </c>
      <c r="L1355" s="2" t="s">
        <v>2843</v>
      </c>
      <c r="M1355" s="2" t="s">
        <v>133</v>
      </c>
      <c r="N1355" s="2" t="s">
        <v>96</v>
      </c>
      <c r="O1355" s="2">
        <v>18</v>
      </c>
      <c r="P1355" s="2">
        <v>15</v>
      </c>
      <c r="Q1355" s="4">
        <v>9340</v>
      </c>
      <c r="R1355" s="4">
        <v>8440</v>
      </c>
      <c r="S1355" s="4">
        <v>269</v>
      </c>
      <c r="T1355" s="19">
        <f>(ProductionData[[#This Row],[Rejected_Qty]])/ProductionData[[#This Row],[Produced_Qty]]</f>
        <v>3.1872037914691946E-2</v>
      </c>
      <c r="U1355" s="19">
        <f>ProductionData[[#This Row],[Produced_Qty]]/ProductionData[[#This Row],[Planned_Qty]]</f>
        <v>0.90364025695931482</v>
      </c>
      <c r="V1355" s="2" t="s">
        <v>103</v>
      </c>
      <c r="W1355" s="11">
        <v>40</v>
      </c>
      <c r="X1355" s="13">
        <f>W1355/60</f>
        <v>0.66666666666666663</v>
      </c>
      <c r="Y1355" s="2" t="s">
        <v>76</v>
      </c>
      <c r="Z1355" s="2">
        <v>18</v>
      </c>
      <c r="AA1355" s="2">
        <f>ProductionData[[#This Row],[Rejected_Qty]]*ProductionData[[#This Row],[Unit_Cost_INR]]</f>
        <v>4842</v>
      </c>
      <c r="AB1355" s="4">
        <v>42605</v>
      </c>
      <c r="AC1355" s="4">
        <v>8940</v>
      </c>
      <c r="AD1355" s="4">
        <v>8940</v>
      </c>
      <c r="AE1355" s="4">
        <v>41836</v>
      </c>
      <c r="AF1355" s="4">
        <v>15000</v>
      </c>
    </row>
    <row r="1356" spans="1:32">
      <c r="A1356" s="2" t="s">
        <v>2844</v>
      </c>
      <c r="B1356" s="3">
        <v>46235</v>
      </c>
      <c r="C1356" s="36" t="s">
        <v>2816</v>
      </c>
      <c r="D1356" s="2">
        <f>MONTH(ProductionData[[#This Row],[Month]])</f>
        <v>8</v>
      </c>
      <c r="E1356" s="2" t="s">
        <v>65</v>
      </c>
      <c r="F1356" s="2" t="s">
        <v>66</v>
      </c>
      <c r="G1356" s="2" t="s">
        <v>81</v>
      </c>
      <c r="H1356" s="2" t="s">
        <v>82</v>
      </c>
      <c r="I1356" s="2" t="s">
        <v>83</v>
      </c>
      <c r="J1356" s="2" t="s">
        <v>84</v>
      </c>
      <c r="K1356" s="2" t="s">
        <v>85</v>
      </c>
      <c r="L1356" s="2" t="s">
        <v>2845</v>
      </c>
      <c r="M1356" s="2" t="s">
        <v>73</v>
      </c>
      <c r="N1356" s="2" t="s">
        <v>88</v>
      </c>
      <c r="O1356" s="2">
        <v>18</v>
      </c>
      <c r="P1356" s="2">
        <v>18</v>
      </c>
      <c r="Q1356" s="4">
        <v>10110</v>
      </c>
      <c r="R1356" s="4">
        <v>9290</v>
      </c>
      <c r="S1356" s="4">
        <v>215</v>
      </c>
      <c r="T1356" s="19">
        <f>(ProductionData[[#This Row],[Rejected_Qty]])/ProductionData[[#This Row],[Produced_Qty]]</f>
        <v>2.3143164693218515E-2</v>
      </c>
      <c r="U1356" s="19">
        <f>ProductionData[[#This Row],[Produced_Qty]]/ProductionData[[#This Row],[Planned_Qty]]</f>
        <v>0.91889218595450051</v>
      </c>
      <c r="V1356" s="2" t="s">
        <v>75</v>
      </c>
      <c r="W1356" s="11">
        <v>0</v>
      </c>
      <c r="X1356" s="13">
        <f>W1356/60</f>
        <v>0</v>
      </c>
      <c r="Y1356" s="2" t="s">
        <v>90</v>
      </c>
      <c r="Z1356" s="2">
        <v>18</v>
      </c>
      <c r="AA1356" s="2">
        <f>ProductionData[[#This Row],[Rejected_Qty]]*ProductionData[[#This Row],[Unit_Cost_INR]]</f>
        <v>3870</v>
      </c>
      <c r="AB1356" s="4">
        <v>42042</v>
      </c>
      <c r="AC1356" s="4">
        <v>9290</v>
      </c>
      <c r="AD1356" s="4">
        <v>9290</v>
      </c>
      <c r="AE1356" s="4">
        <v>41827</v>
      </c>
      <c r="AF1356" s="4">
        <v>15000</v>
      </c>
    </row>
    <row r="1357" spans="1:32">
      <c r="A1357" s="2" t="s">
        <v>2846</v>
      </c>
      <c r="B1357" s="3">
        <v>46237</v>
      </c>
      <c r="C1357" s="36" t="s">
        <v>2816</v>
      </c>
      <c r="D1357" s="2">
        <f>MONTH(ProductionData[[#This Row],[Month]])</f>
        <v>8</v>
      </c>
      <c r="E1357" s="2" t="s">
        <v>116</v>
      </c>
      <c r="F1357" s="2" t="s">
        <v>80</v>
      </c>
      <c r="G1357" s="2" t="s">
        <v>81</v>
      </c>
      <c r="H1357" s="2" t="s">
        <v>82</v>
      </c>
      <c r="I1357" s="2" t="s">
        <v>83</v>
      </c>
      <c r="J1357" s="2" t="s">
        <v>84</v>
      </c>
      <c r="K1357" s="2" t="s">
        <v>85</v>
      </c>
      <c r="L1357" s="2" t="s">
        <v>2847</v>
      </c>
      <c r="M1357" s="2" t="s">
        <v>102</v>
      </c>
      <c r="N1357" s="2" t="s">
        <v>88</v>
      </c>
      <c r="O1357" s="2">
        <v>18</v>
      </c>
      <c r="P1357" s="2">
        <v>18</v>
      </c>
      <c r="Q1357" s="4">
        <v>10770</v>
      </c>
      <c r="R1357" s="4">
        <v>10260</v>
      </c>
      <c r="S1357" s="4">
        <v>212</v>
      </c>
      <c r="T1357" s="19">
        <f>(ProductionData[[#This Row],[Rejected_Qty]])/ProductionData[[#This Row],[Produced_Qty]]</f>
        <v>2.0662768031189084E-2</v>
      </c>
      <c r="U1357" s="19">
        <f>ProductionData[[#This Row],[Produced_Qty]]/ProductionData[[#This Row],[Planned_Qty]]</f>
        <v>0.9526462395543176</v>
      </c>
      <c r="V1357" s="2" t="s">
        <v>113</v>
      </c>
      <c r="W1357" s="11">
        <v>0</v>
      </c>
      <c r="X1357" s="13">
        <f>W1357/60</f>
        <v>0</v>
      </c>
      <c r="Y1357" s="2" t="s">
        <v>90</v>
      </c>
      <c r="Z1357" s="2">
        <v>18</v>
      </c>
      <c r="AA1357" s="2">
        <f>ProductionData[[#This Row],[Rejected_Qty]]*ProductionData[[#This Row],[Unit_Cost_INR]]</f>
        <v>3816</v>
      </c>
      <c r="AB1357" s="4">
        <v>41827</v>
      </c>
      <c r="AC1357" s="4">
        <v>10250</v>
      </c>
      <c r="AD1357" s="4">
        <v>10250</v>
      </c>
      <c r="AE1357" s="4">
        <v>41625</v>
      </c>
      <c r="AF1357" s="4">
        <v>15000</v>
      </c>
    </row>
    <row r="1358" spans="1:32">
      <c r="A1358" s="2" t="s">
        <v>2848</v>
      </c>
      <c r="B1358" s="3">
        <v>46256</v>
      </c>
      <c r="C1358" s="36" t="s">
        <v>2816</v>
      </c>
      <c r="D1358" s="2">
        <f>MONTH(ProductionData[[#This Row],[Month]])</f>
        <v>8</v>
      </c>
      <c r="E1358" s="2" t="s">
        <v>65</v>
      </c>
      <c r="F1358" s="2" t="s">
        <v>80</v>
      </c>
      <c r="G1358" s="2" t="s">
        <v>81</v>
      </c>
      <c r="H1358" s="2" t="s">
        <v>82</v>
      </c>
      <c r="I1358" s="2" t="s">
        <v>83</v>
      </c>
      <c r="J1358" s="2" t="s">
        <v>84</v>
      </c>
      <c r="K1358" s="2" t="s">
        <v>85</v>
      </c>
      <c r="L1358" s="2" t="s">
        <v>2849</v>
      </c>
      <c r="M1358" s="2" t="s">
        <v>87</v>
      </c>
      <c r="N1358" s="2" t="s">
        <v>88</v>
      </c>
      <c r="O1358" s="2">
        <v>18</v>
      </c>
      <c r="P1358" s="2">
        <v>14</v>
      </c>
      <c r="Q1358" s="4">
        <v>10150</v>
      </c>
      <c r="R1358" s="4">
        <v>8900</v>
      </c>
      <c r="S1358" s="4">
        <v>197</v>
      </c>
      <c r="T1358" s="19">
        <f>(ProductionData[[#This Row],[Rejected_Qty]])/ProductionData[[#This Row],[Produced_Qty]]</f>
        <v>2.2134831460674156E-2</v>
      </c>
      <c r="U1358" s="19">
        <f>ProductionData[[#This Row],[Produced_Qty]]/ProductionData[[#This Row],[Planned_Qty]]</f>
        <v>0.87684729064039413</v>
      </c>
      <c r="V1358" s="2" t="s">
        <v>109</v>
      </c>
      <c r="W1358" s="11">
        <v>0</v>
      </c>
      <c r="X1358" s="13">
        <f>W1358/60</f>
        <v>0</v>
      </c>
      <c r="Y1358" s="2" t="s">
        <v>90</v>
      </c>
      <c r="Z1358" s="2">
        <v>18</v>
      </c>
      <c r="AA1358" s="2">
        <f>ProductionData[[#This Row],[Rejected_Qty]]*ProductionData[[#This Row],[Unit_Cost_INR]]</f>
        <v>3546</v>
      </c>
      <c r="AB1358" s="4">
        <v>42480</v>
      </c>
      <c r="AC1358" s="4">
        <v>9790</v>
      </c>
      <c r="AD1358" s="4">
        <v>9790</v>
      </c>
      <c r="AE1358" s="4">
        <v>41393</v>
      </c>
      <c r="AF1358" s="4">
        <v>15000</v>
      </c>
    </row>
    <row r="1359" spans="1:32">
      <c r="A1359" s="2" t="s">
        <v>2850</v>
      </c>
      <c r="B1359" s="3">
        <v>46263</v>
      </c>
      <c r="C1359" s="36" t="s">
        <v>2816</v>
      </c>
      <c r="D1359" s="2">
        <f>MONTH(ProductionData[[#This Row],[Month]])</f>
        <v>8</v>
      </c>
      <c r="E1359" s="2" t="s">
        <v>65</v>
      </c>
      <c r="F1359" s="2" t="s">
        <v>93</v>
      </c>
      <c r="G1359" s="2" t="s">
        <v>81</v>
      </c>
      <c r="H1359" s="2" t="s">
        <v>82</v>
      </c>
      <c r="I1359" s="2" t="s">
        <v>83</v>
      </c>
      <c r="J1359" s="2" t="s">
        <v>84</v>
      </c>
      <c r="K1359" s="2" t="s">
        <v>85</v>
      </c>
      <c r="L1359" s="2" t="s">
        <v>2851</v>
      </c>
      <c r="M1359" s="2" t="s">
        <v>133</v>
      </c>
      <c r="N1359" s="2" t="s">
        <v>96</v>
      </c>
      <c r="O1359" s="2">
        <v>18</v>
      </c>
      <c r="P1359" s="2">
        <v>18</v>
      </c>
      <c r="Q1359" s="4">
        <v>9690</v>
      </c>
      <c r="R1359" s="4">
        <v>9050</v>
      </c>
      <c r="S1359" s="4">
        <v>343</v>
      </c>
      <c r="T1359" s="19">
        <f>(ProductionData[[#This Row],[Rejected_Qty]])/ProductionData[[#This Row],[Produced_Qty]]</f>
        <v>3.7900552486187844E-2</v>
      </c>
      <c r="U1359" s="19">
        <f>ProductionData[[#This Row],[Produced_Qty]]/ProductionData[[#This Row],[Planned_Qty]]</f>
        <v>0.93395252837977294</v>
      </c>
      <c r="V1359" s="2" t="s">
        <v>75</v>
      </c>
      <c r="W1359" s="11">
        <v>30</v>
      </c>
      <c r="X1359" s="13">
        <f>W1359/60</f>
        <v>0.5</v>
      </c>
      <c r="Y1359" s="2" t="s">
        <v>76</v>
      </c>
      <c r="Z1359" s="2">
        <v>18</v>
      </c>
      <c r="AA1359" s="2">
        <f>ProductionData[[#This Row],[Rejected_Qty]]*ProductionData[[#This Row],[Unit_Cost_INR]]</f>
        <v>6174</v>
      </c>
      <c r="AB1359" s="4">
        <v>40673</v>
      </c>
      <c r="AC1359" s="4">
        <v>8070</v>
      </c>
      <c r="AD1359" s="4">
        <v>8070</v>
      </c>
      <c r="AE1359" s="4">
        <v>41310</v>
      </c>
      <c r="AF1359" s="4">
        <v>15000</v>
      </c>
    </row>
    <row r="1360" spans="1:32">
      <c r="A1360" s="2" t="s">
        <v>2852</v>
      </c>
      <c r="B1360" s="3">
        <v>46264</v>
      </c>
      <c r="C1360" s="36" t="s">
        <v>2816</v>
      </c>
      <c r="D1360" s="2">
        <f>MONTH(ProductionData[[#This Row],[Month]])</f>
        <v>8</v>
      </c>
      <c r="E1360" s="2" t="s">
        <v>186</v>
      </c>
      <c r="F1360" s="2" t="s">
        <v>66</v>
      </c>
      <c r="G1360" s="2" t="s">
        <v>195</v>
      </c>
      <c r="H1360" s="2" t="s">
        <v>196</v>
      </c>
      <c r="I1360" s="2" t="s">
        <v>197</v>
      </c>
      <c r="J1360" s="2" t="s">
        <v>198</v>
      </c>
      <c r="K1360" s="2" t="s">
        <v>199</v>
      </c>
      <c r="L1360" s="2" t="s">
        <v>2853</v>
      </c>
      <c r="M1360" s="2" t="s">
        <v>99</v>
      </c>
      <c r="N1360" s="2" t="s">
        <v>96</v>
      </c>
      <c r="O1360" s="2">
        <v>14</v>
      </c>
      <c r="P1360" s="2">
        <v>14</v>
      </c>
      <c r="Q1360" s="4">
        <v>5300</v>
      </c>
      <c r="R1360" s="4">
        <v>5230</v>
      </c>
      <c r="S1360" s="4">
        <v>135</v>
      </c>
      <c r="T1360" s="19">
        <f>(ProductionData[[#This Row],[Rejected_Qty]])/ProductionData[[#This Row],[Produced_Qty]]</f>
        <v>2.5812619502868069E-2</v>
      </c>
      <c r="U1360" s="19">
        <f>ProductionData[[#This Row],[Produced_Qty]]/ProductionData[[#This Row],[Planned_Qty]]</f>
        <v>0.98679245283018868</v>
      </c>
      <c r="V1360" s="2" t="s">
        <v>75</v>
      </c>
      <c r="W1360" s="11">
        <v>0</v>
      </c>
      <c r="X1360" s="13">
        <f>W1360/60</f>
        <v>0</v>
      </c>
      <c r="Y1360" s="2" t="s">
        <v>90</v>
      </c>
      <c r="Z1360" s="2">
        <v>38</v>
      </c>
      <c r="AA1360" s="2">
        <f>ProductionData[[#This Row],[Rejected_Qty]]*ProductionData[[#This Row],[Unit_Cost_INR]]</f>
        <v>5130</v>
      </c>
      <c r="AB1360" s="4">
        <v>40716</v>
      </c>
      <c r="AC1360" s="4">
        <v>4510</v>
      </c>
      <c r="AD1360" s="4">
        <v>4510</v>
      </c>
      <c r="AE1360" s="4">
        <v>41301</v>
      </c>
      <c r="AF1360" s="4">
        <v>13500</v>
      </c>
    </row>
    <row r="1361" spans="1:32">
      <c r="A1361" s="2" t="s">
        <v>2854</v>
      </c>
      <c r="B1361" s="3">
        <v>46265</v>
      </c>
      <c r="C1361" s="36" t="s">
        <v>2816</v>
      </c>
      <c r="D1361" s="2">
        <f>MONTH(ProductionData[[#This Row],[Month]])</f>
        <v>8</v>
      </c>
      <c r="E1361" s="2" t="s">
        <v>116</v>
      </c>
      <c r="F1361" s="2" t="s">
        <v>93</v>
      </c>
      <c r="G1361" s="2" t="s">
        <v>81</v>
      </c>
      <c r="H1361" s="2" t="s">
        <v>82</v>
      </c>
      <c r="I1361" s="2" t="s">
        <v>83</v>
      </c>
      <c r="J1361" s="2" t="s">
        <v>84</v>
      </c>
      <c r="K1361" s="2" t="s">
        <v>85</v>
      </c>
      <c r="L1361" s="2" t="s">
        <v>2855</v>
      </c>
      <c r="M1361" s="2" t="s">
        <v>95</v>
      </c>
      <c r="N1361" s="2" t="s">
        <v>88</v>
      </c>
      <c r="O1361" s="2">
        <v>18</v>
      </c>
      <c r="P1361" s="2">
        <v>15</v>
      </c>
      <c r="Q1361" s="4">
        <v>8920</v>
      </c>
      <c r="R1361" s="4">
        <v>7960</v>
      </c>
      <c r="S1361" s="4">
        <v>176</v>
      </c>
      <c r="T1361" s="19">
        <f>(ProductionData[[#This Row],[Rejected_Qty]])/ProductionData[[#This Row],[Produced_Qty]]</f>
        <v>2.2110552763819097E-2</v>
      </c>
      <c r="U1361" s="19">
        <f>ProductionData[[#This Row],[Produced_Qty]]/ProductionData[[#This Row],[Planned_Qty]]</f>
        <v>0.8923766816143498</v>
      </c>
      <c r="V1361" s="2" t="s">
        <v>75</v>
      </c>
      <c r="W1361" s="11">
        <v>45</v>
      </c>
      <c r="X1361" s="13">
        <f>W1361/60</f>
        <v>0.75</v>
      </c>
      <c r="Y1361" s="2" t="s">
        <v>76</v>
      </c>
      <c r="Z1361" s="2">
        <v>18</v>
      </c>
      <c r="AA1361" s="2">
        <f>ProductionData[[#This Row],[Rejected_Qty]]*ProductionData[[#This Row],[Unit_Cost_INR]]</f>
        <v>3168</v>
      </c>
      <c r="AB1361" s="4">
        <v>41310</v>
      </c>
      <c r="AC1361" s="4">
        <v>7920</v>
      </c>
      <c r="AD1361" s="4">
        <v>7920</v>
      </c>
      <c r="AE1361" s="4">
        <v>41174</v>
      </c>
      <c r="AF1361" s="4">
        <v>15000</v>
      </c>
    </row>
    <row r="1362" spans="1:32">
      <c r="A1362" s="2" t="s">
        <v>2856</v>
      </c>
      <c r="B1362" s="3">
        <v>46256</v>
      </c>
      <c r="C1362" s="36" t="s">
        <v>2816</v>
      </c>
      <c r="D1362" s="2">
        <f>MONTH(ProductionData[[#This Row],[Month]])</f>
        <v>8</v>
      </c>
      <c r="E1362" s="2" t="s">
        <v>65</v>
      </c>
      <c r="F1362" s="2" t="s">
        <v>93</v>
      </c>
      <c r="G1362" s="2" t="s">
        <v>81</v>
      </c>
      <c r="H1362" s="2" t="s">
        <v>82</v>
      </c>
      <c r="I1362" s="2" t="s">
        <v>83</v>
      </c>
      <c r="J1362" s="2" t="s">
        <v>84</v>
      </c>
      <c r="K1362" s="2" t="s">
        <v>85</v>
      </c>
      <c r="L1362" s="2" t="s">
        <v>2857</v>
      </c>
      <c r="M1362" s="2" t="s">
        <v>133</v>
      </c>
      <c r="N1362" s="2" t="s">
        <v>96</v>
      </c>
      <c r="O1362" s="2">
        <v>18</v>
      </c>
      <c r="P1362" s="2">
        <v>15</v>
      </c>
      <c r="Q1362" s="4">
        <v>9950</v>
      </c>
      <c r="R1362" s="4">
        <v>8700</v>
      </c>
      <c r="S1362" s="4">
        <v>230</v>
      </c>
      <c r="T1362" s="19">
        <f>(ProductionData[[#This Row],[Rejected_Qty]])/ProductionData[[#This Row],[Produced_Qty]]</f>
        <v>2.6436781609195402E-2</v>
      </c>
      <c r="U1362" s="19">
        <f>ProductionData[[#This Row],[Produced_Qty]]/ProductionData[[#This Row],[Planned_Qty]]</f>
        <v>0.87437185929648242</v>
      </c>
      <c r="V1362" s="2" t="s">
        <v>113</v>
      </c>
      <c r="W1362" s="11">
        <v>0</v>
      </c>
      <c r="X1362" s="13">
        <f>W1362/60</f>
        <v>0</v>
      </c>
      <c r="Y1362" s="2" t="s">
        <v>90</v>
      </c>
      <c r="Z1362" s="2">
        <v>18</v>
      </c>
      <c r="AA1362" s="2">
        <f>ProductionData[[#This Row],[Rejected_Qty]]*ProductionData[[#This Row],[Unit_Cost_INR]]</f>
        <v>4140</v>
      </c>
      <c r="AB1362" s="4">
        <v>41393</v>
      </c>
      <c r="AC1362" s="4">
        <v>8840</v>
      </c>
      <c r="AD1362" s="4">
        <v>8840</v>
      </c>
      <c r="AE1362" s="4">
        <v>41023</v>
      </c>
      <c r="AF1362" s="4">
        <v>15000</v>
      </c>
    </row>
    <row r="1363" spans="1:32">
      <c r="A1363" s="2" t="s">
        <v>2858</v>
      </c>
      <c r="B1363" s="3">
        <v>46262</v>
      </c>
      <c r="C1363" s="36" t="s">
        <v>2816</v>
      </c>
      <c r="D1363" s="2">
        <f>MONTH(ProductionData[[#This Row],[Month]])</f>
        <v>8</v>
      </c>
      <c r="E1363" s="2" t="s">
        <v>125</v>
      </c>
      <c r="F1363" s="2" t="s">
        <v>66</v>
      </c>
      <c r="G1363" s="2" t="s">
        <v>195</v>
      </c>
      <c r="H1363" s="2" t="s">
        <v>196</v>
      </c>
      <c r="I1363" s="2" t="s">
        <v>197</v>
      </c>
      <c r="J1363" s="2" t="s">
        <v>198</v>
      </c>
      <c r="K1363" s="2" t="s">
        <v>199</v>
      </c>
      <c r="L1363" s="2" t="s">
        <v>2859</v>
      </c>
      <c r="M1363" s="2" t="s">
        <v>99</v>
      </c>
      <c r="N1363" s="2" t="s">
        <v>96</v>
      </c>
      <c r="O1363" s="2">
        <v>14</v>
      </c>
      <c r="P1363" s="2">
        <v>14</v>
      </c>
      <c r="Q1363" s="4">
        <v>8370</v>
      </c>
      <c r="R1363" s="4">
        <v>8550</v>
      </c>
      <c r="S1363" s="4">
        <v>226</v>
      </c>
      <c r="T1363" s="19">
        <f>(ProductionData[[#This Row],[Rejected_Qty]])/ProductionData[[#This Row],[Produced_Qty]]</f>
        <v>2.6432748538011697E-2</v>
      </c>
      <c r="U1363" s="19">
        <f>ProductionData[[#This Row],[Produced_Qty]]/ProductionData[[#This Row],[Planned_Qty]]</f>
        <v>1.021505376344086</v>
      </c>
      <c r="V1363" s="2" t="s">
        <v>89</v>
      </c>
      <c r="W1363" s="11">
        <v>0</v>
      </c>
      <c r="X1363" s="13">
        <f>W1363/60</f>
        <v>0</v>
      </c>
      <c r="Y1363" s="2" t="s">
        <v>90</v>
      </c>
      <c r="Z1363" s="2">
        <v>38</v>
      </c>
      <c r="AA1363" s="2">
        <f>ProductionData[[#This Row],[Rejected_Qty]]*ProductionData[[#This Row],[Unit_Cost_INR]]</f>
        <v>8588</v>
      </c>
      <c r="AB1363" s="4">
        <v>39657</v>
      </c>
      <c r="AC1363" s="4">
        <v>7020</v>
      </c>
      <c r="AD1363" s="4">
        <v>7020</v>
      </c>
      <c r="AE1363" s="4">
        <v>40961</v>
      </c>
      <c r="AF1363" s="4">
        <v>13500</v>
      </c>
    </row>
    <row r="1364" spans="1:32">
      <c r="A1364" s="2" t="s">
        <v>2860</v>
      </c>
      <c r="B1364" s="3">
        <v>46263</v>
      </c>
      <c r="C1364" s="36" t="s">
        <v>2816</v>
      </c>
      <c r="D1364" s="2">
        <f>MONTH(ProductionData[[#This Row],[Month]])</f>
        <v>8</v>
      </c>
      <c r="E1364" s="2" t="s">
        <v>65</v>
      </c>
      <c r="F1364" s="2" t="s">
        <v>80</v>
      </c>
      <c r="G1364" s="2" t="s">
        <v>195</v>
      </c>
      <c r="H1364" s="2" t="s">
        <v>196</v>
      </c>
      <c r="I1364" s="2" t="s">
        <v>197</v>
      </c>
      <c r="J1364" s="2" t="s">
        <v>198</v>
      </c>
      <c r="K1364" s="2" t="s">
        <v>199</v>
      </c>
      <c r="L1364" s="2" t="s">
        <v>2861</v>
      </c>
      <c r="M1364" s="2" t="s">
        <v>87</v>
      </c>
      <c r="N1364" s="2" t="s">
        <v>88</v>
      </c>
      <c r="O1364" s="2">
        <v>14</v>
      </c>
      <c r="P1364" s="2">
        <v>13</v>
      </c>
      <c r="Q1364" s="4">
        <v>7800</v>
      </c>
      <c r="R1364" s="4">
        <v>7580</v>
      </c>
      <c r="S1364" s="4">
        <v>215</v>
      </c>
      <c r="T1364" s="19">
        <f>(ProductionData[[#This Row],[Rejected_Qty]])/ProductionData[[#This Row],[Produced_Qty]]</f>
        <v>2.8364116094986808E-2</v>
      </c>
      <c r="U1364" s="19">
        <f>ProductionData[[#This Row],[Produced_Qty]]/ProductionData[[#This Row],[Planned_Qty]]</f>
        <v>0.97179487179487178</v>
      </c>
      <c r="V1364" s="2" t="s">
        <v>109</v>
      </c>
      <c r="W1364" s="11">
        <v>0</v>
      </c>
      <c r="X1364" s="13">
        <f>W1364/60</f>
        <v>0</v>
      </c>
      <c r="Y1364" s="2" t="s">
        <v>90</v>
      </c>
      <c r="Z1364" s="2">
        <v>38</v>
      </c>
      <c r="AA1364" s="2">
        <f>ProductionData[[#This Row],[Rejected_Qty]]*ProductionData[[#This Row],[Unit_Cost_INR]]</f>
        <v>8170</v>
      </c>
      <c r="AB1364" s="4">
        <v>40961</v>
      </c>
      <c r="AC1364" s="4">
        <v>7610</v>
      </c>
      <c r="AD1364" s="4">
        <v>7610</v>
      </c>
      <c r="AE1364" s="4">
        <v>40716</v>
      </c>
      <c r="AF1364" s="4">
        <v>13500</v>
      </c>
    </row>
    <row r="1365" spans="1:32">
      <c r="A1365" s="2" t="s">
        <v>2862</v>
      </c>
      <c r="B1365" s="3">
        <v>46262</v>
      </c>
      <c r="C1365" s="36" t="s">
        <v>2816</v>
      </c>
      <c r="D1365" s="2">
        <f>MONTH(ProductionData[[#This Row],[Month]])</f>
        <v>8</v>
      </c>
      <c r="E1365" s="2" t="s">
        <v>125</v>
      </c>
      <c r="F1365" s="2" t="s">
        <v>93</v>
      </c>
      <c r="G1365" s="2" t="s">
        <v>81</v>
      </c>
      <c r="H1365" s="2" t="s">
        <v>82</v>
      </c>
      <c r="I1365" s="2" t="s">
        <v>83</v>
      </c>
      <c r="J1365" s="2" t="s">
        <v>84</v>
      </c>
      <c r="K1365" s="2" t="s">
        <v>85</v>
      </c>
      <c r="L1365" s="2" t="s">
        <v>2863</v>
      </c>
      <c r="M1365" s="2" t="s">
        <v>95</v>
      </c>
      <c r="N1365" s="2" t="s">
        <v>96</v>
      </c>
      <c r="O1365" s="2">
        <v>18</v>
      </c>
      <c r="P1365" s="2">
        <v>15</v>
      </c>
      <c r="Q1365" s="4">
        <v>9640</v>
      </c>
      <c r="R1365" s="4">
        <v>9000</v>
      </c>
      <c r="S1365" s="4">
        <v>229</v>
      </c>
      <c r="T1365" s="19">
        <f>(ProductionData[[#This Row],[Rejected_Qty]])/ProductionData[[#This Row],[Produced_Qty]]</f>
        <v>2.5444444444444443E-2</v>
      </c>
      <c r="U1365" s="19">
        <f>ProductionData[[#This Row],[Produced_Qty]]/ProductionData[[#This Row],[Planned_Qty]]</f>
        <v>0.93360995850622408</v>
      </c>
      <c r="V1365" s="2" t="s">
        <v>109</v>
      </c>
      <c r="W1365" s="11">
        <v>0</v>
      </c>
      <c r="X1365" s="13">
        <f>W1365/60</f>
        <v>0</v>
      </c>
      <c r="Y1365" s="2" t="s">
        <v>90</v>
      </c>
      <c r="Z1365" s="2">
        <v>18</v>
      </c>
      <c r="AA1365" s="2">
        <f>ProductionData[[#This Row],[Rejected_Qty]]*ProductionData[[#This Row],[Unit_Cost_INR]]</f>
        <v>4122</v>
      </c>
      <c r="AB1365" s="4">
        <v>39752</v>
      </c>
      <c r="AC1365" s="4">
        <v>7850</v>
      </c>
      <c r="AD1365" s="4">
        <v>7850</v>
      </c>
      <c r="AE1365" s="4">
        <v>40673</v>
      </c>
      <c r="AF1365" s="4">
        <v>15000</v>
      </c>
    </row>
    <row r="1366" spans="1:32">
      <c r="A1366" s="2" t="s">
        <v>2864</v>
      </c>
      <c r="B1366" s="3">
        <v>46252</v>
      </c>
      <c r="C1366" s="36" t="s">
        <v>2816</v>
      </c>
      <c r="D1366" s="2">
        <f>MONTH(ProductionData[[#This Row],[Month]])</f>
        <v>8</v>
      </c>
      <c r="E1366" s="2" t="s">
        <v>92</v>
      </c>
      <c r="F1366" s="2" t="s">
        <v>93</v>
      </c>
      <c r="G1366" s="2" t="s">
        <v>195</v>
      </c>
      <c r="H1366" s="2" t="s">
        <v>196</v>
      </c>
      <c r="I1366" s="2" t="s">
        <v>197</v>
      </c>
      <c r="J1366" s="2" t="s">
        <v>198</v>
      </c>
      <c r="K1366" s="2" t="s">
        <v>199</v>
      </c>
      <c r="L1366" s="2" t="s">
        <v>2865</v>
      </c>
      <c r="M1366" s="2" t="s">
        <v>133</v>
      </c>
      <c r="N1366" s="2" t="s">
        <v>96</v>
      </c>
      <c r="O1366" s="2">
        <v>14</v>
      </c>
      <c r="P1366" s="2">
        <v>14</v>
      </c>
      <c r="Q1366" s="4">
        <v>7910</v>
      </c>
      <c r="R1366" s="4">
        <v>7630</v>
      </c>
      <c r="S1366" s="4">
        <v>110</v>
      </c>
      <c r="T1366" s="19">
        <f>(ProductionData[[#This Row],[Rejected_Qty]])/ProductionData[[#This Row],[Produced_Qty]]</f>
        <v>1.4416775884665793E-2</v>
      </c>
      <c r="U1366" s="19">
        <f>ProductionData[[#This Row],[Produced_Qty]]/ProductionData[[#This Row],[Planned_Qty]]</f>
        <v>0.96460176991150437</v>
      </c>
      <c r="V1366" s="2" t="s">
        <v>89</v>
      </c>
      <c r="W1366" s="11">
        <v>0</v>
      </c>
      <c r="X1366" s="13">
        <f>W1366/60</f>
        <v>0</v>
      </c>
      <c r="Y1366" s="2" t="s">
        <v>90</v>
      </c>
      <c r="Z1366" s="2">
        <v>38</v>
      </c>
      <c r="AA1366" s="2">
        <f>ProductionData[[#This Row],[Rejected_Qty]]*ProductionData[[#This Row],[Unit_Cost_INR]]</f>
        <v>4180</v>
      </c>
      <c r="AB1366" s="4">
        <v>40073</v>
      </c>
      <c r="AC1366" s="4">
        <v>7440</v>
      </c>
      <c r="AD1366" s="4">
        <v>7440</v>
      </c>
      <c r="AE1366" s="4">
        <v>40153</v>
      </c>
      <c r="AF1366" s="4">
        <v>13500</v>
      </c>
    </row>
    <row r="1367" spans="1:32">
      <c r="A1367" s="2" t="s">
        <v>2866</v>
      </c>
      <c r="B1367" s="3">
        <v>46255</v>
      </c>
      <c r="C1367" s="36" t="s">
        <v>2816</v>
      </c>
      <c r="D1367" s="2">
        <f>MONTH(ProductionData[[#This Row],[Month]])</f>
        <v>8</v>
      </c>
      <c r="E1367" s="2" t="s">
        <v>125</v>
      </c>
      <c r="F1367" s="2" t="s">
        <v>80</v>
      </c>
      <c r="G1367" s="2" t="s">
        <v>195</v>
      </c>
      <c r="H1367" s="2" t="s">
        <v>196</v>
      </c>
      <c r="I1367" s="2" t="s">
        <v>197</v>
      </c>
      <c r="J1367" s="2" t="s">
        <v>198</v>
      </c>
      <c r="K1367" s="2" t="s">
        <v>199</v>
      </c>
      <c r="L1367" s="2" t="s">
        <v>2867</v>
      </c>
      <c r="M1367" s="2" t="s">
        <v>87</v>
      </c>
      <c r="N1367" s="2" t="s">
        <v>96</v>
      </c>
      <c r="O1367" s="2">
        <v>14</v>
      </c>
      <c r="P1367" s="2">
        <v>14</v>
      </c>
      <c r="Q1367" s="4">
        <v>9270</v>
      </c>
      <c r="R1367" s="4">
        <v>9310</v>
      </c>
      <c r="S1367" s="4">
        <v>292</v>
      </c>
      <c r="T1367" s="19">
        <f>(ProductionData[[#This Row],[Rejected_Qty]])/ProductionData[[#This Row],[Produced_Qty]]</f>
        <v>3.1364124597207305E-2</v>
      </c>
      <c r="U1367" s="19">
        <f>ProductionData[[#This Row],[Produced_Qty]]/ProductionData[[#This Row],[Planned_Qty]]</f>
        <v>1.0043149946062568</v>
      </c>
      <c r="V1367" s="2" t="s">
        <v>109</v>
      </c>
      <c r="W1367" s="11">
        <v>0</v>
      </c>
      <c r="X1367" s="13">
        <f>W1367/60</f>
        <v>0</v>
      </c>
      <c r="Y1367" s="2" t="s">
        <v>90</v>
      </c>
      <c r="Z1367" s="2">
        <v>38</v>
      </c>
      <c r="AA1367" s="2">
        <f>ProductionData[[#This Row],[Rejected_Qty]]*ProductionData[[#This Row],[Unit_Cost_INR]]</f>
        <v>11096</v>
      </c>
      <c r="AB1367" s="4">
        <v>38812</v>
      </c>
      <c r="AC1367" s="4">
        <v>7700</v>
      </c>
      <c r="AD1367" s="4">
        <v>7700</v>
      </c>
      <c r="AE1367" s="4">
        <v>40130</v>
      </c>
      <c r="AF1367" s="4">
        <v>13500</v>
      </c>
    </row>
    <row r="1368" spans="1:32">
      <c r="A1368" s="2" t="s">
        <v>2868</v>
      </c>
      <c r="B1368" s="3">
        <v>46252</v>
      </c>
      <c r="C1368" s="36" t="s">
        <v>2816</v>
      </c>
      <c r="D1368" s="2">
        <f>MONTH(ProductionData[[#This Row],[Month]])</f>
        <v>8</v>
      </c>
      <c r="E1368" s="2" t="s">
        <v>92</v>
      </c>
      <c r="F1368" s="2" t="s">
        <v>80</v>
      </c>
      <c r="G1368" s="2" t="s">
        <v>195</v>
      </c>
      <c r="H1368" s="2" t="s">
        <v>196</v>
      </c>
      <c r="I1368" s="2" t="s">
        <v>197</v>
      </c>
      <c r="J1368" s="2" t="s">
        <v>198</v>
      </c>
      <c r="K1368" s="2" t="s">
        <v>199</v>
      </c>
      <c r="L1368" s="2" t="s">
        <v>2869</v>
      </c>
      <c r="M1368" s="2" t="s">
        <v>87</v>
      </c>
      <c r="N1368" s="2" t="s">
        <v>96</v>
      </c>
      <c r="O1368" s="2">
        <v>14</v>
      </c>
      <c r="P1368" s="2">
        <v>14</v>
      </c>
      <c r="Q1368" s="4">
        <v>9670</v>
      </c>
      <c r="R1368" s="4">
        <v>9200</v>
      </c>
      <c r="S1368" s="4">
        <v>206</v>
      </c>
      <c r="T1368" s="19">
        <f>(ProductionData[[#This Row],[Rejected_Qty]])/ProductionData[[#This Row],[Produced_Qty]]</f>
        <v>2.2391304347826088E-2</v>
      </c>
      <c r="U1368" s="19">
        <f>ProductionData[[#This Row],[Produced_Qty]]/ProductionData[[#This Row],[Planned_Qty]]</f>
        <v>0.95139607032057916</v>
      </c>
      <c r="V1368" s="2" t="s">
        <v>113</v>
      </c>
      <c r="W1368" s="11">
        <v>60</v>
      </c>
      <c r="X1368" s="13">
        <f>W1368/60</f>
        <v>1</v>
      </c>
      <c r="Y1368" s="2" t="s">
        <v>110</v>
      </c>
      <c r="Z1368" s="2">
        <v>38</v>
      </c>
      <c r="AA1368" s="2">
        <f>ProductionData[[#This Row],[Rejected_Qty]]*ProductionData[[#This Row],[Unit_Cost_INR]]</f>
        <v>7828</v>
      </c>
      <c r="AB1368" s="4">
        <v>39209</v>
      </c>
      <c r="AC1368" s="4">
        <v>8130</v>
      </c>
      <c r="AD1368" s="4">
        <v>8130</v>
      </c>
      <c r="AE1368" s="4">
        <v>40073</v>
      </c>
      <c r="AF1368" s="4">
        <v>13500</v>
      </c>
    </row>
    <row r="1369" spans="1:32">
      <c r="A1369" s="2" t="s">
        <v>2870</v>
      </c>
      <c r="B1369" s="3">
        <v>46260</v>
      </c>
      <c r="C1369" s="36" t="s">
        <v>2816</v>
      </c>
      <c r="D1369" s="2">
        <f>MONTH(ProductionData[[#This Row],[Month]])</f>
        <v>8</v>
      </c>
      <c r="E1369" s="2" t="s">
        <v>79</v>
      </c>
      <c r="F1369" s="2" t="s">
        <v>66</v>
      </c>
      <c r="G1369" s="2" t="s">
        <v>195</v>
      </c>
      <c r="H1369" s="2" t="s">
        <v>196</v>
      </c>
      <c r="I1369" s="2" t="s">
        <v>197</v>
      </c>
      <c r="J1369" s="2" t="s">
        <v>198</v>
      </c>
      <c r="K1369" s="2" t="s">
        <v>199</v>
      </c>
      <c r="L1369" s="2" t="s">
        <v>2871</v>
      </c>
      <c r="M1369" s="2" t="s">
        <v>99</v>
      </c>
      <c r="N1369" s="2" t="s">
        <v>96</v>
      </c>
      <c r="O1369" s="2">
        <v>14</v>
      </c>
      <c r="P1369" s="2">
        <v>14</v>
      </c>
      <c r="Q1369" s="4">
        <v>9070</v>
      </c>
      <c r="R1369" s="4">
        <v>8980</v>
      </c>
      <c r="S1369" s="4">
        <v>238</v>
      </c>
      <c r="T1369" s="19">
        <f>(ProductionData[[#This Row],[Rejected_Qty]])/ProductionData[[#This Row],[Produced_Qty]]</f>
        <v>2.6503340757238307E-2</v>
      </c>
      <c r="U1369" s="19">
        <f>ProductionData[[#This Row],[Produced_Qty]]/ProductionData[[#This Row],[Planned_Qty]]</f>
        <v>0.99007717750826907</v>
      </c>
      <c r="V1369" s="2" t="s">
        <v>113</v>
      </c>
      <c r="W1369" s="11">
        <v>0</v>
      </c>
      <c r="X1369" s="13">
        <f>W1369/60</f>
        <v>0</v>
      </c>
      <c r="Y1369" s="2" t="s">
        <v>90</v>
      </c>
      <c r="Z1369" s="2">
        <v>38</v>
      </c>
      <c r="AA1369" s="2">
        <f>ProductionData[[#This Row],[Rejected_Qty]]*ProductionData[[#This Row],[Unit_Cost_INR]]</f>
        <v>9044</v>
      </c>
      <c r="AB1369" s="4">
        <v>39127</v>
      </c>
      <c r="AC1369" s="4">
        <v>7900</v>
      </c>
      <c r="AD1369" s="4">
        <v>7900</v>
      </c>
      <c r="AE1369" s="4">
        <v>39969</v>
      </c>
      <c r="AF1369" s="4">
        <v>13500</v>
      </c>
    </row>
    <row r="1370" spans="1:32">
      <c r="A1370" s="2" t="s">
        <v>2872</v>
      </c>
      <c r="B1370" s="3">
        <v>46259</v>
      </c>
      <c r="C1370" s="36" t="s">
        <v>2816</v>
      </c>
      <c r="D1370" s="2">
        <f>MONTH(ProductionData[[#This Row],[Month]])</f>
        <v>8</v>
      </c>
      <c r="E1370" s="2" t="s">
        <v>92</v>
      </c>
      <c r="F1370" s="2" t="s">
        <v>66</v>
      </c>
      <c r="G1370" s="2" t="s">
        <v>81</v>
      </c>
      <c r="H1370" s="2" t="s">
        <v>82</v>
      </c>
      <c r="I1370" s="2" t="s">
        <v>83</v>
      </c>
      <c r="J1370" s="2" t="s">
        <v>84</v>
      </c>
      <c r="K1370" s="2" t="s">
        <v>85</v>
      </c>
      <c r="L1370" s="2" t="s">
        <v>2873</v>
      </c>
      <c r="M1370" s="2" t="s">
        <v>99</v>
      </c>
      <c r="N1370" s="2" t="s">
        <v>88</v>
      </c>
      <c r="O1370" s="2">
        <v>18</v>
      </c>
      <c r="P1370" s="2">
        <v>18</v>
      </c>
      <c r="Q1370" s="4">
        <v>10140</v>
      </c>
      <c r="R1370" s="4">
        <v>9460</v>
      </c>
      <c r="S1370" s="4">
        <v>186</v>
      </c>
      <c r="T1370" s="19">
        <f>(ProductionData[[#This Row],[Rejected_Qty]])/ProductionData[[#This Row],[Produced_Qty]]</f>
        <v>1.9661733615221989E-2</v>
      </c>
      <c r="U1370" s="19">
        <f>ProductionData[[#This Row],[Produced_Qty]]/ProductionData[[#This Row],[Planned_Qty]]</f>
        <v>0.93293885601577908</v>
      </c>
      <c r="V1370" s="2" t="s">
        <v>109</v>
      </c>
      <c r="W1370" s="11">
        <v>37</v>
      </c>
      <c r="X1370" s="13">
        <f>W1370/60</f>
        <v>0.6166666666666667</v>
      </c>
      <c r="Y1370" s="2" t="s">
        <v>76</v>
      </c>
      <c r="Z1370" s="2">
        <v>18</v>
      </c>
      <c r="AA1370" s="2">
        <f>ProductionData[[#This Row],[Rejected_Qty]]*ProductionData[[#This Row],[Unit_Cost_INR]]</f>
        <v>3348</v>
      </c>
      <c r="AB1370" s="4">
        <v>41023</v>
      </c>
      <c r="AC1370" s="4">
        <v>10400</v>
      </c>
      <c r="AD1370" s="4">
        <v>10400</v>
      </c>
      <c r="AE1370" s="4">
        <v>39897</v>
      </c>
      <c r="AF1370" s="4">
        <v>15000</v>
      </c>
    </row>
    <row r="1371" spans="1:32">
      <c r="A1371" s="2" t="s">
        <v>2874</v>
      </c>
      <c r="B1371" s="3">
        <v>46262</v>
      </c>
      <c r="C1371" s="36" t="s">
        <v>2816</v>
      </c>
      <c r="D1371" s="2">
        <f>MONTH(ProductionData[[#This Row],[Month]])</f>
        <v>8</v>
      </c>
      <c r="E1371" s="2" t="s">
        <v>125</v>
      </c>
      <c r="F1371" s="2" t="s">
        <v>80</v>
      </c>
      <c r="G1371" s="2" t="s">
        <v>81</v>
      </c>
      <c r="H1371" s="2" t="s">
        <v>82</v>
      </c>
      <c r="I1371" s="2" t="s">
        <v>83</v>
      </c>
      <c r="J1371" s="2" t="s">
        <v>84</v>
      </c>
      <c r="K1371" s="2" t="s">
        <v>85</v>
      </c>
      <c r="L1371" s="2" t="s">
        <v>2875</v>
      </c>
      <c r="M1371" s="2" t="s">
        <v>87</v>
      </c>
      <c r="N1371" s="2" t="s">
        <v>88</v>
      </c>
      <c r="O1371" s="2">
        <v>18</v>
      </c>
      <c r="P1371" s="2">
        <v>18</v>
      </c>
      <c r="Q1371" s="4">
        <v>9390</v>
      </c>
      <c r="R1371" s="4">
        <v>8790</v>
      </c>
      <c r="S1371" s="4">
        <v>233</v>
      </c>
      <c r="T1371" s="19">
        <f>(ProductionData[[#This Row],[Rejected_Qty]])/ProductionData[[#This Row],[Produced_Qty]]</f>
        <v>2.6507394766780431E-2</v>
      </c>
      <c r="U1371" s="19">
        <f>ProductionData[[#This Row],[Produced_Qty]]/ProductionData[[#This Row],[Planned_Qty]]</f>
        <v>0.93610223642172519</v>
      </c>
      <c r="V1371" s="2" t="s">
        <v>103</v>
      </c>
      <c r="W1371" s="11">
        <v>41</v>
      </c>
      <c r="X1371" s="13">
        <f>W1371/60</f>
        <v>0.68333333333333335</v>
      </c>
      <c r="Y1371" s="2" t="s">
        <v>76</v>
      </c>
      <c r="Z1371" s="2">
        <v>18</v>
      </c>
      <c r="AA1371" s="2">
        <f>ProductionData[[#This Row],[Rejected_Qty]]*ProductionData[[#This Row],[Unit_Cost_INR]]</f>
        <v>4194</v>
      </c>
      <c r="AB1371" s="4">
        <v>39235</v>
      </c>
      <c r="AC1371" s="4">
        <v>8040</v>
      </c>
      <c r="AD1371" s="4">
        <v>8040</v>
      </c>
      <c r="AE1371" s="4">
        <v>39752</v>
      </c>
      <c r="AF1371" s="4">
        <v>15000</v>
      </c>
    </row>
    <row r="1372" spans="1:32">
      <c r="A1372" s="2" t="s">
        <v>2876</v>
      </c>
      <c r="B1372" s="3">
        <v>46260</v>
      </c>
      <c r="C1372" s="36" t="s">
        <v>2816</v>
      </c>
      <c r="D1372" s="2">
        <f>MONTH(ProductionData[[#This Row],[Month]])</f>
        <v>8</v>
      </c>
      <c r="E1372" s="2" t="s">
        <v>79</v>
      </c>
      <c r="F1372" s="2" t="s">
        <v>80</v>
      </c>
      <c r="G1372" s="2" t="s">
        <v>81</v>
      </c>
      <c r="H1372" s="2" t="s">
        <v>82</v>
      </c>
      <c r="I1372" s="2" t="s">
        <v>83</v>
      </c>
      <c r="J1372" s="2" t="s">
        <v>84</v>
      </c>
      <c r="K1372" s="2" t="s">
        <v>85</v>
      </c>
      <c r="L1372" s="2" t="s">
        <v>2877</v>
      </c>
      <c r="M1372" s="2" t="s">
        <v>102</v>
      </c>
      <c r="N1372" s="2" t="s">
        <v>96</v>
      </c>
      <c r="O1372" s="2">
        <v>18</v>
      </c>
      <c r="P1372" s="2">
        <v>17</v>
      </c>
      <c r="Q1372" s="4">
        <v>9480</v>
      </c>
      <c r="R1372" s="4">
        <v>8780</v>
      </c>
      <c r="S1372" s="4">
        <v>185</v>
      </c>
      <c r="T1372" s="19">
        <f>(ProductionData[[#This Row],[Rejected_Qty]])/ProductionData[[#This Row],[Produced_Qty]]</f>
        <v>2.1070615034168565E-2</v>
      </c>
      <c r="U1372" s="19">
        <f>ProductionData[[#This Row],[Produced_Qty]]/ProductionData[[#This Row],[Planned_Qty]]</f>
        <v>0.92616033755274263</v>
      </c>
      <c r="V1372" s="2" t="s">
        <v>75</v>
      </c>
      <c r="W1372" s="11">
        <v>58</v>
      </c>
      <c r="X1372" s="13">
        <f>W1372/60</f>
        <v>0.96666666666666667</v>
      </c>
      <c r="Y1372" s="2" t="s">
        <v>136</v>
      </c>
      <c r="Z1372" s="2">
        <v>18</v>
      </c>
      <c r="AA1372" s="2">
        <f>ProductionData[[#This Row],[Rejected_Qty]]*ProductionData[[#This Row],[Unit_Cost_INR]]</f>
        <v>3330</v>
      </c>
      <c r="AB1372" s="4">
        <v>39077</v>
      </c>
      <c r="AC1372" s="4">
        <v>7970</v>
      </c>
      <c r="AD1372" s="4">
        <v>7970</v>
      </c>
      <c r="AE1372" s="4">
        <v>39702</v>
      </c>
      <c r="AF1372" s="4">
        <v>15000</v>
      </c>
    </row>
    <row r="1373" spans="1:32">
      <c r="A1373" s="2" t="s">
        <v>2878</v>
      </c>
      <c r="B1373" s="3">
        <v>46257</v>
      </c>
      <c r="C1373" s="36" t="s">
        <v>2816</v>
      </c>
      <c r="D1373" s="2">
        <f>MONTH(ProductionData[[#This Row],[Month]])</f>
        <v>8</v>
      </c>
      <c r="E1373" s="2" t="s">
        <v>186</v>
      </c>
      <c r="F1373" s="2" t="s">
        <v>66</v>
      </c>
      <c r="G1373" s="2" t="s">
        <v>195</v>
      </c>
      <c r="H1373" s="2" t="s">
        <v>196</v>
      </c>
      <c r="I1373" s="2" t="s">
        <v>197</v>
      </c>
      <c r="J1373" s="2" t="s">
        <v>198</v>
      </c>
      <c r="K1373" s="2" t="s">
        <v>199</v>
      </c>
      <c r="L1373" s="2" t="s">
        <v>2879</v>
      </c>
      <c r="M1373" s="2" t="s">
        <v>73</v>
      </c>
      <c r="N1373" s="2" t="s">
        <v>88</v>
      </c>
      <c r="O1373" s="2">
        <v>14</v>
      </c>
      <c r="P1373" s="2">
        <v>14</v>
      </c>
      <c r="Q1373" s="4">
        <v>6090</v>
      </c>
      <c r="R1373" s="4">
        <v>5790</v>
      </c>
      <c r="S1373" s="4">
        <v>128</v>
      </c>
      <c r="T1373" s="19">
        <f>(ProductionData[[#This Row],[Rejected_Qty]])/ProductionData[[#This Row],[Produced_Qty]]</f>
        <v>2.2107081174438686E-2</v>
      </c>
      <c r="U1373" s="19">
        <f>ProductionData[[#This Row],[Produced_Qty]]/ProductionData[[#This Row],[Planned_Qty]]</f>
        <v>0.95073891625615758</v>
      </c>
      <c r="V1373" s="2" t="s">
        <v>103</v>
      </c>
      <c r="W1373" s="11">
        <v>0</v>
      </c>
      <c r="X1373" s="13">
        <f>W1373/60</f>
        <v>0</v>
      </c>
      <c r="Y1373" s="2" t="s">
        <v>90</v>
      </c>
      <c r="Z1373" s="2">
        <v>38</v>
      </c>
      <c r="AA1373" s="2">
        <f>ProductionData[[#This Row],[Rejected_Qty]]*ProductionData[[#This Row],[Unit_Cost_INR]]</f>
        <v>4864</v>
      </c>
      <c r="AB1373" s="4">
        <v>39121</v>
      </c>
      <c r="AC1373" s="4">
        <v>5120</v>
      </c>
      <c r="AD1373" s="4">
        <v>5120</v>
      </c>
      <c r="AE1373" s="4">
        <v>39663</v>
      </c>
      <c r="AF1373" s="4">
        <v>13500</v>
      </c>
    </row>
    <row r="1374" spans="1:32">
      <c r="A1374" s="2" t="s">
        <v>2880</v>
      </c>
      <c r="B1374" s="3">
        <v>46260</v>
      </c>
      <c r="C1374" s="36" t="s">
        <v>2816</v>
      </c>
      <c r="D1374" s="2">
        <f>MONTH(ProductionData[[#This Row],[Month]])</f>
        <v>8</v>
      </c>
      <c r="E1374" s="2" t="s">
        <v>79</v>
      </c>
      <c r="F1374" s="2" t="s">
        <v>93</v>
      </c>
      <c r="G1374" s="2" t="s">
        <v>195</v>
      </c>
      <c r="H1374" s="2" t="s">
        <v>196</v>
      </c>
      <c r="I1374" s="2" t="s">
        <v>197</v>
      </c>
      <c r="J1374" s="2" t="s">
        <v>198</v>
      </c>
      <c r="K1374" s="2" t="s">
        <v>199</v>
      </c>
      <c r="L1374" s="2" t="s">
        <v>2881</v>
      </c>
      <c r="M1374" s="2" t="s">
        <v>95</v>
      </c>
      <c r="N1374" s="2" t="s">
        <v>88</v>
      </c>
      <c r="O1374" s="2">
        <v>14</v>
      </c>
      <c r="P1374" s="2">
        <v>14</v>
      </c>
      <c r="Q1374" s="4">
        <v>8510</v>
      </c>
      <c r="R1374" s="4">
        <v>8170</v>
      </c>
      <c r="S1374" s="4">
        <v>162</v>
      </c>
      <c r="T1374" s="19">
        <f>(ProductionData[[#This Row],[Rejected_Qty]])/ProductionData[[#This Row],[Produced_Qty]]</f>
        <v>1.9828641370869034E-2</v>
      </c>
      <c r="U1374" s="19">
        <f>ProductionData[[#This Row],[Produced_Qty]]/ProductionData[[#This Row],[Planned_Qty]]</f>
        <v>0.9600470035252644</v>
      </c>
      <c r="V1374" s="2" t="s">
        <v>113</v>
      </c>
      <c r="W1374" s="11">
        <v>66</v>
      </c>
      <c r="X1374" s="13">
        <f>W1374/60</f>
        <v>1.1000000000000001</v>
      </c>
      <c r="Y1374" s="2" t="s">
        <v>76</v>
      </c>
      <c r="Z1374" s="2">
        <v>38</v>
      </c>
      <c r="AA1374" s="2">
        <f>ProductionData[[#This Row],[Rejected_Qty]]*ProductionData[[#This Row],[Unit_Cost_INR]]</f>
        <v>6156</v>
      </c>
      <c r="AB1374" s="4">
        <v>39469</v>
      </c>
      <c r="AC1374" s="4">
        <v>7820</v>
      </c>
      <c r="AD1374" s="4">
        <v>7820</v>
      </c>
      <c r="AE1374" s="4">
        <v>39657</v>
      </c>
      <c r="AF1374" s="4">
        <v>13500</v>
      </c>
    </row>
    <row r="1375" spans="1:32">
      <c r="A1375" s="2" t="s">
        <v>2882</v>
      </c>
      <c r="B1375" s="3">
        <v>46259</v>
      </c>
      <c r="C1375" s="36" t="s">
        <v>2816</v>
      </c>
      <c r="D1375" s="2">
        <f>MONTH(ProductionData[[#This Row],[Month]])</f>
        <v>8</v>
      </c>
      <c r="E1375" s="2" t="s">
        <v>92</v>
      </c>
      <c r="F1375" s="2" t="s">
        <v>80</v>
      </c>
      <c r="G1375" s="2" t="s">
        <v>195</v>
      </c>
      <c r="H1375" s="2" t="s">
        <v>196</v>
      </c>
      <c r="I1375" s="2" t="s">
        <v>197</v>
      </c>
      <c r="J1375" s="2" t="s">
        <v>198</v>
      </c>
      <c r="K1375" s="2" t="s">
        <v>199</v>
      </c>
      <c r="L1375" s="2" t="s">
        <v>2883</v>
      </c>
      <c r="M1375" s="2" t="s">
        <v>87</v>
      </c>
      <c r="N1375" s="2" t="s">
        <v>88</v>
      </c>
      <c r="O1375" s="2">
        <v>14</v>
      </c>
      <c r="P1375" s="2">
        <v>14</v>
      </c>
      <c r="Q1375" s="4">
        <v>9050</v>
      </c>
      <c r="R1375" s="4">
        <v>9020</v>
      </c>
      <c r="S1375" s="4">
        <v>219</v>
      </c>
      <c r="T1375" s="19">
        <f>(ProductionData[[#This Row],[Rejected_Qty]])/ProductionData[[#This Row],[Produced_Qty]]</f>
        <v>2.4279379157427939E-2</v>
      </c>
      <c r="U1375" s="19">
        <f>ProductionData[[#This Row],[Produced_Qty]]/ProductionData[[#This Row],[Planned_Qty]]</f>
        <v>0.99668508287292823</v>
      </c>
      <c r="V1375" s="2" t="s">
        <v>109</v>
      </c>
      <c r="W1375" s="11">
        <v>58</v>
      </c>
      <c r="X1375" s="13">
        <f>W1375/60</f>
        <v>0.96666666666666667</v>
      </c>
      <c r="Y1375" s="2" t="s">
        <v>136</v>
      </c>
      <c r="Z1375" s="2">
        <v>38</v>
      </c>
      <c r="AA1375" s="2">
        <f>ProductionData[[#This Row],[Rejected_Qty]]*ProductionData[[#This Row],[Unit_Cost_INR]]</f>
        <v>8322</v>
      </c>
      <c r="AB1375" s="4">
        <v>39663</v>
      </c>
      <c r="AC1375" s="4">
        <v>8850</v>
      </c>
      <c r="AD1375" s="4">
        <v>8850</v>
      </c>
      <c r="AE1375" s="4">
        <v>39614</v>
      </c>
      <c r="AF1375" s="4">
        <v>13500</v>
      </c>
    </row>
    <row r="1376" spans="1:32">
      <c r="A1376" s="2" t="s">
        <v>2884</v>
      </c>
      <c r="B1376" s="3">
        <v>46260</v>
      </c>
      <c r="C1376" s="36" t="s">
        <v>2816</v>
      </c>
      <c r="D1376" s="2">
        <f>MONTH(ProductionData[[#This Row],[Month]])</f>
        <v>8</v>
      </c>
      <c r="E1376" s="2" t="s">
        <v>79</v>
      </c>
      <c r="F1376" s="2" t="s">
        <v>80</v>
      </c>
      <c r="G1376" s="2" t="s">
        <v>195</v>
      </c>
      <c r="H1376" s="2" t="s">
        <v>196</v>
      </c>
      <c r="I1376" s="2" t="s">
        <v>197</v>
      </c>
      <c r="J1376" s="2" t="s">
        <v>198</v>
      </c>
      <c r="K1376" s="2" t="s">
        <v>199</v>
      </c>
      <c r="L1376" s="2" t="s">
        <v>2885</v>
      </c>
      <c r="M1376" s="2" t="s">
        <v>102</v>
      </c>
      <c r="N1376" s="2" t="s">
        <v>96</v>
      </c>
      <c r="O1376" s="2">
        <v>14</v>
      </c>
      <c r="P1376" s="2">
        <v>14</v>
      </c>
      <c r="Q1376" s="4">
        <v>9120</v>
      </c>
      <c r="R1376" s="4">
        <v>9030</v>
      </c>
      <c r="S1376" s="4">
        <v>210</v>
      </c>
      <c r="T1376" s="19">
        <f>(ProductionData[[#This Row],[Rejected_Qty]])/ProductionData[[#This Row],[Produced_Qty]]</f>
        <v>2.3255813953488372E-2</v>
      </c>
      <c r="U1376" s="19">
        <f>ProductionData[[#This Row],[Produced_Qty]]/ProductionData[[#This Row],[Planned_Qty]]</f>
        <v>0.99013157894736847</v>
      </c>
      <c r="V1376" s="2" t="s">
        <v>75</v>
      </c>
      <c r="W1376" s="11">
        <v>0</v>
      </c>
      <c r="X1376" s="13">
        <f>W1376/60</f>
        <v>0</v>
      </c>
      <c r="Y1376" s="2" t="s">
        <v>90</v>
      </c>
      <c r="Z1376" s="2">
        <v>38</v>
      </c>
      <c r="AA1376" s="2">
        <f>ProductionData[[#This Row],[Rejected_Qty]]*ProductionData[[#This Row],[Unit_Cost_INR]]</f>
        <v>7980</v>
      </c>
      <c r="AB1376" s="4">
        <v>39969</v>
      </c>
      <c r="AC1376" s="4">
        <v>9320</v>
      </c>
      <c r="AD1376" s="4">
        <v>9320</v>
      </c>
      <c r="AE1376" s="4">
        <v>39469</v>
      </c>
      <c r="AF1376" s="4">
        <v>13500</v>
      </c>
    </row>
    <row r="1377" spans="1:32">
      <c r="A1377" s="2" t="s">
        <v>2886</v>
      </c>
      <c r="B1377" s="3">
        <v>46261</v>
      </c>
      <c r="C1377" s="36" t="s">
        <v>2816</v>
      </c>
      <c r="D1377" s="2">
        <f>MONTH(ProductionData[[#This Row],[Month]])</f>
        <v>8</v>
      </c>
      <c r="E1377" s="2" t="s">
        <v>107</v>
      </c>
      <c r="F1377" s="2" t="s">
        <v>93</v>
      </c>
      <c r="G1377" s="2" t="s">
        <v>81</v>
      </c>
      <c r="H1377" s="2" t="s">
        <v>82</v>
      </c>
      <c r="I1377" s="2" t="s">
        <v>83</v>
      </c>
      <c r="J1377" s="2" t="s">
        <v>84</v>
      </c>
      <c r="K1377" s="2" t="s">
        <v>85</v>
      </c>
      <c r="L1377" s="2" t="s">
        <v>2887</v>
      </c>
      <c r="M1377" s="2" t="s">
        <v>95</v>
      </c>
      <c r="N1377" s="2" t="s">
        <v>96</v>
      </c>
      <c r="O1377" s="2">
        <v>18</v>
      </c>
      <c r="P1377" s="2">
        <v>15</v>
      </c>
      <c r="Q1377" s="4">
        <v>9220</v>
      </c>
      <c r="R1377" s="4">
        <v>8160</v>
      </c>
      <c r="S1377" s="4">
        <v>187</v>
      </c>
      <c r="T1377" s="19">
        <f>(ProductionData[[#This Row],[Rejected_Qty]])/ProductionData[[#This Row],[Produced_Qty]]</f>
        <v>2.2916666666666665E-2</v>
      </c>
      <c r="U1377" s="19">
        <f>ProductionData[[#This Row],[Produced_Qty]]/ProductionData[[#This Row],[Planned_Qty]]</f>
        <v>0.88503253796095449</v>
      </c>
      <c r="V1377" s="2" t="s">
        <v>89</v>
      </c>
      <c r="W1377" s="11">
        <v>0</v>
      </c>
      <c r="X1377" s="13">
        <f>W1377/60</f>
        <v>0</v>
      </c>
      <c r="Y1377" s="2" t="s">
        <v>90</v>
      </c>
      <c r="Z1377" s="2">
        <v>18</v>
      </c>
      <c r="AA1377" s="2">
        <f>ProductionData[[#This Row],[Rejected_Qty]]*ProductionData[[#This Row],[Unit_Cost_INR]]</f>
        <v>3366</v>
      </c>
      <c r="AB1377" s="4">
        <v>38889</v>
      </c>
      <c r="AC1377" s="4">
        <v>7620</v>
      </c>
      <c r="AD1377" s="4">
        <v>7620</v>
      </c>
      <c r="AE1377" s="4">
        <v>39242</v>
      </c>
      <c r="AF1377" s="4">
        <v>15000</v>
      </c>
    </row>
    <row r="1378" spans="1:32">
      <c r="A1378" s="2" t="s">
        <v>2888</v>
      </c>
      <c r="B1378" s="3">
        <v>46262</v>
      </c>
      <c r="C1378" s="36" t="s">
        <v>2816</v>
      </c>
      <c r="D1378" s="2">
        <f>MONTH(ProductionData[[#This Row],[Month]])</f>
        <v>8</v>
      </c>
      <c r="E1378" s="2" t="s">
        <v>125</v>
      </c>
      <c r="F1378" s="2" t="s">
        <v>66</v>
      </c>
      <c r="G1378" s="2" t="s">
        <v>81</v>
      </c>
      <c r="H1378" s="2" t="s">
        <v>82</v>
      </c>
      <c r="I1378" s="2" t="s">
        <v>83</v>
      </c>
      <c r="J1378" s="2" t="s">
        <v>84</v>
      </c>
      <c r="K1378" s="2" t="s">
        <v>85</v>
      </c>
      <c r="L1378" s="2" t="s">
        <v>2889</v>
      </c>
      <c r="M1378" s="2" t="s">
        <v>73</v>
      </c>
      <c r="N1378" s="2" t="s">
        <v>88</v>
      </c>
      <c r="O1378" s="2">
        <v>18</v>
      </c>
      <c r="P1378" s="2">
        <v>17</v>
      </c>
      <c r="Q1378" s="4">
        <v>9750</v>
      </c>
      <c r="R1378" s="4">
        <v>9020</v>
      </c>
      <c r="S1378" s="4">
        <v>207</v>
      </c>
      <c r="T1378" s="19">
        <f>(ProductionData[[#This Row],[Rejected_Qty]])/ProductionData[[#This Row],[Produced_Qty]]</f>
        <v>2.29490022172949E-2</v>
      </c>
      <c r="U1378" s="19">
        <f>ProductionData[[#This Row],[Produced_Qty]]/ProductionData[[#This Row],[Planned_Qty]]</f>
        <v>0.92512820512820515</v>
      </c>
      <c r="V1378" s="2" t="s">
        <v>109</v>
      </c>
      <c r="W1378" s="11">
        <v>0</v>
      </c>
      <c r="X1378" s="13">
        <f>W1378/60</f>
        <v>0</v>
      </c>
      <c r="Y1378" s="2" t="s">
        <v>90</v>
      </c>
      <c r="Z1378" s="2">
        <v>18</v>
      </c>
      <c r="AA1378" s="2">
        <f>ProductionData[[#This Row],[Rejected_Qty]]*ProductionData[[#This Row],[Unit_Cost_INR]]</f>
        <v>3726</v>
      </c>
      <c r="AB1378" s="4">
        <v>39242</v>
      </c>
      <c r="AC1378" s="4">
        <v>8820</v>
      </c>
      <c r="AD1378" s="4">
        <v>8820</v>
      </c>
      <c r="AE1378" s="4">
        <v>39235</v>
      </c>
      <c r="AF1378" s="4">
        <v>15000</v>
      </c>
    </row>
    <row r="1379" spans="1:32">
      <c r="A1379" s="2" t="s">
        <v>2890</v>
      </c>
      <c r="B1379" s="3">
        <v>46251</v>
      </c>
      <c r="C1379" s="36" t="s">
        <v>2816</v>
      </c>
      <c r="D1379" s="2">
        <f>MONTH(ProductionData[[#This Row],[Month]])</f>
        <v>8</v>
      </c>
      <c r="E1379" s="2" t="s">
        <v>116</v>
      </c>
      <c r="F1379" s="2" t="s">
        <v>80</v>
      </c>
      <c r="G1379" s="2" t="s">
        <v>195</v>
      </c>
      <c r="H1379" s="2" t="s">
        <v>196</v>
      </c>
      <c r="I1379" s="2" t="s">
        <v>197</v>
      </c>
      <c r="J1379" s="2" t="s">
        <v>198</v>
      </c>
      <c r="K1379" s="2" t="s">
        <v>199</v>
      </c>
      <c r="L1379" s="2" t="s">
        <v>2891</v>
      </c>
      <c r="M1379" s="2" t="s">
        <v>102</v>
      </c>
      <c r="N1379" s="2" t="s">
        <v>88</v>
      </c>
      <c r="O1379" s="2">
        <v>14</v>
      </c>
      <c r="P1379" s="2">
        <v>14</v>
      </c>
      <c r="Q1379" s="4">
        <v>8780</v>
      </c>
      <c r="R1379" s="4">
        <v>8560</v>
      </c>
      <c r="S1379" s="4">
        <v>200</v>
      </c>
      <c r="T1379" s="19">
        <f>(ProductionData[[#This Row],[Rejected_Qty]])/ProductionData[[#This Row],[Produced_Qty]]</f>
        <v>2.336448598130841E-2</v>
      </c>
      <c r="U1379" s="19">
        <f>ProductionData[[#This Row],[Produced_Qty]]/ProductionData[[#This Row],[Planned_Qty]]</f>
        <v>0.97494305239179957</v>
      </c>
      <c r="V1379" s="2" t="s">
        <v>113</v>
      </c>
      <c r="W1379" s="11">
        <v>26</v>
      </c>
      <c r="X1379" s="13">
        <f>W1379/60</f>
        <v>0.43333333333333335</v>
      </c>
      <c r="Y1379" s="2" t="s">
        <v>182</v>
      </c>
      <c r="Z1379" s="2">
        <v>38</v>
      </c>
      <c r="AA1379" s="2">
        <f>ProductionData[[#This Row],[Rejected_Qty]]*ProductionData[[#This Row],[Unit_Cost_INR]]</f>
        <v>7600</v>
      </c>
      <c r="AB1379" s="4">
        <v>39069</v>
      </c>
      <c r="AC1379" s="4">
        <v>8220</v>
      </c>
      <c r="AD1379" s="4">
        <v>8220</v>
      </c>
      <c r="AE1379" s="4">
        <v>39209</v>
      </c>
      <c r="AF1379" s="4">
        <v>13500</v>
      </c>
    </row>
    <row r="1380" spans="1:32">
      <c r="A1380" s="2" t="s">
        <v>2892</v>
      </c>
      <c r="B1380" s="3">
        <v>46259</v>
      </c>
      <c r="C1380" s="36" t="s">
        <v>2816</v>
      </c>
      <c r="D1380" s="2">
        <f>MONTH(ProductionData[[#This Row],[Month]])</f>
        <v>8</v>
      </c>
      <c r="E1380" s="2" t="s">
        <v>92</v>
      </c>
      <c r="F1380" s="2" t="s">
        <v>93</v>
      </c>
      <c r="G1380" s="2" t="s">
        <v>195</v>
      </c>
      <c r="H1380" s="2" t="s">
        <v>196</v>
      </c>
      <c r="I1380" s="2" t="s">
        <v>197</v>
      </c>
      <c r="J1380" s="2" t="s">
        <v>198</v>
      </c>
      <c r="K1380" s="2" t="s">
        <v>199</v>
      </c>
      <c r="L1380" s="2" t="s">
        <v>2893</v>
      </c>
      <c r="M1380" s="2" t="s">
        <v>133</v>
      </c>
      <c r="N1380" s="2" t="s">
        <v>96</v>
      </c>
      <c r="O1380" s="2">
        <v>14</v>
      </c>
      <c r="P1380" s="2">
        <v>13</v>
      </c>
      <c r="Q1380" s="4">
        <v>8160</v>
      </c>
      <c r="R1380" s="4">
        <v>7880</v>
      </c>
      <c r="S1380" s="4">
        <v>197</v>
      </c>
      <c r="T1380" s="19">
        <f>(ProductionData[[#This Row],[Rejected_Qty]])/ProductionData[[#This Row],[Produced_Qty]]</f>
        <v>2.5000000000000001E-2</v>
      </c>
      <c r="U1380" s="19">
        <f>ProductionData[[#This Row],[Produced_Qty]]/ProductionData[[#This Row],[Planned_Qty]]</f>
        <v>0.96568627450980393</v>
      </c>
      <c r="V1380" s="2" t="s">
        <v>109</v>
      </c>
      <c r="W1380" s="11">
        <v>0</v>
      </c>
      <c r="X1380" s="13">
        <f>W1380/60</f>
        <v>0</v>
      </c>
      <c r="Y1380" s="2" t="s">
        <v>90</v>
      </c>
      <c r="Z1380" s="2">
        <v>38</v>
      </c>
      <c r="AA1380" s="2">
        <f>ProductionData[[#This Row],[Rejected_Qty]]*ProductionData[[#This Row],[Unit_Cost_INR]]</f>
        <v>7486</v>
      </c>
      <c r="AB1380" s="4">
        <v>39614</v>
      </c>
      <c r="AC1380" s="4">
        <v>8170</v>
      </c>
      <c r="AD1380" s="4">
        <v>8170</v>
      </c>
      <c r="AE1380" s="4">
        <v>39127</v>
      </c>
      <c r="AF1380" s="4">
        <v>13500</v>
      </c>
    </row>
    <row r="1381" spans="1:32">
      <c r="A1381" s="2" t="s">
        <v>2894</v>
      </c>
      <c r="B1381" s="3">
        <v>46256</v>
      </c>
      <c r="C1381" s="36" t="s">
        <v>2816</v>
      </c>
      <c r="D1381" s="2">
        <f>MONTH(ProductionData[[#This Row],[Month]])</f>
        <v>8</v>
      </c>
      <c r="E1381" s="2" t="s">
        <v>65</v>
      </c>
      <c r="F1381" s="2" t="s">
        <v>80</v>
      </c>
      <c r="G1381" s="2" t="s">
        <v>195</v>
      </c>
      <c r="H1381" s="2" t="s">
        <v>196</v>
      </c>
      <c r="I1381" s="2" t="s">
        <v>197</v>
      </c>
      <c r="J1381" s="2" t="s">
        <v>198</v>
      </c>
      <c r="K1381" s="2" t="s">
        <v>199</v>
      </c>
      <c r="L1381" s="2" t="s">
        <v>2895</v>
      </c>
      <c r="M1381" s="2" t="s">
        <v>102</v>
      </c>
      <c r="N1381" s="2" t="s">
        <v>88</v>
      </c>
      <c r="O1381" s="2">
        <v>14</v>
      </c>
      <c r="P1381" s="2">
        <v>14</v>
      </c>
      <c r="Q1381" s="4">
        <v>8930</v>
      </c>
      <c r="R1381" s="4">
        <v>8540</v>
      </c>
      <c r="S1381" s="4">
        <v>198</v>
      </c>
      <c r="T1381" s="19">
        <f>(ProductionData[[#This Row],[Rejected_Qty]])/ProductionData[[#This Row],[Produced_Qty]]</f>
        <v>2.3185011709601872E-2</v>
      </c>
      <c r="U1381" s="19">
        <f>ProductionData[[#This Row],[Produced_Qty]]/ProductionData[[#This Row],[Planned_Qty]]</f>
        <v>0.95632698768197089</v>
      </c>
      <c r="V1381" s="2" t="s">
        <v>109</v>
      </c>
      <c r="W1381" s="11">
        <v>0</v>
      </c>
      <c r="X1381" s="13">
        <f>W1381/60</f>
        <v>0</v>
      </c>
      <c r="Y1381" s="2" t="s">
        <v>90</v>
      </c>
      <c r="Z1381" s="2">
        <v>38</v>
      </c>
      <c r="AA1381" s="2">
        <f>ProductionData[[#This Row],[Rejected_Qty]]*ProductionData[[#This Row],[Unit_Cost_INR]]</f>
        <v>7524</v>
      </c>
      <c r="AB1381" s="4">
        <v>38929</v>
      </c>
      <c r="AC1381" s="4">
        <v>8150</v>
      </c>
      <c r="AD1381" s="4">
        <v>8150</v>
      </c>
      <c r="AE1381" s="4">
        <v>39121</v>
      </c>
      <c r="AF1381" s="4">
        <v>13500</v>
      </c>
    </row>
    <row r="1382" spans="1:32">
      <c r="A1382" s="2" t="s">
        <v>2896</v>
      </c>
      <c r="B1382" s="3">
        <v>46259</v>
      </c>
      <c r="C1382" s="36" t="s">
        <v>2816</v>
      </c>
      <c r="D1382" s="2">
        <f>MONTH(ProductionData[[#This Row],[Month]])</f>
        <v>8</v>
      </c>
      <c r="E1382" s="2" t="s">
        <v>92</v>
      </c>
      <c r="F1382" s="2" t="s">
        <v>80</v>
      </c>
      <c r="G1382" s="2" t="s">
        <v>81</v>
      </c>
      <c r="H1382" s="2" t="s">
        <v>82</v>
      </c>
      <c r="I1382" s="2" t="s">
        <v>83</v>
      </c>
      <c r="J1382" s="2" t="s">
        <v>84</v>
      </c>
      <c r="K1382" s="2" t="s">
        <v>85</v>
      </c>
      <c r="L1382" s="2" t="s">
        <v>2897</v>
      </c>
      <c r="M1382" s="2" t="s">
        <v>87</v>
      </c>
      <c r="N1382" s="2" t="s">
        <v>96</v>
      </c>
      <c r="O1382" s="2">
        <v>18</v>
      </c>
      <c r="P1382" s="2">
        <v>15</v>
      </c>
      <c r="Q1382" s="4">
        <v>9490</v>
      </c>
      <c r="R1382" s="4">
        <v>8720</v>
      </c>
      <c r="S1382" s="4">
        <v>190</v>
      </c>
      <c r="T1382" s="19">
        <f>(ProductionData[[#This Row],[Rejected_Qty]])/ProductionData[[#This Row],[Produced_Qty]]</f>
        <v>2.1788990825688075E-2</v>
      </c>
      <c r="U1382" s="19">
        <f>ProductionData[[#This Row],[Produced_Qty]]/ProductionData[[#This Row],[Planned_Qty]]</f>
        <v>0.91886195995785036</v>
      </c>
      <c r="V1382" s="2" t="s">
        <v>113</v>
      </c>
      <c r="W1382" s="11">
        <v>0</v>
      </c>
      <c r="X1382" s="13">
        <f>W1382/60</f>
        <v>0</v>
      </c>
      <c r="Y1382" s="2" t="s">
        <v>90</v>
      </c>
      <c r="Z1382" s="2">
        <v>18</v>
      </c>
      <c r="AA1382" s="2">
        <f>ProductionData[[#This Row],[Rejected_Qty]]*ProductionData[[#This Row],[Unit_Cost_INR]]</f>
        <v>3420</v>
      </c>
      <c r="AB1382" s="4">
        <v>39897</v>
      </c>
      <c r="AC1382" s="4">
        <v>9350</v>
      </c>
      <c r="AD1382" s="4">
        <v>9350</v>
      </c>
      <c r="AE1382" s="4">
        <v>39077</v>
      </c>
      <c r="AF1382" s="4">
        <v>15000</v>
      </c>
    </row>
    <row r="1383" spans="1:32">
      <c r="A1383" s="2" t="s">
        <v>2898</v>
      </c>
      <c r="B1383" s="3">
        <v>46250</v>
      </c>
      <c r="C1383" s="36" t="s">
        <v>2816</v>
      </c>
      <c r="D1383" s="2">
        <f>MONTH(ProductionData[[#This Row],[Month]])</f>
        <v>8</v>
      </c>
      <c r="E1383" s="2" t="s">
        <v>186</v>
      </c>
      <c r="F1383" s="2" t="s">
        <v>80</v>
      </c>
      <c r="G1383" s="2" t="s">
        <v>195</v>
      </c>
      <c r="H1383" s="2" t="s">
        <v>196</v>
      </c>
      <c r="I1383" s="2" t="s">
        <v>197</v>
      </c>
      <c r="J1383" s="2" t="s">
        <v>198</v>
      </c>
      <c r="K1383" s="2" t="s">
        <v>199</v>
      </c>
      <c r="L1383" s="2" t="s">
        <v>2899</v>
      </c>
      <c r="M1383" s="2" t="s">
        <v>87</v>
      </c>
      <c r="N1383" s="2" t="s">
        <v>96</v>
      </c>
      <c r="O1383" s="2">
        <v>14</v>
      </c>
      <c r="P1383" s="2">
        <v>14</v>
      </c>
      <c r="Q1383" s="4">
        <v>6480</v>
      </c>
      <c r="R1383" s="4">
        <v>6560</v>
      </c>
      <c r="S1383" s="4">
        <v>174</v>
      </c>
      <c r="T1383" s="19">
        <f>(ProductionData[[#This Row],[Rejected_Qty]])/ProductionData[[#This Row],[Produced_Qty]]</f>
        <v>2.6524390243902438E-2</v>
      </c>
      <c r="U1383" s="19">
        <f>ProductionData[[#This Row],[Produced_Qty]]/ProductionData[[#This Row],[Planned_Qty]]</f>
        <v>1.0123456790123457</v>
      </c>
      <c r="V1383" s="2" t="s">
        <v>103</v>
      </c>
      <c r="W1383" s="11">
        <v>55</v>
      </c>
      <c r="X1383" s="13">
        <f>W1383/60</f>
        <v>0.91666666666666663</v>
      </c>
      <c r="Y1383" s="2" t="s">
        <v>110</v>
      </c>
      <c r="Z1383" s="2">
        <v>38</v>
      </c>
      <c r="AA1383" s="2">
        <f>ProductionData[[#This Row],[Rejected_Qty]]*ProductionData[[#This Row],[Unit_Cost_INR]]</f>
        <v>6612</v>
      </c>
      <c r="AB1383" s="4">
        <v>38813</v>
      </c>
      <c r="AC1383" s="4">
        <v>6130</v>
      </c>
      <c r="AD1383" s="4">
        <v>6130</v>
      </c>
      <c r="AE1383" s="4">
        <v>39069</v>
      </c>
      <c r="AF1383" s="4">
        <v>13500</v>
      </c>
    </row>
    <row r="1384" spans="1:32">
      <c r="A1384" s="2" t="s">
        <v>2900</v>
      </c>
      <c r="B1384" s="3">
        <v>46245</v>
      </c>
      <c r="C1384" s="36" t="s">
        <v>2816</v>
      </c>
      <c r="D1384" s="2">
        <f>MONTH(ProductionData[[#This Row],[Month]])</f>
        <v>8</v>
      </c>
      <c r="E1384" s="2" t="s">
        <v>92</v>
      </c>
      <c r="F1384" s="2" t="s">
        <v>93</v>
      </c>
      <c r="G1384" s="2" t="s">
        <v>195</v>
      </c>
      <c r="H1384" s="2" t="s">
        <v>196</v>
      </c>
      <c r="I1384" s="2" t="s">
        <v>197</v>
      </c>
      <c r="J1384" s="2" t="s">
        <v>198</v>
      </c>
      <c r="K1384" s="2" t="s">
        <v>199</v>
      </c>
      <c r="L1384" s="2" t="s">
        <v>2901</v>
      </c>
      <c r="M1384" s="2" t="s">
        <v>95</v>
      </c>
      <c r="N1384" s="2" t="s">
        <v>88</v>
      </c>
      <c r="O1384" s="2">
        <v>14</v>
      </c>
      <c r="P1384" s="2">
        <v>13</v>
      </c>
      <c r="Q1384" s="4">
        <v>8000</v>
      </c>
      <c r="R1384" s="4">
        <v>7420</v>
      </c>
      <c r="S1384" s="4">
        <v>158</v>
      </c>
      <c r="T1384" s="19">
        <f>(ProductionData[[#This Row],[Rejected_Qty]])/ProductionData[[#This Row],[Produced_Qty]]</f>
        <v>2.1293800539083557E-2</v>
      </c>
      <c r="U1384" s="19">
        <f>ProductionData[[#This Row],[Produced_Qty]]/ProductionData[[#This Row],[Planned_Qty]]</f>
        <v>0.92749999999999999</v>
      </c>
      <c r="V1384" s="2" t="s">
        <v>113</v>
      </c>
      <c r="W1384" s="11">
        <v>0</v>
      </c>
      <c r="X1384" s="13">
        <f>W1384/60</f>
        <v>0</v>
      </c>
      <c r="Y1384" s="2" t="s">
        <v>90</v>
      </c>
      <c r="Z1384" s="2">
        <v>38</v>
      </c>
      <c r="AA1384" s="2">
        <f>ProductionData[[#This Row],[Rejected_Qty]]*ProductionData[[#This Row],[Unit_Cost_INR]]</f>
        <v>6004</v>
      </c>
      <c r="AB1384" s="4">
        <v>38759</v>
      </c>
      <c r="AC1384" s="4">
        <v>6960</v>
      </c>
      <c r="AD1384" s="4">
        <v>6960</v>
      </c>
      <c r="AE1384" s="4">
        <v>39061</v>
      </c>
      <c r="AF1384" s="4">
        <v>13500</v>
      </c>
    </row>
    <row r="1385" spans="1:32">
      <c r="A1385" s="2" t="s">
        <v>2902</v>
      </c>
      <c r="B1385" s="3">
        <v>46246</v>
      </c>
      <c r="C1385" s="36" t="s">
        <v>2816</v>
      </c>
      <c r="D1385" s="2">
        <f>MONTH(ProductionData[[#This Row],[Month]])</f>
        <v>8</v>
      </c>
      <c r="E1385" s="2" t="s">
        <v>79</v>
      </c>
      <c r="F1385" s="2" t="s">
        <v>66</v>
      </c>
      <c r="G1385" s="2" t="s">
        <v>195</v>
      </c>
      <c r="H1385" s="2" t="s">
        <v>196</v>
      </c>
      <c r="I1385" s="2" t="s">
        <v>197</v>
      </c>
      <c r="J1385" s="2" t="s">
        <v>198</v>
      </c>
      <c r="K1385" s="2" t="s">
        <v>199</v>
      </c>
      <c r="L1385" s="2" t="s">
        <v>2903</v>
      </c>
      <c r="M1385" s="2" t="s">
        <v>73</v>
      </c>
      <c r="N1385" s="2" t="s">
        <v>88</v>
      </c>
      <c r="O1385" s="2">
        <v>14</v>
      </c>
      <c r="P1385" s="2">
        <v>12</v>
      </c>
      <c r="Q1385" s="4">
        <v>9630</v>
      </c>
      <c r="R1385" s="4">
        <v>9110</v>
      </c>
      <c r="S1385" s="4">
        <v>210</v>
      </c>
      <c r="T1385" s="19">
        <f>(ProductionData[[#This Row],[Rejected_Qty]])/ProductionData[[#This Row],[Produced_Qty]]</f>
        <v>2.3051591657519209E-2</v>
      </c>
      <c r="U1385" s="19">
        <f>ProductionData[[#This Row],[Produced_Qty]]/ProductionData[[#This Row],[Planned_Qty]]</f>
        <v>0.94600207684319837</v>
      </c>
      <c r="V1385" s="2" t="s">
        <v>75</v>
      </c>
      <c r="W1385" s="11">
        <v>0</v>
      </c>
      <c r="X1385" s="13">
        <f>W1385/60</f>
        <v>0</v>
      </c>
      <c r="Y1385" s="2" t="s">
        <v>90</v>
      </c>
      <c r="Z1385" s="2">
        <v>38</v>
      </c>
      <c r="AA1385" s="2">
        <f>ProductionData[[#This Row],[Rejected_Qty]]*ProductionData[[#This Row],[Unit_Cost_INR]]</f>
        <v>7980</v>
      </c>
      <c r="AB1385" s="4">
        <v>39061</v>
      </c>
      <c r="AC1385" s="4">
        <v>8980</v>
      </c>
      <c r="AD1385" s="4">
        <v>8980</v>
      </c>
      <c r="AE1385" s="4">
        <v>38981</v>
      </c>
      <c r="AF1385" s="4">
        <v>13500</v>
      </c>
    </row>
    <row r="1386" spans="1:32">
      <c r="A1386" s="2" t="s">
        <v>2904</v>
      </c>
      <c r="B1386" s="3">
        <v>46256</v>
      </c>
      <c r="C1386" s="36" t="s">
        <v>2816</v>
      </c>
      <c r="D1386" s="2">
        <f>MONTH(ProductionData[[#This Row],[Month]])</f>
        <v>8</v>
      </c>
      <c r="E1386" s="2" t="s">
        <v>65</v>
      </c>
      <c r="F1386" s="2" t="s">
        <v>66</v>
      </c>
      <c r="G1386" s="2" t="s">
        <v>195</v>
      </c>
      <c r="H1386" s="2" t="s">
        <v>196</v>
      </c>
      <c r="I1386" s="2" t="s">
        <v>197</v>
      </c>
      <c r="J1386" s="2" t="s">
        <v>198</v>
      </c>
      <c r="K1386" s="2" t="s">
        <v>199</v>
      </c>
      <c r="L1386" s="2" t="s">
        <v>2905</v>
      </c>
      <c r="M1386" s="2" t="s">
        <v>73</v>
      </c>
      <c r="N1386" s="2" t="s">
        <v>96</v>
      </c>
      <c r="O1386" s="2">
        <v>14</v>
      </c>
      <c r="P1386" s="2">
        <v>13</v>
      </c>
      <c r="Q1386" s="4">
        <v>9160</v>
      </c>
      <c r="R1386" s="4">
        <v>8770</v>
      </c>
      <c r="S1386" s="4">
        <v>269</v>
      </c>
      <c r="T1386" s="19">
        <f>(ProductionData[[#This Row],[Rejected_Qty]])/ProductionData[[#This Row],[Produced_Qty]]</f>
        <v>3.0672748004561004E-2</v>
      </c>
      <c r="U1386" s="19">
        <f>ProductionData[[#This Row],[Produced_Qty]]/ProductionData[[#This Row],[Planned_Qty]]</f>
        <v>0.95742358078602618</v>
      </c>
      <c r="V1386" s="2" t="s">
        <v>75</v>
      </c>
      <c r="W1386" s="11">
        <v>41</v>
      </c>
      <c r="X1386" s="13">
        <f>W1386/60</f>
        <v>0.68333333333333335</v>
      </c>
      <c r="Y1386" s="2" t="s">
        <v>136</v>
      </c>
      <c r="Z1386" s="2">
        <v>38</v>
      </c>
      <c r="AA1386" s="2">
        <f>ProductionData[[#This Row],[Rejected_Qty]]*ProductionData[[#This Row],[Unit_Cost_INR]]</f>
        <v>10222</v>
      </c>
      <c r="AB1386" s="4">
        <v>38668</v>
      </c>
      <c r="AC1386" s="4">
        <v>8240</v>
      </c>
      <c r="AD1386" s="4">
        <v>8240</v>
      </c>
      <c r="AE1386" s="4">
        <v>38929</v>
      </c>
      <c r="AF1386" s="4">
        <v>13500</v>
      </c>
    </row>
    <row r="1387" spans="1:32">
      <c r="A1387" s="2" t="s">
        <v>2906</v>
      </c>
      <c r="B1387" s="3">
        <v>46261</v>
      </c>
      <c r="C1387" s="36" t="s">
        <v>2816</v>
      </c>
      <c r="D1387" s="2">
        <f>MONTH(ProductionData[[#This Row],[Month]])</f>
        <v>8</v>
      </c>
      <c r="E1387" s="2" t="s">
        <v>107</v>
      </c>
      <c r="F1387" s="2" t="s">
        <v>66</v>
      </c>
      <c r="G1387" s="2" t="s">
        <v>81</v>
      </c>
      <c r="H1387" s="2" t="s">
        <v>82</v>
      </c>
      <c r="I1387" s="2" t="s">
        <v>83</v>
      </c>
      <c r="J1387" s="2" t="s">
        <v>84</v>
      </c>
      <c r="K1387" s="2" t="s">
        <v>85</v>
      </c>
      <c r="L1387" s="2" t="s">
        <v>2907</v>
      </c>
      <c r="M1387" s="2" t="s">
        <v>99</v>
      </c>
      <c r="N1387" s="2" t="s">
        <v>88</v>
      </c>
      <c r="O1387" s="2">
        <v>18</v>
      </c>
      <c r="P1387" s="2">
        <v>16</v>
      </c>
      <c r="Q1387" s="4">
        <v>9610</v>
      </c>
      <c r="R1387" s="4">
        <v>8380</v>
      </c>
      <c r="S1387" s="4">
        <v>63</v>
      </c>
      <c r="T1387" s="19">
        <f>(ProductionData[[#This Row],[Rejected_Qty]])/ProductionData[[#This Row],[Produced_Qty]]</f>
        <v>7.5178997613365153E-3</v>
      </c>
      <c r="U1387" s="19">
        <f>ProductionData[[#This Row],[Produced_Qty]]/ProductionData[[#This Row],[Planned_Qty]]</f>
        <v>0.87200832466181066</v>
      </c>
      <c r="V1387" s="2" t="s">
        <v>89</v>
      </c>
      <c r="W1387" s="11">
        <v>68</v>
      </c>
      <c r="X1387" s="13">
        <f>W1387/60</f>
        <v>1.1333333333333333</v>
      </c>
      <c r="Y1387" s="2" t="s">
        <v>110</v>
      </c>
      <c r="Z1387" s="2">
        <v>18</v>
      </c>
      <c r="AA1387" s="2">
        <f>ProductionData[[#This Row],[Rejected_Qty]]*ProductionData[[#This Row],[Unit_Cost_INR]]</f>
        <v>1134</v>
      </c>
      <c r="AB1387" s="4">
        <v>39702</v>
      </c>
      <c r="AC1387" s="4">
        <v>9130</v>
      </c>
      <c r="AD1387" s="4">
        <v>9130</v>
      </c>
      <c r="AE1387" s="4">
        <v>38889</v>
      </c>
      <c r="AF1387" s="4">
        <v>15000</v>
      </c>
    </row>
    <row r="1388" spans="1:32">
      <c r="A1388" s="2" t="s">
        <v>2908</v>
      </c>
      <c r="B1388" s="3">
        <v>46249</v>
      </c>
      <c r="C1388" s="36" t="s">
        <v>2816</v>
      </c>
      <c r="D1388" s="2">
        <f>MONTH(ProductionData[[#This Row],[Month]])</f>
        <v>8</v>
      </c>
      <c r="E1388" s="2" t="s">
        <v>65</v>
      </c>
      <c r="F1388" s="2" t="s">
        <v>66</v>
      </c>
      <c r="G1388" s="2" t="s">
        <v>195</v>
      </c>
      <c r="H1388" s="2" t="s">
        <v>196</v>
      </c>
      <c r="I1388" s="2" t="s">
        <v>197</v>
      </c>
      <c r="J1388" s="2" t="s">
        <v>198</v>
      </c>
      <c r="K1388" s="2" t="s">
        <v>199</v>
      </c>
      <c r="L1388" s="2" t="s">
        <v>2909</v>
      </c>
      <c r="M1388" s="2" t="s">
        <v>99</v>
      </c>
      <c r="N1388" s="2" t="s">
        <v>88</v>
      </c>
      <c r="O1388" s="2">
        <v>14</v>
      </c>
      <c r="P1388" s="2">
        <v>14</v>
      </c>
      <c r="Q1388" s="4">
        <v>9260</v>
      </c>
      <c r="R1388" s="4">
        <v>9170</v>
      </c>
      <c r="S1388" s="4">
        <v>338</v>
      </c>
      <c r="T1388" s="19">
        <f>(ProductionData[[#This Row],[Rejected_Qty]])/ProductionData[[#This Row],[Produced_Qty]]</f>
        <v>3.6859323882224647E-2</v>
      </c>
      <c r="U1388" s="19">
        <f>ProductionData[[#This Row],[Produced_Qty]]/ProductionData[[#This Row],[Planned_Qty]]</f>
        <v>0.99028077753779697</v>
      </c>
      <c r="V1388" s="2" t="s">
        <v>113</v>
      </c>
      <c r="W1388" s="11">
        <v>0</v>
      </c>
      <c r="X1388" s="13">
        <f>W1388/60</f>
        <v>0</v>
      </c>
      <c r="Y1388" s="2" t="s">
        <v>90</v>
      </c>
      <c r="Z1388" s="2">
        <v>38</v>
      </c>
      <c r="AA1388" s="2">
        <f>ProductionData[[#This Row],[Rejected_Qty]]*ProductionData[[#This Row],[Unit_Cost_INR]]</f>
        <v>12844</v>
      </c>
      <c r="AB1388" s="4">
        <v>38981</v>
      </c>
      <c r="AC1388" s="4">
        <v>9000</v>
      </c>
      <c r="AD1388" s="4">
        <v>9000</v>
      </c>
      <c r="AE1388" s="4">
        <v>38813</v>
      </c>
      <c r="AF1388" s="4">
        <v>13500</v>
      </c>
    </row>
    <row r="1389" spans="1:32">
      <c r="A1389" s="2" t="s">
        <v>2910</v>
      </c>
      <c r="B1389" s="3">
        <v>46253</v>
      </c>
      <c r="C1389" s="36" t="s">
        <v>2816</v>
      </c>
      <c r="D1389" s="2">
        <f>MONTH(ProductionData[[#This Row],[Month]])</f>
        <v>8</v>
      </c>
      <c r="E1389" s="2" t="s">
        <v>79</v>
      </c>
      <c r="F1389" s="2" t="s">
        <v>93</v>
      </c>
      <c r="G1389" s="2" t="s">
        <v>195</v>
      </c>
      <c r="H1389" s="2" t="s">
        <v>196</v>
      </c>
      <c r="I1389" s="2" t="s">
        <v>197</v>
      </c>
      <c r="J1389" s="2" t="s">
        <v>198</v>
      </c>
      <c r="K1389" s="2" t="s">
        <v>199</v>
      </c>
      <c r="L1389" s="2" t="s">
        <v>2911</v>
      </c>
      <c r="M1389" s="2" t="s">
        <v>133</v>
      </c>
      <c r="N1389" s="2" t="s">
        <v>96</v>
      </c>
      <c r="O1389" s="2">
        <v>14</v>
      </c>
      <c r="P1389" s="2">
        <v>13</v>
      </c>
      <c r="Q1389" s="4">
        <v>8610</v>
      </c>
      <c r="R1389" s="4">
        <v>7720</v>
      </c>
      <c r="S1389" s="4">
        <v>211</v>
      </c>
      <c r="T1389" s="19">
        <f>(ProductionData[[#This Row],[Rejected_Qty]])/ProductionData[[#This Row],[Produced_Qty]]</f>
        <v>2.7331606217616579E-2</v>
      </c>
      <c r="U1389" s="19">
        <f>ProductionData[[#This Row],[Produced_Qty]]/ProductionData[[#This Row],[Planned_Qty]]</f>
        <v>0.89663182346109171</v>
      </c>
      <c r="V1389" s="2" t="s">
        <v>113</v>
      </c>
      <c r="W1389" s="11">
        <v>38</v>
      </c>
      <c r="X1389" s="13">
        <f>W1389/60</f>
        <v>0.6333333333333333</v>
      </c>
      <c r="Y1389" s="2" t="s">
        <v>76</v>
      </c>
      <c r="Z1389" s="2">
        <v>38</v>
      </c>
      <c r="AA1389" s="2">
        <f>ProductionData[[#This Row],[Rejected_Qty]]*ProductionData[[#This Row],[Unit_Cost_INR]]</f>
        <v>8018</v>
      </c>
      <c r="AB1389" s="4">
        <v>40153</v>
      </c>
      <c r="AC1389" s="4">
        <v>8850</v>
      </c>
      <c r="AD1389" s="4">
        <v>8850</v>
      </c>
      <c r="AE1389" s="4">
        <v>38812</v>
      </c>
      <c r="AF1389" s="4">
        <v>13500</v>
      </c>
    </row>
    <row r="1390" spans="1:32">
      <c r="A1390" s="2" t="s">
        <v>2912</v>
      </c>
      <c r="B1390" s="3">
        <v>46245</v>
      </c>
      <c r="C1390" s="36" t="s">
        <v>2816</v>
      </c>
      <c r="D1390" s="2">
        <f>MONTH(ProductionData[[#This Row],[Month]])</f>
        <v>8</v>
      </c>
      <c r="E1390" s="2" t="s">
        <v>92</v>
      </c>
      <c r="F1390" s="2" t="s">
        <v>66</v>
      </c>
      <c r="G1390" s="2" t="s">
        <v>195</v>
      </c>
      <c r="H1390" s="2" t="s">
        <v>196</v>
      </c>
      <c r="I1390" s="2" t="s">
        <v>197</v>
      </c>
      <c r="J1390" s="2" t="s">
        <v>198</v>
      </c>
      <c r="K1390" s="2" t="s">
        <v>199</v>
      </c>
      <c r="L1390" s="2" t="s">
        <v>2913</v>
      </c>
      <c r="M1390" s="2" t="s">
        <v>73</v>
      </c>
      <c r="N1390" s="2" t="s">
        <v>96</v>
      </c>
      <c r="O1390" s="2">
        <v>14</v>
      </c>
      <c r="P1390" s="2">
        <v>14</v>
      </c>
      <c r="Q1390" s="4">
        <v>9670</v>
      </c>
      <c r="R1390" s="4">
        <v>9320</v>
      </c>
      <c r="S1390" s="4">
        <v>271</v>
      </c>
      <c r="T1390" s="19">
        <f>(ProductionData[[#This Row],[Rejected_Qty]])/ProductionData[[#This Row],[Produced_Qty]]</f>
        <v>2.907725321888412E-2</v>
      </c>
      <c r="U1390" s="19">
        <f>ProductionData[[#This Row],[Produced_Qty]]/ProductionData[[#This Row],[Planned_Qty]]</f>
        <v>0.96380558428128227</v>
      </c>
      <c r="V1390" s="2" t="s">
        <v>109</v>
      </c>
      <c r="W1390" s="11">
        <v>0</v>
      </c>
      <c r="X1390" s="13">
        <f>W1390/60</f>
        <v>0</v>
      </c>
      <c r="Y1390" s="2" t="s">
        <v>90</v>
      </c>
      <c r="Z1390" s="2">
        <v>38</v>
      </c>
      <c r="AA1390" s="2">
        <f>ProductionData[[#This Row],[Rejected_Qty]]*ProductionData[[#This Row],[Unit_Cost_INR]]</f>
        <v>10298</v>
      </c>
      <c r="AB1390" s="4">
        <v>37240</v>
      </c>
      <c r="AC1390" s="4">
        <v>7530</v>
      </c>
      <c r="AD1390" s="4">
        <v>7530</v>
      </c>
      <c r="AE1390" s="4">
        <v>38759</v>
      </c>
      <c r="AF1390" s="4">
        <v>13500</v>
      </c>
    </row>
    <row r="1391" spans="1:32">
      <c r="A1391" s="2" t="s">
        <v>2914</v>
      </c>
      <c r="B1391" s="3">
        <v>46255</v>
      </c>
      <c r="C1391" s="36" t="s">
        <v>2816</v>
      </c>
      <c r="D1391" s="2">
        <f>MONTH(ProductionData[[#This Row],[Month]])</f>
        <v>8</v>
      </c>
      <c r="E1391" s="2" t="s">
        <v>125</v>
      </c>
      <c r="F1391" s="2" t="s">
        <v>93</v>
      </c>
      <c r="G1391" s="2" t="s">
        <v>195</v>
      </c>
      <c r="H1391" s="2" t="s">
        <v>196</v>
      </c>
      <c r="I1391" s="2" t="s">
        <v>197</v>
      </c>
      <c r="J1391" s="2" t="s">
        <v>198</v>
      </c>
      <c r="K1391" s="2" t="s">
        <v>199</v>
      </c>
      <c r="L1391" s="2" t="s">
        <v>2915</v>
      </c>
      <c r="M1391" s="2" t="s">
        <v>95</v>
      </c>
      <c r="N1391" s="2" t="s">
        <v>88</v>
      </c>
      <c r="O1391" s="2">
        <v>14</v>
      </c>
      <c r="P1391" s="2">
        <v>11</v>
      </c>
      <c r="Q1391" s="4">
        <v>8750</v>
      </c>
      <c r="R1391" s="4">
        <v>7120</v>
      </c>
      <c r="S1391" s="4">
        <v>202</v>
      </c>
      <c r="T1391" s="19">
        <f>(ProductionData[[#This Row],[Rejected_Qty]])/ProductionData[[#This Row],[Produced_Qty]]</f>
        <v>2.8370786516853933E-2</v>
      </c>
      <c r="U1391" s="19">
        <f>ProductionData[[#This Row],[Produced_Qty]]/ProductionData[[#This Row],[Planned_Qty]]</f>
        <v>0.81371428571428572</v>
      </c>
      <c r="V1391" s="2" t="s">
        <v>75</v>
      </c>
      <c r="W1391" s="11">
        <v>0</v>
      </c>
      <c r="X1391" s="13">
        <f>W1391/60</f>
        <v>0</v>
      </c>
      <c r="Y1391" s="2" t="s">
        <v>90</v>
      </c>
      <c r="Z1391" s="2">
        <v>38</v>
      </c>
      <c r="AA1391" s="2">
        <f>ProductionData[[#This Row],[Rejected_Qty]]*ProductionData[[#This Row],[Unit_Cost_INR]]</f>
        <v>7676</v>
      </c>
      <c r="AB1391" s="4">
        <v>40130</v>
      </c>
      <c r="AC1391" s="4">
        <v>8380</v>
      </c>
      <c r="AD1391" s="4">
        <v>8380</v>
      </c>
      <c r="AE1391" s="4">
        <v>38668</v>
      </c>
      <c r="AF1391" s="4">
        <v>13500</v>
      </c>
    </row>
    <row r="1392" spans="1:32">
      <c r="A1392" s="2" t="s">
        <v>2916</v>
      </c>
      <c r="B1392" s="3">
        <v>46262</v>
      </c>
      <c r="C1392" s="36" t="s">
        <v>2816</v>
      </c>
      <c r="D1392" s="2">
        <f>MONTH(ProductionData[[#This Row],[Month]])</f>
        <v>8</v>
      </c>
      <c r="E1392" s="2" t="s">
        <v>125</v>
      </c>
      <c r="F1392" s="2" t="s">
        <v>66</v>
      </c>
      <c r="G1392" s="2" t="s">
        <v>174</v>
      </c>
      <c r="H1392" s="2" t="s">
        <v>175</v>
      </c>
      <c r="I1392" s="2" t="s">
        <v>176</v>
      </c>
      <c r="J1392" s="2" t="s">
        <v>443</v>
      </c>
      <c r="K1392" s="2" t="s">
        <v>444</v>
      </c>
      <c r="L1392" s="2" t="s">
        <v>2917</v>
      </c>
      <c r="M1392" s="2" t="s">
        <v>99</v>
      </c>
      <c r="N1392" s="2" t="s">
        <v>88</v>
      </c>
      <c r="O1392" s="2">
        <v>10</v>
      </c>
      <c r="P1392" s="2">
        <v>10</v>
      </c>
      <c r="Q1392" s="4">
        <v>5700</v>
      </c>
      <c r="R1392" s="4">
        <v>5430</v>
      </c>
      <c r="S1392" s="4">
        <v>167</v>
      </c>
      <c r="T1392" s="19">
        <f>(ProductionData[[#This Row],[Rejected_Qty]])/ProductionData[[#This Row],[Produced_Qty]]</f>
        <v>3.0755064456721916E-2</v>
      </c>
      <c r="U1392" s="19">
        <f>ProductionData[[#This Row],[Produced_Qty]]/ProductionData[[#This Row],[Planned_Qty]]</f>
        <v>0.95263157894736838</v>
      </c>
      <c r="V1392" s="2" t="s">
        <v>103</v>
      </c>
      <c r="W1392" s="11">
        <v>65</v>
      </c>
      <c r="X1392" s="13">
        <f>W1392/60</f>
        <v>1.0833333333333333</v>
      </c>
      <c r="Y1392" s="2" t="s">
        <v>110</v>
      </c>
      <c r="Z1392" s="2">
        <v>33</v>
      </c>
      <c r="AA1392" s="2">
        <f>ProductionData[[#This Row],[Rejected_Qty]]*ProductionData[[#This Row],[Unit_Cost_INR]]</f>
        <v>5511</v>
      </c>
      <c r="AB1392" s="4">
        <v>38092</v>
      </c>
      <c r="AC1392" s="4">
        <v>4990</v>
      </c>
      <c r="AD1392" s="4">
        <v>4990</v>
      </c>
      <c r="AE1392" s="4">
        <v>38365</v>
      </c>
      <c r="AF1392" s="4">
        <v>9750</v>
      </c>
    </row>
    <row r="1393" spans="1:32">
      <c r="A1393" s="2" t="s">
        <v>2918</v>
      </c>
      <c r="B1393" s="3">
        <v>46262</v>
      </c>
      <c r="C1393" s="36" t="s">
        <v>2816</v>
      </c>
      <c r="D1393" s="2">
        <f>MONTH(ProductionData[[#This Row],[Month]])</f>
        <v>8</v>
      </c>
      <c r="E1393" s="2" t="s">
        <v>125</v>
      </c>
      <c r="F1393" s="2" t="s">
        <v>80</v>
      </c>
      <c r="G1393" s="2" t="s">
        <v>174</v>
      </c>
      <c r="H1393" s="2" t="s">
        <v>175</v>
      </c>
      <c r="I1393" s="2" t="s">
        <v>176</v>
      </c>
      <c r="J1393" s="2" t="s">
        <v>443</v>
      </c>
      <c r="K1393" s="2" t="s">
        <v>444</v>
      </c>
      <c r="L1393" s="2" t="s">
        <v>2919</v>
      </c>
      <c r="M1393" s="2" t="s">
        <v>87</v>
      </c>
      <c r="N1393" s="2" t="s">
        <v>96</v>
      </c>
      <c r="O1393" s="2">
        <v>10</v>
      </c>
      <c r="P1393" s="2">
        <v>10</v>
      </c>
      <c r="Q1393" s="4">
        <v>5290</v>
      </c>
      <c r="R1393" s="4">
        <v>5140</v>
      </c>
      <c r="S1393" s="4">
        <v>102</v>
      </c>
      <c r="T1393" s="19">
        <f>(ProductionData[[#This Row],[Rejected_Qty]])/ProductionData[[#This Row],[Produced_Qty]]</f>
        <v>1.9844357976653695E-2</v>
      </c>
      <c r="U1393" s="19">
        <f>ProductionData[[#This Row],[Produced_Qty]]/ProductionData[[#This Row],[Planned_Qty]]</f>
        <v>0.97164461247637046</v>
      </c>
      <c r="V1393" s="2" t="s">
        <v>113</v>
      </c>
      <c r="W1393" s="11">
        <v>0</v>
      </c>
      <c r="X1393" s="13">
        <f>W1393/60</f>
        <v>0</v>
      </c>
      <c r="Y1393" s="2" t="s">
        <v>90</v>
      </c>
      <c r="Z1393" s="2">
        <v>33</v>
      </c>
      <c r="AA1393" s="2">
        <f>ProductionData[[#This Row],[Rejected_Qty]]*ProductionData[[#This Row],[Unit_Cost_INR]]</f>
        <v>3366</v>
      </c>
      <c r="AB1393" s="4">
        <v>38365</v>
      </c>
      <c r="AC1393" s="4">
        <v>5170</v>
      </c>
      <c r="AD1393" s="4">
        <v>5170</v>
      </c>
      <c r="AE1393" s="4">
        <v>38233</v>
      </c>
      <c r="AF1393" s="4">
        <v>9750</v>
      </c>
    </row>
    <row r="1394" spans="1:32">
      <c r="A1394" s="2" t="s">
        <v>2920</v>
      </c>
      <c r="B1394" s="3">
        <v>46263</v>
      </c>
      <c r="C1394" s="36" t="s">
        <v>2816</v>
      </c>
      <c r="D1394" s="2">
        <f>MONTH(ProductionData[[#This Row],[Month]])</f>
        <v>8</v>
      </c>
      <c r="E1394" s="2" t="s">
        <v>65</v>
      </c>
      <c r="F1394" s="2" t="s">
        <v>80</v>
      </c>
      <c r="G1394" s="2" t="s">
        <v>174</v>
      </c>
      <c r="H1394" s="2" t="s">
        <v>175</v>
      </c>
      <c r="I1394" s="2" t="s">
        <v>176</v>
      </c>
      <c r="J1394" s="2" t="s">
        <v>443</v>
      </c>
      <c r="K1394" s="2" t="s">
        <v>444</v>
      </c>
      <c r="L1394" s="2" t="s">
        <v>2921</v>
      </c>
      <c r="M1394" s="2" t="s">
        <v>102</v>
      </c>
      <c r="N1394" s="2" t="s">
        <v>96</v>
      </c>
      <c r="O1394" s="2">
        <v>10</v>
      </c>
      <c r="P1394" s="2">
        <v>10</v>
      </c>
      <c r="Q1394" s="4">
        <v>5400</v>
      </c>
      <c r="R1394" s="4">
        <v>5100</v>
      </c>
      <c r="S1394" s="4">
        <v>79</v>
      </c>
      <c r="T1394" s="19">
        <f>(ProductionData[[#This Row],[Rejected_Qty]])/ProductionData[[#This Row],[Produced_Qty]]</f>
        <v>1.5490196078431372E-2</v>
      </c>
      <c r="U1394" s="19">
        <f>ProductionData[[#This Row],[Produced_Qty]]/ProductionData[[#This Row],[Planned_Qty]]</f>
        <v>0.94444444444444442</v>
      </c>
      <c r="V1394" s="2" t="s">
        <v>89</v>
      </c>
      <c r="W1394" s="11">
        <v>0</v>
      </c>
      <c r="X1394" s="13">
        <f>W1394/60</f>
        <v>0</v>
      </c>
      <c r="Y1394" s="2" t="s">
        <v>90</v>
      </c>
      <c r="Z1394" s="2">
        <v>33</v>
      </c>
      <c r="AA1394" s="2">
        <f>ProductionData[[#This Row],[Rejected_Qty]]*ProductionData[[#This Row],[Unit_Cost_INR]]</f>
        <v>2607</v>
      </c>
      <c r="AB1394" s="4">
        <v>38233</v>
      </c>
      <c r="AC1394" s="4">
        <v>5030</v>
      </c>
      <c r="AD1394" s="4">
        <v>5030</v>
      </c>
      <c r="AE1394" s="4">
        <v>38224</v>
      </c>
      <c r="AF1394" s="4">
        <v>9750</v>
      </c>
    </row>
    <row r="1395" spans="1:32">
      <c r="A1395" s="2" t="s">
        <v>2922</v>
      </c>
      <c r="B1395" s="3">
        <v>46263</v>
      </c>
      <c r="C1395" s="36" t="s">
        <v>2816</v>
      </c>
      <c r="D1395" s="2">
        <f>MONTH(ProductionData[[#This Row],[Month]])</f>
        <v>8</v>
      </c>
      <c r="E1395" s="2" t="s">
        <v>65</v>
      </c>
      <c r="F1395" s="2" t="s">
        <v>93</v>
      </c>
      <c r="G1395" s="2" t="s">
        <v>174</v>
      </c>
      <c r="H1395" s="2" t="s">
        <v>175</v>
      </c>
      <c r="I1395" s="2" t="s">
        <v>176</v>
      </c>
      <c r="J1395" s="2" t="s">
        <v>443</v>
      </c>
      <c r="K1395" s="2" t="s">
        <v>444</v>
      </c>
      <c r="L1395" s="2" t="s">
        <v>2923</v>
      </c>
      <c r="M1395" s="2" t="s">
        <v>95</v>
      </c>
      <c r="N1395" s="2" t="s">
        <v>96</v>
      </c>
      <c r="O1395" s="2">
        <v>10</v>
      </c>
      <c r="P1395" s="2">
        <v>8</v>
      </c>
      <c r="Q1395" s="4">
        <v>4870</v>
      </c>
      <c r="R1395" s="4">
        <v>4480</v>
      </c>
      <c r="S1395" s="4">
        <v>142</v>
      </c>
      <c r="T1395" s="19">
        <f>(ProductionData[[#This Row],[Rejected_Qty]])/ProductionData[[#This Row],[Produced_Qty]]</f>
        <v>3.169642857142857E-2</v>
      </c>
      <c r="U1395" s="19">
        <f>ProductionData[[#This Row],[Produced_Qty]]/ProductionData[[#This Row],[Planned_Qty]]</f>
        <v>0.91991786447638602</v>
      </c>
      <c r="V1395" s="2" t="s">
        <v>109</v>
      </c>
      <c r="W1395" s="11">
        <v>0</v>
      </c>
      <c r="X1395" s="13">
        <f>W1395/60</f>
        <v>0</v>
      </c>
      <c r="Y1395" s="2" t="s">
        <v>90</v>
      </c>
      <c r="Z1395" s="2">
        <v>33</v>
      </c>
      <c r="AA1395" s="2">
        <f>ProductionData[[#This Row],[Rejected_Qty]]*ProductionData[[#This Row],[Unit_Cost_INR]]</f>
        <v>4686</v>
      </c>
      <c r="AB1395" s="4">
        <v>38224</v>
      </c>
      <c r="AC1395" s="4">
        <v>4400</v>
      </c>
      <c r="AD1395" s="4">
        <v>4400</v>
      </c>
      <c r="AE1395" s="4">
        <v>38162</v>
      </c>
      <c r="AF1395" s="4">
        <v>9750</v>
      </c>
    </row>
    <row r="1396" spans="1:32">
      <c r="A1396" s="2" t="s">
        <v>2924</v>
      </c>
      <c r="B1396" s="3">
        <v>46261</v>
      </c>
      <c r="C1396" s="36" t="s">
        <v>2816</v>
      </c>
      <c r="D1396" s="2">
        <f>MONTH(ProductionData[[#This Row],[Month]])</f>
        <v>8</v>
      </c>
      <c r="E1396" s="2" t="s">
        <v>107</v>
      </c>
      <c r="F1396" s="2" t="s">
        <v>93</v>
      </c>
      <c r="G1396" s="2" t="s">
        <v>174</v>
      </c>
      <c r="H1396" s="2" t="s">
        <v>175</v>
      </c>
      <c r="I1396" s="2" t="s">
        <v>176</v>
      </c>
      <c r="J1396" s="2" t="s">
        <v>443</v>
      </c>
      <c r="K1396" s="2" t="s">
        <v>444</v>
      </c>
      <c r="L1396" s="2" t="s">
        <v>2925</v>
      </c>
      <c r="M1396" s="2" t="s">
        <v>95</v>
      </c>
      <c r="N1396" s="2" t="s">
        <v>96</v>
      </c>
      <c r="O1396" s="2">
        <v>10</v>
      </c>
      <c r="P1396" s="2">
        <v>9</v>
      </c>
      <c r="Q1396" s="4">
        <v>5080</v>
      </c>
      <c r="R1396" s="4">
        <v>4660</v>
      </c>
      <c r="S1396" s="4">
        <v>109</v>
      </c>
      <c r="T1396" s="19">
        <f>(ProductionData[[#This Row],[Rejected_Qty]])/ProductionData[[#This Row],[Produced_Qty]]</f>
        <v>2.3390557939914163E-2</v>
      </c>
      <c r="U1396" s="19">
        <f>ProductionData[[#This Row],[Produced_Qty]]/ProductionData[[#This Row],[Planned_Qty]]</f>
        <v>0.91732283464566933</v>
      </c>
      <c r="V1396" s="2" t="s">
        <v>109</v>
      </c>
      <c r="W1396" s="11">
        <v>28</v>
      </c>
      <c r="X1396" s="13">
        <f>W1396/60</f>
        <v>0.46666666666666667</v>
      </c>
      <c r="Y1396" s="2" t="s">
        <v>110</v>
      </c>
      <c r="Z1396" s="2">
        <v>33</v>
      </c>
      <c r="AA1396" s="2">
        <f>ProductionData[[#This Row],[Rejected_Qty]]*ProductionData[[#This Row],[Unit_Cost_INR]]</f>
        <v>3597</v>
      </c>
      <c r="AB1396" s="4">
        <v>37021</v>
      </c>
      <c r="AC1396" s="4">
        <v>3480</v>
      </c>
      <c r="AD1396" s="4">
        <v>3480</v>
      </c>
      <c r="AE1396" s="4">
        <v>38092</v>
      </c>
      <c r="AF1396" s="4">
        <v>9750</v>
      </c>
    </row>
    <row r="1397" spans="1:32">
      <c r="A1397" s="2" t="s">
        <v>2926</v>
      </c>
      <c r="B1397" s="3">
        <v>46265</v>
      </c>
      <c r="C1397" s="36" t="s">
        <v>2816</v>
      </c>
      <c r="D1397" s="2">
        <f>MONTH(ProductionData[[#This Row],[Month]])</f>
        <v>8</v>
      </c>
      <c r="E1397" s="2" t="s">
        <v>116</v>
      </c>
      <c r="F1397" s="2" t="s">
        <v>66</v>
      </c>
      <c r="G1397" s="2" t="s">
        <v>174</v>
      </c>
      <c r="H1397" s="2" t="s">
        <v>175</v>
      </c>
      <c r="I1397" s="2" t="s">
        <v>176</v>
      </c>
      <c r="J1397" s="2" t="s">
        <v>443</v>
      </c>
      <c r="K1397" s="2" t="s">
        <v>444</v>
      </c>
      <c r="L1397" s="2" t="s">
        <v>2927</v>
      </c>
      <c r="M1397" s="2" t="s">
        <v>99</v>
      </c>
      <c r="N1397" s="2" t="s">
        <v>96</v>
      </c>
      <c r="O1397" s="2">
        <v>10</v>
      </c>
      <c r="P1397" s="2">
        <v>9</v>
      </c>
      <c r="Q1397" s="4">
        <v>5570</v>
      </c>
      <c r="R1397" s="4">
        <v>4900</v>
      </c>
      <c r="S1397" s="4">
        <v>125</v>
      </c>
      <c r="T1397" s="19">
        <f>(ProductionData[[#This Row],[Rejected_Qty]])/ProductionData[[#This Row],[Produced_Qty]]</f>
        <v>2.5510204081632654E-2</v>
      </c>
      <c r="U1397" s="19">
        <f>ProductionData[[#This Row],[Produced_Qty]]/ProductionData[[#This Row],[Planned_Qty]]</f>
        <v>0.8797127468581688</v>
      </c>
      <c r="V1397" s="2" t="s">
        <v>113</v>
      </c>
      <c r="W1397" s="11">
        <v>0</v>
      </c>
      <c r="X1397" s="13">
        <f>W1397/60</f>
        <v>0</v>
      </c>
      <c r="Y1397" s="2" t="s">
        <v>90</v>
      </c>
      <c r="Z1397" s="2">
        <v>33</v>
      </c>
      <c r="AA1397" s="2">
        <f>ProductionData[[#This Row],[Rejected_Qty]]*ProductionData[[#This Row],[Unit_Cost_INR]]</f>
        <v>4125</v>
      </c>
      <c r="AB1397" s="4">
        <v>38162</v>
      </c>
      <c r="AC1397" s="4">
        <v>5160</v>
      </c>
      <c r="AD1397" s="4">
        <v>5160</v>
      </c>
      <c r="AE1397" s="4">
        <v>37777</v>
      </c>
      <c r="AF1397" s="4">
        <v>9750</v>
      </c>
    </row>
    <row r="1398" spans="1:32">
      <c r="A1398" s="2" t="s">
        <v>2928</v>
      </c>
      <c r="B1398" s="3">
        <v>46244</v>
      </c>
      <c r="C1398" s="36" t="s">
        <v>2816</v>
      </c>
      <c r="D1398" s="2">
        <f>MONTH(ProductionData[[#This Row],[Month]])</f>
        <v>8</v>
      </c>
      <c r="E1398" s="2" t="s">
        <v>116</v>
      </c>
      <c r="F1398" s="2" t="s">
        <v>66</v>
      </c>
      <c r="G1398" s="2" t="s">
        <v>195</v>
      </c>
      <c r="H1398" s="2" t="s">
        <v>196</v>
      </c>
      <c r="I1398" s="2" t="s">
        <v>197</v>
      </c>
      <c r="J1398" s="2" t="s">
        <v>198</v>
      </c>
      <c r="K1398" s="2" t="s">
        <v>199</v>
      </c>
      <c r="L1398" s="2" t="s">
        <v>2929</v>
      </c>
      <c r="M1398" s="2" t="s">
        <v>99</v>
      </c>
      <c r="N1398" s="2" t="s">
        <v>88</v>
      </c>
      <c r="O1398" s="2">
        <v>14</v>
      </c>
      <c r="P1398" s="2">
        <v>14</v>
      </c>
      <c r="Q1398" s="4">
        <v>8850</v>
      </c>
      <c r="R1398" s="4">
        <v>8580</v>
      </c>
      <c r="S1398" s="4">
        <v>347</v>
      </c>
      <c r="T1398" s="19">
        <f>(ProductionData[[#This Row],[Rejected_Qty]])/ProductionData[[#This Row],[Produced_Qty]]</f>
        <v>4.0442890442890442E-2</v>
      </c>
      <c r="U1398" s="19">
        <f>ProductionData[[#This Row],[Produced_Qty]]/ProductionData[[#This Row],[Planned_Qty]]</f>
        <v>0.96949152542372885</v>
      </c>
      <c r="V1398" s="2" t="s">
        <v>89</v>
      </c>
      <c r="W1398" s="11">
        <v>0</v>
      </c>
      <c r="X1398" s="13">
        <f>W1398/60</f>
        <v>0</v>
      </c>
      <c r="Y1398" s="2" t="s">
        <v>90</v>
      </c>
      <c r="Z1398" s="2">
        <v>38</v>
      </c>
      <c r="AA1398" s="2">
        <f>ProductionData[[#This Row],[Rejected_Qty]]*ProductionData[[#This Row],[Unit_Cost_INR]]</f>
        <v>13186</v>
      </c>
      <c r="AB1398" s="4">
        <v>37084</v>
      </c>
      <c r="AC1398" s="4">
        <v>8040</v>
      </c>
      <c r="AD1398" s="4">
        <v>8040</v>
      </c>
      <c r="AE1398" s="4">
        <v>37277</v>
      </c>
      <c r="AF1398" s="4">
        <v>13500</v>
      </c>
    </row>
    <row r="1399" spans="1:32">
      <c r="A1399" s="2" t="s">
        <v>2930</v>
      </c>
      <c r="B1399" s="3">
        <v>46244</v>
      </c>
      <c r="C1399" s="36" t="s">
        <v>2816</v>
      </c>
      <c r="D1399" s="2">
        <f>MONTH(ProductionData[[#This Row],[Month]])</f>
        <v>8</v>
      </c>
      <c r="E1399" s="2" t="s">
        <v>116</v>
      </c>
      <c r="F1399" s="2" t="s">
        <v>93</v>
      </c>
      <c r="G1399" s="2" t="s">
        <v>195</v>
      </c>
      <c r="H1399" s="2" t="s">
        <v>196</v>
      </c>
      <c r="I1399" s="2" t="s">
        <v>197</v>
      </c>
      <c r="J1399" s="2" t="s">
        <v>198</v>
      </c>
      <c r="K1399" s="2" t="s">
        <v>199</v>
      </c>
      <c r="L1399" s="2" t="s">
        <v>2931</v>
      </c>
      <c r="M1399" s="2" t="s">
        <v>133</v>
      </c>
      <c r="N1399" s="2" t="s">
        <v>96</v>
      </c>
      <c r="O1399" s="2">
        <v>14</v>
      </c>
      <c r="P1399" s="2">
        <v>12</v>
      </c>
      <c r="Q1399" s="4">
        <v>8540</v>
      </c>
      <c r="R1399" s="4">
        <v>7790</v>
      </c>
      <c r="S1399" s="4">
        <v>237</v>
      </c>
      <c r="T1399" s="19">
        <f>(ProductionData[[#This Row],[Rejected_Qty]])/ProductionData[[#This Row],[Produced_Qty]]</f>
        <v>3.0423620025673941E-2</v>
      </c>
      <c r="U1399" s="19">
        <f>ProductionData[[#This Row],[Produced_Qty]]/ProductionData[[#This Row],[Planned_Qty]]</f>
        <v>0.91217798594847777</v>
      </c>
      <c r="V1399" s="2" t="s">
        <v>75</v>
      </c>
      <c r="W1399" s="11">
        <v>0</v>
      </c>
      <c r="X1399" s="13">
        <f>W1399/60</f>
        <v>0</v>
      </c>
      <c r="Y1399" s="2" t="s">
        <v>90</v>
      </c>
      <c r="Z1399" s="2">
        <v>38</v>
      </c>
      <c r="AA1399" s="2">
        <f>ProductionData[[#This Row],[Rejected_Qty]]*ProductionData[[#This Row],[Unit_Cost_INR]]</f>
        <v>9006</v>
      </c>
      <c r="AB1399" s="4">
        <v>37277</v>
      </c>
      <c r="AC1399" s="4">
        <v>7590</v>
      </c>
      <c r="AD1399" s="4">
        <v>7590</v>
      </c>
      <c r="AE1399" s="4">
        <v>37240</v>
      </c>
      <c r="AF1399" s="4">
        <v>13500</v>
      </c>
    </row>
    <row r="1400" spans="1:32">
      <c r="A1400" s="2" t="s">
        <v>2932</v>
      </c>
      <c r="B1400" s="3">
        <v>46242</v>
      </c>
      <c r="C1400" s="36" t="s">
        <v>2816</v>
      </c>
      <c r="D1400" s="2">
        <f>MONTH(ProductionData[[#This Row],[Month]])</f>
        <v>8</v>
      </c>
      <c r="E1400" s="2" t="s">
        <v>65</v>
      </c>
      <c r="F1400" s="2" t="s">
        <v>66</v>
      </c>
      <c r="G1400" s="2" t="s">
        <v>195</v>
      </c>
      <c r="H1400" s="2" t="s">
        <v>196</v>
      </c>
      <c r="I1400" s="2" t="s">
        <v>197</v>
      </c>
      <c r="J1400" s="2" t="s">
        <v>198</v>
      </c>
      <c r="K1400" s="2" t="s">
        <v>199</v>
      </c>
      <c r="L1400" s="2" t="s">
        <v>2933</v>
      </c>
      <c r="M1400" s="2" t="s">
        <v>73</v>
      </c>
      <c r="N1400" s="2" t="s">
        <v>88</v>
      </c>
      <c r="O1400" s="2">
        <v>14</v>
      </c>
      <c r="P1400" s="2">
        <v>13</v>
      </c>
      <c r="Q1400" s="4">
        <v>9630</v>
      </c>
      <c r="R1400" s="4">
        <v>9260</v>
      </c>
      <c r="S1400" s="4">
        <v>185</v>
      </c>
      <c r="T1400" s="19">
        <f>(ProductionData[[#This Row],[Rejected_Qty]])/ProductionData[[#This Row],[Produced_Qty]]</f>
        <v>1.9978401727861771E-2</v>
      </c>
      <c r="U1400" s="19">
        <f>ProductionData[[#This Row],[Produced_Qty]]/ProductionData[[#This Row],[Planned_Qty]]</f>
        <v>0.96157840083073731</v>
      </c>
      <c r="V1400" s="2" t="s">
        <v>75</v>
      </c>
      <c r="W1400" s="11">
        <v>0</v>
      </c>
      <c r="X1400" s="13">
        <f>W1400/60</f>
        <v>0</v>
      </c>
      <c r="Y1400" s="2" t="s">
        <v>90</v>
      </c>
      <c r="Z1400" s="2">
        <v>38</v>
      </c>
      <c r="AA1400" s="2">
        <f>ProductionData[[#This Row],[Rejected_Qty]]*ProductionData[[#This Row],[Unit_Cost_INR]]</f>
        <v>7030</v>
      </c>
      <c r="AB1400" s="4">
        <v>36049</v>
      </c>
      <c r="AC1400" s="4">
        <v>8040</v>
      </c>
      <c r="AD1400" s="4">
        <v>8040</v>
      </c>
      <c r="AE1400" s="4">
        <v>37084</v>
      </c>
      <c r="AF1400" s="4">
        <v>13500</v>
      </c>
    </row>
    <row r="1401" spans="1:32">
      <c r="A1401" s="2" t="s">
        <v>2934</v>
      </c>
      <c r="B1401" s="3">
        <v>46261</v>
      </c>
      <c r="C1401" s="36" t="s">
        <v>2816</v>
      </c>
      <c r="D1401" s="2">
        <f>MONTH(ProductionData[[#This Row],[Month]])</f>
        <v>8</v>
      </c>
      <c r="E1401" s="2" t="s">
        <v>107</v>
      </c>
      <c r="F1401" s="2" t="s">
        <v>80</v>
      </c>
      <c r="G1401" s="2" t="s">
        <v>174</v>
      </c>
      <c r="H1401" s="2" t="s">
        <v>175</v>
      </c>
      <c r="I1401" s="2" t="s">
        <v>176</v>
      </c>
      <c r="J1401" s="2" t="s">
        <v>443</v>
      </c>
      <c r="K1401" s="2" t="s">
        <v>444</v>
      </c>
      <c r="L1401" s="2" t="s">
        <v>2935</v>
      </c>
      <c r="M1401" s="2" t="s">
        <v>102</v>
      </c>
      <c r="N1401" s="2" t="s">
        <v>88</v>
      </c>
      <c r="O1401" s="2">
        <v>10</v>
      </c>
      <c r="P1401" s="2">
        <v>9</v>
      </c>
      <c r="Q1401" s="4">
        <v>5300</v>
      </c>
      <c r="R1401" s="4">
        <v>4750</v>
      </c>
      <c r="S1401" s="4">
        <v>105</v>
      </c>
      <c r="T1401" s="19">
        <f>(ProductionData[[#This Row],[Rejected_Qty]])/ProductionData[[#This Row],[Produced_Qty]]</f>
        <v>2.2105263157894735E-2</v>
      </c>
      <c r="U1401" s="19">
        <f>ProductionData[[#This Row],[Produced_Qty]]/ProductionData[[#This Row],[Planned_Qty]]</f>
        <v>0.89622641509433965</v>
      </c>
      <c r="V1401" s="2" t="s">
        <v>113</v>
      </c>
      <c r="W1401" s="11">
        <v>0</v>
      </c>
      <c r="X1401" s="13">
        <f>W1401/60</f>
        <v>0</v>
      </c>
      <c r="Y1401" s="2" t="s">
        <v>90</v>
      </c>
      <c r="Z1401" s="2">
        <v>33</v>
      </c>
      <c r="AA1401" s="2">
        <f>ProductionData[[#This Row],[Rejected_Qty]]*ProductionData[[#This Row],[Unit_Cost_INR]]</f>
        <v>3465</v>
      </c>
      <c r="AB1401" s="4">
        <v>36876</v>
      </c>
      <c r="AC1401" s="4">
        <v>4500</v>
      </c>
      <c r="AD1401" s="4">
        <v>4500</v>
      </c>
      <c r="AE1401" s="4">
        <v>37021</v>
      </c>
      <c r="AF1401" s="4">
        <v>9750</v>
      </c>
    </row>
    <row r="1402" spans="1:32">
      <c r="A1402" s="2" t="s">
        <v>2936</v>
      </c>
      <c r="B1402" s="3">
        <v>46260</v>
      </c>
      <c r="C1402" s="36" t="s">
        <v>2816</v>
      </c>
      <c r="D1402" s="2">
        <f>MONTH(ProductionData[[#This Row],[Month]])</f>
        <v>8</v>
      </c>
      <c r="E1402" s="2" t="s">
        <v>79</v>
      </c>
      <c r="F1402" s="2" t="s">
        <v>66</v>
      </c>
      <c r="G1402" s="2" t="s">
        <v>174</v>
      </c>
      <c r="H1402" s="2" t="s">
        <v>175</v>
      </c>
      <c r="I1402" s="2" t="s">
        <v>176</v>
      </c>
      <c r="J1402" s="2" t="s">
        <v>443</v>
      </c>
      <c r="K1402" s="2" t="s">
        <v>444</v>
      </c>
      <c r="L1402" s="2" t="s">
        <v>2937</v>
      </c>
      <c r="M1402" s="2" t="s">
        <v>99</v>
      </c>
      <c r="N1402" s="2" t="s">
        <v>88</v>
      </c>
      <c r="O1402" s="2">
        <v>10</v>
      </c>
      <c r="P1402" s="2">
        <v>10</v>
      </c>
      <c r="Q1402" s="4">
        <v>5640</v>
      </c>
      <c r="R1402" s="4">
        <v>5330</v>
      </c>
      <c r="S1402" s="4">
        <v>137</v>
      </c>
      <c r="T1402" s="19">
        <f>(ProductionData[[#This Row],[Rejected_Qty]])/ProductionData[[#This Row],[Produced_Qty]]</f>
        <v>2.5703564727954972E-2</v>
      </c>
      <c r="U1402" s="19">
        <f>ProductionData[[#This Row],[Produced_Qty]]/ProductionData[[#This Row],[Planned_Qty]]</f>
        <v>0.94503546099290781</v>
      </c>
      <c r="V1402" s="2" t="s">
        <v>89</v>
      </c>
      <c r="W1402" s="11">
        <v>17</v>
      </c>
      <c r="X1402" s="13">
        <f>W1402/60</f>
        <v>0.28333333333333333</v>
      </c>
      <c r="Y1402" s="2" t="s">
        <v>76</v>
      </c>
      <c r="Z1402" s="2">
        <v>33</v>
      </c>
      <c r="AA1402" s="2">
        <f>ProductionData[[#This Row],[Rejected_Qty]]*ProductionData[[#This Row],[Unit_Cost_INR]]</f>
        <v>4521</v>
      </c>
      <c r="AB1402" s="4">
        <v>36743</v>
      </c>
      <c r="AC1402" s="4">
        <v>5060</v>
      </c>
      <c r="AD1402" s="4">
        <v>5060</v>
      </c>
      <c r="AE1402" s="4">
        <v>36876</v>
      </c>
      <c r="AF1402" s="4">
        <v>9750</v>
      </c>
    </row>
    <row r="1403" spans="1:32">
      <c r="A1403" s="2" t="s">
        <v>2938</v>
      </c>
      <c r="B1403" s="3">
        <v>46259</v>
      </c>
      <c r="C1403" s="36" t="s">
        <v>2816</v>
      </c>
      <c r="D1403" s="2">
        <f>MONTH(ProductionData[[#This Row],[Month]])</f>
        <v>8</v>
      </c>
      <c r="E1403" s="2" t="s">
        <v>92</v>
      </c>
      <c r="F1403" s="2" t="s">
        <v>80</v>
      </c>
      <c r="G1403" s="2" t="s">
        <v>174</v>
      </c>
      <c r="H1403" s="2" t="s">
        <v>175</v>
      </c>
      <c r="I1403" s="2" t="s">
        <v>176</v>
      </c>
      <c r="J1403" s="2" t="s">
        <v>443</v>
      </c>
      <c r="K1403" s="2" t="s">
        <v>444</v>
      </c>
      <c r="L1403" s="2" t="s">
        <v>2939</v>
      </c>
      <c r="M1403" s="2" t="s">
        <v>102</v>
      </c>
      <c r="N1403" s="2" t="s">
        <v>88</v>
      </c>
      <c r="O1403" s="2">
        <v>10</v>
      </c>
      <c r="P1403" s="2">
        <v>9</v>
      </c>
      <c r="Q1403" s="4">
        <v>5930</v>
      </c>
      <c r="R1403" s="4">
        <v>5560</v>
      </c>
      <c r="S1403" s="4">
        <v>173</v>
      </c>
      <c r="T1403" s="19">
        <f>(ProductionData[[#This Row],[Rejected_Qty]])/ProductionData[[#This Row],[Produced_Qty]]</f>
        <v>3.1115107913669064E-2</v>
      </c>
      <c r="U1403" s="19">
        <f>ProductionData[[#This Row],[Produced_Qty]]/ProductionData[[#This Row],[Planned_Qty]]</f>
        <v>0.93760539629005057</v>
      </c>
      <c r="V1403" s="2" t="s">
        <v>75</v>
      </c>
      <c r="W1403" s="11">
        <v>0</v>
      </c>
      <c r="X1403" s="13">
        <f>W1403/60</f>
        <v>0</v>
      </c>
      <c r="Y1403" s="2" t="s">
        <v>90</v>
      </c>
      <c r="Z1403" s="2">
        <v>33</v>
      </c>
      <c r="AA1403" s="2">
        <f>ProductionData[[#This Row],[Rejected_Qty]]*ProductionData[[#This Row],[Unit_Cost_INR]]</f>
        <v>5709</v>
      </c>
      <c r="AB1403" s="4">
        <v>36506</v>
      </c>
      <c r="AC1403" s="4">
        <v>5150</v>
      </c>
      <c r="AD1403" s="4">
        <v>5150</v>
      </c>
      <c r="AE1403" s="4">
        <v>36743</v>
      </c>
      <c r="AF1403" s="4">
        <v>9750</v>
      </c>
    </row>
    <row r="1404" spans="1:32">
      <c r="A1404" s="2" t="s">
        <v>2940</v>
      </c>
      <c r="B1404" s="3">
        <v>46259</v>
      </c>
      <c r="C1404" s="36" t="s">
        <v>2816</v>
      </c>
      <c r="D1404" s="2">
        <f>MONTH(ProductionData[[#This Row],[Month]])</f>
        <v>8</v>
      </c>
      <c r="E1404" s="2" t="s">
        <v>92</v>
      </c>
      <c r="F1404" s="2" t="s">
        <v>66</v>
      </c>
      <c r="G1404" s="2" t="s">
        <v>174</v>
      </c>
      <c r="H1404" s="2" t="s">
        <v>175</v>
      </c>
      <c r="I1404" s="2" t="s">
        <v>176</v>
      </c>
      <c r="J1404" s="2" t="s">
        <v>443</v>
      </c>
      <c r="K1404" s="2" t="s">
        <v>444</v>
      </c>
      <c r="L1404" s="2" t="s">
        <v>2941</v>
      </c>
      <c r="M1404" s="2" t="s">
        <v>99</v>
      </c>
      <c r="N1404" s="2" t="s">
        <v>88</v>
      </c>
      <c r="O1404" s="2">
        <v>10</v>
      </c>
      <c r="P1404" s="2">
        <v>10</v>
      </c>
      <c r="Q1404" s="4">
        <v>5450</v>
      </c>
      <c r="R1404" s="4">
        <v>5270</v>
      </c>
      <c r="S1404" s="4">
        <v>148</v>
      </c>
      <c r="T1404" s="19">
        <f>(ProductionData[[#This Row],[Rejected_Qty]])/ProductionData[[#This Row],[Produced_Qty]]</f>
        <v>2.808349146110057E-2</v>
      </c>
      <c r="U1404" s="19">
        <f>ProductionData[[#This Row],[Produced_Qty]]/ProductionData[[#This Row],[Planned_Qty]]</f>
        <v>0.96697247706422018</v>
      </c>
      <c r="V1404" s="2" t="s">
        <v>109</v>
      </c>
      <c r="W1404" s="11">
        <v>0</v>
      </c>
      <c r="X1404" s="13">
        <f>W1404/60</f>
        <v>0</v>
      </c>
      <c r="Y1404" s="2" t="s">
        <v>90</v>
      </c>
      <c r="Z1404" s="2">
        <v>33</v>
      </c>
      <c r="AA1404" s="2">
        <f>ProductionData[[#This Row],[Rejected_Qty]]*ProductionData[[#This Row],[Unit_Cost_INR]]</f>
        <v>4884</v>
      </c>
      <c r="AB1404" s="4">
        <v>36374</v>
      </c>
      <c r="AC1404" s="4">
        <v>4990</v>
      </c>
      <c r="AD1404" s="4">
        <v>4990</v>
      </c>
      <c r="AE1404" s="4">
        <v>36506</v>
      </c>
      <c r="AF1404" s="4">
        <v>9750</v>
      </c>
    </row>
    <row r="1405" spans="1:32">
      <c r="A1405" s="2" t="s">
        <v>2942</v>
      </c>
      <c r="B1405" s="3">
        <v>46256</v>
      </c>
      <c r="C1405" s="36" t="s">
        <v>2816</v>
      </c>
      <c r="D1405" s="2">
        <f>MONTH(ProductionData[[#This Row],[Month]])</f>
        <v>8</v>
      </c>
      <c r="E1405" s="2" t="s">
        <v>65</v>
      </c>
      <c r="F1405" s="2" t="s">
        <v>80</v>
      </c>
      <c r="G1405" s="2" t="s">
        <v>174</v>
      </c>
      <c r="H1405" s="2" t="s">
        <v>175</v>
      </c>
      <c r="I1405" s="2" t="s">
        <v>176</v>
      </c>
      <c r="J1405" s="2" t="s">
        <v>443</v>
      </c>
      <c r="K1405" s="2" t="s">
        <v>444</v>
      </c>
      <c r="L1405" s="2" t="s">
        <v>2943</v>
      </c>
      <c r="M1405" s="2" t="s">
        <v>102</v>
      </c>
      <c r="N1405" s="2" t="s">
        <v>88</v>
      </c>
      <c r="O1405" s="2">
        <v>10</v>
      </c>
      <c r="P1405" s="2">
        <v>10</v>
      </c>
      <c r="Q1405" s="4">
        <v>5640</v>
      </c>
      <c r="R1405" s="4">
        <v>5280</v>
      </c>
      <c r="S1405" s="4">
        <v>187</v>
      </c>
      <c r="T1405" s="19">
        <f>(ProductionData[[#This Row],[Rejected_Qty]])/ProductionData[[#This Row],[Produced_Qty]]</f>
        <v>3.5416666666666666E-2</v>
      </c>
      <c r="U1405" s="19">
        <f>ProductionData[[#This Row],[Produced_Qty]]/ProductionData[[#This Row],[Planned_Qty]]</f>
        <v>0.93617021276595747</v>
      </c>
      <c r="V1405" s="2" t="s">
        <v>75</v>
      </c>
      <c r="W1405" s="11">
        <v>0</v>
      </c>
      <c r="X1405" s="13">
        <f>W1405/60</f>
        <v>0</v>
      </c>
      <c r="Y1405" s="2" t="s">
        <v>90</v>
      </c>
      <c r="Z1405" s="2">
        <v>33</v>
      </c>
      <c r="AA1405" s="2">
        <f>ProductionData[[#This Row],[Rejected_Qty]]*ProductionData[[#This Row],[Unit_Cost_INR]]</f>
        <v>6171</v>
      </c>
      <c r="AB1405" s="4">
        <v>36164</v>
      </c>
      <c r="AC1405" s="4">
        <v>4820</v>
      </c>
      <c r="AD1405" s="4">
        <v>4820</v>
      </c>
      <c r="AE1405" s="4">
        <v>36437</v>
      </c>
      <c r="AF1405" s="4">
        <v>9750</v>
      </c>
    </row>
    <row r="1406" spans="1:32">
      <c r="A1406" s="2" t="s">
        <v>2944</v>
      </c>
      <c r="B1406" s="3">
        <v>46237</v>
      </c>
      <c r="C1406" s="36" t="s">
        <v>2816</v>
      </c>
      <c r="D1406" s="2">
        <f>MONTH(ProductionData[[#This Row],[Month]])</f>
        <v>8</v>
      </c>
      <c r="E1406" s="2" t="s">
        <v>116</v>
      </c>
      <c r="F1406" s="2" t="s">
        <v>66</v>
      </c>
      <c r="G1406" s="2" t="s">
        <v>195</v>
      </c>
      <c r="H1406" s="2" t="s">
        <v>196</v>
      </c>
      <c r="I1406" s="2" t="s">
        <v>197</v>
      </c>
      <c r="J1406" s="2" t="s">
        <v>198</v>
      </c>
      <c r="K1406" s="2" t="s">
        <v>199</v>
      </c>
      <c r="L1406" s="2" t="s">
        <v>2945</v>
      </c>
      <c r="M1406" s="2" t="s">
        <v>99</v>
      </c>
      <c r="N1406" s="2" t="s">
        <v>96</v>
      </c>
      <c r="O1406" s="2">
        <v>14</v>
      </c>
      <c r="P1406" s="2">
        <v>11</v>
      </c>
      <c r="Q1406" s="4">
        <v>9650</v>
      </c>
      <c r="R1406" s="4">
        <v>8560</v>
      </c>
      <c r="S1406" s="4">
        <v>95</v>
      </c>
      <c r="T1406" s="19">
        <f>(ProductionData[[#This Row],[Rejected_Qty]])/ProductionData[[#This Row],[Produced_Qty]]</f>
        <v>1.1098130841121495E-2</v>
      </c>
      <c r="U1406" s="19">
        <f>ProductionData[[#This Row],[Produced_Qty]]/ProductionData[[#This Row],[Planned_Qty]]</f>
        <v>0.88704663212435231</v>
      </c>
      <c r="V1406" s="2" t="s">
        <v>109</v>
      </c>
      <c r="W1406" s="11">
        <v>74</v>
      </c>
      <c r="X1406" s="13">
        <f>W1406/60</f>
        <v>1.2333333333333334</v>
      </c>
      <c r="Y1406" s="2" t="s">
        <v>110</v>
      </c>
      <c r="Z1406" s="2">
        <v>38</v>
      </c>
      <c r="AA1406" s="2">
        <f>ProductionData[[#This Row],[Rejected_Qty]]*ProductionData[[#This Row],[Unit_Cost_INR]]</f>
        <v>3610</v>
      </c>
      <c r="AB1406" s="4">
        <v>36876</v>
      </c>
      <c r="AC1406" s="4">
        <v>8940</v>
      </c>
      <c r="AD1406" s="4">
        <v>8940</v>
      </c>
      <c r="AE1406" s="4">
        <v>36401</v>
      </c>
      <c r="AF1406" s="4">
        <v>13500</v>
      </c>
    </row>
    <row r="1407" spans="1:32">
      <c r="A1407" s="2" t="s">
        <v>2946</v>
      </c>
      <c r="B1407" s="3">
        <v>46256</v>
      </c>
      <c r="C1407" s="36" t="s">
        <v>2816</v>
      </c>
      <c r="D1407" s="2">
        <f>MONTH(ProductionData[[#This Row],[Month]])</f>
        <v>8</v>
      </c>
      <c r="E1407" s="2" t="s">
        <v>65</v>
      </c>
      <c r="F1407" s="2" t="s">
        <v>93</v>
      </c>
      <c r="G1407" s="2" t="s">
        <v>174</v>
      </c>
      <c r="H1407" s="2" t="s">
        <v>175</v>
      </c>
      <c r="I1407" s="2" t="s">
        <v>176</v>
      </c>
      <c r="J1407" s="2" t="s">
        <v>443</v>
      </c>
      <c r="K1407" s="2" t="s">
        <v>444</v>
      </c>
      <c r="L1407" s="2" t="s">
        <v>2947</v>
      </c>
      <c r="M1407" s="2" t="s">
        <v>95</v>
      </c>
      <c r="N1407" s="2" t="s">
        <v>88</v>
      </c>
      <c r="O1407" s="2">
        <v>10</v>
      </c>
      <c r="P1407" s="2">
        <v>9</v>
      </c>
      <c r="Q1407" s="4">
        <v>5290</v>
      </c>
      <c r="R1407" s="4">
        <v>4610</v>
      </c>
      <c r="S1407" s="4">
        <v>113</v>
      </c>
      <c r="T1407" s="19">
        <f>(ProductionData[[#This Row],[Rejected_Qty]])/ProductionData[[#This Row],[Produced_Qty]]</f>
        <v>2.4511930585683298E-2</v>
      </c>
      <c r="U1407" s="19">
        <f>ProductionData[[#This Row],[Produced_Qty]]/ProductionData[[#This Row],[Planned_Qty]]</f>
        <v>0.87145557655954631</v>
      </c>
      <c r="V1407" s="2" t="s">
        <v>75</v>
      </c>
      <c r="W1407" s="11">
        <v>0</v>
      </c>
      <c r="X1407" s="13">
        <f>W1407/60</f>
        <v>0</v>
      </c>
      <c r="Y1407" s="2" t="s">
        <v>90</v>
      </c>
      <c r="Z1407" s="2">
        <v>33</v>
      </c>
      <c r="AA1407" s="2">
        <f>ProductionData[[#This Row],[Rejected_Qty]]*ProductionData[[#This Row],[Unit_Cost_INR]]</f>
        <v>3729</v>
      </c>
      <c r="AB1407" s="4">
        <v>36437</v>
      </c>
      <c r="AC1407" s="4">
        <v>4560</v>
      </c>
      <c r="AD1407" s="4">
        <v>4560</v>
      </c>
      <c r="AE1407" s="4">
        <v>36374</v>
      </c>
      <c r="AF1407" s="4">
        <v>9750</v>
      </c>
    </row>
    <row r="1408" spans="1:32">
      <c r="A1408" s="2" t="s">
        <v>2948</v>
      </c>
      <c r="B1408" s="3">
        <v>46237</v>
      </c>
      <c r="C1408" s="36" t="s">
        <v>2816</v>
      </c>
      <c r="D1408" s="2">
        <f>MONTH(ProductionData[[#This Row],[Month]])</f>
        <v>8</v>
      </c>
      <c r="E1408" s="2" t="s">
        <v>116</v>
      </c>
      <c r="F1408" s="2" t="s">
        <v>93</v>
      </c>
      <c r="G1408" s="2" t="s">
        <v>195</v>
      </c>
      <c r="H1408" s="2" t="s">
        <v>196</v>
      </c>
      <c r="I1408" s="2" t="s">
        <v>197</v>
      </c>
      <c r="J1408" s="2" t="s">
        <v>198</v>
      </c>
      <c r="K1408" s="2" t="s">
        <v>199</v>
      </c>
      <c r="L1408" s="2" t="s">
        <v>2949</v>
      </c>
      <c r="M1408" s="2" t="s">
        <v>133</v>
      </c>
      <c r="N1408" s="2" t="s">
        <v>96</v>
      </c>
      <c r="O1408" s="2">
        <v>14</v>
      </c>
      <c r="P1408" s="2">
        <v>13</v>
      </c>
      <c r="Q1408" s="4">
        <v>9130</v>
      </c>
      <c r="R1408" s="4">
        <v>8290</v>
      </c>
      <c r="S1408" s="4">
        <v>207</v>
      </c>
      <c r="T1408" s="19">
        <f>(ProductionData[[#This Row],[Rejected_Qty]])/ProductionData[[#This Row],[Produced_Qty]]</f>
        <v>2.496984318455971E-2</v>
      </c>
      <c r="U1408" s="19">
        <f>ProductionData[[#This Row],[Produced_Qty]]/ProductionData[[#This Row],[Planned_Qty]]</f>
        <v>0.90799561883899238</v>
      </c>
      <c r="V1408" s="2" t="s">
        <v>89</v>
      </c>
      <c r="W1408" s="11">
        <v>0</v>
      </c>
      <c r="X1408" s="13">
        <f>W1408/60</f>
        <v>0</v>
      </c>
      <c r="Y1408" s="2" t="s">
        <v>90</v>
      </c>
      <c r="Z1408" s="2">
        <v>38</v>
      </c>
      <c r="AA1408" s="2">
        <f>ProductionData[[#This Row],[Rejected_Qty]]*ProductionData[[#This Row],[Unit_Cost_INR]]</f>
        <v>7866</v>
      </c>
      <c r="AB1408" s="4">
        <v>36401</v>
      </c>
      <c r="AC1408" s="4">
        <v>8270</v>
      </c>
      <c r="AD1408" s="4">
        <v>8270</v>
      </c>
      <c r="AE1408" s="4">
        <v>36214</v>
      </c>
      <c r="AF1408" s="4">
        <v>13500</v>
      </c>
    </row>
    <row r="1409" spans="1:32">
      <c r="A1409" s="2" t="s">
        <v>2950</v>
      </c>
      <c r="B1409" s="3">
        <v>46256</v>
      </c>
      <c r="C1409" s="36" t="s">
        <v>2816</v>
      </c>
      <c r="D1409" s="2">
        <f>MONTH(ProductionData[[#This Row],[Month]])</f>
        <v>8</v>
      </c>
      <c r="E1409" s="2" t="s">
        <v>65</v>
      </c>
      <c r="F1409" s="2" t="s">
        <v>66</v>
      </c>
      <c r="G1409" s="2" t="s">
        <v>174</v>
      </c>
      <c r="H1409" s="2" t="s">
        <v>175</v>
      </c>
      <c r="I1409" s="2" t="s">
        <v>176</v>
      </c>
      <c r="J1409" s="2" t="s">
        <v>443</v>
      </c>
      <c r="K1409" s="2" t="s">
        <v>444</v>
      </c>
      <c r="L1409" s="2" t="s">
        <v>2951</v>
      </c>
      <c r="M1409" s="2" t="s">
        <v>73</v>
      </c>
      <c r="N1409" s="2" t="s">
        <v>96</v>
      </c>
      <c r="O1409" s="2">
        <v>10</v>
      </c>
      <c r="P1409" s="2">
        <v>9</v>
      </c>
      <c r="Q1409" s="4">
        <v>5830</v>
      </c>
      <c r="R1409" s="4">
        <v>5310</v>
      </c>
      <c r="S1409" s="4">
        <v>94</v>
      </c>
      <c r="T1409" s="19">
        <f>(ProductionData[[#This Row],[Rejected_Qty]])/ProductionData[[#This Row],[Produced_Qty]]</f>
        <v>1.7702448210922789E-2</v>
      </c>
      <c r="U1409" s="19">
        <f>ProductionData[[#This Row],[Produced_Qty]]/ProductionData[[#This Row],[Planned_Qty]]</f>
        <v>0.91080617495711835</v>
      </c>
      <c r="V1409" s="2" t="s">
        <v>113</v>
      </c>
      <c r="W1409" s="11">
        <v>0</v>
      </c>
      <c r="X1409" s="13">
        <f>W1409/60</f>
        <v>0</v>
      </c>
      <c r="Y1409" s="2" t="s">
        <v>90</v>
      </c>
      <c r="Z1409" s="2">
        <v>33</v>
      </c>
      <c r="AA1409" s="2">
        <f>ProductionData[[#This Row],[Rejected_Qty]]*ProductionData[[#This Row],[Unit_Cost_INR]]</f>
        <v>3102</v>
      </c>
      <c r="AB1409" s="4">
        <v>36068</v>
      </c>
      <c r="AC1409" s="4">
        <v>5120</v>
      </c>
      <c r="AD1409" s="4">
        <v>5120</v>
      </c>
      <c r="AE1409" s="4">
        <v>36164</v>
      </c>
      <c r="AF1409" s="4">
        <v>9750</v>
      </c>
    </row>
    <row r="1410" spans="1:32">
      <c r="A1410" s="2" t="s">
        <v>2952</v>
      </c>
      <c r="B1410" s="3">
        <v>46255</v>
      </c>
      <c r="C1410" s="36" t="s">
        <v>2816</v>
      </c>
      <c r="D1410" s="2">
        <f>MONTH(ProductionData[[#This Row],[Month]])</f>
        <v>8</v>
      </c>
      <c r="E1410" s="2" t="s">
        <v>125</v>
      </c>
      <c r="F1410" s="2" t="s">
        <v>80</v>
      </c>
      <c r="G1410" s="2" t="s">
        <v>174</v>
      </c>
      <c r="H1410" s="2" t="s">
        <v>175</v>
      </c>
      <c r="I1410" s="2" t="s">
        <v>176</v>
      </c>
      <c r="J1410" s="2" t="s">
        <v>443</v>
      </c>
      <c r="K1410" s="2" t="s">
        <v>444</v>
      </c>
      <c r="L1410" s="2" t="s">
        <v>2953</v>
      </c>
      <c r="M1410" s="2" t="s">
        <v>87</v>
      </c>
      <c r="N1410" s="2" t="s">
        <v>88</v>
      </c>
      <c r="O1410" s="2">
        <v>10</v>
      </c>
      <c r="P1410" s="2">
        <v>10</v>
      </c>
      <c r="Q1410" s="4">
        <v>5700</v>
      </c>
      <c r="R1410" s="4">
        <v>5510</v>
      </c>
      <c r="S1410" s="4">
        <v>60</v>
      </c>
      <c r="T1410" s="19">
        <f>(ProductionData[[#This Row],[Rejected_Qty]])/ProductionData[[#This Row],[Produced_Qty]]</f>
        <v>1.0889292196007259E-2</v>
      </c>
      <c r="U1410" s="19">
        <f>ProductionData[[#This Row],[Produced_Qty]]/ProductionData[[#This Row],[Planned_Qty]]</f>
        <v>0.96666666666666667</v>
      </c>
      <c r="V1410" s="2" t="s">
        <v>109</v>
      </c>
      <c r="W1410" s="11">
        <v>0</v>
      </c>
      <c r="X1410" s="13">
        <f>W1410/60</f>
        <v>0</v>
      </c>
      <c r="Y1410" s="2" t="s">
        <v>90</v>
      </c>
      <c r="Z1410" s="2">
        <v>33</v>
      </c>
      <c r="AA1410" s="2">
        <f>ProductionData[[#This Row],[Rejected_Qty]]*ProductionData[[#This Row],[Unit_Cost_INR]]</f>
        <v>1980</v>
      </c>
      <c r="AB1410" s="4">
        <v>35828</v>
      </c>
      <c r="AC1410" s="4">
        <v>5210</v>
      </c>
      <c r="AD1410" s="4">
        <v>5210</v>
      </c>
      <c r="AE1410" s="4">
        <v>36068</v>
      </c>
      <c r="AF1410" s="4">
        <v>9750</v>
      </c>
    </row>
    <row r="1411" spans="1:32">
      <c r="A1411" s="2" t="s">
        <v>2954</v>
      </c>
      <c r="B1411" s="3">
        <v>46241</v>
      </c>
      <c r="C1411" s="36" t="s">
        <v>2816</v>
      </c>
      <c r="D1411" s="2">
        <f>MONTH(ProductionData[[#This Row],[Month]])</f>
        <v>8</v>
      </c>
      <c r="E1411" s="2" t="s">
        <v>125</v>
      </c>
      <c r="F1411" s="2" t="s">
        <v>66</v>
      </c>
      <c r="G1411" s="2" t="s">
        <v>195</v>
      </c>
      <c r="H1411" s="2" t="s">
        <v>196</v>
      </c>
      <c r="I1411" s="2" t="s">
        <v>197</v>
      </c>
      <c r="J1411" s="2" t="s">
        <v>198</v>
      </c>
      <c r="K1411" s="2" t="s">
        <v>199</v>
      </c>
      <c r="L1411" s="2" t="s">
        <v>2955</v>
      </c>
      <c r="M1411" s="2" t="s">
        <v>99</v>
      </c>
      <c r="N1411" s="2" t="s">
        <v>96</v>
      </c>
      <c r="O1411" s="2">
        <v>14</v>
      </c>
      <c r="P1411" s="2">
        <v>14</v>
      </c>
      <c r="Q1411" s="4">
        <v>9340</v>
      </c>
      <c r="R1411" s="4">
        <v>8530</v>
      </c>
      <c r="S1411" s="4">
        <v>237</v>
      </c>
      <c r="T1411" s="19">
        <f>(ProductionData[[#This Row],[Rejected_Qty]])/ProductionData[[#This Row],[Produced_Qty]]</f>
        <v>2.7784290738569754E-2</v>
      </c>
      <c r="U1411" s="19">
        <f>ProductionData[[#This Row],[Produced_Qty]]/ProductionData[[#This Row],[Planned_Qty]]</f>
        <v>0.91327623126338331</v>
      </c>
      <c r="V1411" s="2" t="s">
        <v>89</v>
      </c>
      <c r="W1411" s="11">
        <v>48</v>
      </c>
      <c r="X1411" s="13">
        <f>W1411/60</f>
        <v>0.8</v>
      </c>
      <c r="Y1411" s="2" t="s">
        <v>110</v>
      </c>
      <c r="Z1411" s="2">
        <v>38</v>
      </c>
      <c r="AA1411" s="2">
        <f>ProductionData[[#This Row],[Rejected_Qty]]*ProductionData[[#This Row],[Unit_Cost_INR]]</f>
        <v>9006</v>
      </c>
      <c r="AB1411" s="4">
        <v>35576</v>
      </c>
      <c r="AC1411" s="4">
        <v>7820</v>
      </c>
      <c r="AD1411" s="4">
        <v>7820</v>
      </c>
      <c r="AE1411" s="4">
        <v>36049</v>
      </c>
      <c r="AF1411" s="4">
        <v>13500</v>
      </c>
    </row>
    <row r="1412" spans="1:32">
      <c r="A1412" s="2" t="s">
        <v>2956</v>
      </c>
      <c r="B1412" s="3">
        <v>46238</v>
      </c>
      <c r="C1412" s="36" t="s">
        <v>2816</v>
      </c>
      <c r="D1412" s="2">
        <f>MONTH(ProductionData[[#This Row],[Month]])</f>
        <v>8</v>
      </c>
      <c r="E1412" s="2" t="s">
        <v>92</v>
      </c>
      <c r="F1412" s="2" t="s">
        <v>80</v>
      </c>
      <c r="G1412" s="2" t="s">
        <v>195</v>
      </c>
      <c r="H1412" s="2" t="s">
        <v>196</v>
      </c>
      <c r="I1412" s="2" t="s">
        <v>197</v>
      </c>
      <c r="J1412" s="2" t="s">
        <v>198</v>
      </c>
      <c r="K1412" s="2" t="s">
        <v>199</v>
      </c>
      <c r="L1412" s="2" t="s">
        <v>2957</v>
      </c>
      <c r="M1412" s="2" t="s">
        <v>87</v>
      </c>
      <c r="N1412" s="2" t="s">
        <v>88</v>
      </c>
      <c r="O1412" s="2">
        <v>14</v>
      </c>
      <c r="P1412" s="2">
        <v>13</v>
      </c>
      <c r="Q1412" s="4">
        <v>9170</v>
      </c>
      <c r="R1412" s="4">
        <v>8450</v>
      </c>
      <c r="S1412" s="4">
        <v>161</v>
      </c>
      <c r="T1412" s="19">
        <f>(ProductionData[[#This Row],[Rejected_Qty]])/ProductionData[[#This Row],[Produced_Qty]]</f>
        <v>1.9053254437869822E-2</v>
      </c>
      <c r="U1412" s="19">
        <f>ProductionData[[#This Row],[Produced_Qty]]/ProductionData[[#This Row],[Planned_Qty]]</f>
        <v>0.92148309705561615</v>
      </c>
      <c r="V1412" s="2" t="s">
        <v>109</v>
      </c>
      <c r="W1412" s="11">
        <v>0</v>
      </c>
      <c r="X1412" s="13">
        <f>W1412/60</f>
        <v>0</v>
      </c>
      <c r="Y1412" s="2" t="s">
        <v>90</v>
      </c>
      <c r="Z1412" s="2">
        <v>38</v>
      </c>
      <c r="AA1412" s="2">
        <f>ProductionData[[#This Row],[Rejected_Qty]]*ProductionData[[#This Row],[Unit_Cost_INR]]</f>
        <v>6118</v>
      </c>
      <c r="AB1412" s="4">
        <v>35990</v>
      </c>
      <c r="AC1412" s="4">
        <v>8280</v>
      </c>
      <c r="AD1412" s="4">
        <v>8280</v>
      </c>
      <c r="AE1412" s="4">
        <v>35999</v>
      </c>
      <c r="AF1412" s="4">
        <v>13500</v>
      </c>
    </row>
    <row r="1413" spans="1:32">
      <c r="A1413" s="2" t="s">
        <v>2958</v>
      </c>
      <c r="B1413" s="3">
        <v>46238</v>
      </c>
      <c r="C1413" s="36" t="s">
        <v>2816</v>
      </c>
      <c r="D1413" s="2">
        <f>MONTH(ProductionData[[#This Row],[Month]])</f>
        <v>8</v>
      </c>
      <c r="E1413" s="2" t="s">
        <v>92</v>
      </c>
      <c r="F1413" s="2" t="s">
        <v>66</v>
      </c>
      <c r="G1413" s="2" t="s">
        <v>195</v>
      </c>
      <c r="H1413" s="2" t="s">
        <v>196</v>
      </c>
      <c r="I1413" s="2" t="s">
        <v>197</v>
      </c>
      <c r="J1413" s="2" t="s">
        <v>198</v>
      </c>
      <c r="K1413" s="2" t="s">
        <v>199</v>
      </c>
      <c r="L1413" s="2" t="s">
        <v>2959</v>
      </c>
      <c r="M1413" s="2" t="s">
        <v>73</v>
      </c>
      <c r="N1413" s="2" t="s">
        <v>96</v>
      </c>
      <c r="O1413" s="2">
        <v>14</v>
      </c>
      <c r="P1413" s="2">
        <v>13</v>
      </c>
      <c r="Q1413" s="4">
        <v>9260</v>
      </c>
      <c r="R1413" s="4">
        <v>8770</v>
      </c>
      <c r="S1413" s="4">
        <v>324</v>
      </c>
      <c r="T1413" s="19">
        <f>(ProductionData[[#This Row],[Rejected_Qty]])/ProductionData[[#This Row],[Produced_Qty]]</f>
        <v>3.6944127708095784E-2</v>
      </c>
      <c r="U1413" s="19">
        <f>ProductionData[[#This Row],[Produced_Qty]]/ProductionData[[#This Row],[Planned_Qty]]</f>
        <v>0.94708423326133906</v>
      </c>
      <c r="V1413" s="2" t="s">
        <v>109</v>
      </c>
      <c r="W1413" s="11">
        <v>42</v>
      </c>
      <c r="X1413" s="13">
        <f>W1413/60</f>
        <v>0.7</v>
      </c>
      <c r="Y1413" s="2" t="s">
        <v>110</v>
      </c>
      <c r="Z1413" s="2">
        <v>38</v>
      </c>
      <c r="AA1413" s="2">
        <f>ProductionData[[#This Row],[Rejected_Qty]]*ProductionData[[#This Row],[Unit_Cost_INR]]</f>
        <v>12312</v>
      </c>
      <c r="AB1413" s="4">
        <v>36214</v>
      </c>
      <c r="AC1413" s="4">
        <v>8670</v>
      </c>
      <c r="AD1413" s="4">
        <v>8670</v>
      </c>
      <c r="AE1413" s="4">
        <v>35990</v>
      </c>
      <c r="AF1413" s="4">
        <v>13500</v>
      </c>
    </row>
    <row r="1414" spans="1:32">
      <c r="A1414" s="2" t="s">
        <v>2960</v>
      </c>
      <c r="B1414" s="3">
        <v>46253</v>
      </c>
      <c r="C1414" s="36" t="s">
        <v>2816</v>
      </c>
      <c r="D1414" s="2">
        <f>MONTH(ProductionData[[#This Row],[Month]])</f>
        <v>8</v>
      </c>
      <c r="E1414" s="2" t="s">
        <v>79</v>
      </c>
      <c r="F1414" s="2" t="s">
        <v>80</v>
      </c>
      <c r="G1414" s="2" t="s">
        <v>174</v>
      </c>
      <c r="H1414" s="2" t="s">
        <v>175</v>
      </c>
      <c r="I1414" s="2" t="s">
        <v>176</v>
      </c>
      <c r="J1414" s="2" t="s">
        <v>443</v>
      </c>
      <c r="K1414" s="2" t="s">
        <v>444</v>
      </c>
      <c r="L1414" s="2" t="s">
        <v>2961</v>
      </c>
      <c r="M1414" s="2" t="s">
        <v>87</v>
      </c>
      <c r="N1414" s="2" t="s">
        <v>96</v>
      </c>
      <c r="O1414" s="2">
        <v>10</v>
      </c>
      <c r="P1414" s="2">
        <v>10</v>
      </c>
      <c r="Q1414" s="4">
        <v>5900</v>
      </c>
      <c r="R1414" s="4">
        <v>5480</v>
      </c>
      <c r="S1414" s="4">
        <v>89</v>
      </c>
      <c r="T1414" s="19">
        <f>(ProductionData[[#This Row],[Rejected_Qty]])/ProductionData[[#This Row],[Produced_Qty]]</f>
        <v>1.6240875912408758E-2</v>
      </c>
      <c r="U1414" s="19">
        <f>ProductionData[[#This Row],[Produced_Qty]]/ProductionData[[#This Row],[Planned_Qty]]</f>
        <v>0.92881355932203391</v>
      </c>
      <c r="V1414" s="2" t="s">
        <v>89</v>
      </c>
      <c r="W1414" s="11">
        <v>0</v>
      </c>
      <c r="X1414" s="13">
        <f>W1414/60</f>
        <v>0</v>
      </c>
      <c r="Y1414" s="2" t="s">
        <v>90</v>
      </c>
      <c r="Z1414" s="2">
        <v>33</v>
      </c>
      <c r="AA1414" s="2">
        <f>ProductionData[[#This Row],[Rejected_Qty]]*ProductionData[[#This Row],[Unit_Cost_INR]]</f>
        <v>2937</v>
      </c>
      <c r="AB1414" s="4">
        <v>35687</v>
      </c>
      <c r="AC1414" s="4">
        <v>5250</v>
      </c>
      <c r="AD1414" s="4">
        <v>5250</v>
      </c>
      <c r="AE1414" s="4">
        <v>35828</v>
      </c>
      <c r="AF1414" s="4">
        <v>9750</v>
      </c>
    </row>
    <row r="1415" spans="1:32">
      <c r="A1415" s="2" t="s">
        <v>2962</v>
      </c>
      <c r="B1415" s="3">
        <v>46248</v>
      </c>
      <c r="C1415" s="36" t="s">
        <v>2816</v>
      </c>
      <c r="D1415" s="2">
        <f>MONTH(ProductionData[[#This Row],[Month]])</f>
        <v>8</v>
      </c>
      <c r="E1415" s="2" t="s">
        <v>125</v>
      </c>
      <c r="F1415" s="2" t="s">
        <v>93</v>
      </c>
      <c r="G1415" s="2" t="s">
        <v>174</v>
      </c>
      <c r="H1415" s="2" t="s">
        <v>175</v>
      </c>
      <c r="I1415" s="2" t="s">
        <v>176</v>
      </c>
      <c r="J1415" s="2" t="s">
        <v>443</v>
      </c>
      <c r="K1415" s="2" t="s">
        <v>444</v>
      </c>
      <c r="L1415" s="2" t="s">
        <v>2963</v>
      </c>
      <c r="M1415" s="2" t="s">
        <v>133</v>
      </c>
      <c r="N1415" s="2" t="s">
        <v>96</v>
      </c>
      <c r="O1415" s="2">
        <v>10</v>
      </c>
      <c r="P1415" s="2">
        <v>10</v>
      </c>
      <c r="Q1415" s="4">
        <v>5420</v>
      </c>
      <c r="R1415" s="4">
        <v>5170</v>
      </c>
      <c r="S1415" s="4">
        <v>113</v>
      </c>
      <c r="T1415" s="19">
        <f>(ProductionData[[#This Row],[Rejected_Qty]])/ProductionData[[#This Row],[Produced_Qty]]</f>
        <v>2.1856866537717602E-2</v>
      </c>
      <c r="U1415" s="19">
        <f>ProductionData[[#This Row],[Produced_Qty]]/ProductionData[[#This Row],[Planned_Qty]]</f>
        <v>0.95387453874538741</v>
      </c>
      <c r="V1415" s="2" t="s">
        <v>109</v>
      </c>
      <c r="W1415" s="11">
        <v>0</v>
      </c>
      <c r="X1415" s="13">
        <f>W1415/60</f>
        <v>0</v>
      </c>
      <c r="Y1415" s="2" t="s">
        <v>90</v>
      </c>
      <c r="Z1415" s="2">
        <v>33</v>
      </c>
      <c r="AA1415" s="2">
        <f>ProductionData[[#This Row],[Rejected_Qty]]*ProductionData[[#This Row],[Unit_Cost_INR]]</f>
        <v>3729</v>
      </c>
      <c r="AB1415" s="4">
        <v>35220</v>
      </c>
      <c r="AC1415" s="4">
        <v>4590</v>
      </c>
      <c r="AD1415" s="4">
        <v>4590</v>
      </c>
      <c r="AE1415" s="4">
        <v>35687</v>
      </c>
      <c r="AF1415" s="4">
        <v>9750</v>
      </c>
    </row>
    <row r="1416" spans="1:32">
      <c r="A1416" s="2" t="s">
        <v>2964</v>
      </c>
      <c r="B1416" s="3">
        <v>46240</v>
      </c>
      <c r="C1416" s="36" t="s">
        <v>2816</v>
      </c>
      <c r="D1416" s="2">
        <f>MONTH(ProductionData[[#This Row],[Month]])</f>
        <v>8</v>
      </c>
      <c r="E1416" s="2" t="s">
        <v>107</v>
      </c>
      <c r="F1416" s="2" t="s">
        <v>80</v>
      </c>
      <c r="G1416" s="2" t="s">
        <v>195</v>
      </c>
      <c r="H1416" s="2" t="s">
        <v>196</v>
      </c>
      <c r="I1416" s="2" t="s">
        <v>197</v>
      </c>
      <c r="J1416" s="2" t="s">
        <v>198</v>
      </c>
      <c r="K1416" s="2" t="s">
        <v>199</v>
      </c>
      <c r="L1416" s="2" t="s">
        <v>2965</v>
      </c>
      <c r="M1416" s="2" t="s">
        <v>102</v>
      </c>
      <c r="N1416" s="2" t="s">
        <v>96</v>
      </c>
      <c r="O1416" s="2">
        <v>14</v>
      </c>
      <c r="P1416" s="2">
        <v>14</v>
      </c>
      <c r="Q1416" s="4">
        <v>9650</v>
      </c>
      <c r="R1416" s="4">
        <v>9330</v>
      </c>
      <c r="S1416" s="4">
        <v>163</v>
      </c>
      <c r="T1416" s="19">
        <f>(ProductionData[[#This Row],[Rejected_Qty]])/ProductionData[[#This Row],[Produced_Qty]]</f>
        <v>1.7470525187566987E-2</v>
      </c>
      <c r="U1416" s="19">
        <f>ProductionData[[#This Row],[Produced_Qty]]/ProductionData[[#This Row],[Planned_Qty]]</f>
        <v>0.96683937823834198</v>
      </c>
      <c r="V1416" s="2" t="s">
        <v>109</v>
      </c>
      <c r="W1416" s="11">
        <v>0</v>
      </c>
      <c r="X1416" s="13">
        <f>W1416/60</f>
        <v>0</v>
      </c>
      <c r="Y1416" s="2" t="s">
        <v>90</v>
      </c>
      <c r="Z1416" s="2">
        <v>38</v>
      </c>
      <c r="AA1416" s="2">
        <f>ProductionData[[#This Row],[Rejected_Qty]]*ProductionData[[#This Row],[Unit_Cost_INR]]</f>
        <v>6194</v>
      </c>
      <c r="AB1416" s="4">
        <v>35029</v>
      </c>
      <c r="AC1416" s="4">
        <v>8620</v>
      </c>
      <c r="AD1416" s="4">
        <v>8620</v>
      </c>
      <c r="AE1416" s="4">
        <v>35576</v>
      </c>
      <c r="AF1416" s="4">
        <v>13500</v>
      </c>
    </row>
    <row r="1417" spans="1:32">
      <c r="A1417" s="2" t="s">
        <v>2966</v>
      </c>
      <c r="B1417" s="3">
        <v>46248</v>
      </c>
      <c r="C1417" s="36" t="s">
        <v>2816</v>
      </c>
      <c r="D1417" s="2">
        <f>MONTH(ProductionData[[#This Row],[Month]])</f>
        <v>8</v>
      </c>
      <c r="E1417" s="2" t="s">
        <v>125</v>
      </c>
      <c r="F1417" s="2" t="s">
        <v>66</v>
      </c>
      <c r="G1417" s="2" t="s">
        <v>174</v>
      </c>
      <c r="H1417" s="2" t="s">
        <v>175</v>
      </c>
      <c r="I1417" s="2" t="s">
        <v>176</v>
      </c>
      <c r="J1417" s="2" t="s">
        <v>443</v>
      </c>
      <c r="K1417" s="2" t="s">
        <v>444</v>
      </c>
      <c r="L1417" s="2" t="s">
        <v>2967</v>
      </c>
      <c r="M1417" s="2" t="s">
        <v>99</v>
      </c>
      <c r="N1417" s="2" t="s">
        <v>88</v>
      </c>
      <c r="O1417" s="2">
        <v>10</v>
      </c>
      <c r="P1417" s="2">
        <v>10</v>
      </c>
      <c r="Q1417" s="4">
        <v>5440</v>
      </c>
      <c r="R1417" s="4">
        <v>5500</v>
      </c>
      <c r="S1417" s="4">
        <v>52</v>
      </c>
      <c r="T1417" s="19">
        <f>(ProductionData[[#This Row],[Rejected_Qty]])/ProductionData[[#This Row],[Produced_Qty]]</f>
        <v>9.4545454545454551E-3</v>
      </c>
      <c r="U1417" s="19">
        <f>ProductionData[[#This Row],[Produced_Qty]]/ProductionData[[#This Row],[Planned_Qty]]</f>
        <v>1.0110294117647058</v>
      </c>
      <c r="V1417" s="2" t="s">
        <v>103</v>
      </c>
      <c r="W1417" s="11">
        <v>0</v>
      </c>
      <c r="X1417" s="13">
        <f>W1417/60</f>
        <v>0</v>
      </c>
      <c r="Y1417" s="2" t="s">
        <v>90</v>
      </c>
      <c r="Z1417" s="2">
        <v>33</v>
      </c>
      <c r="AA1417" s="2">
        <f>ProductionData[[#This Row],[Rejected_Qty]]*ProductionData[[#This Row],[Unit_Cost_INR]]</f>
        <v>1716</v>
      </c>
      <c r="AB1417" s="4">
        <v>34982</v>
      </c>
      <c r="AC1417" s="4">
        <v>5210</v>
      </c>
      <c r="AD1417" s="4">
        <v>5210</v>
      </c>
      <c r="AE1417" s="4">
        <v>35220</v>
      </c>
      <c r="AF1417" s="4">
        <v>9750</v>
      </c>
    </row>
    <row r="1418" spans="1:32">
      <c r="A1418" s="2" t="s">
        <v>2968</v>
      </c>
      <c r="B1418" s="3">
        <v>46239</v>
      </c>
      <c r="C1418" s="36" t="s">
        <v>2816</v>
      </c>
      <c r="D1418" s="2">
        <f>MONTH(ProductionData[[#This Row],[Month]])</f>
        <v>8</v>
      </c>
      <c r="E1418" s="2" t="s">
        <v>79</v>
      </c>
      <c r="F1418" s="2" t="s">
        <v>66</v>
      </c>
      <c r="G1418" s="2" t="s">
        <v>195</v>
      </c>
      <c r="H1418" s="2" t="s">
        <v>196</v>
      </c>
      <c r="I1418" s="2" t="s">
        <v>197</v>
      </c>
      <c r="J1418" s="2" t="s">
        <v>198</v>
      </c>
      <c r="K1418" s="2" t="s">
        <v>199</v>
      </c>
      <c r="L1418" s="2" t="s">
        <v>2969</v>
      </c>
      <c r="M1418" s="2" t="s">
        <v>73</v>
      </c>
      <c r="N1418" s="2" t="s">
        <v>88</v>
      </c>
      <c r="O1418" s="2">
        <v>14</v>
      </c>
      <c r="P1418" s="2">
        <v>11</v>
      </c>
      <c r="Q1418" s="4">
        <v>9340</v>
      </c>
      <c r="R1418" s="4">
        <v>8000</v>
      </c>
      <c r="S1418" s="4">
        <v>183</v>
      </c>
      <c r="T1418" s="19">
        <f>(ProductionData[[#This Row],[Rejected_Qty]])/ProductionData[[#This Row],[Produced_Qty]]</f>
        <v>2.2875E-2</v>
      </c>
      <c r="U1418" s="19">
        <f>ProductionData[[#This Row],[Produced_Qty]]/ProductionData[[#This Row],[Planned_Qty]]</f>
        <v>0.85653104925053536</v>
      </c>
      <c r="V1418" s="2" t="s">
        <v>109</v>
      </c>
      <c r="W1418" s="11">
        <v>0</v>
      </c>
      <c r="X1418" s="13">
        <f>W1418/60</f>
        <v>0</v>
      </c>
      <c r="Y1418" s="2" t="s">
        <v>90</v>
      </c>
      <c r="Z1418" s="2">
        <v>38</v>
      </c>
      <c r="AA1418" s="2">
        <f>ProductionData[[#This Row],[Rejected_Qty]]*ProductionData[[#This Row],[Unit_Cost_INR]]</f>
        <v>6954</v>
      </c>
      <c r="AB1418" s="4">
        <v>35999</v>
      </c>
      <c r="AC1418" s="4">
        <v>8650</v>
      </c>
      <c r="AD1418" s="4">
        <v>8650</v>
      </c>
      <c r="AE1418" s="4">
        <v>35166</v>
      </c>
      <c r="AF1418" s="4">
        <v>13500</v>
      </c>
    </row>
    <row r="1419" spans="1:32">
      <c r="A1419" s="2" t="s">
        <v>2970</v>
      </c>
      <c r="B1419" s="3">
        <v>46239</v>
      </c>
      <c r="C1419" s="36" t="s">
        <v>2816</v>
      </c>
      <c r="D1419" s="2">
        <f>MONTH(ProductionData[[#This Row],[Month]])</f>
        <v>8</v>
      </c>
      <c r="E1419" s="2" t="s">
        <v>79</v>
      </c>
      <c r="F1419" s="2" t="s">
        <v>80</v>
      </c>
      <c r="G1419" s="2" t="s">
        <v>195</v>
      </c>
      <c r="H1419" s="2" t="s">
        <v>196</v>
      </c>
      <c r="I1419" s="2" t="s">
        <v>197</v>
      </c>
      <c r="J1419" s="2" t="s">
        <v>198</v>
      </c>
      <c r="K1419" s="2" t="s">
        <v>199</v>
      </c>
      <c r="L1419" s="2" t="s">
        <v>2971</v>
      </c>
      <c r="M1419" s="2" t="s">
        <v>87</v>
      </c>
      <c r="N1419" s="2" t="s">
        <v>88</v>
      </c>
      <c r="O1419" s="2">
        <v>14</v>
      </c>
      <c r="P1419" s="2">
        <v>14</v>
      </c>
      <c r="Q1419" s="4">
        <v>8550</v>
      </c>
      <c r="R1419" s="4">
        <v>8190</v>
      </c>
      <c r="S1419" s="4">
        <v>267</v>
      </c>
      <c r="T1419" s="19">
        <f>(ProductionData[[#This Row],[Rejected_Qty]])/ProductionData[[#This Row],[Produced_Qty]]</f>
        <v>3.2600732600732603E-2</v>
      </c>
      <c r="U1419" s="19">
        <f>ProductionData[[#This Row],[Produced_Qty]]/ProductionData[[#This Row],[Planned_Qty]]</f>
        <v>0.95789473684210524</v>
      </c>
      <c r="V1419" s="2" t="s">
        <v>75</v>
      </c>
      <c r="W1419" s="11">
        <v>0</v>
      </c>
      <c r="X1419" s="13">
        <f>W1419/60</f>
        <v>0</v>
      </c>
      <c r="Y1419" s="2" t="s">
        <v>90</v>
      </c>
      <c r="Z1419" s="2">
        <v>38</v>
      </c>
      <c r="AA1419" s="2">
        <f>ProductionData[[#This Row],[Rejected_Qty]]*ProductionData[[#This Row],[Unit_Cost_INR]]</f>
        <v>10146</v>
      </c>
      <c r="AB1419" s="4">
        <v>35166</v>
      </c>
      <c r="AC1419" s="4">
        <v>8060</v>
      </c>
      <c r="AD1419" s="4">
        <v>8060</v>
      </c>
      <c r="AE1419" s="4">
        <v>35029</v>
      </c>
      <c r="AF1419" s="4">
        <v>13500</v>
      </c>
    </row>
    <row r="1420" spans="1:32">
      <c r="A1420" s="2" t="s">
        <v>2972</v>
      </c>
      <c r="B1420" s="3">
        <v>46247</v>
      </c>
      <c r="C1420" s="36" t="s">
        <v>2816</v>
      </c>
      <c r="D1420" s="2">
        <f>MONTH(ProductionData[[#This Row],[Month]])</f>
        <v>8</v>
      </c>
      <c r="E1420" s="2" t="s">
        <v>107</v>
      </c>
      <c r="F1420" s="2" t="s">
        <v>66</v>
      </c>
      <c r="G1420" s="2" t="s">
        <v>174</v>
      </c>
      <c r="H1420" s="2" t="s">
        <v>175</v>
      </c>
      <c r="I1420" s="2" t="s">
        <v>176</v>
      </c>
      <c r="J1420" s="2" t="s">
        <v>443</v>
      </c>
      <c r="K1420" s="2" t="s">
        <v>444</v>
      </c>
      <c r="L1420" s="2" t="s">
        <v>2973</v>
      </c>
      <c r="M1420" s="2" t="s">
        <v>73</v>
      </c>
      <c r="N1420" s="2" t="s">
        <v>88</v>
      </c>
      <c r="O1420" s="2">
        <v>10</v>
      </c>
      <c r="P1420" s="2">
        <v>10</v>
      </c>
      <c r="Q1420" s="4">
        <v>5580</v>
      </c>
      <c r="R1420" s="4">
        <v>5350</v>
      </c>
      <c r="S1420" s="4">
        <v>101</v>
      </c>
      <c r="T1420" s="19">
        <f>(ProductionData[[#This Row],[Rejected_Qty]])/ProductionData[[#This Row],[Produced_Qty]]</f>
        <v>1.8878504672897197E-2</v>
      </c>
      <c r="U1420" s="19">
        <f>ProductionData[[#This Row],[Produced_Qty]]/ProductionData[[#This Row],[Planned_Qty]]</f>
        <v>0.95878136200716846</v>
      </c>
      <c r="V1420" s="2" t="s">
        <v>103</v>
      </c>
      <c r="W1420" s="11">
        <v>0</v>
      </c>
      <c r="X1420" s="13">
        <f>W1420/60</f>
        <v>0</v>
      </c>
      <c r="Y1420" s="2" t="s">
        <v>90</v>
      </c>
      <c r="Z1420" s="2">
        <v>33</v>
      </c>
      <c r="AA1420" s="2">
        <f>ProductionData[[#This Row],[Rejected_Qty]]*ProductionData[[#This Row],[Unit_Cost_INR]]</f>
        <v>3333</v>
      </c>
      <c r="AB1420" s="4">
        <v>34653</v>
      </c>
      <c r="AC1420" s="4">
        <v>4920</v>
      </c>
      <c r="AD1420" s="4">
        <v>4920</v>
      </c>
      <c r="AE1420" s="4">
        <v>34982</v>
      </c>
      <c r="AF1420" s="4">
        <v>9750</v>
      </c>
    </row>
    <row r="1421" spans="1:32">
      <c r="A1421" s="2" t="s">
        <v>2974</v>
      </c>
      <c r="B1421" s="3">
        <v>46261</v>
      </c>
      <c r="C1421" s="36" t="s">
        <v>2816</v>
      </c>
      <c r="D1421" s="2">
        <f>MONTH(ProductionData[[#This Row],[Month]])</f>
        <v>8</v>
      </c>
      <c r="E1421" s="2" t="s">
        <v>107</v>
      </c>
      <c r="F1421" s="2" t="s">
        <v>80</v>
      </c>
      <c r="G1421" s="2" t="s">
        <v>195</v>
      </c>
      <c r="H1421" s="2" t="s">
        <v>196</v>
      </c>
      <c r="I1421" s="2" t="s">
        <v>197</v>
      </c>
      <c r="J1421" s="2" t="s">
        <v>269</v>
      </c>
      <c r="K1421" s="2" t="s">
        <v>270</v>
      </c>
      <c r="L1421" s="2" t="s">
        <v>2975</v>
      </c>
      <c r="M1421" s="2" t="s">
        <v>87</v>
      </c>
      <c r="N1421" s="2" t="s">
        <v>96</v>
      </c>
      <c r="O1421" s="2">
        <v>14</v>
      </c>
      <c r="P1421" s="2">
        <v>14</v>
      </c>
      <c r="Q1421" s="4">
        <v>8030</v>
      </c>
      <c r="R1421" s="4">
        <v>7790</v>
      </c>
      <c r="S1421" s="4">
        <v>180</v>
      </c>
      <c r="T1421" s="19">
        <f>(ProductionData[[#This Row],[Rejected_Qty]])/ProductionData[[#This Row],[Produced_Qty]]</f>
        <v>2.3106546854942234E-2</v>
      </c>
      <c r="U1421" s="19">
        <f>ProductionData[[#This Row],[Produced_Qty]]/ProductionData[[#This Row],[Planned_Qty]]</f>
        <v>0.97011207970112079</v>
      </c>
      <c r="V1421" s="2" t="s">
        <v>113</v>
      </c>
      <c r="W1421" s="11">
        <v>53</v>
      </c>
      <c r="X1421" s="13">
        <f>W1421/60</f>
        <v>0.8833333333333333</v>
      </c>
      <c r="Y1421" s="2" t="s">
        <v>76</v>
      </c>
      <c r="Z1421" s="2">
        <v>42</v>
      </c>
      <c r="AA1421" s="2">
        <f>ProductionData[[#This Row],[Rejected_Qty]]*ProductionData[[#This Row],[Unit_Cost_INR]]</f>
        <v>7560</v>
      </c>
      <c r="AB1421" s="4">
        <v>33812</v>
      </c>
      <c r="AC1421" s="4">
        <v>6670</v>
      </c>
      <c r="AD1421" s="4">
        <v>6670</v>
      </c>
      <c r="AE1421" s="4">
        <v>34752</v>
      </c>
      <c r="AF1421" s="4">
        <v>12000</v>
      </c>
    </row>
    <row r="1422" spans="1:32">
      <c r="A1422" s="2" t="s">
        <v>2976</v>
      </c>
      <c r="B1422" s="3">
        <v>46246</v>
      </c>
      <c r="C1422" s="36" t="s">
        <v>2816</v>
      </c>
      <c r="D1422" s="2">
        <f>MONTH(ProductionData[[#This Row],[Month]])</f>
        <v>8</v>
      </c>
      <c r="E1422" s="2" t="s">
        <v>79</v>
      </c>
      <c r="F1422" s="2" t="s">
        <v>66</v>
      </c>
      <c r="G1422" s="2" t="s">
        <v>174</v>
      </c>
      <c r="H1422" s="2" t="s">
        <v>175</v>
      </c>
      <c r="I1422" s="2" t="s">
        <v>176</v>
      </c>
      <c r="J1422" s="2" t="s">
        <v>443</v>
      </c>
      <c r="K1422" s="2" t="s">
        <v>444</v>
      </c>
      <c r="L1422" s="2" t="s">
        <v>2977</v>
      </c>
      <c r="M1422" s="2" t="s">
        <v>99</v>
      </c>
      <c r="N1422" s="2" t="s">
        <v>88</v>
      </c>
      <c r="O1422" s="2">
        <v>10</v>
      </c>
      <c r="P1422" s="2">
        <v>10</v>
      </c>
      <c r="Q1422" s="4">
        <v>5290</v>
      </c>
      <c r="R1422" s="4">
        <v>5290</v>
      </c>
      <c r="S1422" s="4">
        <v>95</v>
      </c>
      <c r="T1422" s="19">
        <f>(ProductionData[[#This Row],[Rejected_Qty]])/ProductionData[[#This Row],[Produced_Qty]]</f>
        <v>1.7958412098298678E-2</v>
      </c>
      <c r="U1422" s="19">
        <f>ProductionData[[#This Row],[Produced_Qty]]/ProductionData[[#This Row],[Planned_Qty]]</f>
        <v>1</v>
      </c>
      <c r="V1422" s="2" t="s">
        <v>109</v>
      </c>
      <c r="W1422" s="11">
        <v>0</v>
      </c>
      <c r="X1422" s="13">
        <f>W1422/60</f>
        <v>0</v>
      </c>
      <c r="Y1422" s="2" t="s">
        <v>90</v>
      </c>
      <c r="Z1422" s="2">
        <v>33</v>
      </c>
      <c r="AA1422" s="2">
        <f>ProductionData[[#This Row],[Rejected_Qty]]*ProductionData[[#This Row],[Unit_Cost_INR]]</f>
        <v>3135</v>
      </c>
      <c r="AB1422" s="4">
        <v>34138</v>
      </c>
      <c r="AC1422" s="4">
        <v>4680</v>
      </c>
      <c r="AD1422" s="4">
        <v>4680</v>
      </c>
      <c r="AE1422" s="4">
        <v>34653</v>
      </c>
      <c r="AF1422" s="4">
        <v>9750</v>
      </c>
    </row>
    <row r="1423" spans="1:32">
      <c r="A1423" s="2" t="s">
        <v>2978</v>
      </c>
      <c r="B1423" s="3">
        <v>46237</v>
      </c>
      <c r="C1423" s="36" t="s">
        <v>2816</v>
      </c>
      <c r="D1423" s="2">
        <f>MONTH(ProductionData[[#This Row],[Month]])</f>
        <v>8</v>
      </c>
      <c r="E1423" s="2" t="s">
        <v>116</v>
      </c>
      <c r="F1423" s="2" t="s">
        <v>66</v>
      </c>
      <c r="G1423" s="2" t="s">
        <v>174</v>
      </c>
      <c r="H1423" s="2" t="s">
        <v>175</v>
      </c>
      <c r="I1423" s="2" t="s">
        <v>176</v>
      </c>
      <c r="J1423" s="2" t="s">
        <v>443</v>
      </c>
      <c r="K1423" s="2" t="s">
        <v>444</v>
      </c>
      <c r="L1423" s="2" t="s">
        <v>2979</v>
      </c>
      <c r="M1423" s="2" t="s">
        <v>73</v>
      </c>
      <c r="N1423" s="2" t="s">
        <v>88</v>
      </c>
      <c r="O1423" s="2">
        <v>10</v>
      </c>
      <c r="P1423" s="2">
        <v>10</v>
      </c>
      <c r="Q1423" s="4">
        <v>5740</v>
      </c>
      <c r="R1423" s="4">
        <v>5480</v>
      </c>
      <c r="S1423" s="4">
        <v>183</v>
      </c>
      <c r="T1423" s="19">
        <f>(ProductionData[[#This Row],[Rejected_Qty]])/ProductionData[[#This Row],[Produced_Qty]]</f>
        <v>3.3394160583941603E-2</v>
      </c>
      <c r="U1423" s="19">
        <f>ProductionData[[#This Row],[Produced_Qty]]/ProductionData[[#This Row],[Planned_Qty]]</f>
        <v>0.95470383275261328</v>
      </c>
      <c r="V1423" s="2" t="s">
        <v>89</v>
      </c>
      <c r="W1423" s="11">
        <v>59</v>
      </c>
      <c r="X1423" s="13">
        <f>W1423/60</f>
        <v>0.98333333333333328</v>
      </c>
      <c r="Y1423" s="2" t="s">
        <v>110</v>
      </c>
      <c r="Z1423" s="2">
        <v>33</v>
      </c>
      <c r="AA1423" s="2">
        <f>ProductionData[[#This Row],[Rejected_Qty]]*ProductionData[[#This Row],[Unit_Cost_INR]]</f>
        <v>6039</v>
      </c>
      <c r="AB1423" s="4">
        <v>34198</v>
      </c>
      <c r="AC1423" s="4">
        <v>4850</v>
      </c>
      <c r="AD1423" s="4">
        <v>4850</v>
      </c>
      <c r="AE1423" s="4">
        <v>34645</v>
      </c>
      <c r="AF1423" s="4">
        <v>9750</v>
      </c>
    </row>
    <row r="1424" spans="1:32">
      <c r="A1424" s="2" t="s">
        <v>2980</v>
      </c>
      <c r="B1424" s="3">
        <v>46245</v>
      </c>
      <c r="C1424" s="36" t="s">
        <v>2816</v>
      </c>
      <c r="D1424" s="2">
        <f>MONTH(ProductionData[[#This Row],[Month]])</f>
        <v>8</v>
      </c>
      <c r="E1424" s="2" t="s">
        <v>92</v>
      </c>
      <c r="F1424" s="2" t="s">
        <v>80</v>
      </c>
      <c r="G1424" s="2" t="s">
        <v>174</v>
      </c>
      <c r="H1424" s="2" t="s">
        <v>175</v>
      </c>
      <c r="I1424" s="2" t="s">
        <v>176</v>
      </c>
      <c r="J1424" s="2" t="s">
        <v>443</v>
      </c>
      <c r="K1424" s="2" t="s">
        <v>444</v>
      </c>
      <c r="L1424" s="2" t="s">
        <v>2981</v>
      </c>
      <c r="M1424" s="2" t="s">
        <v>102</v>
      </c>
      <c r="N1424" s="2" t="s">
        <v>88</v>
      </c>
      <c r="O1424" s="2">
        <v>10</v>
      </c>
      <c r="P1424" s="2">
        <v>10</v>
      </c>
      <c r="Q1424" s="4">
        <v>5250</v>
      </c>
      <c r="R1424" s="4">
        <v>4950</v>
      </c>
      <c r="S1424" s="4">
        <v>123</v>
      </c>
      <c r="T1424" s="19">
        <f>(ProductionData[[#This Row],[Rejected_Qty]])/ProductionData[[#This Row],[Produced_Qty]]</f>
        <v>2.4848484848484849E-2</v>
      </c>
      <c r="U1424" s="19">
        <f>ProductionData[[#This Row],[Produced_Qty]]/ProductionData[[#This Row],[Planned_Qty]]</f>
        <v>0.94285714285714284</v>
      </c>
      <c r="V1424" s="2" t="s">
        <v>89</v>
      </c>
      <c r="W1424" s="11">
        <v>0</v>
      </c>
      <c r="X1424" s="13">
        <f>W1424/60</f>
        <v>0</v>
      </c>
      <c r="Y1424" s="2" t="s">
        <v>90</v>
      </c>
      <c r="Z1424" s="2">
        <v>33</v>
      </c>
      <c r="AA1424" s="2">
        <f>ProductionData[[#This Row],[Rejected_Qty]]*ProductionData[[#This Row],[Unit_Cost_INR]]</f>
        <v>4059</v>
      </c>
      <c r="AB1424" s="4">
        <v>34312</v>
      </c>
      <c r="AC1424" s="4">
        <v>4560</v>
      </c>
      <c r="AD1424" s="4">
        <v>4560</v>
      </c>
      <c r="AE1424" s="4">
        <v>34579</v>
      </c>
      <c r="AF1424" s="4">
        <v>9750</v>
      </c>
    </row>
    <row r="1425" spans="1:32">
      <c r="A1425" s="2" t="s">
        <v>2982</v>
      </c>
      <c r="B1425" s="3">
        <v>46262</v>
      </c>
      <c r="C1425" s="36" t="s">
        <v>2816</v>
      </c>
      <c r="D1425" s="2">
        <f>MONTH(ProductionData[[#This Row],[Month]])</f>
        <v>8</v>
      </c>
      <c r="E1425" s="2" t="s">
        <v>125</v>
      </c>
      <c r="F1425" s="2" t="s">
        <v>80</v>
      </c>
      <c r="G1425" s="2" t="s">
        <v>195</v>
      </c>
      <c r="H1425" s="2" t="s">
        <v>196</v>
      </c>
      <c r="I1425" s="2" t="s">
        <v>197</v>
      </c>
      <c r="J1425" s="2" t="s">
        <v>269</v>
      </c>
      <c r="K1425" s="2" t="s">
        <v>270</v>
      </c>
      <c r="L1425" s="2" t="s">
        <v>2983</v>
      </c>
      <c r="M1425" s="2" t="s">
        <v>87</v>
      </c>
      <c r="N1425" s="2" t="s">
        <v>88</v>
      </c>
      <c r="O1425" s="2">
        <v>14</v>
      </c>
      <c r="P1425" s="2">
        <v>13</v>
      </c>
      <c r="Q1425" s="4">
        <v>7600</v>
      </c>
      <c r="R1425" s="4">
        <v>7300</v>
      </c>
      <c r="S1425" s="4">
        <v>221</v>
      </c>
      <c r="T1425" s="19">
        <f>(ProductionData[[#This Row],[Rejected_Qty]])/ProductionData[[#This Row],[Produced_Qty]]</f>
        <v>3.0273972602739726E-2</v>
      </c>
      <c r="U1425" s="19">
        <f>ProductionData[[#This Row],[Produced_Qty]]/ProductionData[[#This Row],[Planned_Qty]]</f>
        <v>0.96052631578947367</v>
      </c>
      <c r="V1425" s="2" t="s">
        <v>75</v>
      </c>
      <c r="W1425" s="11">
        <v>27</v>
      </c>
      <c r="X1425" s="13">
        <f>W1425/60</f>
        <v>0.45</v>
      </c>
      <c r="Y1425" s="2" t="s">
        <v>76</v>
      </c>
      <c r="Z1425" s="2">
        <v>42</v>
      </c>
      <c r="AA1425" s="2">
        <f>ProductionData[[#This Row],[Rejected_Qty]]*ProductionData[[#This Row],[Unit_Cost_INR]]</f>
        <v>9282</v>
      </c>
      <c r="AB1425" s="4">
        <v>34752</v>
      </c>
      <c r="AC1425" s="4">
        <v>7430</v>
      </c>
      <c r="AD1425" s="4">
        <v>7430</v>
      </c>
      <c r="AE1425" s="4">
        <v>34401</v>
      </c>
      <c r="AF1425" s="4">
        <v>12000</v>
      </c>
    </row>
    <row r="1426" spans="1:32">
      <c r="A1426" s="2" t="s">
        <v>2984</v>
      </c>
      <c r="B1426" s="3">
        <v>46244</v>
      </c>
      <c r="C1426" s="36" t="s">
        <v>2816</v>
      </c>
      <c r="D1426" s="2">
        <f>MONTH(ProductionData[[#This Row],[Month]])</f>
        <v>8</v>
      </c>
      <c r="E1426" s="2" t="s">
        <v>116</v>
      </c>
      <c r="F1426" s="2" t="s">
        <v>93</v>
      </c>
      <c r="G1426" s="2" t="s">
        <v>174</v>
      </c>
      <c r="H1426" s="2" t="s">
        <v>175</v>
      </c>
      <c r="I1426" s="2" t="s">
        <v>176</v>
      </c>
      <c r="J1426" s="2" t="s">
        <v>443</v>
      </c>
      <c r="K1426" s="2" t="s">
        <v>444</v>
      </c>
      <c r="L1426" s="2" t="s">
        <v>2985</v>
      </c>
      <c r="M1426" s="2" t="s">
        <v>95</v>
      </c>
      <c r="N1426" s="2" t="s">
        <v>88</v>
      </c>
      <c r="O1426" s="2">
        <v>10</v>
      </c>
      <c r="P1426" s="2">
        <v>10</v>
      </c>
      <c r="Q1426" s="4">
        <v>5210</v>
      </c>
      <c r="R1426" s="4">
        <v>5140</v>
      </c>
      <c r="S1426" s="4">
        <v>80</v>
      </c>
      <c r="T1426" s="19">
        <f>(ProductionData[[#This Row],[Rejected_Qty]])/ProductionData[[#This Row],[Produced_Qty]]</f>
        <v>1.556420233463035E-2</v>
      </c>
      <c r="U1426" s="19">
        <f>ProductionData[[#This Row],[Produced_Qty]]/ProductionData[[#This Row],[Planned_Qty]]</f>
        <v>0.98656429942418422</v>
      </c>
      <c r="V1426" s="2" t="s">
        <v>75</v>
      </c>
      <c r="W1426" s="11">
        <v>0</v>
      </c>
      <c r="X1426" s="13">
        <f>W1426/60</f>
        <v>0</v>
      </c>
      <c r="Y1426" s="2" t="s">
        <v>90</v>
      </c>
      <c r="Z1426" s="2">
        <v>33</v>
      </c>
      <c r="AA1426" s="2">
        <f>ProductionData[[#This Row],[Rejected_Qty]]*ProductionData[[#This Row],[Unit_Cost_INR]]</f>
        <v>2640</v>
      </c>
      <c r="AB1426" s="4">
        <v>33662</v>
      </c>
      <c r="AC1426" s="4">
        <v>4410</v>
      </c>
      <c r="AD1426" s="4">
        <v>4410</v>
      </c>
      <c r="AE1426" s="4">
        <v>34312</v>
      </c>
      <c r="AF1426" s="4">
        <v>9750</v>
      </c>
    </row>
    <row r="1427" spans="1:32">
      <c r="A1427" s="2" t="s">
        <v>2986</v>
      </c>
      <c r="B1427" s="3">
        <v>46265</v>
      </c>
      <c r="C1427" s="36" t="s">
        <v>2816</v>
      </c>
      <c r="D1427" s="2">
        <f>MONTH(ProductionData[[#This Row],[Month]])</f>
        <v>8</v>
      </c>
      <c r="E1427" s="2" t="s">
        <v>116</v>
      </c>
      <c r="F1427" s="2" t="s">
        <v>93</v>
      </c>
      <c r="G1427" s="2" t="s">
        <v>195</v>
      </c>
      <c r="H1427" s="2" t="s">
        <v>196</v>
      </c>
      <c r="I1427" s="2" t="s">
        <v>197</v>
      </c>
      <c r="J1427" s="2" t="s">
        <v>269</v>
      </c>
      <c r="K1427" s="2" t="s">
        <v>270</v>
      </c>
      <c r="L1427" s="2" t="s">
        <v>2987</v>
      </c>
      <c r="M1427" s="2" t="s">
        <v>95</v>
      </c>
      <c r="N1427" s="2" t="s">
        <v>96</v>
      </c>
      <c r="O1427" s="2">
        <v>14</v>
      </c>
      <c r="P1427" s="2">
        <v>12</v>
      </c>
      <c r="Q1427" s="4">
        <v>8180</v>
      </c>
      <c r="R1427" s="4">
        <v>7450</v>
      </c>
      <c r="S1427" s="4">
        <v>157</v>
      </c>
      <c r="T1427" s="19">
        <f>(ProductionData[[#This Row],[Rejected_Qty]])/ProductionData[[#This Row],[Produced_Qty]]</f>
        <v>2.1073825503355705E-2</v>
      </c>
      <c r="U1427" s="19">
        <f>ProductionData[[#This Row],[Produced_Qty]]/ProductionData[[#This Row],[Planned_Qty]]</f>
        <v>0.91075794621026895</v>
      </c>
      <c r="V1427" s="2" t="s">
        <v>75</v>
      </c>
      <c r="W1427" s="11">
        <v>33</v>
      </c>
      <c r="X1427" s="13">
        <f>W1427/60</f>
        <v>0.55000000000000004</v>
      </c>
      <c r="Y1427" s="2" t="s">
        <v>182</v>
      </c>
      <c r="Z1427" s="2">
        <v>42</v>
      </c>
      <c r="AA1427" s="2">
        <f>ProductionData[[#This Row],[Rejected_Qty]]*ProductionData[[#This Row],[Unit_Cost_INR]]</f>
        <v>6594</v>
      </c>
      <c r="AB1427" s="4">
        <v>34401</v>
      </c>
      <c r="AC1427" s="4">
        <v>7460</v>
      </c>
      <c r="AD1427" s="4">
        <v>7460</v>
      </c>
      <c r="AE1427" s="4">
        <v>34234</v>
      </c>
      <c r="AF1427" s="4">
        <v>12000</v>
      </c>
    </row>
    <row r="1428" spans="1:32">
      <c r="A1428" s="2" t="s">
        <v>2988</v>
      </c>
      <c r="B1428" s="3">
        <v>46239</v>
      </c>
      <c r="C1428" s="36" t="s">
        <v>2816</v>
      </c>
      <c r="D1428" s="2">
        <f>MONTH(ProductionData[[#This Row],[Month]])</f>
        <v>8</v>
      </c>
      <c r="E1428" s="2" t="s">
        <v>79</v>
      </c>
      <c r="F1428" s="2" t="s">
        <v>93</v>
      </c>
      <c r="G1428" s="2" t="s">
        <v>174</v>
      </c>
      <c r="H1428" s="2" t="s">
        <v>175</v>
      </c>
      <c r="I1428" s="2" t="s">
        <v>176</v>
      </c>
      <c r="J1428" s="2" t="s">
        <v>443</v>
      </c>
      <c r="K1428" s="2" t="s">
        <v>444</v>
      </c>
      <c r="L1428" s="2" t="s">
        <v>2989</v>
      </c>
      <c r="M1428" s="2" t="s">
        <v>133</v>
      </c>
      <c r="N1428" s="2" t="s">
        <v>88</v>
      </c>
      <c r="O1428" s="2">
        <v>10</v>
      </c>
      <c r="P1428" s="2">
        <v>10</v>
      </c>
      <c r="Q1428" s="4">
        <v>5380</v>
      </c>
      <c r="R1428" s="4">
        <v>5040</v>
      </c>
      <c r="S1428" s="4">
        <v>159</v>
      </c>
      <c r="T1428" s="19">
        <f>(ProductionData[[#This Row],[Rejected_Qty]])/ProductionData[[#This Row],[Produced_Qty]]</f>
        <v>3.1547619047619047E-2</v>
      </c>
      <c r="U1428" s="19">
        <f>ProductionData[[#This Row],[Produced_Qty]]/ProductionData[[#This Row],[Planned_Qty]]</f>
        <v>0.93680297397769519</v>
      </c>
      <c r="V1428" s="2" t="s">
        <v>109</v>
      </c>
      <c r="W1428" s="11">
        <v>0</v>
      </c>
      <c r="X1428" s="13">
        <f>W1428/60</f>
        <v>0</v>
      </c>
      <c r="Y1428" s="2" t="s">
        <v>90</v>
      </c>
      <c r="Z1428" s="2">
        <v>33</v>
      </c>
      <c r="AA1428" s="2">
        <f>ProductionData[[#This Row],[Rejected_Qty]]*ProductionData[[#This Row],[Unit_Cost_INR]]</f>
        <v>5247</v>
      </c>
      <c r="AB1428" s="4">
        <v>34042</v>
      </c>
      <c r="AC1428" s="4">
        <v>4690</v>
      </c>
      <c r="AD1428" s="4">
        <v>4690</v>
      </c>
      <c r="AE1428" s="4">
        <v>34233</v>
      </c>
      <c r="AF1428" s="4">
        <v>9750</v>
      </c>
    </row>
    <row r="1429" spans="1:32">
      <c r="A1429" s="2" t="s">
        <v>2990</v>
      </c>
      <c r="B1429" s="3">
        <v>46236</v>
      </c>
      <c r="C1429" s="36" t="s">
        <v>2816</v>
      </c>
      <c r="D1429" s="2">
        <f>MONTH(ProductionData[[#This Row],[Month]])</f>
        <v>8</v>
      </c>
      <c r="E1429" s="2" t="s">
        <v>186</v>
      </c>
      <c r="F1429" s="2" t="s">
        <v>80</v>
      </c>
      <c r="G1429" s="2" t="s">
        <v>174</v>
      </c>
      <c r="H1429" s="2" t="s">
        <v>175</v>
      </c>
      <c r="I1429" s="2" t="s">
        <v>176</v>
      </c>
      <c r="J1429" s="2" t="s">
        <v>443</v>
      </c>
      <c r="K1429" s="2" t="s">
        <v>444</v>
      </c>
      <c r="L1429" s="2" t="s">
        <v>2991</v>
      </c>
      <c r="M1429" s="2" t="s">
        <v>87</v>
      </c>
      <c r="N1429" s="2" t="s">
        <v>88</v>
      </c>
      <c r="O1429" s="2">
        <v>10</v>
      </c>
      <c r="P1429" s="2">
        <v>10</v>
      </c>
      <c r="Q1429" s="4">
        <v>3920</v>
      </c>
      <c r="R1429" s="4">
        <v>3730</v>
      </c>
      <c r="S1429" s="4">
        <v>115</v>
      </c>
      <c r="T1429" s="19">
        <f>(ProductionData[[#This Row],[Rejected_Qty]])/ProductionData[[#This Row],[Produced_Qty]]</f>
        <v>3.0831099195710455E-2</v>
      </c>
      <c r="U1429" s="19">
        <f>ProductionData[[#This Row],[Produced_Qty]]/ProductionData[[#This Row],[Planned_Qty]]</f>
        <v>0.95153061224489799</v>
      </c>
      <c r="V1429" s="2" t="s">
        <v>113</v>
      </c>
      <c r="W1429" s="11">
        <v>0</v>
      </c>
      <c r="X1429" s="13">
        <f>W1429/60</f>
        <v>0</v>
      </c>
      <c r="Y1429" s="2" t="s">
        <v>90</v>
      </c>
      <c r="Z1429" s="2">
        <v>33</v>
      </c>
      <c r="AA1429" s="2">
        <f>ProductionData[[#This Row],[Rejected_Qty]]*ProductionData[[#This Row],[Unit_Cost_INR]]</f>
        <v>3795</v>
      </c>
      <c r="AB1429" s="4">
        <v>33653</v>
      </c>
      <c r="AC1429" s="4">
        <v>3070</v>
      </c>
      <c r="AD1429" s="4">
        <v>3070</v>
      </c>
      <c r="AE1429" s="4">
        <v>34198</v>
      </c>
      <c r="AF1429" s="4">
        <v>9750</v>
      </c>
    </row>
    <row r="1430" spans="1:32">
      <c r="A1430" s="2" t="s">
        <v>2992</v>
      </c>
      <c r="B1430" s="3">
        <v>46245</v>
      </c>
      <c r="C1430" s="36" t="s">
        <v>2816</v>
      </c>
      <c r="D1430" s="2">
        <f>MONTH(ProductionData[[#This Row],[Month]])</f>
        <v>8</v>
      </c>
      <c r="E1430" s="2" t="s">
        <v>92</v>
      </c>
      <c r="F1430" s="2" t="s">
        <v>93</v>
      </c>
      <c r="G1430" s="2" t="s">
        <v>174</v>
      </c>
      <c r="H1430" s="2" t="s">
        <v>175</v>
      </c>
      <c r="I1430" s="2" t="s">
        <v>176</v>
      </c>
      <c r="J1430" s="2" t="s">
        <v>443</v>
      </c>
      <c r="K1430" s="2" t="s">
        <v>444</v>
      </c>
      <c r="L1430" s="2" t="s">
        <v>2993</v>
      </c>
      <c r="M1430" s="2" t="s">
        <v>133</v>
      </c>
      <c r="N1430" s="2" t="s">
        <v>88</v>
      </c>
      <c r="O1430" s="2">
        <v>10</v>
      </c>
      <c r="P1430" s="2">
        <v>8</v>
      </c>
      <c r="Q1430" s="4">
        <v>5440</v>
      </c>
      <c r="R1430" s="4">
        <v>5170</v>
      </c>
      <c r="S1430" s="4">
        <v>111</v>
      </c>
      <c r="T1430" s="19">
        <f>(ProductionData[[#This Row],[Rejected_Qty]])/ProductionData[[#This Row],[Produced_Qty]]</f>
        <v>2.1470019342359769E-2</v>
      </c>
      <c r="U1430" s="19">
        <f>ProductionData[[#This Row],[Produced_Qty]]/ProductionData[[#This Row],[Planned_Qty]]</f>
        <v>0.95036764705882348</v>
      </c>
      <c r="V1430" s="2" t="s">
        <v>109</v>
      </c>
      <c r="W1430" s="11">
        <v>73</v>
      </c>
      <c r="X1430" s="13">
        <f>W1430/60</f>
        <v>1.2166666666666666</v>
      </c>
      <c r="Y1430" s="2" t="s">
        <v>182</v>
      </c>
      <c r="Z1430" s="2">
        <v>33</v>
      </c>
      <c r="AA1430" s="2">
        <f>ProductionData[[#This Row],[Rejected_Qty]]*ProductionData[[#This Row],[Unit_Cost_INR]]</f>
        <v>3663</v>
      </c>
      <c r="AB1430" s="4">
        <v>34579</v>
      </c>
      <c r="AC1430" s="4">
        <v>5500</v>
      </c>
      <c r="AD1430" s="4">
        <v>5500</v>
      </c>
      <c r="AE1430" s="4">
        <v>34138</v>
      </c>
      <c r="AF1430" s="4">
        <v>9750</v>
      </c>
    </row>
    <row r="1431" spans="1:32">
      <c r="A1431" s="2" t="s">
        <v>2994</v>
      </c>
      <c r="B1431" s="3">
        <v>46239</v>
      </c>
      <c r="C1431" s="36" t="s">
        <v>2816</v>
      </c>
      <c r="D1431" s="2">
        <f>MONTH(ProductionData[[#This Row],[Month]])</f>
        <v>8</v>
      </c>
      <c r="E1431" s="2" t="s">
        <v>79</v>
      </c>
      <c r="F1431" s="2" t="s">
        <v>80</v>
      </c>
      <c r="G1431" s="2" t="s">
        <v>174</v>
      </c>
      <c r="H1431" s="2" t="s">
        <v>175</v>
      </c>
      <c r="I1431" s="2" t="s">
        <v>176</v>
      </c>
      <c r="J1431" s="2" t="s">
        <v>443</v>
      </c>
      <c r="K1431" s="2" t="s">
        <v>444</v>
      </c>
      <c r="L1431" s="2" t="s">
        <v>2995</v>
      </c>
      <c r="M1431" s="2" t="s">
        <v>87</v>
      </c>
      <c r="N1431" s="2" t="s">
        <v>96</v>
      </c>
      <c r="O1431" s="2">
        <v>10</v>
      </c>
      <c r="P1431" s="2">
        <v>10</v>
      </c>
      <c r="Q1431" s="4">
        <v>5740</v>
      </c>
      <c r="R1431" s="4">
        <v>5750</v>
      </c>
      <c r="S1431" s="4">
        <v>156</v>
      </c>
      <c r="T1431" s="19">
        <f>(ProductionData[[#This Row],[Rejected_Qty]])/ProductionData[[#This Row],[Produced_Qty]]</f>
        <v>2.7130434782608695E-2</v>
      </c>
      <c r="U1431" s="19">
        <f>ProductionData[[#This Row],[Produced_Qty]]/ProductionData[[#This Row],[Planned_Qty]]</f>
        <v>1.0017421602787457</v>
      </c>
      <c r="V1431" s="2" t="s">
        <v>113</v>
      </c>
      <c r="W1431" s="11">
        <v>0</v>
      </c>
      <c r="X1431" s="13">
        <f>W1431/60</f>
        <v>0</v>
      </c>
      <c r="Y1431" s="2" t="s">
        <v>90</v>
      </c>
      <c r="Z1431" s="2">
        <v>33</v>
      </c>
      <c r="AA1431" s="2">
        <f>ProductionData[[#This Row],[Rejected_Qty]]*ProductionData[[#This Row],[Unit_Cost_INR]]</f>
        <v>5148</v>
      </c>
      <c r="AB1431" s="4">
        <v>33838</v>
      </c>
      <c r="AC1431" s="4">
        <v>5390</v>
      </c>
      <c r="AD1431" s="4">
        <v>5390</v>
      </c>
      <c r="AE1431" s="4">
        <v>34042</v>
      </c>
      <c r="AF1431" s="4">
        <v>9750</v>
      </c>
    </row>
    <row r="1432" spans="1:32">
      <c r="A1432" s="2" t="s">
        <v>2996</v>
      </c>
      <c r="B1432" s="3">
        <v>46238</v>
      </c>
      <c r="C1432" s="36" t="s">
        <v>2816</v>
      </c>
      <c r="D1432" s="2">
        <f>MONTH(ProductionData[[#This Row],[Month]])</f>
        <v>8</v>
      </c>
      <c r="E1432" s="2" t="s">
        <v>92</v>
      </c>
      <c r="F1432" s="2" t="s">
        <v>66</v>
      </c>
      <c r="G1432" s="2" t="s">
        <v>174</v>
      </c>
      <c r="H1432" s="2" t="s">
        <v>175</v>
      </c>
      <c r="I1432" s="2" t="s">
        <v>176</v>
      </c>
      <c r="J1432" s="2" t="s">
        <v>443</v>
      </c>
      <c r="K1432" s="2" t="s">
        <v>444</v>
      </c>
      <c r="L1432" s="2" t="s">
        <v>2997</v>
      </c>
      <c r="M1432" s="2" t="s">
        <v>73</v>
      </c>
      <c r="N1432" s="2" t="s">
        <v>88</v>
      </c>
      <c r="O1432" s="2">
        <v>10</v>
      </c>
      <c r="P1432" s="2">
        <v>8</v>
      </c>
      <c r="Q1432" s="4">
        <v>5570</v>
      </c>
      <c r="R1432" s="4">
        <v>4560</v>
      </c>
      <c r="S1432" s="4">
        <v>127</v>
      </c>
      <c r="T1432" s="19">
        <f>(ProductionData[[#This Row],[Rejected_Qty]])/ProductionData[[#This Row],[Produced_Qty]]</f>
        <v>2.7850877192982456E-2</v>
      </c>
      <c r="U1432" s="19">
        <f>ProductionData[[#This Row],[Produced_Qty]]/ProductionData[[#This Row],[Planned_Qty]]</f>
        <v>0.81867145421903054</v>
      </c>
      <c r="V1432" s="2" t="s">
        <v>113</v>
      </c>
      <c r="W1432" s="11">
        <v>0</v>
      </c>
      <c r="X1432" s="13">
        <f>W1432/60</f>
        <v>0</v>
      </c>
      <c r="Y1432" s="2" t="s">
        <v>90</v>
      </c>
      <c r="Z1432" s="2">
        <v>33</v>
      </c>
      <c r="AA1432" s="2">
        <f>ProductionData[[#This Row],[Rejected_Qty]]*ProductionData[[#This Row],[Unit_Cost_INR]]</f>
        <v>4191</v>
      </c>
      <c r="AB1432" s="4">
        <v>34645</v>
      </c>
      <c r="AC1432" s="4">
        <v>5240</v>
      </c>
      <c r="AD1432" s="4">
        <v>5240</v>
      </c>
      <c r="AE1432" s="4">
        <v>33838</v>
      </c>
      <c r="AF1432" s="4">
        <v>9750</v>
      </c>
    </row>
    <row r="1433" spans="1:32">
      <c r="A1433" s="2" t="s">
        <v>2998</v>
      </c>
      <c r="B1433" s="3">
        <v>46259</v>
      </c>
      <c r="C1433" s="36" t="s">
        <v>2816</v>
      </c>
      <c r="D1433" s="2">
        <f>MONTH(ProductionData[[#This Row],[Month]])</f>
        <v>8</v>
      </c>
      <c r="E1433" s="2" t="s">
        <v>92</v>
      </c>
      <c r="F1433" s="2" t="s">
        <v>66</v>
      </c>
      <c r="G1433" s="2" t="s">
        <v>195</v>
      </c>
      <c r="H1433" s="2" t="s">
        <v>196</v>
      </c>
      <c r="I1433" s="2" t="s">
        <v>197</v>
      </c>
      <c r="J1433" s="2" t="s">
        <v>269</v>
      </c>
      <c r="K1433" s="2" t="s">
        <v>270</v>
      </c>
      <c r="L1433" s="2" t="s">
        <v>2999</v>
      </c>
      <c r="M1433" s="2" t="s">
        <v>73</v>
      </c>
      <c r="N1433" s="2" t="s">
        <v>96</v>
      </c>
      <c r="O1433" s="2">
        <v>14</v>
      </c>
      <c r="P1433" s="2">
        <v>14</v>
      </c>
      <c r="Q1433" s="4">
        <v>7890</v>
      </c>
      <c r="R1433" s="4">
        <v>7540</v>
      </c>
      <c r="S1433" s="4">
        <v>159</v>
      </c>
      <c r="T1433" s="19">
        <f>(ProductionData[[#This Row],[Rejected_Qty]])/ProductionData[[#This Row],[Produced_Qty]]</f>
        <v>2.1087533156498674E-2</v>
      </c>
      <c r="U1433" s="19">
        <f>ProductionData[[#This Row],[Produced_Qty]]/ProductionData[[#This Row],[Planned_Qty]]</f>
        <v>0.95564005069708491</v>
      </c>
      <c r="V1433" s="2" t="s">
        <v>89</v>
      </c>
      <c r="W1433" s="11">
        <v>39</v>
      </c>
      <c r="X1433" s="13">
        <f>W1433/60</f>
        <v>0.65</v>
      </c>
      <c r="Y1433" s="2" t="s">
        <v>136</v>
      </c>
      <c r="Z1433" s="2">
        <v>42</v>
      </c>
      <c r="AA1433" s="2">
        <f>ProductionData[[#This Row],[Rejected_Qty]]*ProductionData[[#This Row],[Unit_Cost_INR]]</f>
        <v>6678</v>
      </c>
      <c r="AB1433" s="4">
        <v>33501</v>
      </c>
      <c r="AC1433" s="4">
        <v>7070</v>
      </c>
      <c r="AD1433" s="4">
        <v>7070</v>
      </c>
      <c r="AE1433" s="4">
        <v>33812</v>
      </c>
      <c r="AF1433" s="4">
        <v>12000</v>
      </c>
    </row>
    <row r="1434" spans="1:32">
      <c r="A1434" s="2" t="s">
        <v>3000</v>
      </c>
      <c r="B1434" s="3">
        <v>46240</v>
      </c>
      <c r="C1434" s="36" t="s">
        <v>2816</v>
      </c>
      <c r="D1434" s="2">
        <f>MONTH(ProductionData[[#This Row],[Month]])</f>
        <v>8</v>
      </c>
      <c r="E1434" s="2" t="s">
        <v>107</v>
      </c>
      <c r="F1434" s="2" t="s">
        <v>80</v>
      </c>
      <c r="G1434" s="2" t="s">
        <v>174</v>
      </c>
      <c r="H1434" s="2" t="s">
        <v>175</v>
      </c>
      <c r="I1434" s="2" t="s">
        <v>176</v>
      </c>
      <c r="J1434" s="2" t="s">
        <v>443</v>
      </c>
      <c r="K1434" s="2" t="s">
        <v>444</v>
      </c>
      <c r="L1434" s="2" t="s">
        <v>3001</v>
      </c>
      <c r="M1434" s="2" t="s">
        <v>102</v>
      </c>
      <c r="N1434" s="2" t="s">
        <v>88</v>
      </c>
      <c r="O1434" s="2">
        <v>10</v>
      </c>
      <c r="P1434" s="2">
        <v>10</v>
      </c>
      <c r="Q1434" s="4">
        <v>5150</v>
      </c>
      <c r="R1434" s="4">
        <v>4680</v>
      </c>
      <c r="S1434" s="4">
        <v>122</v>
      </c>
      <c r="T1434" s="19">
        <f>(ProductionData[[#This Row],[Rejected_Qty]])/ProductionData[[#This Row],[Produced_Qty]]</f>
        <v>2.6068376068376069E-2</v>
      </c>
      <c r="U1434" s="19">
        <f>ProductionData[[#This Row],[Produced_Qty]]/ProductionData[[#This Row],[Planned_Qty]]</f>
        <v>0.90873786407766988</v>
      </c>
      <c r="V1434" s="2" t="s">
        <v>109</v>
      </c>
      <c r="W1434" s="11">
        <v>21</v>
      </c>
      <c r="X1434" s="13">
        <f>W1434/60</f>
        <v>0.35</v>
      </c>
      <c r="Y1434" s="2" t="s">
        <v>182</v>
      </c>
      <c r="Z1434" s="2">
        <v>33</v>
      </c>
      <c r="AA1434" s="2">
        <f>ProductionData[[#This Row],[Rejected_Qty]]*ProductionData[[#This Row],[Unit_Cost_INR]]</f>
        <v>4026</v>
      </c>
      <c r="AB1434" s="4">
        <v>34233</v>
      </c>
      <c r="AC1434" s="4">
        <v>5110</v>
      </c>
      <c r="AD1434" s="4">
        <v>5110</v>
      </c>
      <c r="AE1434" s="4">
        <v>33681</v>
      </c>
      <c r="AF1434" s="4">
        <v>9750</v>
      </c>
    </row>
    <row r="1435" spans="1:32">
      <c r="A1435" s="2" t="s">
        <v>3002</v>
      </c>
      <c r="B1435" s="3">
        <v>46242</v>
      </c>
      <c r="C1435" s="36" t="s">
        <v>2816</v>
      </c>
      <c r="D1435" s="2">
        <f>MONTH(ProductionData[[#This Row],[Month]])</f>
        <v>8</v>
      </c>
      <c r="E1435" s="2" t="s">
        <v>65</v>
      </c>
      <c r="F1435" s="2" t="s">
        <v>80</v>
      </c>
      <c r="G1435" s="2" t="s">
        <v>174</v>
      </c>
      <c r="H1435" s="2" t="s">
        <v>175</v>
      </c>
      <c r="I1435" s="2" t="s">
        <v>176</v>
      </c>
      <c r="J1435" s="2" t="s">
        <v>443</v>
      </c>
      <c r="K1435" s="2" t="s">
        <v>444</v>
      </c>
      <c r="L1435" s="2" t="s">
        <v>3003</v>
      </c>
      <c r="M1435" s="2" t="s">
        <v>87</v>
      </c>
      <c r="N1435" s="2" t="s">
        <v>96</v>
      </c>
      <c r="O1435" s="2">
        <v>10</v>
      </c>
      <c r="P1435" s="2">
        <v>9</v>
      </c>
      <c r="Q1435" s="4">
        <v>5170</v>
      </c>
      <c r="R1435" s="4">
        <v>4820</v>
      </c>
      <c r="S1435" s="4">
        <v>59</v>
      </c>
      <c r="T1435" s="19">
        <f>(ProductionData[[#This Row],[Rejected_Qty]])/ProductionData[[#This Row],[Produced_Qty]]</f>
        <v>1.2240663900414938E-2</v>
      </c>
      <c r="U1435" s="19">
        <f>ProductionData[[#This Row],[Produced_Qty]]/ProductionData[[#This Row],[Planned_Qty]]</f>
        <v>0.93230174081237915</v>
      </c>
      <c r="V1435" s="2" t="s">
        <v>113</v>
      </c>
      <c r="W1435" s="11">
        <v>60</v>
      </c>
      <c r="X1435" s="13">
        <f>W1435/60</f>
        <v>1</v>
      </c>
      <c r="Y1435" s="2" t="s">
        <v>136</v>
      </c>
      <c r="Z1435" s="2">
        <v>33</v>
      </c>
      <c r="AA1435" s="2">
        <f>ProductionData[[#This Row],[Rejected_Qty]]*ProductionData[[#This Row],[Unit_Cost_INR]]</f>
        <v>1947</v>
      </c>
      <c r="AB1435" s="4">
        <v>33681</v>
      </c>
      <c r="AC1435" s="4">
        <v>4780</v>
      </c>
      <c r="AD1435" s="4">
        <v>4780</v>
      </c>
      <c r="AE1435" s="4">
        <v>33662</v>
      </c>
      <c r="AF1435" s="4">
        <v>9750</v>
      </c>
    </row>
    <row r="1436" spans="1:32">
      <c r="A1436" s="2" t="s">
        <v>3004</v>
      </c>
      <c r="B1436" s="3">
        <v>46258</v>
      </c>
      <c r="C1436" s="36" t="s">
        <v>2816</v>
      </c>
      <c r="D1436" s="2">
        <f>MONTH(ProductionData[[#This Row],[Month]])</f>
        <v>8</v>
      </c>
      <c r="E1436" s="2" t="s">
        <v>116</v>
      </c>
      <c r="F1436" s="2" t="s">
        <v>80</v>
      </c>
      <c r="G1436" s="2" t="s">
        <v>195</v>
      </c>
      <c r="H1436" s="2" t="s">
        <v>196</v>
      </c>
      <c r="I1436" s="2" t="s">
        <v>197</v>
      </c>
      <c r="J1436" s="2" t="s">
        <v>269</v>
      </c>
      <c r="K1436" s="2" t="s">
        <v>270</v>
      </c>
      <c r="L1436" s="2" t="s">
        <v>3005</v>
      </c>
      <c r="M1436" s="2" t="s">
        <v>102</v>
      </c>
      <c r="N1436" s="2" t="s">
        <v>88</v>
      </c>
      <c r="O1436" s="2">
        <v>14</v>
      </c>
      <c r="P1436" s="2">
        <v>14</v>
      </c>
      <c r="Q1436" s="4">
        <v>8490</v>
      </c>
      <c r="R1436" s="4">
        <v>8770</v>
      </c>
      <c r="S1436" s="4">
        <v>215</v>
      </c>
      <c r="T1436" s="19">
        <f>(ProductionData[[#This Row],[Rejected_Qty]])/ProductionData[[#This Row],[Produced_Qty]]</f>
        <v>2.4515393386545039E-2</v>
      </c>
      <c r="U1436" s="19">
        <f>ProductionData[[#This Row],[Produced_Qty]]/ProductionData[[#This Row],[Planned_Qty]]</f>
        <v>1.032979976442874</v>
      </c>
      <c r="V1436" s="2" t="s">
        <v>89</v>
      </c>
      <c r="W1436" s="11">
        <v>0</v>
      </c>
      <c r="X1436" s="13">
        <f>W1436/60</f>
        <v>0</v>
      </c>
      <c r="Y1436" s="2" t="s">
        <v>90</v>
      </c>
      <c r="Z1436" s="2">
        <v>42</v>
      </c>
      <c r="AA1436" s="2">
        <f>ProductionData[[#This Row],[Rejected_Qty]]*ProductionData[[#This Row],[Unit_Cost_INR]]</f>
        <v>9030</v>
      </c>
      <c r="AB1436" s="4">
        <v>32825</v>
      </c>
      <c r="AC1436" s="4">
        <v>7790</v>
      </c>
      <c r="AD1436" s="4">
        <v>7790</v>
      </c>
      <c r="AE1436" s="4">
        <v>33590</v>
      </c>
      <c r="AF1436" s="4">
        <v>12000</v>
      </c>
    </row>
    <row r="1437" spans="1:32">
      <c r="A1437" s="2" t="s">
        <v>3006</v>
      </c>
      <c r="B1437" s="3">
        <v>46258</v>
      </c>
      <c r="C1437" s="36" t="s">
        <v>2816</v>
      </c>
      <c r="D1437" s="2">
        <f>MONTH(ProductionData[[#This Row],[Month]])</f>
        <v>8</v>
      </c>
      <c r="E1437" s="2" t="s">
        <v>116</v>
      </c>
      <c r="F1437" s="2" t="s">
        <v>93</v>
      </c>
      <c r="G1437" s="2" t="s">
        <v>195</v>
      </c>
      <c r="H1437" s="2" t="s">
        <v>196</v>
      </c>
      <c r="I1437" s="2" t="s">
        <v>197</v>
      </c>
      <c r="J1437" s="2" t="s">
        <v>269</v>
      </c>
      <c r="K1437" s="2" t="s">
        <v>270</v>
      </c>
      <c r="L1437" s="2" t="s">
        <v>3007</v>
      </c>
      <c r="M1437" s="2" t="s">
        <v>133</v>
      </c>
      <c r="N1437" s="2" t="s">
        <v>96</v>
      </c>
      <c r="O1437" s="2">
        <v>14</v>
      </c>
      <c r="P1437" s="2">
        <v>13</v>
      </c>
      <c r="Q1437" s="4">
        <v>7300</v>
      </c>
      <c r="R1437" s="4">
        <v>7090</v>
      </c>
      <c r="S1437" s="4">
        <v>169</v>
      </c>
      <c r="T1437" s="19">
        <f>(ProductionData[[#This Row],[Rejected_Qty]])/ProductionData[[#This Row],[Produced_Qty]]</f>
        <v>2.3836389280677009E-2</v>
      </c>
      <c r="U1437" s="19">
        <f>ProductionData[[#This Row],[Produced_Qty]]/ProductionData[[#This Row],[Planned_Qty]]</f>
        <v>0.97123287671232872</v>
      </c>
      <c r="V1437" s="2" t="s">
        <v>109</v>
      </c>
      <c r="W1437" s="11">
        <v>31</v>
      </c>
      <c r="X1437" s="13">
        <f>W1437/60</f>
        <v>0.51666666666666672</v>
      </c>
      <c r="Y1437" s="2" t="s">
        <v>136</v>
      </c>
      <c r="Z1437" s="2">
        <v>42</v>
      </c>
      <c r="AA1437" s="2">
        <f>ProductionData[[#This Row],[Rejected_Qty]]*ProductionData[[#This Row],[Unit_Cost_INR]]</f>
        <v>7098</v>
      </c>
      <c r="AB1437" s="4">
        <v>33590</v>
      </c>
      <c r="AC1437" s="4">
        <v>7010</v>
      </c>
      <c r="AD1437" s="4">
        <v>7010</v>
      </c>
      <c r="AE1437" s="4">
        <v>33501</v>
      </c>
      <c r="AF1437" s="4">
        <v>12000</v>
      </c>
    </row>
    <row r="1438" spans="1:32">
      <c r="A1438" s="2" t="s">
        <v>3008</v>
      </c>
      <c r="B1438" s="3">
        <v>46251</v>
      </c>
      <c r="C1438" s="36" t="s">
        <v>2816</v>
      </c>
      <c r="D1438" s="2">
        <f>MONTH(ProductionData[[#This Row],[Month]])</f>
        <v>8</v>
      </c>
      <c r="E1438" s="2" t="s">
        <v>116</v>
      </c>
      <c r="F1438" s="2" t="s">
        <v>93</v>
      </c>
      <c r="G1438" s="2" t="s">
        <v>195</v>
      </c>
      <c r="H1438" s="2" t="s">
        <v>196</v>
      </c>
      <c r="I1438" s="2" t="s">
        <v>197</v>
      </c>
      <c r="J1438" s="2" t="s">
        <v>269</v>
      </c>
      <c r="K1438" s="2" t="s">
        <v>270</v>
      </c>
      <c r="L1438" s="2" t="s">
        <v>3009</v>
      </c>
      <c r="M1438" s="2" t="s">
        <v>95</v>
      </c>
      <c r="N1438" s="2" t="s">
        <v>88</v>
      </c>
      <c r="O1438" s="2">
        <v>14</v>
      </c>
      <c r="P1438" s="2">
        <v>13</v>
      </c>
      <c r="Q1438" s="4">
        <v>8120</v>
      </c>
      <c r="R1438" s="4">
        <v>7530</v>
      </c>
      <c r="S1438" s="4">
        <v>177</v>
      </c>
      <c r="T1438" s="19">
        <f>(ProductionData[[#This Row],[Rejected_Qty]])/ProductionData[[#This Row],[Produced_Qty]]</f>
        <v>2.3505976095617529E-2</v>
      </c>
      <c r="U1438" s="19">
        <f>ProductionData[[#This Row],[Produced_Qty]]/ProductionData[[#This Row],[Planned_Qty]]</f>
        <v>0.92733990147783252</v>
      </c>
      <c r="V1438" s="2" t="s">
        <v>75</v>
      </c>
      <c r="W1438" s="11">
        <v>0</v>
      </c>
      <c r="X1438" s="13">
        <f>W1438/60</f>
        <v>0</v>
      </c>
      <c r="Y1438" s="2" t="s">
        <v>90</v>
      </c>
      <c r="Z1438" s="2">
        <v>42</v>
      </c>
      <c r="AA1438" s="2">
        <f>ProductionData[[#This Row],[Rejected_Qty]]*ProductionData[[#This Row],[Unit_Cost_INR]]</f>
        <v>7434</v>
      </c>
      <c r="AB1438" s="4">
        <v>32805</v>
      </c>
      <c r="AC1438" s="4">
        <v>6680</v>
      </c>
      <c r="AD1438" s="4">
        <v>6680</v>
      </c>
      <c r="AE1438" s="4">
        <v>33478</v>
      </c>
      <c r="AF1438" s="4">
        <v>12000</v>
      </c>
    </row>
    <row r="1439" spans="1:32">
      <c r="A1439" s="2" t="s">
        <v>3010</v>
      </c>
      <c r="B1439" s="3">
        <v>46249</v>
      </c>
      <c r="C1439" s="36" t="s">
        <v>2816</v>
      </c>
      <c r="D1439" s="2">
        <f>MONTH(ProductionData[[#This Row],[Month]])</f>
        <v>8</v>
      </c>
      <c r="E1439" s="2" t="s">
        <v>65</v>
      </c>
      <c r="F1439" s="2" t="s">
        <v>80</v>
      </c>
      <c r="G1439" s="2" t="s">
        <v>195</v>
      </c>
      <c r="H1439" s="2" t="s">
        <v>196</v>
      </c>
      <c r="I1439" s="2" t="s">
        <v>197</v>
      </c>
      <c r="J1439" s="2" t="s">
        <v>269</v>
      </c>
      <c r="K1439" s="2" t="s">
        <v>270</v>
      </c>
      <c r="L1439" s="2" t="s">
        <v>3011</v>
      </c>
      <c r="M1439" s="2" t="s">
        <v>87</v>
      </c>
      <c r="N1439" s="2" t="s">
        <v>96</v>
      </c>
      <c r="O1439" s="2">
        <v>14</v>
      </c>
      <c r="P1439" s="2">
        <v>14</v>
      </c>
      <c r="Q1439" s="4">
        <v>7690</v>
      </c>
      <c r="R1439" s="4">
        <v>7530</v>
      </c>
      <c r="S1439" s="4">
        <v>228</v>
      </c>
      <c r="T1439" s="19">
        <f>(ProductionData[[#This Row],[Rejected_Qty]])/ProductionData[[#This Row],[Produced_Qty]]</f>
        <v>3.0278884462151396E-2</v>
      </c>
      <c r="U1439" s="19">
        <f>ProductionData[[#This Row],[Produced_Qty]]/ProductionData[[#This Row],[Planned_Qty]]</f>
        <v>0.97919375812743825</v>
      </c>
      <c r="V1439" s="2" t="s">
        <v>103</v>
      </c>
      <c r="W1439" s="11">
        <v>0</v>
      </c>
      <c r="X1439" s="13">
        <f>W1439/60</f>
        <v>0</v>
      </c>
      <c r="Y1439" s="2" t="s">
        <v>90</v>
      </c>
      <c r="Z1439" s="2">
        <v>42</v>
      </c>
      <c r="AA1439" s="2">
        <f>ProductionData[[#This Row],[Rejected_Qty]]*ProductionData[[#This Row],[Unit_Cost_INR]]</f>
        <v>9576</v>
      </c>
      <c r="AB1439" s="4">
        <v>32863</v>
      </c>
      <c r="AC1439" s="4">
        <v>6980</v>
      </c>
      <c r="AD1439" s="4">
        <v>6980</v>
      </c>
      <c r="AE1439" s="4">
        <v>33185</v>
      </c>
      <c r="AF1439" s="4">
        <v>12000</v>
      </c>
    </row>
    <row r="1440" spans="1:32">
      <c r="A1440" s="2" t="s">
        <v>3012</v>
      </c>
      <c r="B1440" s="3">
        <v>46248</v>
      </c>
      <c r="C1440" s="36" t="s">
        <v>2816</v>
      </c>
      <c r="D1440" s="2">
        <f>MONTH(ProductionData[[#This Row],[Month]])</f>
        <v>8</v>
      </c>
      <c r="E1440" s="2" t="s">
        <v>125</v>
      </c>
      <c r="F1440" s="2" t="s">
        <v>93</v>
      </c>
      <c r="G1440" s="2" t="s">
        <v>195</v>
      </c>
      <c r="H1440" s="2" t="s">
        <v>196</v>
      </c>
      <c r="I1440" s="2" t="s">
        <v>197</v>
      </c>
      <c r="J1440" s="2" t="s">
        <v>269</v>
      </c>
      <c r="K1440" s="2" t="s">
        <v>270</v>
      </c>
      <c r="L1440" s="2" t="s">
        <v>3013</v>
      </c>
      <c r="M1440" s="2" t="s">
        <v>133</v>
      </c>
      <c r="N1440" s="2" t="s">
        <v>96</v>
      </c>
      <c r="O1440" s="2">
        <v>14</v>
      </c>
      <c r="P1440" s="2">
        <v>13</v>
      </c>
      <c r="Q1440" s="4">
        <v>7250</v>
      </c>
      <c r="R1440" s="4">
        <v>6950</v>
      </c>
      <c r="S1440" s="4">
        <v>141</v>
      </c>
      <c r="T1440" s="19">
        <f>(ProductionData[[#This Row],[Rejected_Qty]])/ProductionData[[#This Row],[Produced_Qty]]</f>
        <v>2.0287769784172661E-2</v>
      </c>
      <c r="U1440" s="19">
        <f>ProductionData[[#This Row],[Produced_Qty]]/ProductionData[[#This Row],[Planned_Qty]]</f>
        <v>0.95862068965517244</v>
      </c>
      <c r="V1440" s="2" t="s">
        <v>113</v>
      </c>
      <c r="W1440" s="11">
        <v>0</v>
      </c>
      <c r="X1440" s="13">
        <f>W1440/60</f>
        <v>0</v>
      </c>
      <c r="Y1440" s="2" t="s">
        <v>90</v>
      </c>
      <c r="Z1440" s="2">
        <v>42</v>
      </c>
      <c r="AA1440" s="2">
        <f>ProductionData[[#This Row],[Rejected_Qty]]*ProductionData[[#This Row],[Unit_Cost_INR]]</f>
        <v>5922</v>
      </c>
      <c r="AB1440" s="4">
        <v>31824</v>
      </c>
      <c r="AC1440" s="4">
        <v>5770</v>
      </c>
      <c r="AD1440" s="4">
        <v>5770</v>
      </c>
      <c r="AE1440" s="4">
        <v>32863</v>
      </c>
      <c r="AF1440" s="4">
        <v>12000</v>
      </c>
    </row>
    <row r="1441" spans="1:32">
      <c r="A1441" s="2" t="s">
        <v>3014</v>
      </c>
      <c r="B1441" s="3">
        <v>46255</v>
      </c>
      <c r="C1441" s="36" t="s">
        <v>2816</v>
      </c>
      <c r="D1441" s="2">
        <f>MONTH(ProductionData[[#This Row],[Month]])</f>
        <v>8</v>
      </c>
      <c r="E1441" s="2" t="s">
        <v>125</v>
      </c>
      <c r="F1441" s="2" t="s">
        <v>66</v>
      </c>
      <c r="G1441" s="2" t="s">
        <v>195</v>
      </c>
      <c r="H1441" s="2" t="s">
        <v>196</v>
      </c>
      <c r="I1441" s="2" t="s">
        <v>197</v>
      </c>
      <c r="J1441" s="2" t="s">
        <v>269</v>
      </c>
      <c r="K1441" s="2" t="s">
        <v>270</v>
      </c>
      <c r="L1441" s="2" t="s">
        <v>3015</v>
      </c>
      <c r="M1441" s="2" t="s">
        <v>73</v>
      </c>
      <c r="N1441" s="2" t="s">
        <v>96</v>
      </c>
      <c r="O1441" s="2">
        <v>14</v>
      </c>
      <c r="P1441" s="2">
        <v>13</v>
      </c>
      <c r="Q1441" s="4">
        <v>7610</v>
      </c>
      <c r="R1441" s="4">
        <v>7130</v>
      </c>
      <c r="S1441" s="4">
        <v>93</v>
      </c>
      <c r="T1441" s="19">
        <f>(ProductionData[[#This Row],[Rejected_Qty]])/ProductionData[[#This Row],[Produced_Qty]]</f>
        <v>1.3043478260869565E-2</v>
      </c>
      <c r="U1441" s="19">
        <f>ProductionData[[#This Row],[Produced_Qty]]/ProductionData[[#This Row],[Planned_Qty]]</f>
        <v>0.93692509855453354</v>
      </c>
      <c r="V1441" s="2" t="s">
        <v>103</v>
      </c>
      <c r="W1441" s="11">
        <v>37</v>
      </c>
      <c r="X1441" s="13">
        <f>W1441/60</f>
        <v>0.6166666666666667</v>
      </c>
      <c r="Y1441" s="2" t="s">
        <v>136</v>
      </c>
      <c r="Z1441" s="2">
        <v>42</v>
      </c>
      <c r="AA1441" s="2">
        <f>ProductionData[[#This Row],[Rejected_Qty]]*ProductionData[[#This Row],[Unit_Cost_INR]]</f>
        <v>3906</v>
      </c>
      <c r="AB1441" s="4">
        <v>33478</v>
      </c>
      <c r="AC1441" s="4">
        <v>7690</v>
      </c>
      <c r="AD1441" s="4">
        <v>7690</v>
      </c>
      <c r="AE1441" s="4">
        <v>32825</v>
      </c>
      <c r="AF1441" s="4">
        <v>12000</v>
      </c>
    </row>
    <row r="1442" spans="1:32">
      <c r="A1442" s="2" t="s">
        <v>3016</v>
      </c>
      <c r="B1442" s="3">
        <v>46251</v>
      </c>
      <c r="C1442" s="36" t="s">
        <v>2816</v>
      </c>
      <c r="D1442" s="2">
        <f>MONTH(ProductionData[[#This Row],[Month]])</f>
        <v>8</v>
      </c>
      <c r="E1442" s="2" t="s">
        <v>116</v>
      </c>
      <c r="F1442" s="2" t="s">
        <v>66</v>
      </c>
      <c r="G1442" s="2" t="s">
        <v>195</v>
      </c>
      <c r="H1442" s="2" t="s">
        <v>196</v>
      </c>
      <c r="I1442" s="2" t="s">
        <v>197</v>
      </c>
      <c r="J1442" s="2" t="s">
        <v>269</v>
      </c>
      <c r="K1442" s="2" t="s">
        <v>270</v>
      </c>
      <c r="L1442" s="2" t="s">
        <v>3017</v>
      </c>
      <c r="M1442" s="2" t="s">
        <v>99</v>
      </c>
      <c r="N1442" s="2" t="s">
        <v>96</v>
      </c>
      <c r="O1442" s="2">
        <v>14</v>
      </c>
      <c r="P1442" s="2">
        <v>14</v>
      </c>
      <c r="Q1442" s="4">
        <v>8270</v>
      </c>
      <c r="R1442" s="4">
        <v>7810</v>
      </c>
      <c r="S1442" s="4">
        <v>200</v>
      </c>
      <c r="T1442" s="19">
        <f>(ProductionData[[#This Row],[Rejected_Qty]])/ProductionData[[#This Row],[Produced_Qty]]</f>
        <v>2.5608194622279128E-2</v>
      </c>
      <c r="U1442" s="19">
        <f>ProductionData[[#This Row],[Produced_Qty]]/ProductionData[[#This Row],[Planned_Qty]]</f>
        <v>0.94437726723095528</v>
      </c>
      <c r="V1442" s="2" t="s">
        <v>103</v>
      </c>
      <c r="W1442" s="11">
        <v>71</v>
      </c>
      <c r="X1442" s="13">
        <f>W1442/60</f>
        <v>1.1833333333333333</v>
      </c>
      <c r="Y1442" s="2" t="s">
        <v>76</v>
      </c>
      <c r="Z1442" s="2">
        <v>42</v>
      </c>
      <c r="AA1442" s="2">
        <f>ProductionData[[#This Row],[Rejected_Qty]]*ProductionData[[#This Row],[Unit_Cost_INR]]</f>
        <v>8400</v>
      </c>
      <c r="AB1442" s="4">
        <v>33185</v>
      </c>
      <c r="AC1442" s="4">
        <v>7990</v>
      </c>
      <c r="AD1442" s="4">
        <v>7990</v>
      </c>
      <c r="AE1442" s="4">
        <v>32805</v>
      </c>
      <c r="AF1442" s="4">
        <v>12000</v>
      </c>
    </row>
    <row r="1443" spans="1:32">
      <c r="A1443" s="2" t="s">
        <v>3018</v>
      </c>
      <c r="B1443" s="3">
        <v>46247</v>
      </c>
      <c r="C1443" s="36" t="s">
        <v>2816</v>
      </c>
      <c r="D1443" s="2">
        <f>MONTH(ProductionData[[#This Row],[Month]])</f>
        <v>8</v>
      </c>
      <c r="E1443" s="2" t="s">
        <v>107</v>
      </c>
      <c r="F1443" s="2" t="s">
        <v>66</v>
      </c>
      <c r="G1443" s="2" t="s">
        <v>195</v>
      </c>
      <c r="H1443" s="2" t="s">
        <v>196</v>
      </c>
      <c r="I1443" s="2" t="s">
        <v>197</v>
      </c>
      <c r="J1443" s="2" t="s">
        <v>269</v>
      </c>
      <c r="K1443" s="2" t="s">
        <v>270</v>
      </c>
      <c r="L1443" s="2" t="s">
        <v>3019</v>
      </c>
      <c r="M1443" s="2" t="s">
        <v>99</v>
      </c>
      <c r="N1443" s="2" t="s">
        <v>88</v>
      </c>
      <c r="O1443" s="2">
        <v>14</v>
      </c>
      <c r="P1443" s="2">
        <v>14</v>
      </c>
      <c r="Q1443" s="4">
        <v>8100</v>
      </c>
      <c r="R1443" s="4">
        <v>7840</v>
      </c>
      <c r="S1443" s="4">
        <v>128</v>
      </c>
      <c r="T1443" s="19">
        <f>(ProductionData[[#This Row],[Rejected_Qty]])/ProductionData[[#This Row],[Produced_Qty]]</f>
        <v>1.6326530612244899E-2</v>
      </c>
      <c r="U1443" s="19">
        <f>ProductionData[[#This Row],[Produced_Qty]]/ProductionData[[#This Row],[Planned_Qty]]</f>
        <v>0.96790123456790123</v>
      </c>
      <c r="V1443" s="2" t="s">
        <v>113</v>
      </c>
      <c r="W1443" s="11">
        <v>0</v>
      </c>
      <c r="X1443" s="13">
        <f>W1443/60</f>
        <v>0</v>
      </c>
      <c r="Y1443" s="2" t="s">
        <v>90</v>
      </c>
      <c r="Z1443" s="2">
        <v>42</v>
      </c>
      <c r="AA1443" s="2">
        <f>ProductionData[[#This Row],[Rejected_Qty]]*ProductionData[[#This Row],[Unit_Cost_INR]]</f>
        <v>5376</v>
      </c>
      <c r="AB1443" s="4">
        <v>32307</v>
      </c>
      <c r="AC1443" s="4">
        <v>7420</v>
      </c>
      <c r="AD1443" s="4">
        <v>7420</v>
      </c>
      <c r="AE1443" s="4">
        <v>32599</v>
      </c>
      <c r="AF1443" s="4">
        <v>12000</v>
      </c>
    </row>
    <row r="1444" spans="1:32">
      <c r="A1444" s="2" t="s">
        <v>3020</v>
      </c>
      <c r="B1444" s="3">
        <v>46246</v>
      </c>
      <c r="C1444" s="36" t="s">
        <v>2816</v>
      </c>
      <c r="D1444" s="2">
        <f>MONTH(ProductionData[[#This Row],[Month]])</f>
        <v>8</v>
      </c>
      <c r="E1444" s="2" t="s">
        <v>79</v>
      </c>
      <c r="F1444" s="2" t="s">
        <v>93</v>
      </c>
      <c r="G1444" s="2" t="s">
        <v>195</v>
      </c>
      <c r="H1444" s="2" t="s">
        <v>196</v>
      </c>
      <c r="I1444" s="2" t="s">
        <v>197</v>
      </c>
      <c r="J1444" s="2" t="s">
        <v>269</v>
      </c>
      <c r="K1444" s="2" t="s">
        <v>270</v>
      </c>
      <c r="L1444" s="2" t="s">
        <v>3021</v>
      </c>
      <c r="M1444" s="2" t="s">
        <v>95</v>
      </c>
      <c r="N1444" s="2" t="s">
        <v>88</v>
      </c>
      <c r="O1444" s="2">
        <v>14</v>
      </c>
      <c r="P1444" s="2">
        <v>12</v>
      </c>
      <c r="Q1444" s="4">
        <v>7570</v>
      </c>
      <c r="R1444" s="4">
        <v>7000</v>
      </c>
      <c r="S1444" s="4">
        <v>115</v>
      </c>
      <c r="T1444" s="19">
        <f>(ProductionData[[#This Row],[Rejected_Qty]])/ProductionData[[#This Row],[Produced_Qty]]</f>
        <v>1.6428571428571428E-2</v>
      </c>
      <c r="U1444" s="19">
        <f>ProductionData[[#This Row],[Produced_Qty]]/ProductionData[[#This Row],[Planned_Qty]]</f>
        <v>0.92470277410832236</v>
      </c>
      <c r="V1444" s="2" t="s">
        <v>109</v>
      </c>
      <c r="W1444" s="11">
        <v>0</v>
      </c>
      <c r="X1444" s="13">
        <f>W1444/60</f>
        <v>0</v>
      </c>
      <c r="Y1444" s="2" t="s">
        <v>90</v>
      </c>
      <c r="Z1444" s="2">
        <v>42</v>
      </c>
      <c r="AA1444" s="2">
        <f>ProductionData[[#This Row],[Rejected_Qty]]*ProductionData[[#This Row],[Unit_Cost_INR]]</f>
        <v>4830</v>
      </c>
      <c r="AB1444" s="4">
        <v>31592</v>
      </c>
      <c r="AC1444" s="4">
        <v>6170</v>
      </c>
      <c r="AD1444" s="4">
        <v>6170</v>
      </c>
      <c r="AE1444" s="4">
        <v>32307</v>
      </c>
      <c r="AF1444" s="4">
        <v>12000</v>
      </c>
    </row>
    <row r="1445" spans="1:32">
      <c r="A1445" s="2" t="s">
        <v>3022</v>
      </c>
      <c r="B1445" s="3">
        <v>46247</v>
      </c>
      <c r="C1445" s="36" t="s">
        <v>2816</v>
      </c>
      <c r="D1445" s="2">
        <f>MONTH(ProductionData[[#This Row],[Month]])</f>
        <v>8</v>
      </c>
      <c r="E1445" s="2" t="s">
        <v>107</v>
      </c>
      <c r="F1445" s="2" t="s">
        <v>93</v>
      </c>
      <c r="G1445" s="2" t="s">
        <v>195</v>
      </c>
      <c r="H1445" s="2" t="s">
        <v>196</v>
      </c>
      <c r="I1445" s="2" t="s">
        <v>197</v>
      </c>
      <c r="J1445" s="2" t="s">
        <v>269</v>
      </c>
      <c r="K1445" s="2" t="s">
        <v>270</v>
      </c>
      <c r="L1445" s="2" t="s">
        <v>3023</v>
      </c>
      <c r="M1445" s="2" t="s">
        <v>133</v>
      </c>
      <c r="N1445" s="2" t="s">
        <v>88</v>
      </c>
      <c r="O1445" s="2">
        <v>14</v>
      </c>
      <c r="P1445" s="2">
        <v>13</v>
      </c>
      <c r="Q1445" s="4">
        <v>7540</v>
      </c>
      <c r="R1445" s="4">
        <v>7030</v>
      </c>
      <c r="S1445" s="4">
        <v>195</v>
      </c>
      <c r="T1445" s="19">
        <f>(ProductionData[[#This Row],[Rejected_Qty]])/ProductionData[[#This Row],[Produced_Qty]]</f>
        <v>2.7738264580369845E-2</v>
      </c>
      <c r="U1445" s="19">
        <f>ProductionData[[#This Row],[Produced_Qty]]/ProductionData[[#This Row],[Planned_Qty]]</f>
        <v>0.93236074270557034</v>
      </c>
      <c r="V1445" s="2" t="s">
        <v>75</v>
      </c>
      <c r="W1445" s="11">
        <v>55</v>
      </c>
      <c r="X1445" s="13">
        <f>W1445/60</f>
        <v>0.91666666666666663</v>
      </c>
      <c r="Y1445" s="2" t="s">
        <v>110</v>
      </c>
      <c r="Z1445" s="2">
        <v>42</v>
      </c>
      <c r="AA1445" s="2">
        <f>ProductionData[[#This Row],[Rejected_Qty]]*ProductionData[[#This Row],[Unit_Cost_INR]]</f>
        <v>8190</v>
      </c>
      <c r="AB1445" s="4">
        <v>32599</v>
      </c>
      <c r="AC1445" s="4">
        <v>7610</v>
      </c>
      <c r="AD1445" s="4">
        <v>7610</v>
      </c>
      <c r="AE1445" s="4">
        <v>31824</v>
      </c>
      <c r="AF1445" s="4">
        <v>12000</v>
      </c>
    </row>
    <row r="1446" spans="1:32">
      <c r="A1446" s="2" t="s">
        <v>3024</v>
      </c>
      <c r="B1446" s="3">
        <v>46245</v>
      </c>
      <c r="C1446" s="36" t="s">
        <v>2816</v>
      </c>
      <c r="D1446" s="2">
        <f>MONTH(ProductionData[[#This Row],[Month]])</f>
        <v>8</v>
      </c>
      <c r="E1446" s="2" t="s">
        <v>92</v>
      </c>
      <c r="F1446" s="2" t="s">
        <v>80</v>
      </c>
      <c r="G1446" s="2" t="s">
        <v>195</v>
      </c>
      <c r="H1446" s="2" t="s">
        <v>196</v>
      </c>
      <c r="I1446" s="2" t="s">
        <v>197</v>
      </c>
      <c r="J1446" s="2" t="s">
        <v>269</v>
      </c>
      <c r="K1446" s="2" t="s">
        <v>270</v>
      </c>
      <c r="L1446" s="2" t="s">
        <v>3025</v>
      </c>
      <c r="M1446" s="2" t="s">
        <v>87</v>
      </c>
      <c r="N1446" s="2" t="s">
        <v>96</v>
      </c>
      <c r="O1446" s="2">
        <v>14</v>
      </c>
      <c r="P1446" s="2">
        <v>13</v>
      </c>
      <c r="Q1446" s="4">
        <v>8430</v>
      </c>
      <c r="R1446" s="4">
        <v>7820</v>
      </c>
      <c r="S1446" s="4">
        <v>77</v>
      </c>
      <c r="T1446" s="19">
        <f>(ProductionData[[#This Row],[Rejected_Qty]])/ProductionData[[#This Row],[Produced_Qty]]</f>
        <v>9.8465473145780049E-3</v>
      </c>
      <c r="U1446" s="19">
        <f>ProductionData[[#This Row],[Produced_Qty]]/ProductionData[[#This Row],[Planned_Qty]]</f>
        <v>0.9276393831553974</v>
      </c>
      <c r="V1446" s="2" t="s">
        <v>113</v>
      </c>
      <c r="W1446" s="11">
        <v>0</v>
      </c>
      <c r="X1446" s="13">
        <f>W1446/60</f>
        <v>0</v>
      </c>
      <c r="Y1446" s="2" t="s">
        <v>90</v>
      </c>
      <c r="Z1446" s="2">
        <v>42</v>
      </c>
      <c r="AA1446" s="2">
        <f>ProductionData[[#This Row],[Rejected_Qty]]*ProductionData[[#This Row],[Unit_Cost_INR]]</f>
        <v>3234</v>
      </c>
      <c r="AB1446" s="4">
        <v>30589</v>
      </c>
      <c r="AC1446" s="4">
        <v>6740</v>
      </c>
      <c r="AD1446" s="4">
        <v>6740</v>
      </c>
      <c r="AE1446" s="4">
        <v>31592</v>
      </c>
      <c r="AF1446" s="4">
        <v>12000</v>
      </c>
    </row>
    <row r="1447" spans="1:32">
      <c r="A1447" s="2" t="s">
        <v>3026</v>
      </c>
      <c r="B1447" s="3">
        <v>46255</v>
      </c>
      <c r="C1447" s="36" t="s">
        <v>2816</v>
      </c>
      <c r="D1447" s="2">
        <f>MONTH(ProductionData[[#This Row],[Month]])</f>
        <v>8</v>
      </c>
      <c r="E1447" s="2" t="s">
        <v>125</v>
      </c>
      <c r="F1447" s="2" t="s">
        <v>93</v>
      </c>
      <c r="G1447" s="2" t="s">
        <v>81</v>
      </c>
      <c r="H1447" s="2" t="s">
        <v>82</v>
      </c>
      <c r="I1447" s="2" t="s">
        <v>83</v>
      </c>
      <c r="J1447" s="2" t="s">
        <v>166</v>
      </c>
      <c r="K1447" s="2" t="s">
        <v>167</v>
      </c>
      <c r="L1447" s="2" t="s">
        <v>3027</v>
      </c>
      <c r="M1447" s="2" t="s">
        <v>95</v>
      </c>
      <c r="N1447" s="2" t="s">
        <v>88</v>
      </c>
      <c r="O1447" s="2">
        <v>18</v>
      </c>
      <c r="P1447" s="2">
        <v>18</v>
      </c>
      <c r="Q1447" s="4">
        <v>9210</v>
      </c>
      <c r="R1447" s="4">
        <v>8810</v>
      </c>
      <c r="S1447" s="4">
        <v>251</v>
      </c>
      <c r="T1447" s="19">
        <f>(ProductionData[[#This Row],[Rejected_Qty]])/ProductionData[[#This Row],[Produced_Qty]]</f>
        <v>2.8490351872871737E-2</v>
      </c>
      <c r="U1447" s="19">
        <f>ProductionData[[#This Row],[Produced_Qty]]/ProductionData[[#This Row],[Planned_Qty]]</f>
        <v>0.95656894679695981</v>
      </c>
      <c r="V1447" s="2" t="s">
        <v>113</v>
      </c>
      <c r="W1447" s="11">
        <v>0</v>
      </c>
      <c r="X1447" s="13">
        <f>W1447/60</f>
        <v>0</v>
      </c>
      <c r="Y1447" s="2" t="s">
        <v>90</v>
      </c>
      <c r="Z1447" s="2">
        <v>17</v>
      </c>
      <c r="AA1447" s="2">
        <f>ProductionData[[#This Row],[Rejected_Qty]]*ProductionData[[#This Row],[Unit_Cost_INR]]</f>
        <v>4267</v>
      </c>
      <c r="AB1447" s="4">
        <v>30744</v>
      </c>
      <c r="AC1447" s="4">
        <v>7930</v>
      </c>
      <c r="AD1447" s="4">
        <v>7930</v>
      </c>
      <c r="AE1447" s="4">
        <v>31373</v>
      </c>
      <c r="AF1447" s="4">
        <v>13500</v>
      </c>
    </row>
    <row r="1448" spans="1:32">
      <c r="A1448" s="2" t="s">
        <v>3028</v>
      </c>
      <c r="B1448" s="3">
        <v>46251</v>
      </c>
      <c r="C1448" s="36" t="s">
        <v>2816</v>
      </c>
      <c r="D1448" s="2">
        <f>MONTH(ProductionData[[#This Row],[Month]])</f>
        <v>8</v>
      </c>
      <c r="E1448" s="2" t="s">
        <v>116</v>
      </c>
      <c r="F1448" s="2" t="s">
        <v>80</v>
      </c>
      <c r="G1448" s="2" t="s">
        <v>81</v>
      </c>
      <c r="H1448" s="2" t="s">
        <v>82</v>
      </c>
      <c r="I1448" s="2" t="s">
        <v>83</v>
      </c>
      <c r="J1448" s="2" t="s">
        <v>166</v>
      </c>
      <c r="K1448" s="2" t="s">
        <v>167</v>
      </c>
      <c r="L1448" s="2" t="s">
        <v>3029</v>
      </c>
      <c r="M1448" s="2" t="s">
        <v>87</v>
      </c>
      <c r="N1448" s="2" t="s">
        <v>96</v>
      </c>
      <c r="O1448" s="2">
        <v>18</v>
      </c>
      <c r="P1448" s="2">
        <v>17</v>
      </c>
      <c r="Q1448" s="4">
        <v>9030</v>
      </c>
      <c r="R1448" s="4">
        <v>8690</v>
      </c>
      <c r="S1448" s="4">
        <v>230</v>
      </c>
      <c r="T1448" s="19">
        <f>(ProductionData[[#This Row],[Rejected_Qty]])/ProductionData[[#This Row],[Produced_Qty]]</f>
        <v>2.6467203682393557E-2</v>
      </c>
      <c r="U1448" s="19">
        <f>ProductionData[[#This Row],[Produced_Qty]]/ProductionData[[#This Row],[Planned_Qty]]</f>
        <v>0.96234772978959027</v>
      </c>
      <c r="V1448" s="2" t="s">
        <v>103</v>
      </c>
      <c r="W1448" s="11">
        <v>0</v>
      </c>
      <c r="X1448" s="13">
        <f>W1448/60</f>
        <v>0</v>
      </c>
      <c r="Y1448" s="2" t="s">
        <v>90</v>
      </c>
      <c r="Z1448" s="2">
        <v>17</v>
      </c>
      <c r="AA1448" s="2">
        <f>ProductionData[[#This Row],[Rejected_Qty]]*ProductionData[[#This Row],[Unit_Cost_INR]]</f>
        <v>3910</v>
      </c>
      <c r="AB1448" s="4">
        <v>30475</v>
      </c>
      <c r="AC1448" s="4">
        <v>7740</v>
      </c>
      <c r="AD1448" s="4">
        <v>7740</v>
      </c>
      <c r="AE1448" s="4">
        <v>31195</v>
      </c>
      <c r="AF1448" s="4">
        <v>13500</v>
      </c>
    </row>
    <row r="1449" spans="1:32">
      <c r="A1449" s="2" t="s">
        <v>3030</v>
      </c>
      <c r="B1449" s="3">
        <v>46252</v>
      </c>
      <c r="C1449" s="36" t="s">
        <v>2816</v>
      </c>
      <c r="D1449" s="2">
        <f>MONTH(ProductionData[[#This Row],[Month]])</f>
        <v>8</v>
      </c>
      <c r="E1449" s="2" t="s">
        <v>92</v>
      </c>
      <c r="F1449" s="2" t="s">
        <v>80</v>
      </c>
      <c r="G1449" s="2" t="s">
        <v>81</v>
      </c>
      <c r="H1449" s="2" t="s">
        <v>82</v>
      </c>
      <c r="I1449" s="2" t="s">
        <v>83</v>
      </c>
      <c r="J1449" s="2" t="s">
        <v>166</v>
      </c>
      <c r="K1449" s="2" t="s">
        <v>167</v>
      </c>
      <c r="L1449" s="2" t="s">
        <v>3031</v>
      </c>
      <c r="M1449" s="2" t="s">
        <v>87</v>
      </c>
      <c r="N1449" s="2" t="s">
        <v>96</v>
      </c>
      <c r="O1449" s="2">
        <v>18</v>
      </c>
      <c r="P1449" s="2">
        <v>16</v>
      </c>
      <c r="Q1449" s="4">
        <v>9460</v>
      </c>
      <c r="R1449" s="4">
        <v>8440</v>
      </c>
      <c r="S1449" s="4">
        <v>290</v>
      </c>
      <c r="T1449" s="19">
        <f>(ProductionData[[#This Row],[Rejected_Qty]])/ProductionData[[#This Row],[Produced_Qty]]</f>
        <v>3.4360189573459717E-2</v>
      </c>
      <c r="U1449" s="19">
        <f>ProductionData[[#This Row],[Produced_Qty]]/ProductionData[[#This Row],[Planned_Qty]]</f>
        <v>0.89217758985200846</v>
      </c>
      <c r="V1449" s="2" t="s">
        <v>109</v>
      </c>
      <c r="W1449" s="11">
        <v>51</v>
      </c>
      <c r="X1449" s="13">
        <f>W1449/60</f>
        <v>0.85</v>
      </c>
      <c r="Y1449" s="2" t="s">
        <v>110</v>
      </c>
      <c r="Z1449" s="2">
        <v>17</v>
      </c>
      <c r="AA1449" s="2">
        <f>ProductionData[[#This Row],[Rejected_Qty]]*ProductionData[[#This Row],[Unit_Cost_INR]]</f>
        <v>4930</v>
      </c>
      <c r="AB1449" s="4">
        <v>31195</v>
      </c>
      <c r="AC1449" s="4">
        <v>8430</v>
      </c>
      <c r="AD1449" s="4">
        <v>8430</v>
      </c>
      <c r="AE1449" s="4">
        <v>30915</v>
      </c>
      <c r="AF1449" s="4">
        <v>13500</v>
      </c>
    </row>
    <row r="1450" spans="1:32">
      <c r="A1450" s="2" t="s">
        <v>3032</v>
      </c>
      <c r="B1450" s="3">
        <v>46253</v>
      </c>
      <c r="C1450" s="36" t="s">
        <v>2816</v>
      </c>
      <c r="D1450" s="2">
        <f>MONTH(ProductionData[[#This Row],[Month]])</f>
        <v>8</v>
      </c>
      <c r="E1450" s="2" t="s">
        <v>79</v>
      </c>
      <c r="F1450" s="2" t="s">
        <v>80</v>
      </c>
      <c r="G1450" s="2" t="s">
        <v>81</v>
      </c>
      <c r="H1450" s="2" t="s">
        <v>82</v>
      </c>
      <c r="I1450" s="2" t="s">
        <v>83</v>
      </c>
      <c r="J1450" s="2" t="s">
        <v>166</v>
      </c>
      <c r="K1450" s="2" t="s">
        <v>167</v>
      </c>
      <c r="L1450" s="2" t="s">
        <v>3033</v>
      </c>
      <c r="M1450" s="2" t="s">
        <v>102</v>
      </c>
      <c r="N1450" s="2" t="s">
        <v>96</v>
      </c>
      <c r="O1450" s="2">
        <v>18</v>
      </c>
      <c r="P1450" s="2">
        <v>17</v>
      </c>
      <c r="Q1450" s="4">
        <v>8680</v>
      </c>
      <c r="R1450" s="4">
        <v>8150</v>
      </c>
      <c r="S1450" s="4">
        <v>124</v>
      </c>
      <c r="T1450" s="19">
        <f>(ProductionData[[#This Row],[Rejected_Qty]])/ProductionData[[#This Row],[Produced_Qty]]</f>
        <v>1.5214723926380368E-2</v>
      </c>
      <c r="U1450" s="19">
        <f>ProductionData[[#This Row],[Produced_Qty]]/ProductionData[[#This Row],[Planned_Qty]]</f>
        <v>0.93894009216589858</v>
      </c>
      <c r="V1450" s="2" t="s">
        <v>75</v>
      </c>
      <c r="W1450" s="11">
        <v>25</v>
      </c>
      <c r="X1450" s="13">
        <f>W1450/60</f>
        <v>0.41666666666666669</v>
      </c>
      <c r="Y1450" s="2" t="s">
        <v>136</v>
      </c>
      <c r="Z1450" s="2">
        <v>17</v>
      </c>
      <c r="AA1450" s="2">
        <f>ProductionData[[#This Row],[Rejected_Qty]]*ProductionData[[#This Row],[Unit_Cost_INR]]</f>
        <v>2108</v>
      </c>
      <c r="AB1450" s="4">
        <v>30358</v>
      </c>
      <c r="AC1450" s="4">
        <v>7640</v>
      </c>
      <c r="AD1450" s="4">
        <v>7640</v>
      </c>
      <c r="AE1450" s="4">
        <v>30744</v>
      </c>
      <c r="AF1450" s="4">
        <v>13500</v>
      </c>
    </row>
    <row r="1451" spans="1:32">
      <c r="A1451" s="2" t="s">
        <v>3034</v>
      </c>
      <c r="B1451" s="3">
        <v>46263</v>
      </c>
      <c r="C1451" s="36" t="s">
        <v>2816</v>
      </c>
      <c r="D1451" s="2">
        <f>MONTH(ProductionData[[#This Row],[Month]])</f>
        <v>8</v>
      </c>
      <c r="E1451" s="2" t="s">
        <v>65</v>
      </c>
      <c r="F1451" s="2" t="s">
        <v>80</v>
      </c>
      <c r="G1451" s="2" t="s">
        <v>81</v>
      </c>
      <c r="H1451" s="2" t="s">
        <v>82</v>
      </c>
      <c r="I1451" s="2" t="s">
        <v>83</v>
      </c>
      <c r="J1451" s="2" t="s">
        <v>166</v>
      </c>
      <c r="K1451" s="2" t="s">
        <v>167</v>
      </c>
      <c r="L1451" s="2" t="s">
        <v>3035</v>
      </c>
      <c r="M1451" s="2" t="s">
        <v>87</v>
      </c>
      <c r="N1451" s="2" t="s">
        <v>88</v>
      </c>
      <c r="O1451" s="2">
        <v>18</v>
      </c>
      <c r="P1451" s="2">
        <v>17</v>
      </c>
      <c r="Q1451" s="4">
        <v>9580</v>
      </c>
      <c r="R1451" s="4">
        <v>9380</v>
      </c>
      <c r="S1451" s="4">
        <v>218</v>
      </c>
      <c r="T1451" s="19">
        <f>(ProductionData[[#This Row],[Rejected_Qty]])/ProductionData[[#This Row],[Produced_Qty]]</f>
        <v>2.3240938166311301E-2</v>
      </c>
      <c r="U1451" s="19">
        <f>ProductionData[[#This Row],[Produced_Qty]]/ProductionData[[#This Row],[Planned_Qty]]</f>
        <v>0.97912317327766174</v>
      </c>
      <c r="V1451" s="2" t="s">
        <v>103</v>
      </c>
      <c r="W1451" s="11">
        <v>0</v>
      </c>
      <c r="X1451" s="13">
        <f>W1451/60</f>
        <v>0</v>
      </c>
      <c r="Y1451" s="2" t="s">
        <v>90</v>
      </c>
      <c r="Z1451" s="2">
        <v>17</v>
      </c>
      <c r="AA1451" s="2">
        <f>ProductionData[[#This Row],[Rejected_Qty]]*ProductionData[[#This Row],[Unit_Cost_INR]]</f>
        <v>3706</v>
      </c>
      <c r="AB1451" s="4">
        <v>30421</v>
      </c>
      <c r="AC1451" s="4">
        <v>8870</v>
      </c>
      <c r="AD1451" s="4">
        <v>8870</v>
      </c>
      <c r="AE1451" s="4">
        <v>30713</v>
      </c>
      <c r="AF1451" s="4">
        <v>13500</v>
      </c>
    </row>
    <row r="1452" spans="1:32">
      <c r="A1452" s="2" t="s">
        <v>3036</v>
      </c>
      <c r="B1452" s="3">
        <v>46237</v>
      </c>
      <c r="C1452" s="36" t="s">
        <v>2816</v>
      </c>
      <c r="D1452" s="2">
        <f>MONTH(ProductionData[[#This Row],[Month]])</f>
        <v>8</v>
      </c>
      <c r="E1452" s="2" t="s">
        <v>116</v>
      </c>
      <c r="F1452" s="2" t="s">
        <v>80</v>
      </c>
      <c r="G1452" s="2" t="s">
        <v>195</v>
      </c>
      <c r="H1452" s="2" t="s">
        <v>196</v>
      </c>
      <c r="I1452" s="2" t="s">
        <v>197</v>
      </c>
      <c r="J1452" s="2" t="s">
        <v>269</v>
      </c>
      <c r="K1452" s="2" t="s">
        <v>270</v>
      </c>
      <c r="L1452" s="2" t="s">
        <v>3037</v>
      </c>
      <c r="M1452" s="2" t="s">
        <v>102</v>
      </c>
      <c r="N1452" s="2" t="s">
        <v>96</v>
      </c>
      <c r="O1452" s="2">
        <v>14</v>
      </c>
      <c r="P1452" s="2">
        <v>13</v>
      </c>
      <c r="Q1452" s="4">
        <v>8280</v>
      </c>
      <c r="R1452" s="4">
        <v>8140</v>
      </c>
      <c r="S1452" s="4">
        <v>341</v>
      </c>
      <c r="T1452" s="19">
        <f>(ProductionData[[#This Row],[Rejected_Qty]])/ProductionData[[#This Row],[Produced_Qty]]</f>
        <v>4.1891891891891894E-2</v>
      </c>
      <c r="U1452" s="19">
        <f>ProductionData[[#This Row],[Produced_Qty]]/ProductionData[[#This Row],[Planned_Qty]]</f>
        <v>0.98309178743961356</v>
      </c>
      <c r="V1452" s="2" t="s">
        <v>89</v>
      </c>
      <c r="W1452" s="11">
        <v>0</v>
      </c>
      <c r="X1452" s="13">
        <f>W1452/60</f>
        <v>0</v>
      </c>
      <c r="Y1452" s="2" t="s">
        <v>90</v>
      </c>
      <c r="Z1452" s="2">
        <v>42</v>
      </c>
      <c r="AA1452" s="2">
        <f>ProductionData[[#This Row],[Rejected_Qty]]*ProductionData[[#This Row],[Unit_Cost_INR]]</f>
        <v>14322</v>
      </c>
      <c r="AB1452" s="4">
        <v>29915</v>
      </c>
      <c r="AC1452" s="4">
        <v>7070</v>
      </c>
      <c r="AD1452" s="4">
        <v>7070</v>
      </c>
      <c r="AE1452" s="4">
        <v>30644</v>
      </c>
      <c r="AF1452" s="4">
        <v>12000</v>
      </c>
    </row>
    <row r="1453" spans="1:32">
      <c r="A1453" s="2" t="s">
        <v>3038</v>
      </c>
      <c r="B1453" s="3">
        <v>46242</v>
      </c>
      <c r="C1453" s="36" t="s">
        <v>2816</v>
      </c>
      <c r="D1453" s="2">
        <f>MONTH(ProductionData[[#This Row],[Month]])</f>
        <v>8</v>
      </c>
      <c r="E1453" s="2" t="s">
        <v>65</v>
      </c>
      <c r="F1453" s="2" t="s">
        <v>80</v>
      </c>
      <c r="G1453" s="2" t="s">
        <v>195</v>
      </c>
      <c r="H1453" s="2" t="s">
        <v>196</v>
      </c>
      <c r="I1453" s="2" t="s">
        <v>197</v>
      </c>
      <c r="J1453" s="2" t="s">
        <v>269</v>
      </c>
      <c r="K1453" s="2" t="s">
        <v>270</v>
      </c>
      <c r="L1453" s="2" t="s">
        <v>3039</v>
      </c>
      <c r="M1453" s="2" t="s">
        <v>102</v>
      </c>
      <c r="N1453" s="2" t="s">
        <v>96</v>
      </c>
      <c r="O1453" s="2">
        <v>14</v>
      </c>
      <c r="P1453" s="2">
        <v>14</v>
      </c>
      <c r="Q1453" s="4">
        <v>7940</v>
      </c>
      <c r="R1453" s="4">
        <v>7810</v>
      </c>
      <c r="S1453" s="4">
        <v>226</v>
      </c>
      <c r="T1453" s="19">
        <f>(ProductionData[[#This Row],[Rejected_Qty]])/ProductionData[[#This Row],[Produced_Qty]]</f>
        <v>2.8937259923175414E-2</v>
      </c>
      <c r="U1453" s="19">
        <f>ProductionData[[#This Row],[Produced_Qty]]/ProductionData[[#This Row],[Planned_Qty]]</f>
        <v>0.98362720403022674</v>
      </c>
      <c r="V1453" s="2" t="s">
        <v>113</v>
      </c>
      <c r="W1453" s="11">
        <v>0</v>
      </c>
      <c r="X1453" s="13">
        <f>W1453/60</f>
        <v>0</v>
      </c>
      <c r="Y1453" s="2" t="s">
        <v>90</v>
      </c>
      <c r="Z1453" s="2">
        <v>42</v>
      </c>
      <c r="AA1453" s="2">
        <f>ProductionData[[#This Row],[Rejected_Qty]]*ProductionData[[#This Row],[Unit_Cost_INR]]</f>
        <v>9492</v>
      </c>
      <c r="AB1453" s="4">
        <v>30045</v>
      </c>
      <c r="AC1453" s="4">
        <v>7040</v>
      </c>
      <c r="AD1453" s="4">
        <v>7040</v>
      </c>
      <c r="AE1453" s="4">
        <v>30589</v>
      </c>
      <c r="AF1453" s="4">
        <v>12000</v>
      </c>
    </row>
    <row r="1454" spans="1:32">
      <c r="A1454" s="2" t="s">
        <v>3040</v>
      </c>
      <c r="B1454" s="3">
        <v>46240</v>
      </c>
      <c r="C1454" s="36" t="s">
        <v>2816</v>
      </c>
      <c r="D1454" s="2">
        <f>MONTH(ProductionData[[#This Row],[Month]])</f>
        <v>8</v>
      </c>
      <c r="E1454" s="2" t="s">
        <v>107</v>
      </c>
      <c r="F1454" s="2" t="s">
        <v>66</v>
      </c>
      <c r="G1454" s="2" t="s">
        <v>195</v>
      </c>
      <c r="H1454" s="2" t="s">
        <v>196</v>
      </c>
      <c r="I1454" s="2" t="s">
        <v>197</v>
      </c>
      <c r="J1454" s="2" t="s">
        <v>269</v>
      </c>
      <c r="K1454" s="2" t="s">
        <v>270</v>
      </c>
      <c r="L1454" s="2" t="s">
        <v>3041</v>
      </c>
      <c r="M1454" s="2" t="s">
        <v>99</v>
      </c>
      <c r="N1454" s="2" t="s">
        <v>96</v>
      </c>
      <c r="O1454" s="2">
        <v>14</v>
      </c>
      <c r="P1454" s="2">
        <v>14</v>
      </c>
      <c r="Q1454" s="4">
        <v>7910</v>
      </c>
      <c r="R1454" s="4">
        <v>8230</v>
      </c>
      <c r="S1454" s="4">
        <v>250</v>
      </c>
      <c r="T1454" s="19">
        <f>(ProductionData[[#This Row],[Rejected_Qty]])/ProductionData[[#This Row],[Produced_Qty]]</f>
        <v>3.0376670716889428E-2</v>
      </c>
      <c r="U1454" s="19">
        <f>ProductionData[[#This Row],[Produced_Qty]]/ProductionData[[#This Row],[Planned_Qty]]</f>
        <v>1.0404551201011378</v>
      </c>
      <c r="V1454" s="2" t="s">
        <v>75</v>
      </c>
      <c r="W1454" s="11">
        <v>11</v>
      </c>
      <c r="X1454" s="13">
        <f>W1454/60</f>
        <v>0.18333333333333332</v>
      </c>
      <c r="Y1454" s="2" t="s">
        <v>76</v>
      </c>
      <c r="Z1454" s="2">
        <v>42</v>
      </c>
      <c r="AA1454" s="2">
        <f>ProductionData[[#This Row],[Rejected_Qty]]*ProductionData[[#This Row],[Unit_Cost_INR]]</f>
        <v>10500</v>
      </c>
      <c r="AB1454" s="4">
        <v>29371</v>
      </c>
      <c r="AC1454" s="4">
        <v>6830</v>
      </c>
      <c r="AD1454" s="4">
        <v>6830</v>
      </c>
      <c r="AE1454" s="4">
        <v>30521</v>
      </c>
      <c r="AF1454" s="4">
        <v>12000</v>
      </c>
    </row>
    <row r="1455" spans="1:32">
      <c r="A1455" s="2" t="s">
        <v>3042</v>
      </c>
      <c r="B1455" s="3">
        <v>46248</v>
      </c>
      <c r="C1455" s="36" t="s">
        <v>2816</v>
      </c>
      <c r="D1455" s="2">
        <f>MONTH(ProductionData[[#This Row],[Month]])</f>
        <v>8</v>
      </c>
      <c r="E1455" s="2" t="s">
        <v>125</v>
      </c>
      <c r="F1455" s="2" t="s">
        <v>93</v>
      </c>
      <c r="G1455" s="2" t="s">
        <v>81</v>
      </c>
      <c r="H1455" s="2" t="s">
        <v>82</v>
      </c>
      <c r="I1455" s="2" t="s">
        <v>83</v>
      </c>
      <c r="J1455" s="2" t="s">
        <v>166</v>
      </c>
      <c r="K1455" s="2" t="s">
        <v>167</v>
      </c>
      <c r="L1455" s="2" t="s">
        <v>3043</v>
      </c>
      <c r="M1455" s="2" t="s">
        <v>133</v>
      </c>
      <c r="N1455" s="2" t="s">
        <v>96</v>
      </c>
      <c r="O1455" s="2">
        <v>18</v>
      </c>
      <c r="P1455" s="2">
        <v>17</v>
      </c>
      <c r="Q1455" s="4">
        <v>8260</v>
      </c>
      <c r="R1455" s="4">
        <v>8120</v>
      </c>
      <c r="S1455" s="4">
        <v>199</v>
      </c>
      <c r="T1455" s="19">
        <f>(ProductionData[[#This Row],[Rejected_Qty]])/ProductionData[[#This Row],[Produced_Qty]]</f>
        <v>2.4507389162561576E-2</v>
      </c>
      <c r="U1455" s="19">
        <f>ProductionData[[#This Row],[Produced_Qty]]/ProductionData[[#This Row],[Planned_Qty]]</f>
        <v>0.98305084745762716</v>
      </c>
      <c r="V1455" s="2" t="s">
        <v>109</v>
      </c>
      <c r="W1455" s="11">
        <v>0</v>
      </c>
      <c r="X1455" s="13">
        <f>W1455/60</f>
        <v>0</v>
      </c>
      <c r="Y1455" s="2" t="s">
        <v>90</v>
      </c>
      <c r="Z1455" s="2">
        <v>17</v>
      </c>
      <c r="AA1455" s="2">
        <f>ProductionData[[#This Row],[Rejected_Qty]]*ProductionData[[#This Row],[Unit_Cost_INR]]</f>
        <v>3383</v>
      </c>
      <c r="AB1455" s="4">
        <v>29394</v>
      </c>
      <c r="AC1455" s="4">
        <v>6840</v>
      </c>
      <c r="AD1455" s="4">
        <v>6840</v>
      </c>
      <c r="AE1455" s="4">
        <v>30475</v>
      </c>
      <c r="AF1455" s="4">
        <v>13500</v>
      </c>
    </row>
    <row r="1456" spans="1:32">
      <c r="A1456" s="2" t="s">
        <v>3044</v>
      </c>
      <c r="B1456" s="3">
        <v>46264</v>
      </c>
      <c r="C1456" s="36" t="s">
        <v>2816</v>
      </c>
      <c r="D1456" s="2">
        <f>MONTH(ProductionData[[#This Row],[Month]])</f>
        <v>8</v>
      </c>
      <c r="E1456" s="2" t="s">
        <v>186</v>
      </c>
      <c r="F1456" s="2" t="s">
        <v>66</v>
      </c>
      <c r="G1456" s="2" t="s">
        <v>81</v>
      </c>
      <c r="H1456" s="2" t="s">
        <v>82</v>
      </c>
      <c r="I1456" s="2" t="s">
        <v>83</v>
      </c>
      <c r="J1456" s="2" t="s">
        <v>166</v>
      </c>
      <c r="K1456" s="2" t="s">
        <v>167</v>
      </c>
      <c r="L1456" s="2" t="s">
        <v>3045</v>
      </c>
      <c r="M1456" s="2" t="s">
        <v>73</v>
      </c>
      <c r="N1456" s="2" t="s">
        <v>96</v>
      </c>
      <c r="O1456" s="2">
        <v>18</v>
      </c>
      <c r="P1456" s="2">
        <v>18</v>
      </c>
      <c r="Q1456" s="4">
        <v>6220</v>
      </c>
      <c r="R1456" s="4">
        <v>5710</v>
      </c>
      <c r="S1456" s="4">
        <v>97</v>
      </c>
      <c r="T1456" s="19">
        <f>(ProductionData[[#This Row],[Rejected_Qty]])/ProductionData[[#This Row],[Produced_Qty]]</f>
        <v>1.6987740805604203E-2</v>
      </c>
      <c r="U1456" s="19">
        <f>ProductionData[[#This Row],[Produced_Qty]]/ProductionData[[#This Row],[Planned_Qty]]</f>
        <v>0.91800643086816724</v>
      </c>
      <c r="V1456" s="2" t="s">
        <v>103</v>
      </c>
      <c r="W1456" s="11">
        <v>0</v>
      </c>
      <c r="X1456" s="13">
        <f>W1456/60</f>
        <v>0</v>
      </c>
      <c r="Y1456" s="2" t="s">
        <v>90</v>
      </c>
      <c r="Z1456" s="2">
        <v>17</v>
      </c>
      <c r="AA1456" s="2">
        <f>ProductionData[[#This Row],[Rejected_Qty]]*ProductionData[[#This Row],[Unit_Cost_INR]]</f>
        <v>1649</v>
      </c>
      <c r="AB1456" s="4">
        <v>30713</v>
      </c>
      <c r="AC1456" s="4">
        <v>5890</v>
      </c>
      <c r="AD1456" s="4">
        <v>5890</v>
      </c>
      <c r="AE1456" s="4">
        <v>30436</v>
      </c>
      <c r="AF1456" s="4">
        <v>13500</v>
      </c>
    </row>
    <row r="1457" spans="1:32">
      <c r="A1457" s="2" t="s">
        <v>3046</v>
      </c>
      <c r="B1457" s="3">
        <v>46258</v>
      </c>
      <c r="C1457" s="36" t="s">
        <v>2816</v>
      </c>
      <c r="D1457" s="2">
        <f>MONTH(ProductionData[[#This Row],[Month]])</f>
        <v>8</v>
      </c>
      <c r="E1457" s="2" t="s">
        <v>116</v>
      </c>
      <c r="F1457" s="2" t="s">
        <v>93</v>
      </c>
      <c r="G1457" s="2" t="s">
        <v>81</v>
      </c>
      <c r="H1457" s="2" t="s">
        <v>82</v>
      </c>
      <c r="I1457" s="2" t="s">
        <v>83</v>
      </c>
      <c r="J1457" s="2" t="s">
        <v>166</v>
      </c>
      <c r="K1457" s="2" t="s">
        <v>167</v>
      </c>
      <c r="L1457" s="2" t="s">
        <v>3047</v>
      </c>
      <c r="M1457" s="2" t="s">
        <v>133</v>
      </c>
      <c r="N1457" s="2" t="s">
        <v>88</v>
      </c>
      <c r="O1457" s="2">
        <v>18</v>
      </c>
      <c r="P1457" s="2">
        <v>17</v>
      </c>
      <c r="Q1457" s="4">
        <v>8640</v>
      </c>
      <c r="R1457" s="4">
        <v>7780</v>
      </c>
      <c r="S1457" s="4">
        <v>132</v>
      </c>
      <c r="T1457" s="19">
        <f>(ProductionData[[#This Row],[Rejected_Qty]])/ProductionData[[#This Row],[Produced_Qty]]</f>
        <v>1.6966580976863752E-2</v>
      </c>
      <c r="U1457" s="19">
        <f>ProductionData[[#This Row],[Produced_Qty]]/ProductionData[[#This Row],[Planned_Qty]]</f>
        <v>0.90046296296296291</v>
      </c>
      <c r="V1457" s="2" t="s">
        <v>89</v>
      </c>
      <c r="W1457" s="11">
        <v>25</v>
      </c>
      <c r="X1457" s="13">
        <f>W1457/60</f>
        <v>0.41666666666666669</v>
      </c>
      <c r="Y1457" s="2" t="s">
        <v>76</v>
      </c>
      <c r="Z1457" s="2">
        <v>17</v>
      </c>
      <c r="AA1457" s="2">
        <f>ProductionData[[#This Row],[Rejected_Qty]]*ProductionData[[#This Row],[Unit_Cost_INR]]</f>
        <v>2244</v>
      </c>
      <c r="AB1457" s="4">
        <v>31373</v>
      </c>
      <c r="AC1457" s="4">
        <v>8600</v>
      </c>
      <c r="AD1457" s="4">
        <v>8600</v>
      </c>
      <c r="AE1457" s="4">
        <v>30421</v>
      </c>
      <c r="AF1457" s="4">
        <v>13500</v>
      </c>
    </row>
    <row r="1458" spans="1:32">
      <c r="A1458" s="2" t="s">
        <v>3048</v>
      </c>
      <c r="B1458" s="3">
        <v>46252</v>
      </c>
      <c r="C1458" s="36" t="s">
        <v>2816</v>
      </c>
      <c r="D1458" s="2">
        <f>MONTH(ProductionData[[#This Row],[Month]])</f>
        <v>8</v>
      </c>
      <c r="E1458" s="2" t="s">
        <v>92</v>
      </c>
      <c r="F1458" s="2" t="s">
        <v>93</v>
      </c>
      <c r="G1458" s="2" t="s">
        <v>81</v>
      </c>
      <c r="H1458" s="2" t="s">
        <v>82</v>
      </c>
      <c r="I1458" s="2" t="s">
        <v>83</v>
      </c>
      <c r="J1458" s="2" t="s">
        <v>166</v>
      </c>
      <c r="K1458" s="2" t="s">
        <v>167</v>
      </c>
      <c r="L1458" s="2" t="s">
        <v>3049</v>
      </c>
      <c r="M1458" s="2" t="s">
        <v>133</v>
      </c>
      <c r="N1458" s="2" t="s">
        <v>96</v>
      </c>
      <c r="O1458" s="2">
        <v>18</v>
      </c>
      <c r="P1458" s="2">
        <v>15</v>
      </c>
      <c r="Q1458" s="4">
        <v>7900</v>
      </c>
      <c r="R1458" s="4">
        <v>7080</v>
      </c>
      <c r="S1458" s="4">
        <v>187</v>
      </c>
      <c r="T1458" s="19">
        <f>(ProductionData[[#This Row],[Rejected_Qty]])/ProductionData[[#This Row],[Produced_Qty]]</f>
        <v>2.6412429378531072E-2</v>
      </c>
      <c r="U1458" s="19">
        <f>ProductionData[[#This Row],[Produced_Qty]]/ProductionData[[#This Row],[Planned_Qty]]</f>
        <v>0.89620253164556962</v>
      </c>
      <c r="V1458" s="2" t="s">
        <v>75</v>
      </c>
      <c r="W1458" s="11">
        <v>16</v>
      </c>
      <c r="X1458" s="13">
        <f>W1458/60</f>
        <v>0.26666666666666666</v>
      </c>
      <c r="Y1458" s="2" t="s">
        <v>76</v>
      </c>
      <c r="Z1458" s="2">
        <v>17</v>
      </c>
      <c r="AA1458" s="2">
        <f>ProductionData[[#This Row],[Rejected_Qty]]*ProductionData[[#This Row],[Unit_Cost_INR]]</f>
        <v>3179</v>
      </c>
      <c r="AB1458" s="4">
        <v>30915</v>
      </c>
      <c r="AC1458" s="4">
        <v>7450</v>
      </c>
      <c r="AD1458" s="4">
        <v>7450</v>
      </c>
      <c r="AE1458" s="4">
        <v>30358</v>
      </c>
      <c r="AF1458" s="4">
        <v>13500</v>
      </c>
    </row>
    <row r="1459" spans="1:32">
      <c r="A1459" s="2" t="s">
        <v>3050</v>
      </c>
      <c r="B1459" s="3">
        <v>46265</v>
      </c>
      <c r="C1459" s="36" t="s">
        <v>2816</v>
      </c>
      <c r="D1459" s="2">
        <f>MONTH(ProductionData[[#This Row],[Month]])</f>
        <v>8</v>
      </c>
      <c r="E1459" s="2" t="s">
        <v>116</v>
      </c>
      <c r="F1459" s="2" t="s">
        <v>80</v>
      </c>
      <c r="G1459" s="2" t="s">
        <v>81</v>
      </c>
      <c r="H1459" s="2" t="s">
        <v>82</v>
      </c>
      <c r="I1459" s="2" t="s">
        <v>83</v>
      </c>
      <c r="J1459" s="2" t="s">
        <v>166</v>
      </c>
      <c r="K1459" s="2" t="s">
        <v>167</v>
      </c>
      <c r="L1459" s="2" t="s">
        <v>3051</v>
      </c>
      <c r="M1459" s="2" t="s">
        <v>87</v>
      </c>
      <c r="N1459" s="2" t="s">
        <v>88</v>
      </c>
      <c r="O1459" s="2">
        <v>18</v>
      </c>
      <c r="P1459" s="2">
        <v>18</v>
      </c>
      <c r="Q1459" s="4">
        <v>8440</v>
      </c>
      <c r="R1459" s="4">
        <v>8500</v>
      </c>
      <c r="S1459" s="4">
        <v>185</v>
      </c>
      <c r="T1459" s="19">
        <f>(ProductionData[[#This Row],[Rejected_Qty]])/ProductionData[[#This Row],[Produced_Qty]]</f>
        <v>2.1764705882352939E-2</v>
      </c>
      <c r="U1459" s="19">
        <f>ProductionData[[#This Row],[Produced_Qty]]/ProductionData[[#This Row],[Planned_Qty]]</f>
        <v>1.0071090047393365</v>
      </c>
      <c r="V1459" s="2" t="s">
        <v>109</v>
      </c>
      <c r="W1459" s="11">
        <v>24</v>
      </c>
      <c r="X1459" s="13">
        <f>W1459/60</f>
        <v>0.4</v>
      </c>
      <c r="Y1459" s="2" t="s">
        <v>110</v>
      </c>
      <c r="Z1459" s="2">
        <v>17</v>
      </c>
      <c r="AA1459" s="2">
        <f>ProductionData[[#This Row],[Rejected_Qty]]*ProductionData[[#This Row],[Unit_Cost_INR]]</f>
        <v>3145</v>
      </c>
      <c r="AB1459" s="4">
        <v>30229</v>
      </c>
      <c r="AC1459" s="4">
        <v>8280</v>
      </c>
      <c r="AD1459" s="4">
        <v>8280</v>
      </c>
      <c r="AE1459" s="4">
        <v>30264</v>
      </c>
      <c r="AF1459" s="4">
        <v>13500</v>
      </c>
    </row>
    <row r="1460" spans="1:32">
      <c r="A1460" s="2" t="s">
        <v>3052</v>
      </c>
      <c r="B1460" s="3">
        <v>46264</v>
      </c>
      <c r="C1460" s="36" t="s">
        <v>2816</v>
      </c>
      <c r="D1460" s="2">
        <f>MONTH(ProductionData[[#This Row],[Month]])</f>
        <v>8</v>
      </c>
      <c r="E1460" s="2" t="s">
        <v>186</v>
      </c>
      <c r="F1460" s="2" t="s">
        <v>80</v>
      </c>
      <c r="G1460" s="2" t="s">
        <v>81</v>
      </c>
      <c r="H1460" s="2" t="s">
        <v>82</v>
      </c>
      <c r="I1460" s="2" t="s">
        <v>83</v>
      </c>
      <c r="J1460" s="2" t="s">
        <v>166</v>
      </c>
      <c r="K1460" s="2" t="s">
        <v>167</v>
      </c>
      <c r="L1460" s="2" t="s">
        <v>3053</v>
      </c>
      <c r="M1460" s="2" t="s">
        <v>87</v>
      </c>
      <c r="N1460" s="2" t="s">
        <v>88</v>
      </c>
      <c r="O1460" s="2">
        <v>18</v>
      </c>
      <c r="P1460" s="2">
        <v>17</v>
      </c>
      <c r="Q1460" s="4">
        <v>6220</v>
      </c>
      <c r="R1460" s="4">
        <v>5890</v>
      </c>
      <c r="S1460" s="4">
        <v>127</v>
      </c>
      <c r="T1460" s="19">
        <f>(ProductionData[[#This Row],[Rejected_Qty]])/ProductionData[[#This Row],[Produced_Qty]]</f>
        <v>2.1561969439728355E-2</v>
      </c>
      <c r="U1460" s="19">
        <f>ProductionData[[#This Row],[Produced_Qty]]/ProductionData[[#This Row],[Planned_Qty]]</f>
        <v>0.94694533762057875</v>
      </c>
      <c r="V1460" s="2" t="s">
        <v>103</v>
      </c>
      <c r="W1460" s="11">
        <v>60</v>
      </c>
      <c r="X1460" s="13">
        <f>W1460/60</f>
        <v>1</v>
      </c>
      <c r="Y1460" s="2" t="s">
        <v>182</v>
      </c>
      <c r="Z1460" s="2">
        <v>17</v>
      </c>
      <c r="AA1460" s="2">
        <f>ProductionData[[#This Row],[Rejected_Qty]]*ProductionData[[#This Row],[Unit_Cost_INR]]</f>
        <v>2159</v>
      </c>
      <c r="AB1460" s="4">
        <v>30436</v>
      </c>
      <c r="AC1460" s="4">
        <v>5970</v>
      </c>
      <c r="AD1460" s="4">
        <v>5970</v>
      </c>
      <c r="AE1460" s="4">
        <v>30229</v>
      </c>
      <c r="AF1460" s="4">
        <v>13500</v>
      </c>
    </row>
    <row r="1461" spans="1:32">
      <c r="A1461" s="2" t="s">
        <v>3054</v>
      </c>
      <c r="B1461" s="3">
        <v>46241</v>
      </c>
      <c r="C1461" s="36" t="s">
        <v>2816</v>
      </c>
      <c r="D1461" s="2">
        <f>MONTH(ProductionData[[#This Row],[Month]])</f>
        <v>8</v>
      </c>
      <c r="E1461" s="2" t="s">
        <v>125</v>
      </c>
      <c r="F1461" s="2" t="s">
        <v>93</v>
      </c>
      <c r="G1461" s="2" t="s">
        <v>195</v>
      </c>
      <c r="H1461" s="2" t="s">
        <v>196</v>
      </c>
      <c r="I1461" s="2" t="s">
        <v>197</v>
      </c>
      <c r="J1461" s="2" t="s">
        <v>269</v>
      </c>
      <c r="K1461" s="2" t="s">
        <v>270</v>
      </c>
      <c r="L1461" s="2" t="s">
        <v>3055</v>
      </c>
      <c r="M1461" s="2" t="s">
        <v>133</v>
      </c>
      <c r="N1461" s="2" t="s">
        <v>88</v>
      </c>
      <c r="O1461" s="2">
        <v>14</v>
      </c>
      <c r="P1461" s="2">
        <v>11</v>
      </c>
      <c r="Q1461" s="4">
        <v>7120</v>
      </c>
      <c r="R1461" s="4">
        <v>6080</v>
      </c>
      <c r="S1461" s="4">
        <v>86</v>
      </c>
      <c r="T1461" s="19">
        <f>(ProductionData[[#This Row],[Rejected_Qty]])/ProductionData[[#This Row],[Produced_Qty]]</f>
        <v>1.4144736842105264E-2</v>
      </c>
      <c r="U1461" s="19">
        <f>ProductionData[[#This Row],[Produced_Qty]]/ProductionData[[#This Row],[Planned_Qty]]</f>
        <v>0.8539325842696629</v>
      </c>
      <c r="V1461" s="2" t="s">
        <v>113</v>
      </c>
      <c r="W1461" s="11">
        <v>0</v>
      </c>
      <c r="X1461" s="13">
        <f>W1461/60</f>
        <v>0</v>
      </c>
      <c r="Y1461" s="2" t="s">
        <v>90</v>
      </c>
      <c r="Z1461" s="2">
        <v>42</v>
      </c>
      <c r="AA1461" s="2">
        <f>ProductionData[[#This Row],[Rejected_Qty]]*ProductionData[[#This Row],[Unit_Cost_INR]]</f>
        <v>3612</v>
      </c>
      <c r="AB1461" s="4">
        <v>30521</v>
      </c>
      <c r="AC1461" s="4">
        <v>6470</v>
      </c>
      <c r="AD1461" s="4">
        <v>6470</v>
      </c>
      <c r="AE1461" s="4">
        <v>30045</v>
      </c>
      <c r="AF1461" s="4">
        <v>12000</v>
      </c>
    </row>
    <row r="1462" spans="1:32">
      <c r="A1462" s="2" t="s">
        <v>3056</v>
      </c>
      <c r="B1462" s="3">
        <v>46236</v>
      </c>
      <c r="C1462" s="36" t="s">
        <v>2816</v>
      </c>
      <c r="D1462" s="2">
        <f>MONTH(ProductionData[[#This Row],[Month]])</f>
        <v>8</v>
      </c>
      <c r="E1462" s="2" t="s">
        <v>186</v>
      </c>
      <c r="F1462" s="2" t="s">
        <v>80</v>
      </c>
      <c r="G1462" s="2" t="s">
        <v>195</v>
      </c>
      <c r="H1462" s="2" t="s">
        <v>196</v>
      </c>
      <c r="I1462" s="2" t="s">
        <v>197</v>
      </c>
      <c r="J1462" s="2" t="s">
        <v>269</v>
      </c>
      <c r="K1462" s="2" t="s">
        <v>270</v>
      </c>
      <c r="L1462" s="2" t="s">
        <v>3057</v>
      </c>
      <c r="M1462" s="2" t="s">
        <v>87</v>
      </c>
      <c r="N1462" s="2" t="s">
        <v>96</v>
      </c>
      <c r="O1462" s="2">
        <v>14</v>
      </c>
      <c r="P1462" s="2">
        <v>13</v>
      </c>
      <c r="Q1462" s="4">
        <v>5870</v>
      </c>
      <c r="R1462" s="4">
        <v>5420</v>
      </c>
      <c r="S1462" s="4">
        <v>100</v>
      </c>
      <c r="T1462" s="19">
        <f>(ProductionData[[#This Row],[Rejected_Qty]])/ProductionData[[#This Row],[Produced_Qty]]</f>
        <v>1.8450184501845018E-2</v>
      </c>
      <c r="U1462" s="19">
        <f>ProductionData[[#This Row],[Produced_Qty]]/ProductionData[[#This Row],[Planned_Qty]]</f>
        <v>0.92333901192504264</v>
      </c>
      <c r="V1462" s="2" t="s">
        <v>109</v>
      </c>
      <c r="W1462" s="11">
        <v>0</v>
      </c>
      <c r="X1462" s="13">
        <f>W1462/60</f>
        <v>0</v>
      </c>
      <c r="Y1462" s="2" t="s">
        <v>90</v>
      </c>
      <c r="Z1462" s="2">
        <v>42</v>
      </c>
      <c r="AA1462" s="2">
        <f>ProductionData[[#This Row],[Rejected_Qty]]*ProductionData[[#This Row],[Unit_Cost_INR]]</f>
        <v>4200</v>
      </c>
      <c r="AB1462" s="4">
        <v>29615</v>
      </c>
      <c r="AC1462" s="4">
        <v>5020</v>
      </c>
      <c r="AD1462" s="4">
        <v>5020</v>
      </c>
      <c r="AE1462" s="4">
        <v>29915</v>
      </c>
      <c r="AF1462" s="4">
        <v>12000</v>
      </c>
    </row>
    <row r="1463" spans="1:32">
      <c r="A1463" s="2" t="s">
        <v>3058</v>
      </c>
      <c r="B1463" s="3">
        <v>46247</v>
      </c>
      <c r="C1463" s="36" t="s">
        <v>2816</v>
      </c>
      <c r="D1463" s="2">
        <f>MONTH(ProductionData[[#This Row],[Month]])</f>
        <v>8</v>
      </c>
      <c r="E1463" s="2" t="s">
        <v>107</v>
      </c>
      <c r="F1463" s="2" t="s">
        <v>93</v>
      </c>
      <c r="G1463" s="2" t="s">
        <v>81</v>
      </c>
      <c r="H1463" s="2" t="s">
        <v>82</v>
      </c>
      <c r="I1463" s="2" t="s">
        <v>83</v>
      </c>
      <c r="J1463" s="2" t="s">
        <v>166</v>
      </c>
      <c r="K1463" s="2" t="s">
        <v>167</v>
      </c>
      <c r="L1463" s="2" t="s">
        <v>3059</v>
      </c>
      <c r="M1463" s="2" t="s">
        <v>133</v>
      </c>
      <c r="N1463" s="2" t="s">
        <v>96</v>
      </c>
      <c r="O1463" s="2">
        <v>18</v>
      </c>
      <c r="P1463" s="2">
        <v>17</v>
      </c>
      <c r="Q1463" s="4">
        <v>8690</v>
      </c>
      <c r="R1463" s="4">
        <v>8130</v>
      </c>
      <c r="S1463" s="4">
        <v>217</v>
      </c>
      <c r="T1463" s="19">
        <f>(ProductionData[[#This Row],[Rejected_Qty]])/ProductionData[[#This Row],[Produced_Qty]]</f>
        <v>2.6691266912669126E-2</v>
      </c>
      <c r="U1463" s="19">
        <f>ProductionData[[#This Row],[Produced_Qty]]/ProductionData[[#This Row],[Planned_Qty]]</f>
        <v>0.9355581127733027</v>
      </c>
      <c r="V1463" s="2" t="s">
        <v>109</v>
      </c>
      <c r="W1463" s="11">
        <v>31</v>
      </c>
      <c r="X1463" s="13">
        <f>W1463/60</f>
        <v>0.51666666666666672</v>
      </c>
      <c r="Y1463" s="2" t="s">
        <v>182</v>
      </c>
      <c r="Z1463" s="2">
        <v>17</v>
      </c>
      <c r="AA1463" s="2">
        <f>ProductionData[[#This Row],[Rejected_Qty]]*ProductionData[[#This Row],[Unit_Cost_INR]]</f>
        <v>3689</v>
      </c>
      <c r="AB1463" s="4">
        <v>28779</v>
      </c>
      <c r="AC1463" s="4">
        <v>6890</v>
      </c>
      <c r="AD1463" s="4">
        <v>6890</v>
      </c>
      <c r="AE1463" s="4">
        <v>29802</v>
      </c>
      <c r="AF1463" s="4">
        <v>13500</v>
      </c>
    </row>
    <row r="1464" spans="1:32">
      <c r="A1464" s="2" t="s">
        <v>3060</v>
      </c>
      <c r="B1464" s="3">
        <v>46235</v>
      </c>
      <c r="C1464" s="36" t="s">
        <v>2816</v>
      </c>
      <c r="D1464" s="2">
        <f>MONTH(ProductionData[[#This Row],[Month]])</f>
        <v>8</v>
      </c>
      <c r="E1464" s="2" t="s">
        <v>65</v>
      </c>
      <c r="F1464" s="2" t="s">
        <v>93</v>
      </c>
      <c r="G1464" s="2" t="s">
        <v>195</v>
      </c>
      <c r="H1464" s="2" t="s">
        <v>196</v>
      </c>
      <c r="I1464" s="2" t="s">
        <v>197</v>
      </c>
      <c r="J1464" s="2" t="s">
        <v>269</v>
      </c>
      <c r="K1464" s="2" t="s">
        <v>270</v>
      </c>
      <c r="L1464" s="2" t="s">
        <v>3061</v>
      </c>
      <c r="M1464" s="2" t="s">
        <v>95</v>
      </c>
      <c r="N1464" s="2" t="s">
        <v>96</v>
      </c>
      <c r="O1464" s="2">
        <v>14</v>
      </c>
      <c r="P1464" s="2">
        <v>13</v>
      </c>
      <c r="Q1464" s="4">
        <v>7550</v>
      </c>
      <c r="R1464" s="4">
        <v>7050</v>
      </c>
      <c r="S1464" s="4">
        <v>153</v>
      </c>
      <c r="T1464" s="19">
        <f>(ProductionData[[#This Row],[Rejected_Qty]])/ProductionData[[#This Row],[Produced_Qty]]</f>
        <v>2.170212765957447E-2</v>
      </c>
      <c r="U1464" s="19">
        <f>ProductionData[[#This Row],[Produced_Qty]]/ProductionData[[#This Row],[Planned_Qty]]</f>
        <v>0.93377483443708609</v>
      </c>
      <c r="V1464" s="2" t="s">
        <v>113</v>
      </c>
      <c r="W1464" s="11">
        <v>0</v>
      </c>
      <c r="X1464" s="13">
        <f>W1464/60</f>
        <v>0</v>
      </c>
      <c r="Y1464" s="2" t="s">
        <v>90</v>
      </c>
      <c r="Z1464" s="2">
        <v>42</v>
      </c>
      <c r="AA1464" s="2">
        <f>ProductionData[[#This Row],[Rejected_Qty]]*ProductionData[[#This Row],[Unit_Cost_INR]]</f>
        <v>6426</v>
      </c>
      <c r="AB1464" s="4">
        <v>29578</v>
      </c>
      <c r="AC1464" s="4">
        <v>6860</v>
      </c>
      <c r="AD1464" s="4">
        <v>6860</v>
      </c>
      <c r="AE1464" s="4">
        <v>29615</v>
      </c>
      <c r="AF1464" s="4">
        <v>12000</v>
      </c>
    </row>
    <row r="1465" spans="1:32">
      <c r="A1465" s="2" t="s">
        <v>3062</v>
      </c>
      <c r="B1465" s="3">
        <v>46235</v>
      </c>
      <c r="C1465" s="36" t="s">
        <v>2816</v>
      </c>
      <c r="D1465" s="2">
        <f>MONTH(ProductionData[[#This Row],[Month]])</f>
        <v>8</v>
      </c>
      <c r="E1465" s="2" t="s">
        <v>65</v>
      </c>
      <c r="F1465" s="2" t="s">
        <v>80</v>
      </c>
      <c r="G1465" s="2" t="s">
        <v>195</v>
      </c>
      <c r="H1465" s="2" t="s">
        <v>196</v>
      </c>
      <c r="I1465" s="2" t="s">
        <v>197</v>
      </c>
      <c r="J1465" s="2" t="s">
        <v>269</v>
      </c>
      <c r="K1465" s="2" t="s">
        <v>270</v>
      </c>
      <c r="L1465" s="2" t="s">
        <v>3063</v>
      </c>
      <c r="M1465" s="2" t="s">
        <v>87</v>
      </c>
      <c r="N1465" s="2" t="s">
        <v>88</v>
      </c>
      <c r="O1465" s="2">
        <v>14</v>
      </c>
      <c r="P1465" s="2">
        <v>14</v>
      </c>
      <c r="Q1465" s="4">
        <v>8030</v>
      </c>
      <c r="R1465" s="4">
        <v>7980</v>
      </c>
      <c r="S1465" s="4">
        <v>137</v>
      </c>
      <c r="T1465" s="19">
        <f>(ProductionData[[#This Row],[Rejected_Qty]])/ProductionData[[#This Row],[Produced_Qty]]</f>
        <v>1.7167919799498745E-2</v>
      </c>
      <c r="U1465" s="19">
        <f>ProductionData[[#This Row],[Produced_Qty]]/ProductionData[[#This Row],[Planned_Qty]]</f>
        <v>0.99377334993773347</v>
      </c>
      <c r="V1465" s="2" t="s">
        <v>89</v>
      </c>
      <c r="W1465" s="11">
        <v>0</v>
      </c>
      <c r="X1465" s="13">
        <f>W1465/60</f>
        <v>0</v>
      </c>
      <c r="Y1465" s="2" t="s">
        <v>90</v>
      </c>
      <c r="Z1465" s="2">
        <v>42</v>
      </c>
      <c r="AA1465" s="2">
        <f>ProductionData[[#This Row],[Rejected_Qty]]*ProductionData[[#This Row],[Unit_Cost_INR]]</f>
        <v>5754</v>
      </c>
      <c r="AB1465" s="4">
        <v>29125</v>
      </c>
      <c r="AC1465" s="4">
        <v>7390</v>
      </c>
      <c r="AD1465" s="4">
        <v>7390</v>
      </c>
      <c r="AE1465" s="4">
        <v>29578</v>
      </c>
      <c r="AF1465" s="4">
        <v>12000</v>
      </c>
    </row>
    <row r="1466" spans="1:32">
      <c r="A1466" s="2" t="s">
        <v>3064</v>
      </c>
      <c r="B1466" s="3">
        <v>46238</v>
      </c>
      <c r="C1466" s="36" t="s">
        <v>2816</v>
      </c>
      <c r="D1466" s="2">
        <f>MONTH(ProductionData[[#This Row],[Month]])</f>
        <v>8</v>
      </c>
      <c r="E1466" s="2" t="s">
        <v>92</v>
      </c>
      <c r="F1466" s="2" t="s">
        <v>66</v>
      </c>
      <c r="G1466" s="2" t="s">
        <v>81</v>
      </c>
      <c r="H1466" s="2" t="s">
        <v>82</v>
      </c>
      <c r="I1466" s="2" t="s">
        <v>83</v>
      </c>
      <c r="J1466" s="2" t="s">
        <v>166</v>
      </c>
      <c r="K1466" s="2" t="s">
        <v>167</v>
      </c>
      <c r="L1466" s="2" t="s">
        <v>3065</v>
      </c>
      <c r="M1466" s="2" t="s">
        <v>73</v>
      </c>
      <c r="N1466" s="2" t="s">
        <v>96</v>
      </c>
      <c r="O1466" s="2">
        <v>18</v>
      </c>
      <c r="P1466" s="2">
        <v>18</v>
      </c>
      <c r="Q1466" s="4">
        <v>9200</v>
      </c>
      <c r="R1466" s="4">
        <v>9060</v>
      </c>
      <c r="S1466" s="4">
        <v>150</v>
      </c>
      <c r="T1466" s="19">
        <f>(ProductionData[[#This Row],[Rejected_Qty]])/ProductionData[[#This Row],[Produced_Qty]]</f>
        <v>1.6556291390728478E-2</v>
      </c>
      <c r="U1466" s="19">
        <f>ProductionData[[#This Row],[Produced_Qty]]/ProductionData[[#This Row],[Planned_Qty]]</f>
        <v>0.98478260869565215</v>
      </c>
      <c r="V1466" s="2" t="s">
        <v>75</v>
      </c>
      <c r="W1466" s="11">
        <v>0</v>
      </c>
      <c r="X1466" s="13">
        <f>W1466/60</f>
        <v>0</v>
      </c>
      <c r="Y1466" s="2" t="s">
        <v>90</v>
      </c>
      <c r="Z1466" s="2">
        <v>17</v>
      </c>
      <c r="AA1466" s="2">
        <f>ProductionData[[#This Row],[Rejected_Qty]]*ProductionData[[#This Row],[Unit_Cost_INR]]</f>
        <v>2550</v>
      </c>
      <c r="AB1466" s="4">
        <v>28600</v>
      </c>
      <c r="AC1466" s="4">
        <v>8000</v>
      </c>
      <c r="AD1466" s="4">
        <v>8000</v>
      </c>
      <c r="AE1466" s="4">
        <v>29510</v>
      </c>
      <c r="AF1466" s="4">
        <v>13500</v>
      </c>
    </row>
    <row r="1467" spans="1:32">
      <c r="A1467" s="2" t="s">
        <v>3066</v>
      </c>
      <c r="B1467" s="3">
        <v>46263</v>
      </c>
      <c r="C1467" s="36" t="s">
        <v>2816</v>
      </c>
      <c r="D1467" s="2">
        <f>MONTH(ProductionData[[#This Row],[Month]])</f>
        <v>8</v>
      </c>
      <c r="E1467" s="2" t="s">
        <v>65</v>
      </c>
      <c r="F1467" s="2" t="s">
        <v>66</v>
      </c>
      <c r="G1467" s="2" t="s">
        <v>174</v>
      </c>
      <c r="H1467" s="2" t="s">
        <v>175</v>
      </c>
      <c r="I1467" s="2" t="s">
        <v>176</v>
      </c>
      <c r="J1467" s="2" t="s">
        <v>177</v>
      </c>
      <c r="K1467" s="2" t="s">
        <v>178</v>
      </c>
      <c r="L1467" s="2" t="s">
        <v>3067</v>
      </c>
      <c r="M1467" s="2" t="s">
        <v>99</v>
      </c>
      <c r="N1467" s="2" t="s">
        <v>88</v>
      </c>
      <c r="O1467" s="2">
        <v>10</v>
      </c>
      <c r="P1467" s="2">
        <v>10</v>
      </c>
      <c r="Q1467" s="4">
        <v>7920</v>
      </c>
      <c r="R1467" s="4">
        <v>7750</v>
      </c>
      <c r="S1467" s="4">
        <v>143</v>
      </c>
      <c r="T1467" s="19">
        <f>(ProductionData[[#This Row],[Rejected_Qty]])/ProductionData[[#This Row],[Produced_Qty]]</f>
        <v>1.8451612903225806E-2</v>
      </c>
      <c r="U1467" s="19">
        <f>ProductionData[[#This Row],[Produced_Qty]]/ProductionData[[#This Row],[Planned_Qty]]</f>
        <v>0.97853535353535348</v>
      </c>
      <c r="V1467" s="2" t="s">
        <v>109</v>
      </c>
      <c r="W1467" s="11">
        <v>30</v>
      </c>
      <c r="X1467" s="13">
        <f>W1467/60</f>
        <v>0.5</v>
      </c>
      <c r="Y1467" s="2" t="s">
        <v>76</v>
      </c>
      <c r="Z1467" s="2">
        <v>24</v>
      </c>
      <c r="AA1467" s="2">
        <f>ProductionData[[#This Row],[Rejected_Qty]]*ProductionData[[#This Row],[Unit_Cost_INR]]</f>
        <v>3432</v>
      </c>
      <c r="AB1467" s="4">
        <v>29052</v>
      </c>
      <c r="AC1467" s="4">
        <v>7210</v>
      </c>
      <c r="AD1467" s="4">
        <v>7210</v>
      </c>
      <c r="AE1467" s="4">
        <v>29449</v>
      </c>
      <c r="AF1467" s="4">
        <v>12000</v>
      </c>
    </row>
    <row r="1468" spans="1:32">
      <c r="A1468" s="2" t="s">
        <v>3068</v>
      </c>
      <c r="B1468" s="3">
        <v>46238</v>
      </c>
      <c r="C1468" s="36" t="s">
        <v>2816</v>
      </c>
      <c r="D1468" s="2">
        <f>MONTH(ProductionData[[#This Row],[Month]])</f>
        <v>8</v>
      </c>
      <c r="E1468" s="2" t="s">
        <v>92</v>
      </c>
      <c r="F1468" s="2" t="s">
        <v>80</v>
      </c>
      <c r="G1468" s="2" t="s">
        <v>81</v>
      </c>
      <c r="H1468" s="2" t="s">
        <v>82</v>
      </c>
      <c r="I1468" s="2" t="s">
        <v>83</v>
      </c>
      <c r="J1468" s="2" t="s">
        <v>166</v>
      </c>
      <c r="K1468" s="2" t="s">
        <v>167</v>
      </c>
      <c r="L1468" s="2" t="s">
        <v>3069</v>
      </c>
      <c r="M1468" s="2" t="s">
        <v>87</v>
      </c>
      <c r="N1468" s="2" t="s">
        <v>88</v>
      </c>
      <c r="O1468" s="2">
        <v>18</v>
      </c>
      <c r="P1468" s="2">
        <v>17</v>
      </c>
      <c r="Q1468" s="4">
        <v>8790</v>
      </c>
      <c r="R1468" s="4">
        <v>8510</v>
      </c>
      <c r="S1468" s="4">
        <v>152</v>
      </c>
      <c r="T1468" s="19">
        <f>(ProductionData[[#This Row],[Rejected_Qty]])/ProductionData[[#This Row],[Produced_Qty]]</f>
        <v>1.7861339600470035E-2</v>
      </c>
      <c r="U1468" s="19">
        <f>ProductionData[[#This Row],[Produced_Qty]]/ProductionData[[#This Row],[Planned_Qty]]</f>
        <v>0.96814562002275317</v>
      </c>
      <c r="V1468" s="2" t="s">
        <v>103</v>
      </c>
      <c r="W1468" s="11">
        <v>42</v>
      </c>
      <c r="X1468" s="13">
        <f>W1468/60</f>
        <v>0.7</v>
      </c>
      <c r="Y1468" s="2" t="s">
        <v>182</v>
      </c>
      <c r="Z1468" s="2">
        <v>17</v>
      </c>
      <c r="AA1468" s="2">
        <f>ProductionData[[#This Row],[Rejected_Qty]]*ProductionData[[#This Row],[Unit_Cost_INR]]</f>
        <v>2584</v>
      </c>
      <c r="AB1468" s="4">
        <v>29510</v>
      </c>
      <c r="AC1468" s="4">
        <v>8460</v>
      </c>
      <c r="AD1468" s="4">
        <v>8460</v>
      </c>
      <c r="AE1468" s="4">
        <v>29408</v>
      </c>
      <c r="AF1468" s="4">
        <v>13500</v>
      </c>
    </row>
    <row r="1469" spans="1:32">
      <c r="A1469" s="2" t="s">
        <v>3070</v>
      </c>
      <c r="B1469" s="3">
        <v>46248</v>
      </c>
      <c r="C1469" s="36" t="s">
        <v>2816</v>
      </c>
      <c r="D1469" s="2">
        <f>MONTH(ProductionData[[#This Row],[Month]])</f>
        <v>8</v>
      </c>
      <c r="E1469" s="2" t="s">
        <v>125</v>
      </c>
      <c r="F1469" s="2" t="s">
        <v>66</v>
      </c>
      <c r="G1469" s="2" t="s">
        <v>81</v>
      </c>
      <c r="H1469" s="2" t="s">
        <v>82</v>
      </c>
      <c r="I1469" s="2" t="s">
        <v>83</v>
      </c>
      <c r="J1469" s="2" t="s">
        <v>166</v>
      </c>
      <c r="K1469" s="2" t="s">
        <v>167</v>
      </c>
      <c r="L1469" s="2" t="s">
        <v>3071</v>
      </c>
      <c r="M1469" s="2" t="s">
        <v>99</v>
      </c>
      <c r="N1469" s="2" t="s">
        <v>96</v>
      </c>
      <c r="O1469" s="2">
        <v>18</v>
      </c>
      <c r="P1469" s="2">
        <v>18</v>
      </c>
      <c r="Q1469" s="4">
        <v>9110</v>
      </c>
      <c r="R1469" s="4">
        <v>8730</v>
      </c>
      <c r="S1469" s="4">
        <v>238</v>
      </c>
      <c r="T1469" s="19">
        <f>(ProductionData[[#This Row],[Rejected_Qty]])/ProductionData[[#This Row],[Produced_Qty]]</f>
        <v>2.7262313860252005E-2</v>
      </c>
      <c r="U1469" s="19">
        <f>ProductionData[[#This Row],[Produced_Qty]]/ProductionData[[#This Row],[Planned_Qty]]</f>
        <v>0.95828759604829861</v>
      </c>
      <c r="V1469" s="2" t="s">
        <v>75</v>
      </c>
      <c r="W1469" s="11">
        <v>0</v>
      </c>
      <c r="X1469" s="13">
        <f>W1469/60</f>
        <v>0</v>
      </c>
      <c r="Y1469" s="2" t="s">
        <v>90</v>
      </c>
      <c r="Z1469" s="2">
        <v>17</v>
      </c>
      <c r="AA1469" s="2">
        <f>ProductionData[[#This Row],[Rejected_Qty]]*ProductionData[[#This Row],[Unit_Cost_INR]]</f>
        <v>4046</v>
      </c>
      <c r="AB1469" s="4">
        <v>29802</v>
      </c>
      <c r="AC1469" s="4">
        <v>8900</v>
      </c>
      <c r="AD1469" s="4">
        <v>8900</v>
      </c>
      <c r="AE1469" s="4">
        <v>29394</v>
      </c>
      <c r="AF1469" s="4">
        <v>13500</v>
      </c>
    </row>
    <row r="1470" spans="1:32">
      <c r="A1470" s="2" t="s">
        <v>3072</v>
      </c>
      <c r="B1470" s="3">
        <v>46239</v>
      </c>
      <c r="C1470" s="36" t="s">
        <v>2816</v>
      </c>
      <c r="D1470" s="2">
        <f>MONTH(ProductionData[[#This Row],[Month]])</f>
        <v>8</v>
      </c>
      <c r="E1470" s="2" t="s">
        <v>79</v>
      </c>
      <c r="F1470" s="2" t="s">
        <v>93</v>
      </c>
      <c r="G1470" s="2" t="s">
        <v>195</v>
      </c>
      <c r="H1470" s="2" t="s">
        <v>196</v>
      </c>
      <c r="I1470" s="2" t="s">
        <v>197</v>
      </c>
      <c r="J1470" s="2" t="s">
        <v>269</v>
      </c>
      <c r="K1470" s="2" t="s">
        <v>270</v>
      </c>
      <c r="L1470" s="2" t="s">
        <v>3073</v>
      </c>
      <c r="M1470" s="2" t="s">
        <v>95</v>
      </c>
      <c r="N1470" s="2" t="s">
        <v>88</v>
      </c>
      <c r="O1470" s="2">
        <v>14</v>
      </c>
      <c r="P1470" s="2">
        <v>13</v>
      </c>
      <c r="Q1470" s="4">
        <v>8010</v>
      </c>
      <c r="R1470" s="4">
        <v>7400</v>
      </c>
      <c r="S1470" s="4">
        <v>187</v>
      </c>
      <c r="T1470" s="19">
        <f>(ProductionData[[#This Row],[Rejected_Qty]])/ProductionData[[#This Row],[Produced_Qty]]</f>
        <v>2.5270270270270269E-2</v>
      </c>
      <c r="U1470" s="19">
        <f>ProductionData[[#This Row],[Produced_Qty]]/ProductionData[[#This Row],[Planned_Qty]]</f>
        <v>0.92384519350811489</v>
      </c>
      <c r="V1470" s="2" t="s">
        <v>89</v>
      </c>
      <c r="W1470" s="11">
        <v>34</v>
      </c>
      <c r="X1470" s="13">
        <f>W1470/60</f>
        <v>0.56666666666666665</v>
      </c>
      <c r="Y1470" s="2" t="s">
        <v>114</v>
      </c>
      <c r="Z1470" s="2">
        <v>42</v>
      </c>
      <c r="AA1470" s="2">
        <f>ProductionData[[#This Row],[Rejected_Qty]]*ProductionData[[#This Row],[Unit_Cost_INR]]</f>
        <v>7854</v>
      </c>
      <c r="AB1470" s="4">
        <v>29298</v>
      </c>
      <c r="AC1470" s="4">
        <v>7140</v>
      </c>
      <c r="AD1470" s="4">
        <v>7140</v>
      </c>
      <c r="AE1470" s="4">
        <v>29371</v>
      </c>
      <c r="AF1470" s="4">
        <v>12000</v>
      </c>
    </row>
    <row r="1471" spans="1:32">
      <c r="A1471" s="2" t="s">
        <v>3074</v>
      </c>
      <c r="B1471" s="3">
        <v>46239</v>
      </c>
      <c r="C1471" s="36" t="s">
        <v>2816</v>
      </c>
      <c r="D1471" s="2">
        <f>MONTH(ProductionData[[#This Row],[Month]])</f>
        <v>8</v>
      </c>
      <c r="E1471" s="2" t="s">
        <v>79</v>
      </c>
      <c r="F1471" s="2" t="s">
        <v>66</v>
      </c>
      <c r="G1471" s="2" t="s">
        <v>81</v>
      </c>
      <c r="H1471" s="2" t="s">
        <v>82</v>
      </c>
      <c r="I1471" s="2" t="s">
        <v>83</v>
      </c>
      <c r="J1471" s="2" t="s">
        <v>166</v>
      </c>
      <c r="K1471" s="2" t="s">
        <v>167</v>
      </c>
      <c r="L1471" s="2" t="s">
        <v>3075</v>
      </c>
      <c r="M1471" s="2" t="s">
        <v>99</v>
      </c>
      <c r="N1471" s="2" t="s">
        <v>88</v>
      </c>
      <c r="O1471" s="2">
        <v>18</v>
      </c>
      <c r="P1471" s="2">
        <v>18</v>
      </c>
      <c r="Q1471" s="4">
        <v>9210</v>
      </c>
      <c r="R1471" s="4">
        <v>8560</v>
      </c>
      <c r="S1471" s="4">
        <v>224</v>
      </c>
      <c r="T1471" s="19">
        <f>(ProductionData[[#This Row],[Rejected_Qty]])/ProductionData[[#This Row],[Produced_Qty]]</f>
        <v>2.6168224299065422E-2</v>
      </c>
      <c r="U1471" s="19">
        <f>ProductionData[[#This Row],[Produced_Qty]]/ProductionData[[#This Row],[Planned_Qty]]</f>
        <v>0.92942453854505969</v>
      </c>
      <c r="V1471" s="2" t="s">
        <v>89</v>
      </c>
      <c r="W1471" s="11">
        <v>0</v>
      </c>
      <c r="X1471" s="13">
        <f>W1471/60</f>
        <v>0</v>
      </c>
      <c r="Y1471" s="2" t="s">
        <v>90</v>
      </c>
      <c r="Z1471" s="2">
        <v>17</v>
      </c>
      <c r="AA1471" s="2">
        <f>ProductionData[[#This Row],[Rejected_Qty]]*ProductionData[[#This Row],[Unit_Cost_INR]]</f>
        <v>3808</v>
      </c>
      <c r="AB1471" s="4">
        <v>29408</v>
      </c>
      <c r="AC1471" s="4">
        <v>8400</v>
      </c>
      <c r="AD1471" s="4">
        <v>8400</v>
      </c>
      <c r="AE1471" s="4">
        <v>29344</v>
      </c>
      <c r="AF1471" s="4">
        <v>13500</v>
      </c>
    </row>
    <row r="1472" spans="1:32">
      <c r="A1472" s="2" t="s">
        <v>3076</v>
      </c>
      <c r="B1472" s="3">
        <v>46238</v>
      </c>
      <c r="C1472" s="36" t="s">
        <v>2816</v>
      </c>
      <c r="D1472" s="2">
        <f>MONTH(ProductionData[[#This Row],[Month]])</f>
        <v>8</v>
      </c>
      <c r="E1472" s="2" t="s">
        <v>92</v>
      </c>
      <c r="F1472" s="2" t="s">
        <v>93</v>
      </c>
      <c r="G1472" s="2" t="s">
        <v>195</v>
      </c>
      <c r="H1472" s="2" t="s">
        <v>196</v>
      </c>
      <c r="I1472" s="2" t="s">
        <v>197</v>
      </c>
      <c r="J1472" s="2" t="s">
        <v>269</v>
      </c>
      <c r="K1472" s="2" t="s">
        <v>270</v>
      </c>
      <c r="L1472" s="2" t="s">
        <v>3077</v>
      </c>
      <c r="M1472" s="2" t="s">
        <v>133</v>
      </c>
      <c r="N1472" s="2" t="s">
        <v>96</v>
      </c>
      <c r="O1472" s="2">
        <v>14</v>
      </c>
      <c r="P1472" s="2">
        <v>10</v>
      </c>
      <c r="Q1472" s="4">
        <v>8040</v>
      </c>
      <c r="R1472" s="4">
        <v>6570</v>
      </c>
      <c r="S1472" s="4">
        <v>106</v>
      </c>
      <c r="T1472" s="19">
        <f>(ProductionData[[#This Row],[Rejected_Qty]])/ProductionData[[#This Row],[Produced_Qty]]</f>
        <v>1.6133942161339423E-2</v>
      </c>
      <c r="U1472" s="19">
        <f>ProductionData[[#This Row],[Produced_Qty]]/ProductionData[[#This Row],[Planned_Qty]]</f>
        <v>0.81716417910447758</v>
      </c>
      <c r="V1472" s="2" t="s">
        <v>103</v>
      </c>
      <c r="W1472" s="11">
        <v>0</v>
      </c>
      <c r="X1472" s="13">
        <f>W1472/60</f>
        <v>0</v>
      </c>
      <c r="Y1472" s="2" t="s">
        <v>90</v>
      </c>
      <c r="Z1472" s="2">
        <v>42</v>
      </c>
      <c r="AA1472" s="2">
        <f>ProductionData[[#This Row],[Rejected_Qty]]*ProductionData[[#This Row],[Unit_Cost_INR]]</f>
        <v>4452</v>
      </c>
      <c r="AB1472" s="4">
        <v>30644</v>
      </c>
      <c r="AC1472" s="4">
        <v>7810</v>
      </c>
      <c r="AD1472" s="4">
        <v>7810</v>
      </c>
      <c r="AE1472" s="4">
        <v>29298</v>
      </c>
      <c r="AF1472" s="4">
        <v>12000</v>
      </c>
    </row>
    <row r="1473" spans="1:32">
      <c r="A1473" s="2" t="s">
        <v>3078</v>
      </c>
      <c r="B1473" s="3">
        <v>46261</v>
      </c>
      <c r="C1473" s="36" t="s">
        <v>2816</v>
      </c>
      <c r="D1473" s="2">
        <f>MONTH(ProductionData[[#This Row],[Month]])</f>
        <v>8</v>
      </c>
      <c r="E1473" s="2" t="s">
        <v>107</v>
      </c>
      <c r="F1473" s="2" t="s">
        <v>66</v>
      </c>
      <c r="G1473" s="2" t="s">
        <v>174</v>
      </c>
      <c r="H1473" s="2" t="s">
        <v>175</v>
      </c>
      <c r="I1473" s="2" t="s">
        <v>176</v>
      </c>
      <c r="J1473" s="2" t="s">
        <v>177</v>
      </c>
      <c r="K1473" s="2" t="s">
        <v>178</v>
      </c>
      <c r="L1473" s="2" t="s">
        <v>3079</v>
      </c>
      <c r="M1473" s="2" t="s">
        <v>73</v>
      </c>
      <c r="N1473" s="2" t="s">
        <v>88</v>
      </c>
      <c r="O1473" s="2">
        <v>10</v>
      </c>
      <c r="P1473" s="2">
        <v>10</v>
      </c>
      <c r="Q1473" s="4">
        <v>7680</v>
      </c>
      <c r="R1473" s="4">
        <v>7750</v>
      </c>
      <c r="S1473" s="4">
        <v>169</v>
      </c>
      <c r="T1473" s="19">
        <f>(ProductionData[[#This Row],[Rejected_Qty]])/ProductionData[[#This Row],[Produced_Qty]]</f>
        <v>2.1806451612903226E-2</v>
      </c>
      <c r="U1473" s="19">
        <f>ProductionData[[#This Row],[Produced_Qty]]/ProductionData[[#This Row],[Planned_Qty]]</f>
        <v>1.0091145833333333</v>
      </c>
      <c r="V1473" s="2" t="s">
        <v>89</v>
      </c>
      <c r="W1473" s="11">
        <v>0</v>
      </c>
      <c r="X1473" s="13">
        <f>W1473/60</f>
        <v>0</v>
      </c>
      <c r="Y1473" s="2" t="s">
        <v>90</v>
      </c>
      <c r="Z1473" s="2">
        <v>24</v>
      </c>
      <c r="AA1473" s="2">
        <f>ProductionData[[#This Row],[Rejected_Qty]]*ProductionData[[#This Row],[Unit_Cost_INR]]</f>
        <v>4056</v>
      </c>
      <c r="AB1473" s="4">
        <v>28521</v>
      </c>
      <c r="AC1473" s="4">
        <v>7050</v>
      </c>
      <c r="AD1473" s="4">
        <v>7050</v>
      </c>
      <c r="AE1473" s="4">
        <v>29052</v>
      </c>
      <c r="AF1473" s="4">
        <v>12000</v>
      </c>
    </row>
    <row r="1474" spans="1:32">
      <c r="A1474" s="2" t="s">
        <v>3080</v>
      </c>
      <c r="B1474" s="3">
        <v>46241</v>
      </c>
      <c r="C1474" s="36" t="s">
        <v>2816</v>
      </c>
      <c r="D1474" s="2">
        <f>MONTH(ProductionData[[#This Row],[Month]])</f>
        <v>8</v>
      </c>
      <c r="E1474" s="2" t="s">
        <v>125</v>
      </c>
      <c r="F1474" s="2" t="s">
        <v>80</v>
      </c>
      <c r="G1474" s="2" t="s">
        <v>174</v>
      </c>
      <c r="H1474" s="2" t="s">
        <v>175</v>
      </c>
      <c r="I1474" s="2" t="s">
        <v>176</v>
      </c>
      <c r="J1474" s="2" t="s">
        <v>177</v>
      </c>
      <c r="K1474" s="2" t="s">
        <v>178</v>
      </c>
      <c r="L1474" s="2" t="s">
        <v>3081</v>
      </c>
      <c r="M1474" s="2" t="s">
        <v>102</v>
      </c>
      <c r="N1474" s="2" t="s">
        <v>96</v>
      </c>
      <c r="O1474" s="2">
        <v>10</v>
      </c>
      <c r="P1474" s="2">
        <v>10</v>
      </c>
      <c r="Q1474" s="4">
        <v>7590</v>
      </c>
      <c r="R1474" s="4">
        <v>7330</v>
      </c>
      <c r="S1474" s="4">
        <v>144</v>
      </c>
      <c r="T1474" s="19">
        <f>(ProductionData[[#This Row],[Rejected_Qty]])/ProductionData[[#This Row],[Produced_Qty]]</f>
        <v>1.9645293315143246E-2</v>
      </c>
      <c r="U1474" s="19">
        <f>ProductionData[[#This Row],[Produced_Qty]]/ProductionData[[#This Row],[Planned_Qty]]</f>
        <v>0.96574440052700927</v>
      </c>
      <c r="V1474" s="2" t="s">
        <v>113</v>
      </c>
      <c r="W1474" s="11">
        <v>0</v>
      </c>
      <c r="X1474" s="13">
        <f>W1474/60</f>
        <v>0</v>
      </c>
      <c r="Y1474" s="2" t="s">
        <v>90</v>
      </c>
      <c r="Z1474" s="2">
        <v>24</v>
      </c>
      <c r="AA1474" s="2">
        <f>ProductionData[[#This Row],[Rejected_Qty]]*ProductionData[[#This Row],[Unit_Cost_INR]]</f>
        <v>3456</v>
      </c>
      <c r="AB1474" s="4">
        <v>28591</v>
      </c>
      <c r="AC1474" s="4">
        <v>6810</v>
      </c>
      <c r="AD1474" s="4">
        <v>6810</v>
      </c>
      <c r="AE1474" s="4">
        <v>28967</v>
      </c>
      <c r="AF1474" s="4">
        <v>12000</v>
      </c>
    </row>
    <row r="1475" spans="1:32">
      <c r="A1475" s="2" t="s">
        <v>3082</v>
      </c>
      <c r="B1475" s="3">
        <v>46246</v>
      </c>
      <c r="C1475" s="36" t="s">
        <v>2816</v>
      </c>
      <c r="D1475" s="2">
        <f>MONTH(ProductionData[[#This Row],[Month]])</f>
        <v>8</v>
      </c>
      <c r="E1475" s="2" t="s">
        <v>79</v>
      </c>
      <c r="F1475" s="2" t="s">
        <v>66</v>
      </c>
      <c r="G1475" s="2" t="s">
        <v>81</v>
      </c>
      <c r="H1475" s="2" t="s">
        <v>82</v>
      </c>
      <c r="I1475" s="2" t="s">
        <v>83</v>
      </c>
      <c r="J1475" s="2" t="s">
        <v>166</v>
      </c>
      <c r="K1475" s="2" t="s">
        <v>167</v>
      </c>
      <c r="L1475" s="2" t="s">
        <v>3083</v>
      </c>
      <c r="M1475" s="2" t="s">
        <v>99</v>
      </c>
      <c r="N1475" s="2" t="s">
        <v>88</v>
      </c>
      <c r="O1475" s="2">
        <v>18</v>
      </c>
      <c r="P1475" s="2">
        <v>18</v>
      </c>
      <c r="Q1475" s="4">
        <v>9620</v>
      </c>
      <c r="R1475" s="4">
        <v>9180</v>
      </c>
      <c r="S1475" s="4">
        <v>140</v>
      </c>
      <c r="T1475" s="19">
        <f>(ProductionData[[#This Row],[Rejected_Qty]])/ProductionData[[#This Row],[Produced_Qty]]</f>
        <v>1.5250544662309368E-2</v>
      </c>
      <c r="U1475" s="19">
        <f>ProductionData[[#This Row],[Produced_Qty]]/ProductionData[[#This Row],[Planned_Qty]]</f>
        <v>0.95426195426195426</v>
      </c>
      <c r="V1475" s="2" t="s">
        <v>89</v>
      </c>
      <c r="W1475" s="11">
        <v>0</v>
      </c>
      <c r="X1475" s="13">
        <f>W1475/60</f>
        <v>0</v>
      </c>
      <c r="Y1475" s="2" t="s">
        <v>90</v>
      </c>
      <c r="Z1475" s="2">
        <v>17</v>
      </c>
      <c r="AA1475" s="2">
        <f>ProductionData[[#This Row],[Rejected_Qty]]*ProductionData[[#This Row],[Unit_Cost_INR]]</f>
        <v>2380</v>
      </c>
      <c r="AB1475" s="4">
        <v>28912</v>
      </c>
      <c r="AC1475" s="4">
        <v>9000</v>
      </c>
      <c r="AD1475" s="4">
        <v>9000</v>
      </c>
      <c r="AE1475" s="4">
        <v>28952</v>
      </c>
      <c r="AF1475" s="4">
        <v>13500</v>
      </c>
    </row>
    <row r="1476" spans="1:32">
      <c r="A1476" s="2" t="s">
        <v>3084</v>
      </c>
      <c r="B1476" s="3">
        <v>46244</v>
      </c>
      <c r="C1476" s="36" t="s">
        <v>2816</v>
      </c>
      <c r="D1476" s="2">
        <f>MONTH(ProductionData[[#This Row],[Month]])</f>
        <v>8</v>
      </c>
      <c r="E1476" s="2" t="s">
        <v>116</v>
      </c>
      <c r="F1476" s="2" t="s">
        <v>66</v>
      </c>
      <c r="G1476" s="2" t="s">
        <v>81</v>
      </c>
      <c r="H1476" s="2" t="s">
        <v>82</v>
      </c>
      <c r="I1476" s="2" t="s">
        <v>83</v>
      </c>
      <c r="J1476" s="2" t="s">
        <v>166</v>
      </c>
      <c r="K1476" s="2" t="s">
        <v>167</v>
      </c>
      <c r="L1476" s="2" t="s">
        <v>3085</v>
      </c>
      <c r="M1476" s="2" t="s">
        <v>73</v>
      </c>
      <c r="N1476" s="2" t="s">
        <v>88</v>
      </c>
      <c r="O1476" s="2">
        <v>18</v>
      </c>
      <c r="P1476" s="2">
        <v>18</v>
      </c>
      <c r="Q1476" s="4">
        <v>8430</v>
      </c>
      <c r="R1476" s="4">
        <v>8290</v>
      </c>
      <c r="S1476" s="4">
        <v>174</v>
      </c>
      <c r="T1476" s="19">
        <f>(ProductionData[[#This Row],[Rejected_Qty]])/ProductionData[[#This Row],[Produced_Qty]]</f>
        <v>2.0989143546441495E-2</v>
      </c>
      <c r="U1476" s="19">
        <f>ProductionData[[#This Row],[Produced_Qty]]/ProductionData[[#This Row],[Planned_Qty]]</f>
        <v>0.98339264531435355</v>
      </c>
      <c r="V1476" s="2" t="s">
        <v>89</v>
      </c>
      <c r="W1476" s="11">
        <v>0</v>
      </c>
      <c r="X1476" s="13">
        <f>W1476/60</f>
        <v>0</v>
      </c>
      <c r="Y1476" s="2" t="s">
        <v>90</v>
      </c>
      <c r="Z1476" s="2">
        <v>17</v>
      </c>
      <c r="AA1476" s="2">
        <f>ProductionData[[#This Row],[Rejected_Qty]]*ProductionData[[#This Row],[Unit_Cost_INR]]</f>
        <v>2958</v>
      </c>
      <c r="AB1476" s="4">
        <v>28576</v>
      </c>
      <c r="AC1476" s="4">
        <v>7780</v>
      </c>
      <c r="AD1476" s="4">
        <v>7780</v>
      </c>
      <c r="AE1476" s="4">
        <v>28912</v>
      </c>
      <c r="AF1476" s="4">
        <v>13500</v>
      </c>
    </row>
    <row r="1477" spans="1:32">
      <c r="A1477" s="2" t="s">
        <v>3086</v>
      </c>
      <c r="B1477" s="3">
        <v>46235</v>
      </c>
      <c r="C1477" s="36" t="s">
        <v>2816</v>
      </c>
      <c r="D1477" s="2">
        <f>MONTH(ProductionData[[#This Row],[Month]])</f>
        <v>8</v>
      </c>
      <c r="E1477" s="2" t="s">
        <v>65</v>
      </c>
      <c r="F1477" s="2" t="s">
        <v>80</v>
      </c>
      <c r="G1477" s="2" t="s">
        <v>174</v>
      </c>
      <c r="H1477" s="2" t="s">
        <v>175</v>
      </c>
      <c r="I1477" s="2" t="s">
        <v>176</v>
      </c>
      <c r="J1477" s="2" t="s">
        <v>177</v>
      </c>
      <c r="K1477" s="2" t="s">
        <v>178</v>
      </c>
      <c r="L1477" s="2" t="s">
        <v>3087</v>
      </c>
      <c r="M1477" s="2" t="s">
        <v>87</v>
      </c>
      <c r="N1477" s="2" t="s">
        <v>96</v>
      </c>
      <c r="O1477" s="2">
        <v>10</v>
      </c>
      <c r="P1477" s="2">
        <v>9</v>
      </c>
      <c r="Q1477" s="4">
        <v>8060</v>
      </c>
      <c r="R1477" s="4">
        <v>7750</v>
      </c>
      <c r="S1477" s="4">
        <v>119</v>
      </c>
      <c r="T1477" s="19">
        <f>(ProductionData[[#This Row],[Rejected_Qty]])/ProductionData[[#This Row],[Produced_Qty]]</f>
        <v>1.535483870967742E-2</v>
      </c>
      <c r="U1477" s="19">
        <f>ProductionData[[#This Row],[Produced_Qty]]/ProductionData[[#This Row],[Planned_Qty]]</f>
        <v>0.96153846153846156</v>
      </c>
      <c r="V1477" s="2" t="s">
        <v>75</v>
      </c>
      <c r="W1477" s="11">
        <v>0</v>
      </c>
      <c r="X1477" s="13">
        <f>W1477/60</f>
        <v>0</v>
      </c>
      <c r="Y1477" s="2" t="s">
        <v>90</v>
      </c>
      <c r="Z1477" s="2">
        <v>24</v>
      </c>
      <c r="AA1477" s="2">
        <f>ProductionData[[#This Row],[Rejected_Qty]]*ProductionData[[#This Row],[Unit_Cost_INR]]</f>
        <v>2856</v>
      </c>
      <c r="AB1477" s="4">
        <v>28094</v>
      </c>
      <c r="AC1477" s="4">
        <v>6850</v>
      </c>
      <c r="AD1477" s="4">
        <v>6850</v>
      </c>
      <c r="AE1477" s="4">
        <v>28875</v>
      </c>
      <c r="AF1477" s="4">
        <v>12000</v>
      </c>
    </row>
    <row r="1478" spans="1:32">
      <c r="A1478" s="2" t="s">
        <v>3088</v>
      </c>
      <c r="B1478" s="3">
        <v>46235</v>
      </c>
      <c r="C1478" s="36" t="s">
        <v>2816</v>
      </c>
      <c r="D1478" s="2">
        <f>MONTH(ProductionData[[#This Row],[Month]])</f>
        <v>8</v>
      </c>
      <c r="E1478" s="2" t="s">
        <v>65</v>
      </c>
      <c r="F1478" s="2" t="s">
        <v>93</v>
      </c>
      <c r="G1478" s="2" t="s">
        <v>174</v>
      </c>
      <c r="H1478" s="2" t="s">
        <v>175</v>
      </c>
      <c r="I1478" s="2" t="s">
        <v>176</v>
      </c>
      <c r="J1478" s="2" t="s">
        <v>177</v>
      </c>
      <c r="K1478" s="2" t="s">
        <v>178</v>
      </c>
      <c r="L1478" s="2" t="s">
        <v>3089</v>
      </c>
      <c r="M1478" s="2" t="s">
        <v>133</v>
      </c>
      <c r="N1478" s="2" t="s">
        <v>88</v>
      </c>
      <c r="O1478" s="2">
        <v>10</v>
      </c>
      <c r="P1478" s="2">
        <v>9</v>
      </c>
      <c r="Q1478" s="4">
        <v>8190</v>
      </c>
      <c r="R1478" s="4">
        <v>7740</v>
      </c>
      <c r="S1478" s="4">
        <v>162</v>
      </c>
      <c r="T1478" s="19">
        <f>(ProductionData[[#This Row],[Rejected_Qty]])/ProductionData[[#This Row],[Produced_Qty]]</f>
        <v>2.0930232558139535E-2</v>
      </c>
      <c r="U1478" s="19">
        <f>ProductionData[[#This Row],[Produced_Qty]]/ProductionData[[#This Row],[Planned_Qty]]</f>
        <v>0.94505494505494503</v>
      </c>
      <c r="V1478" s="2" t="s">
        <v>89</v>
      </c>
      <c r="W1478" s="11">
        <v>0</v>
      </c>
      <c r="X1478" s="13">
        <f>W1478/60</f>
        <v>0</v>
      </c>
      <c r="Y1478" s="2" t="s">
        <v>90</v>
      </c>
      <c r="Z1478" s="2">
        <v>24</v>
      </c>
      <c r="AA1478" s="2">
        <f>ProductionData[[#This Row],[Rejected_Qty]]*ProductionData[[#This Row],[Unit_Cost_INR]]</f>
        <v>3888</v>
      </c>
      <c r="AB1478" s="4">
        <v>28875</v>
      </c>
      <c r="AC1478" s="4">
        <v>7610</v>
      </c>
      <c r="AD1478" s="4">
        <v>7610</v>
      </c>
      <c r="AE1478" s="4">
        <v>28843</v>
      </c>
      <c r="AF1478" s="4">
        <v>12000</v>
      </c>
    </row>
    <row r="1479" spans="1:32">
      <c r="A1479" s="2" t="s">
        <v>3090</v>
      </c>
      <c r="B1479" s="3">
        <v>46247</v>
      </c>
      <c r="C1479" s="36" t="s">
        <v>2816</v>
      </c>
      <c r="D1479" s="2">
        <f>MONTH(ProductionData[[#This Row],[Month]])</f>
        <v>8</v>
      </c>
      <c r="E1479" s="2" t="s">
        <v>107</v>
      </c>
      <c r="F1479" s="2" t="s">
        <v>66</v>
      </c>
      <c r="G1479" s="2" t="s">
        <v>81</v>
      </c>
      <c r="H1479" s="2" t="s">
        <v>82</v>
      </c>
      <c r="I1479" s="2" t="s">
        <v>83</v>
      </c>
      <c r="J1479" s="2" t="s">
        <v>166</v>
      </c>
      <c r="K1479" s="2" t="s">
        <v>167</v>
      </c>
      <c r="L1479" s="2" t="s">
        <v>3091</v>
      </c>
      <c r="M1479" s="2" t="s">
        <v>73</v>
      </c>
      <c r="N1479" s="2" t="s">
        <v>96</v>
      </c>
      <c r="O1479" s="2">
        <v>18</v>
      </c>
      <c r="P1479" s="2">
        <v>18</v>
      </c>
      <c r="Q1479" s="4">
        <v>9680</v>
      </c>
      <c r="R1479" s="4">
        <v>9230</v>
      </c>
      <c r="S1479" s="4">
        <v>213</v>
      </c>
      <c r="T1479" s="19">
        <f>(ProductionData[[#This Row],[Rejected_Qty]])/ProductionData[[#This Row],[Produced_Qty]]</f>
        <v>2.3076923076923078E-2</v>
      </c>
      <c r="U1479" s="19">
        <f>ProductionData[[#This Row],[Produced_Qty]]/ProductionData[[#This Row],[Planned_Qty]]</f>
        <v>0.95351239669421484</v>
      </c>
      <c r="V1479" s="2" t="s">
        <v>75</v>
      </c>
      <c r="W1479" s="11">
        <v>23</v>
      </c>
      <c r="X1479" s="13">
        <f>W1479/60</f>
        <v>0.38333333333333336</v>
      </c>
      <c r="Y1479" s="2" t="s">
        <v>182</v>
      </c>
      <c r="Z1479" s="2">
        <v>17</v>
      </c>
      <c r="AA1479" s="2">
        <f>ProductionData[[#This Row],[Rejected_Qty]]*ProductionData[[#This Row],[Unit_Cost_INR]]</f>
        <v>3621</v>
      </c>
      <c r="AB1479" s="4">
        <v>28952</v>
      </c>
      <c r="AC1479" s="4">
        <v>9190</v>
      </c>
      <c r="AD1479" s="4">
        <v>9190</v>
      </c>
      <c r="AE1479" s="4">
        <v>28779</v>
      </c>
      <c r="AF1479" s="4">
        <v>13500</v>
      </c>
    </row>
    <row r="1480" spans="1:32">
      <c r="A1480" s="2" t="s">
        <v>3092</v>
      </c>
      <c r="B1480" s="3">
        <v>46265</v>
      </c>
      <c r="C1480" s="36" t="s">
        <v>2816</v>
      </c>
      <c r="D1480" s="2">
        <f>MONTH(ProductionData[[#This Row],[Month]])</f>
        <v>8</v>
      </c>
      <c r="E1480" s="2" t="s">
        <v>116</v>
      </c>
      <c r="F1480" s="2" t="s">
        <v>80</v>
      </c>
      <c r="G1480" s="2" t="s">
        <v>174</v>
      </c>
      <c r="H1480" s="2" t="s">
        <v>175</v>
      </c>
      <c r="I1480" s="2" t="s">
        <v>176</v>
      </c>
      <c r="J1480" s="2" t="s">
        <v>177</v>
      </c>
      <c r="K1480" s="2" t="s">
        <v>178</v>
      </c>
      <c r="L1480" s="2" t="s">
        <v>3093</v>
      </c>
      <c r="M1480" s="2" t="s">
        <v>102</v>
      </c>
      <c r="N1480" s="2" t="s">
        <v>88</v>
      </c>
      <c r="O1480" s="2">
        <v>10</v>
      </c>
      <c r="P1480" s="2">
        <v>8</v>
      </c>
      <c r="Q1480" s="4">
        <v>7610</v>
      </c>
      <c r="R1480" s="4">
        <v>7050</v>
      </c>
      <c r="S1480" s="4">
        <v>185</v>
      </c>
      <c r="T1480" s="19">
        <f>(ProductionData[[#This Row],[Rejected_Qty]])/ProductionData[[#This Row],[Produced_Qty]]</f>
        <v>2.6241134751773049E-2</v>
      </c>
      <c r="U1480" s="19">
        <f>ProductionData[[#This Row],[Produced_Qty]]/ProductionData[[#This Row],[Planned_Qty]]</f>
        <v>0.92641261498028904</v>
      </c>
      <c r="V1480" s="2" t="s">
        <v>75</v>
      </c>
      <c r="W1480" s="11">
        <v>73</v>
      </c>
      <c r="X1480" s="13">
        <f>W1480/60</f>
        <v>1.2166666666666666</v>
      </c>
      <c r="Y1480" s="2" t="s">
        <v>76</v>
      </c>
      <c r="Z1480" s="2">
        <v>24</v>
      </c>
      <c r="AA1480" s="2">
        <f>ProductionData[[#This Row],[Rejected_Qty]]*ProductionData[[#This Row],[Unit_Cost_INR]]</f>
        <v>4440</v>
      </c>
      <c r="AB1480" s="4">
        <v>29449</v>
      </c>
      <c r="AC1480" s="4">
        <v>7660</v>
      </c>
      <c r="AD1480" s="4">
        <v>7660</v>
      </c>
      <c r="AE1480" s="4">
        <v>28654</v>
      </c>
      <c r="AF1480" s="4">
        <v>12000</v>
      </c>
    </row>
    <row r="1481" spans="1:32">
      <c r="A1481" s="2" t="s">
        <v>3094</v>
      </c>
      <c r="B1481" s="3">
        <v>46241</v>
      </c>
      <c r="C1481" s="36" t="s">
        <v>2816</v>
      </c>
      <c r="D1481" s="2">
        <f>MONTH(ProductionData[[#This Row],[Month]])</f>
        <v>8</v>
      </c>
      <c r="E1481" s="2" t="s">
        <v>125</v>
      </c>
      <c r="F1481" s="2" t="s">
        <v>66</v>
      </c>
      <c r="G1481" s="2" t="s">
        <v>81</v>
      </c>
      <c r="H1481" s="2" t="s">
        <v>82</v>
      </c>
      <c r="I1481" s="2" t="s">
        <v>83</v>
      </c>
      <c r="J1481" s="2" t="s">
        <v>166</v>
      </c>
      <c r="K1481" s="2" t="s">
        <v>167</v>
      </c>
      <c r="L1481" s="2" t="s">
        <v>3095</v>
      </c>
      <c r="M1481" s="2" t="s">
        <v>99</v>
      </c>
      <c r="N1481" s="2" t="s">
        <v>96</v>
      </c>
      <c r="O1481" s="2">
        <v>18</v>
      </c>
      <c r="P1481" s="2">
        <v>16</v>
      </c>
      <c r="Q1481" s="4">
        <v>8940</v>
      </c>
      <c r="R1481" s="4">
        <v>8160</v>
      </c>
      <c r="S1481" s="4">
        <v>209</v>
      </c>
      <c r="T1481" s="19">
        <f>(ProductionData[[#This Row],[Rejected_Qty]])/ProductionData[[#This Row],[Produced_Qty]]</f>
        <v>2.5612745098039215E-2</v>
      </c>
      <c r="U1481" s="19">
        <f>ProductionData[[#This Row],[Produced_Qty]]/ProductionData[[#This Row],[Planned_Qty]]</f>
        <v>0.91275167785234901</v>
      </c>
      <c r="V1481" s="2" t="s">
        <v>109</v>
      </c>
      <c r="W1481" s="11">
        <v>59</v>
      </c>
      <c r="X1481" s="13">
        <f>W1481/60</f>
        <v>0.98333333333333328</v>
      </c>
      <c r="Y1481" s="2" t="s">
        <v>110</v>
      </c>
      <c r="Z1481" s="2">
        <v>17</v>
      </c>
      <c r="AA1481" s="2">
        <f>ProductionData[[#This Row],[Rejected_Qty]]*ProductionData[[#This Row],[Unit_Cost_INR]]</f>
        <v>3553</v>
      </c>
      <c r="AB1481" s="4">
        <v>29344</v>
      </c>
      <c r="AC1481" s="4">
        <v>8690</v>
      </c>
      <c r="AD1481" s="4">
        <v>8690</v>
      </c>
      <c r="AE1481" s="4">
        <v>28605</v>
      </c>
      <c r="AF1481" s="4">
        <v>13500</v>
      </c>
    </row>
    <row r="1482" spans="1:32">
      <c r="A1482" s="2" t="s">
        <v>3096</v>
      </c>
      <c r="B1482" s="3">
        <v>46237</v>
      </c>
      <c r="C1482" s="36" t="s">
        <v>2816</v>
      </c>
      <c r="D1482" s="2">
        <f>MONTH(ProductionData[[#This Row],[Month]])</f>
        <v>8</v>
      </c>
      <c r="E1482" s="2" t="s">
        <v>116</v>
      </c>
      <c r="F1482" s="2" t="s">
        <v>93</v>
      </c>
      <c r="G1482" s="2" t="s">
        <v>81</v>
      </c>
      <c r="H1482" s="2" t="s">
        <v>82</v>
      </c>
      <c r="I1482" s="2" t="s">
        <v>83</v>
      </c>
      <c r="J1482" s="2" t="s">
        <v>166</v>
      </c>
      <c r="K1482" s="2" t="s">
        <v>167</v>
      </c>
      <c r="L1482" s="2" t="s">
        <v>3097</v>
      </c>
      <c r="M1482" s="2" t="s">
        <v>95</v>
      </c>
      <c r="N1482" s="2" t="s">
        <v>88</v>
      </c>
      <c r="O1482" s="2">
        <v>18</v>
      </c>
      <c r="P1482" s="2">
        <v>16</v>
      </c>
      <c r="Q1482" s="4">
        <v>8100</v>
      </c>
      <c r="R1482" s="4">
        <v>7940</v>
      </c>
      <c r="S1482" s="4">
        <v>117</v>
      </c>
      <c r="T1482" s="19">
        <f>(ProductionData[[#This Row],[Rejected_Qty]])/ProductionData[[#This Row],[Produced_Qty]]</f>
        <v>1.473551637279597E-2</v>
      </c>
      <c r="U1482" s="19">
        <f>ProductionData[[#This Row],[Produced_Qty]]/ProductionData[[#This Row],[Planned_Qty]]</f>
        <v>0.98024691358024696</v>
      </c>
      <c r="V1482" s="2" t="s">
        <v>103</v>
      </c>
      <c r="W1482" s="11">
        <v>0</v>
      </c>
      <c r="X1482" s="13">
        <f>W1482/60</f>
        <v>0</v>
      </c>
      <c r="Y1482" s="2" t="s">
        <v>90</v>
      </c>
      <c r="Z1482" s="2">
        <v>17</v>
      </c>
      <c r="AA1482" s="2">
        <f>ProductionData[[#This Row],[Rejected_Qty]]*ProductionData[[#This Row],[Unit_Cost_INR]]</f>
        <v>1989</v>
      </c>
      <c r="AB1482" s="4">
        <v>27827</v>
      </c>
      <c r="AC1482" s="4">
        <v>7050</v>
      </c>
      <c r="AD1482" s="4">
        <v>7050</v>
      </c>
      <c r="AE1482" s="4">
        <v>28600</v>
      </c>
      <c r="AF1482" s="4">
        <v>13500</v>
      </c>
    </row>
    <row r="1483" spans="1:32">
      <c r="A1483" s="2" t="s">
        <v>3098</v>
      </c>
      <c r="B1483" s="3">
        <v>46239</v>
      </c>
      <c r="C1483" s="36" t="s">
        <v>2816</v>
      </c>
      <c r="D1483" s="2">
        <f>MONTH(ProductionData[[#This Row],[Month]])</f>
        <v>8</v>
      </c>
      <c r="E1483" s="2" t="s">
        <v>79</v>
      </c>
      <c r="F1483" s="2" t="s">
        <v>66</v>
      </c>
      <c r="G1483" s="2" t="s">
        <v>174</v>
      </c>
      <c r="H1483" s="2" t="s">
        <v>175</v>
      </c>
      <c r="I1483" s="2" t="s">
        <v>176</v>
      </c>
      <c r="J1483" s="2" t="s">
        <v>177</v>
      </c>
      <c r="K1483" s="2" t="s">
        <v>178</v>
      </c>
      <c r="L1483" s="2" t="s">
        <v>3099</v>
      </c>
      <c r="M1483" s="2" t="s">
        <v>73</v>
      </c>
      <c r="N1483" s="2" t="s">
        <v>88</v>
      </c>
      <c r="O1483" s="2">
        <v>10</v>
      </c>
      <c r="P1483" s="2">
        <v>9</v>
      </c>
      <c r="Q1483" s="4">
        <v>7440</v>
      </c>
      <c r="R1483" s="4">
        <v>6850</v>
      </c>
      <c r="S1483" s="4">
        <v>225</v>
      </c>
      <c r="T1483" s="19">
        <f>(ProductionData[[#This Row],[Rejected_Qty]])/ProductionData[[#This Row],[Produced_Qty]]</f>
        <v>3.2846715328467155E-2</v>
      </c>
      <c r="U1483" s="19">
        <f>ProductionData[[#This Row],[Produced_Qty]]/ProductionData[[#This Row],[Planned_Qty]]</f>
        <v>0.92069892473118276</v>
      </c>
      <c r="V1483" s="2" t="s">
        <v>89</v>
      </c>
      <c r="W1483" s="11">
        <v>0</v>
      </c>
      <c r="X1483" s="13">
        <f>W1483/60</f>
        <v>0</v>
      </c>
      <c r="Y1483" s="2" t="s">
        <v>90</v>
      </c>
      <c r="Z1483" s="2">
        <v>24</v>
      </c>
      <c r="AA1483" s="2">
        <f>ProductionData[[#This Row],[Rejected_Qty]]*ProductionData[[#This Row],[Unit_Cost_INR]]</f>
        <v>5400</v>
      </c>
      <c r="AB1483" s="4">
        <v>28316</v>
      </c>
      <c r="AC1483" s="4">
        <v>6350</v>
      </c>
      <c r="AD1483" s="4">
        <v>6350</v>
      </c>
      <c r="AE1483" s="4">
        <v>28591</v>
      </c>
      <c r="AF1483" s="4">
        <v>12000</v>
      </c>
    </row>
    <row r="1484" spans="1:32">
      <c r="A1484" s="2" t="s">
        <v>3100</v>
      </c>
      <c r="B1484" s="3">
        <v>46242</v>
      </c>
      <c r="C1484" s="36" t="s">
        <v>2816</v>
      </c>
      <c r="D1484" s="2">
        <f>MONTH(ProductionData[[#This Row],[Month]])</f>
        <v>8</v>
      </c>
      <c r="E1484" s="2" t="s">
        <v>65</v>
      </c>
      <c r="F1484" s="2" t="s">
        <v>66</v>
      </c>
      <c r="G1484" s="2" t="s">
        <v>81</v>
      </c>
      <c r="H1484" s="2" t="s">
        <v>82</v>
      </c>
      <c r="I1484" s="2" t="s">
        <v>83</v>
      </c>
      <c r="J1484" s="2" t="s">
        <v>166</v>
      </c>
      <c r="K1484" s="2" t="s">
        <v>167</v>
      </c>
      <c r="L1484" s="2" t="s">
        <v>3101</v>
      </c>
      <c r="M1484" s="2" t="s">
        <v>73</v>
      </c>
      <c r="N1484" s="2" t="s">
        <v>96</v>
      </c>
      <c r="O1484" s="2">
        <v>18</v>
      </c>
      <c r="P1484" s="2">
        <v>17</v>
      </c>
      <c r="Q1484" s="4">
        <v>9070</v>
      </c>
      <c r="R1484" s="4">
        <v>8580</v>
      </c>
      <c r="S1484" s="4">
        <v>102</v>
      </c>
      <c r="T1484" s="19">
        <f>(ProductionData[[#This Row],[Rejected_Qty]])/ProductionData[[#This Row],[Produced_Qty]]</f>
        <v>1.1888111888111888E-2</v>
      </c>
      <c r="U1484" s="19">
        <f>ProductionData[[#This Row],[Produced_Qty]]/ProductionData[[#This Row],[Planned_Qty]]</f>
        <v>0.94597574421168684</v>
      </c>
      <c r="V1484" s="2" t="s">
        <v>109</v>
      </c>
      <c r="W1484" s="11">
        <v>10</v>
      </c>
      <c r="X1484" s="13">
        <f>W1484/60</f>
        <v>0.16666666666666666</v>
      </c>
      <c r="Y1484" s="2" t="s">
        <v>76</v>
      </c>
      <c r="Z1484" s="2">
        <v>17</v>
      </c>
      <c r="AA1484" s="2">
        <f>ProductionData[[#This Row],[Rejected_Qty]]*ProductionData[[#This Row],[Unit_Cost_INR]]</f>
        <v>1734</v>
      </c>
      <c r="AB1484" s="4">
        <v>28605</v>
      </c>
      <c r="AC1484" s="4">
        <v>8500</v>
      </c>
      <c r="AD1484" s="4">
        <v>8500</v>
      </c>
      <c r="AE1484" s="4">
        <v>28583</v>
      </c>
      <c r="AF1484" s="4">
        <v>13500</v>
      </c>
    </row>
    <row r="1485" spans="1:32">
      <c r="A1485" s="2" t="s">
        <v>3102</v>
      </c>
      <c r="B1485" s="3">
        <v>46243</v>
      </c>
      <c r="C1485" s="36" t="s">
        <v>2816</v>
      </c>
      <c r="D1485" s="2">
        <f>MONTH(ProductionData[[#This Row],[Month]])</f>
        <v>8</v>
      </c>
      <c r="E1485" s="2" t="s">
        <v>186</v>
      </c>
      <c r="F1485" s="2" t="s">
        <v>80</v>
      </c>
      <c r="G1485" s="2" t="s">
        <v>81</v>
      </c>
      <c r="H1485" s="2" t="s">
        <v>82</v>
      </c>
      <c r="I1485" s="2" t="s">
        <v>83</v>
      </c>
      <c r="J1485" s="2" t="s">
        <v>166</v>
      </c>
      <c r="K1485" s="2" t="s">
        <v>167</v>
      </c>
      <c r="L1485" s="2" t="s">
        <v>3103</v>
      </c>
      <c r="M1485" s="2" t="s">
        <v>87</v>
      </c>
      <c r="N1485" s="2" t="s">
        <v>96</v>
      </c>
      <c r="O1485" s="2">
        <v>18</v>
      </c>
      <c r="P1485" s="2">
        <v>16</v>
      </c>
      <c r="Q1485" s="4">
        <v>5930</v>
      </c>
      <c r="R1485" s="4">
        <v>5160</v>
      </c>
      <c r="S1485" s="4">
        <v>167</v>
      </c>
      <c r="T1485" s="19">
        <f>(ProductionData[[#This Row],[Rejected_Qty]])/ProductionData[[#This Row],[Produced_Qty]]</f>
        <v>3.2364341085271316E-2</v>
      </c>
      <c r="U1485" s="19">
        <f>ProductionData[[#This Row],[Produced_Qty]]/ProductionData[[#This Row],[Planned_Qty]]</f>
        <v>0.8701517706576728</v>
      </c>
      <c r="V1485" s="2" t="s">
        <v>89</v>
      </c>
      <c r="W1485" s="11">
        <v>0</v>
      </c>
      <c r="X1485" s="13">
        <f>W1485/60</f>
        <v>0</v>
      </c>
      <c r="Y1485" s="2" t="s">
        <v>90</v>
      </c>
      <c r="Z1485" s="2">
        <v>17</v>
      </c>
      <c r="AA1485" s="2">
        <f>ProductionData[[#This Row],[Rejected_Qty]]*ProductionData[[#This Row],[Unit_Cost_INR]]</f>
        <v>2839</v>
      </c>
      <c r="AB1485" s="4">
        <v>28583</v>
      </c>
      <c r="AC1485" s="4">
        <v>5000</v>
      </c>
      <c r="AD1485" s="4">
        <v>5000</v>
      </c>
      <c r="AE1485" s="4">
        <v>28576</v>
      </c>
      <c r="AF1485" s="4">
        <v>13500</v>
      </c>
    </row>
    <row r="1486" spans="1:32">
      <c r="A1486" s="2" t="s">
        <v>3104</v>
      </c>
      <c r="B1486" s="3">
        <v>46260</v>
      </c>
      <c r="C1486" s="36" t="s">
        <v>2816</v>
      </c>
      <c r="D1486" s="2">
        <f>MONTH(ProductionData[[#This Row],[Month]])</f>
        <v>8</v>
      </c>
      <c r="E1486" s="2" t="s">
        <v>79</v>
      </c>
      <c r="F1486" s="2" t="s">
        <v>93</v>
      </c>
      <c r="G1486" s="2" t="s">
        <v>174</v>
      </c>
      <c r="H1486" s="2" t="s">
        <v>175</v>
      </c>
      <c r="I1486" s="2" t="s">
        <v>176</v>
      </c>
      <c r="J1486" s="2" t="s">
        <v>177</v>
      </c>
      <c r="K1486" s="2" t="s">
        <v>178</v>
      </c>
      <c r="L1486" s="2" t="s">
        <v>3105</v>
      </c>
      <c r="M1486" s="2" t="s">
        <v>95</v>
      </c>
      <c r="N1486" s="2" t="s">
        <v>88</v>
      </c>
      <c r="O1486" s="2">
        <v>10</v>
      </c>
      <c r="P1486" s="2">
        <v>10</v>
      </c>
      <c r="Q1486" s="4">
        <v>7380</v>
      </c>
      <c r="R1486" s="4">
        <v>6890</v>
      </c>
      <c r="S1486" s="4">
        <v>107</v>
      </c>
      <c r="T1486" s="19">
        <f>(ProductionData[[#This Row],[Rejected_Qty]])/ProductionData[[#This Row],[Produced_Qty]]</f>
        <v>1.5529753265602322E-2</v>
      </c>
      <c r="U1486" s="19">
        <f>ProductionData[[#This Row],[Produced_Qty]]/ProductionData[[#This Row],[Planned_Qty]]</f>
        <v>0.93360433604336046</v>
      </c>
      <c r="V1486" s="2" t="s">
        <v>103</v>
      </c>
      <c r="W1486" s="11">
        <v>0</v>
      </c>
      <c r="X1486" s="13">
        <f>W1486/60</f>
        <v>0</v>
      </c>
      <c r="Y1486" s="2" t="s">
        <v>90</v>
      </c>
      <c r="Z1486" s="2">
        <v>24</v>
      </c>
      <c r="AA1486" s="2">
        <f>ProductionData[[#This Row],[Rejected_Qty]]*ProductionData[[#This Row],[Unit_Cost_INR]]</f>
        <v>2568</v>
      </c>
      <c r="AB1486" s="4">
        <v>28508</v>
      </c>
      <c r="AC1486" s="4">
        <v>6770</v>
      </c>
      <c r="AD1486" s="4">
        <v>6770</v>
      </c>
      <c r="AE1486" s="4">
        <v>28521</v>
      </c>
      <c r="AF1486" s="4">
        <v>12000</v>
      </c>
    </row>
    <row r="1487" spans="1:32">
      <c r="A1487" s="2" t="s">
        <v>3106</v>
      </c>
      <c r="B1487" s="3">
        <v>46260</v>
      </c>
      <c r="C1487" s="36" t="s">
        <v>2816</v>
      </c>
      <c r="D1487" s="2">
        <f>MONTH(ProductionData[[#This Row],[Month]])</f>
        <v>8</v>
      </c>
      <c r="E1487" s="2" t="s">
        <v>79</v>
      </c>
      <c r="F1487" s="2" t="s">
        <v>80</v>
      </c>
      <c r="G1487" s="2" t="s">
        <v>174</v>
      </c>
      <c r="H1487" s="2" t="s">
        <v>175</v>
      </c>
      <c r="I1487" s="2" t="s">
        <v>176</v>
      </c>
      <c r="J1487" s="2" t="s">
        <v>177</v>
      </c>
      <c r="K1487" s="2" t="s">
        <v>178</v>
      </c>
      <c r="L1487" s="2" t="s">
        <v>3107</v>
      </c>
      <c r="M1487" s="2" t="s">
        <v>87</v>
      </c>
      <c r="N1487" s="2" t="s">
        <v>88</v>
      </c>
      <c r="O1487" s="2">
        <v>10</v>
      </c>
      <c r="P1487" s="2">
        <v>10</v>
      </c>
      <c r="Q1487" s="4">
        <v>7720</v>
      </c>
      <c r="R1487" s="4">
        <v>7580</v>
      </c>
      <c r="S1487" s="4">
        <v>186</v>
      </c>
      <c r="T1487" s="19">
        <f>(ProductionData[[#This Row],[Rejected_Qty]])/ProductionData[[#This Row],[Produced_Qty]]</f>
        <v>2.453825857519789E-2</v>
      </c>
      <c r="U1487" s="19">
        <f>ProductionData[[#This Row],[Produced_Qty]]/ProductionData[[#This Row],[Planned_Qty]]</f>
        <v>0.98186528497409331</v>
      </c>
      <c r="V1487" s="2" t="s">
        <v>113</v>
      </c>
      <c r="W1487" s="11">
        <v>65</v>
      </c>
      <c r="X1487" s="13">
        <f>W1487/60</f>
        <v>1.0833333333333333</v>
      </c>
      <c r="Y1487" s="2" t="s">
        <v>182</v>
      </c>
      <c r="Z1487" s="2">
        <v>24</v>
      </c>
      <c r="AA1487" s="2">
        <f>ProductionData[[#This Row],[Rejected_Qty]]*ProductionData[[#This Row],[Unit_Cost_INR]]</f>
        <v>4464</v>
      </c>
      <c r="AB1487" s="4">
        <v>27784</v>
      </c>
      <c r="AC1487" s="4">
        <v>6670</v>
      </c>
      <c r="AD1487" s="4">
        <v>6670</v>
      </c>
      <c r="AE1487" s="4">
        <v>28508</v>
      </c>
      <c r="AF1487" s="4">
        <v>12000</v>
      </c>
    </row>
    <row r="1488" spans="1:32">
      <c r="A1488" s="2" t="s">
        <v>3108</v>
      </c>
      <c r="B1488" s="3">
        <v>46237</v>
      </c>
      <c r="C1488" s="36" t="s">
        <v>2816</v>
      </c>
      <c r="D1488" s="2">
        <f>MONTH(ProductionData[[#This Row],[Month]])</f>
        <v>8</v>
      </c>
      <c r="E1488" s="2" t="s">
        <v>116</v>
      </c>
      <c r="F1488" s="2" t="s">
        <v>80</v>
      </c>
      <c r="G1488" s="2" t="s">
        <v>174</v>
      </c>
      <c r="H1488" s="2" t="s">
        <v>175</v>
      </c>
      <c r="I1488" s="2" t="s">
        <v>176</v>
      </c>
      <c r="J1488" s="2" t="s">
        <v>177</v>
      </c>
      <c r="K1488" s="2" t="s">
        <v>178</v>
      </c>
      <c r="L1488" s="2" t="s">
        <v>3109</v>
      </c>
      <c r="M1488" s="2" t="s">
        <v>102</v>
      </c>
      <c r="N1488" s="2" t="s">
        <v>96</v>
      </c>
      <c r="O1488" s="2">
        <v>10</v>
      </c>
      <c r="P1488" s="2">
        <v>10</v>
      </c>
      <c r="Q1488" s="4">
        <v>7630</v>
      </c>
      <c r="R1488" s="4">
        <v>7030</v>
      </c>
      <c r="S1488" s="4">
        <v>196</v>
      </c>
      <c r="T1488" s="19">
        <f>(ProductionData[[#This Row],[Rejected_Qty]])/ProductionData[[#This Row],[Produced_Qty]]</f>
        <v>2.7880512091038406E-2</v>
      </c>
      <c r="U1488" s="19">
        <f>ProductionData[[#This Row],[Produced_Qty]]/ProductionData[[#This Row],[Planned_Qty]]</f>
        <v>0.92136304062909569</v>
      </c>
      <c r="V1488" s="2" t="s">
        <v>109</v>
      </c>
      <c r="W1488" s="11">
        <v>53</v>
      </c>
      <c r="X1488" s="13">
        <f>W1488/60</f>
        <v>0.8833333333333333</v>
      </c>
      <c r="Y1488" s="2" t="s">
        <v>110</v>
      </c>
      <c r="Z1488" s="2">
        <v>24</v>
      </c>
      <c r="AA1488" s="2">
        <f>ProductionData[[#This Row],[Rejected_Qty]]*ProductionData[[#This Row],[Unit_Cost_INR]]</f>
        <v>4704</v>
      </c>
      <c r="AB1488" s="4">
        <v>28843</v>
      </c>
      <c r="AC1488" s="4">
        <v>7190</v>
      </c>
      <c r="AD1488" s="4">
        <v>7190</v>
      </c>
      <c r="AE1488" s="4">
        <v>28487</v>
      </c>
      <c r="AF1488" s="4">
        <v>12000</v>
      </c>
    </row>
    <row r="1489" spans="1:32">
      <c r="A1489" s="2" t="s">
        <v>3110</v>
      </c>
      <c r="B1489" s="3">
        <v>46238</v>
      </c>
      <c r="C1489" s="36" t="s">
        <v>2816</v>
      </c>
      <c r="D1489" s="2">
        <f>MONTH(ProductionData[[#This Row],[Month]])</f>
        <v>8</v>
      </c>
      <c r="E1489" s="2" t="s">
        <v>92</v>
      </c>
      <c r="F1489" s="2" t="s">
        <v>80</v>
      </c>
      <c r="G1489" s="2" t="s">
        <v>174</v>
      </c>
      <c r="H1489" s="2" t="s">
        <v>175</v>
      </c>
      <c r="I1489" s="2" t="s">
        <v>176</v>
      </c>
      <c r="J1489" s="2" t="s">
        <v>177</v>
      </c>
      <c r="K1489" s="2" t="s">
        <v>178</v>
      </c>
      <c r="L1489" s="2" t="s">
        <v>3111</v>
      </c>
      <c r="M1489" s="2" t="s">
        <v>102</v>
      </c>
      <c r="N1489" s="2" t="s">
        <v>96</v>
      </c>
      <c r="O1489" s="2">
        <v>10</v>
      </c>
      <c r="P1489" s="2">
        <v>9</v>
      </c>
      <c r="Q1489" s="4">
        <v>8010</v>
      </c>
      <c r="R1489" s="4">
        <v>7430</v>
      </c>
      <c r="S1489" s="4">
        <v>156</v>
      </c>
      <c r="T1489" s="19">
        <f>(ProductionData[[#This Row],[Rejected_Qty]])/ProductionData[[#This Row],[Produced_Qty]]</f>
        <v>2.0995962314939436E-2</v>
      </c>
      <c r="U1489" s="19">
        <f>ProductionData[[#This Row],[Produced_Qty]]/ProductionData[[#This Row],[Planned_Qty]]</f>
        <v>0.92759051186017483</v>
      </c>
      <c r="V1489" s="2" t="s">
        <v>109</v>
      </c>
      <c r="W1489" s="11">
        <v>0</v>
      </c>
      <c r="X1489" s="13">
        <f>W1489/60</f>
        <v>0</v>
      </c>
      <c r="Y1489" s="2" t="s">
        <v>90</v>
      </c>
      <c r="Z1489" s="2">
        <v>24</v>
      </c>
      <c r="AA1489" s="2">
        <f>ProductionData[[#This Row],[Rejected_Qty]]*ProductionData[[#This Row],[Unit_Cost_INR]]</f>
        <v>3744</v>
      </c>
      <c r="AB1489" s="4">
        <v>28202</v>
      </c>
      <c r="AC1489" s="4">
        <v>7160</v>
      </c>
      <c r="AD1489" s="4">
        <v>7160</v>
      </c>
      <c r="AE1489" s="4">
        <v>28316</v>
      </c>
      <c r="AF1489" s="4">
        <v>12000</v>
      </c>
    </row>
    <row r="1490" spans="1:32">
      <c r="A1490" s="2" t="s">
        <v>3112</v>
      </c>
      <c r="B1490" s="3">
        <v>46241</v>
      </c>
      <c r="C1490" s="36" t="s">
        <v>2816</v>
      </c>
      <c r="D1490" s="2">
        <f>MONTH(ProductionData[[#This Row],[Month]])</f>
        <v>8</v>
      </c>
      <c r="E1490" s="2" t="s">
        <v>125</v>
      </c>
      <c r="F1490" s="2" t="s">
        <v>93</v>
      </c>
      <c r="G1490" s="2" t="s">
        <v>174</v>
      </c>
      <c r="H1490" s="2" t="s">
        <v>175</v>
      </c>
      <c r="I1490" s="2" t="s">
        <v>176</v>
      </c>
      <c r="J1490" s="2" t="s">
        <v>177</v>
      </c>
      <c r="K1490" s="2" t="s">
        <v>178</v>
      </c>
      <c r="L1490" s="2" t="s">
        <v>3113</v>
      </c>
      <c r="M1490" s="2" t="s">
        <v>133</v>
      </c>
      <c r="N1490" s="2" t="s">
        <v>96</v>
      </c>
      <c r="O1490" s="2">
        <v>10</v>
      </c>
      <c r="P1490" s="2">
        <v>7</v>
      </c>
      <c r="Q1490" s="4">
        <v>7910</v>
      </c>
      <c r="R1490" s="4">
        <v>6630</v>
      </c>
      <c r="S1490" s="4">
        <v>240</v>
      </c>
      <c r="T1490" s="19">
        <f>(ProductionData[[#This Row],[Rejected_Qty]])/ProductionData[[#This Row],[Produced_Qty]]</f>
        <v>3.6199095022624438E-2</v>
      </c>
      <c r="U1490" s="19">
        <f>ProductionData[[#This Row],[Produced_Qty]]/ProductionData[[#This Row],[Planned_Qty]]</f>
        <v>0.83817951959544879</v>
      </c>
      <c r="V1490" s="2" t="s">
        <v>109</v>
      </c>
      <c r="W1490" s="11">
        <v>0</v>
      </c>
      <c r="X1490" s="13">
        <f>W1490/60</f>
        <v>0</v>
      </c>
      <c r="Y1490" s="2" t="s">
        <v>90</v>
      </c>
      <c r="Z1490" s="2">
        <v>24</v>
      </c>
      <c r="AA1490" s="2">
        <f>ProductionData[[#This Row],[Rejected_Qty]]*ProductionData[[#This Row],[Unit_Cost_INR]]</f>
        <v>5760</v>
      </c>
      <c r="AB1490" s="4">
        <v>28967</v>
      </c>
      <c r="AC1490" s="4">
        <v>7100</v>
      </c>
      <c r="AD1490" s="4">
        <v>7100</v>
      </c>
      <c r="AE1490" s="4">
        <v>28257</v>
      </c>
      <c r="AF1490" s="4">
        <v>12000</v>
      </c>
    </row>
    <row r="1491" spans="1:32">
      <c r="A1491" s="2" t="s">
        <v>3114</v>
      </c>
      <c r="B1491" s="3">
        <v>46237</v>
      </c>
      <c r="C1491" s="36" t="s">
        <v>2816</v>
      </c>
      <c r="D1491" s="2">
        <f>MONTH(ProductionData[[#This Row],[Month]])</f>
        <v>8</v>
      </c>
      <c r="E1491" s="2" t="s">
        <v>116</v>
      </c>
      <c r="F1491" s="2" t="s">
        <v>93</v>
      </c>
      <c r="G1491" s="2" t="s">
        <v>174</v>
      </c>
      <c r="H1491" s="2" t="s">
        <v>175</v>
      </c>
      <c r="I1491" s="2" t="s">
        <v>176</v>
      </c>
      <c r="J1491" s="2" t="s">
        <v>177</v>
      </c>
      <c r="K1491" s="2" t="s">
        <v>178</v>
      </c>
      <c r="L1491" s="2" t="s">
        <v>3115</v>
      </c>
      <c r="M1491" s="2" t="s">
        <v>133</v>
      </c>
      <c r="N1491" s="2" t="s">
        <v>96</v>
      </c>
      <c r="O1491" s="2">
        <v>10</v>
      </c>
      <c r="P1491" s="2">
        <v>10</v>
      </c>
      <c r="Q1491" s="4">
        <v>7260</v>
      </c>
      <c r="R1491" s="4">
        <v>6920</v>
      </c>
      <c r="S1491" s="4">
        <v>145</v>
      </c>
      <c r="T1491" s="19">
        <f>(ProductionData[[#This Row],[Rejected_Qty]])/ProductionData[[#This Row],[Produced_Qty]]</f>
        <v>2.0953757225433526E-2</v>
      </c>
      <c r="U1491" s="19">
        <f>ProductionData[[#This Row],[Produced_Qty]]/ProductionData[[#This Row],[Planned_Qty]]</f>
        <v>0.95316804407713496</v>
      </c>
      <c r="V1491" s="2" t="s">
        <v>75</v>
      </c>
      <c r="W1491" s="11">
        <v>0</v>
      </c>
      <c r="X1491" s="13">
        <f>W1491/60</f>
        <v>0</v>
      </c>
      <c r="Y1491" s="2" t="s">
        <v>90</v>
      </c>
      <c r="Z1491" s="2">
        <v>24</v>
      </c>
      <c r="AA1491" s="2">
        <f>ProductionData[[#This Row],[Rejected_Qty]]*ProductionData[[#This Row],[Unit_Cost_INR]]</f>
        <v>3480</v>
      </c>
      <c r="AB1491" s="4">
        <v>28487</v>
      </c>
      <c r="AC1491" s="4">
        <v>7060</v>
      </c>
      <c r="AD1491" s="4">
        <v>7060</v>
      </c>
      <c r="AE1491" s="4">
        <v>28202</v>
      </c>
      <c r="AF1491" s="4">
        <v>12000</v>
      </c>
    </row>
    <row r="1492" spans="1:32">
      <c r="A1492" s="2" t="s">
        <v>3116</v>
      </c>
      <c r="B1492" s="3">
        <v>46254</v>
      </c>
      <c r="C1492" s="36" t="s">
        <v>2816</v>
      </c>
      <c r="D1492" s="2">
        <f>MONTH(ProductionData[[#This Row],[Month]])</f>
        <v>8</v>
      </c>
      <c r="E1492" s="2" t="s">
        <v>107</v>
      </c>
      <c r="F1492" s="2" t="s">
        <v>93</v>
      </c>
      <c r="G1492" s="2" t="s">
        <v>174</v>
      </c>
      <c r="H1492" s="2" t="s">
        <v>175</v>
      </c>
      <c r="I1492" s="2" t="s">
        <v>176</v>
      </c>
      <c r="J1492" s="2" t="s">
        <v>177</v>
      </c>
      <c r="K1492" s="2" t="s">
        <v>178</v>
      </c>
      <c r="L1492" s="2" t="s">
        <v>3117</v>
      </c>
      <c r="M1492" s="2" t="s">
        <v>95</v>
      </c>
      <c r="N1492" s="2" t="s">
        <v>88</v>
      </c>
      <c r="O1492" s="2">
        <v>10</v>
      </c>
      <c r="P1492" s="2">
        <v>10</v>
      </c>
      <c r="Q1492" s="4">
        <v>7370</v>
      </c>
      <c r="R1492" s="4">
        <v>6930</v>
      </c>
      <c r="S1492" s="4">
        <v>208</v>
      </c>
      <c r="T1492" s="19">
        <f>(ProductionData[[#This Row],[Rejected_Qty]])/ProductionData[[#This Row],[Produced_Qty]]</f>
        <v>3.0014430014430014E-2</v>
      </c>
      <c r="U1492" s="19">
        <f>ProductionData[[#This Row],[Produced_Qty]]/ProductionData[[#This Row],[Planned_Qty]]</f>
        <v>0.94029850746268662</v>
      </c>
      <c r="V1492" s="2" t="s">
        <v>75</v>
      </c>
      <c r="W1492" s="11">
        <v>0</v>
      </c>
      <c r="X1492" s="13">
        <f>W1492/60</f>
        <v>0</v>
      </c>
      <c r="Y1492" s="2" t="s">
        <v>90</v>
      </c>
      <c r="Z1492" s="2">
        <v>24</v>
      </c>
      <c r="AA1492" s="2">
        <f>ProductionData[[#This Row],[Rejected_Qty]]*ProductionData[[#This Row],[Unit_Cost_INR]]</f>
        <v>4992</v>
      </c>
      <c r="AB1492" s="4">
        <v>27603</v>
      </c>
      <c r="AC1492" s="4">
        <v>6280</v>
      </c>
      <c r="AD1492" s="4">
        <v>6280</v>
      </c>
      <c r="AE1492" s="4">
        <v>28045</v>
      </c>
      <c r="AF1492" s="4">
        <v>12000</v>
      </c>
    </row>
    <row r="1493" spans="1:32">
      <c r="A1493" s="2" t="s">
        <v>3118</v>
      </c>
      <c r="B1493" s="3">
        <v>46258</v>
      </c>
      <c r="C1493" s="36" t="s">
        <v>2816</v>
      </c>
      <c r="D1493" s="2">
        <f>MONTH(ProductionData[[#This Row],[Month]])</f>
        <v>8</v>
      </c>
      <c r="E1493" s="2" t="s">
        <v>116</v>
      </c>
      <c r="F1493" s="2" t="s">
        <v>80</v>
      </c>
      <c r="G1493" s="2" t="s">
        <v>174</v>
      </c>
      <c r="H1493" s="2" t="s">
        <v>175</v>
      </c>
      <c r="I1493" s="2" t="s">
        <v>176</v>
      </c>
      <c r="J1493" s="2" t="s">
        <v>177</v>
      </c>
      <c r="K1493" s="2" t="s">
        <v>178</v>
      </c>
      <c r="L1493" s="2" t="s">
        <v>3119</v>
      </c>
      <c r="M1493" s="2" t="s">
        <v>87</v>
      </c>
      <c r="N1493" s="2" t="s">
        <v>88</v>
      </c>
      <c r="O1493" s="2">
        <v>10</v>
      </c>
      <c r="P1493" s="2">
        <v>10</v>
      </c>
      <c r="Q1493" s="4">
        <v>7920</v>
      </c>
      <c r="R1493" s="4">
        <v>7840</v>
      </c>
      <c r="S1493" s="4">
        <v>204</v>
      </c>
      <c r="T1493" s="19">
        <f>(ProductionData[[#This Row],[Rejected_Qty]])/ProductionData[[#This Row],[Produced_Qty]]</f>
        <v>2.6020408163265306E-2</v>
      </c>
      <c r="U1493" s="19">
        <f>ProductionData[[#This Row],[Produced_Qty]]/ProductionData[[#This Row],[Planned_Qty]]</f>
        <v>0.98989898989898994</v>
      </c>
      <c r="V1493" s="2" t="s">
        <v>75</v>
      </c>
      <c r="W1493" s="11">
        <v>0</v>
      </c>
      <c r="X1493" s="13">
        <f>W1493/60</f>
        <v>0</v>
      </c>
      <c r="Y1493" s="2" t="s">
        <v>90</v>
      </c>
      <c r="Z1493" s="2">
        <v>24</v>
      </c>
      <c r="AA1493" s="2">
        <f>ProductionData[[#This Row],[Rejected_Qty]]*ProductionData[[#This Row],[Unit_Cost_INR]]</f>
        <v>4896</v>
      </c>
      <c r="AB1493" s="4">
        <v>27338</v>
      </c>
      <c r="AC1493" s="4">
        <v>7190</v>
      </c>
      <c r="AD1493" s="4">
        <v>7190</v>
      </c>
      <c r="AE1493" s="4">
        <v>27784</v>
      </c>
      <c r="AF1493" s="4">
        <v>12000</v>
      </c>
    </row>
    <row r="1494" spans="1:32">
      <c r="A1494" s="2" t="s">
        <v>3120</v>
      </c>
      <c r="B1494" s="3">
        <v>46247</v>
      </c>
      <c r="C1494" s="36" t="s">
        <v>2816</v>
      </c>
      <c r="D1494" s="2">
        <f>MONTH(ProductionData[[#This Row],[Month]])</f>
        <v>8</v>
      </c>
      <c r="E1494" s="2" t="s">
        <v>107</v>
      </c>
      <c r="F1494" s="2" t="s">
        <v>80</v>
      </c>
      <c r="G1494" s="2" t="s">
        <v>174</v>
      </c>
      <c r="H1494" s="2" t="s">
        <v>175</v>
      </c>
      <c r="I1494" s="2" t="s">
        <v>176</v>
      </c>
      <c r="J1494" s="2" t="s">
        <v>177</v>
      </c>
      <c r="K1494" s="2" t="s">
        <v>178</v>
      </c>
      <c r="L1494" s="2" t="s">
        <v>3121</v>
      </c>
      <c r="M1494" s="2" t="s">
        <v>102</v>
      </c>
      <c r="N1494" s="2" t="s">
        <v>88</v>
      </c>
      <c r="O1494" s="2">
        <v>10</v>
      </c>
      <c r="P1494" s="2">
        <v>8</v>
      </c>
      <c r="Q1494" s="4">
        <v>8610</v>
      </c>
      <c r="R1494" s="4">
        <v>7840</v>
      </c>
      <c r="S1494" s="4">
        <v>252</v>
      </c>
      <c r="T1494" s="19">
        <f>(ProductionData[[#This Row],[Rejected_Qty]])/ProductionData[[#This Row],[Produced_Qty]]</f>
        <v>3.214285714285714E-2</v>
      </c>
      <c r="U1494" s="19">
        <f>ProductionData[[#This Row],[Produced_Qty]]/ProductionData[[#This Row],[Planned_Qty]]</f>
        <v>0.91056910569105687</v>
      </c>
      <c r="V1494" s="2" t="s">
        <v>109</v>
      </c>
      <c r="W1494" s="11">
        <v>0</v>
      </c>
      <c r="X1494" s="13">
        <f>W1494/60</f>
        <v>0</v>
      </c>
      <c r="Y1494" s="2" t="s">
        <v>90</v>
      </c>
      <c r="Z1494" s="2">
        <v>24</v>
      </c>
      <c r="AA1494" s="2">
        <f>ProductionData[[#This Row],[Rejected_Qty]]*ProductionData[[#This Row],[Unit_Cost_INR]]</f>
        <v>6048</v>
      </c>
      <c r="AB1494" s="4">
        <v>26977</v>
      </c>
      <c r="AC1494" s="4">
        <v>6950</v>
      </c>
      <c r="AD1494" s="4">
        <v>6950</v>
      </c>
      <c r="AE1494" s="4">
        <v>27615</v>
      </c>
      <c r="AF1494" s="4">
        <v>12000</v>
      </c>
    </row>
    <row r="1495" spans="1:32">
      <c r="A1495" s="2" t="s">
        <v>3122</v>
      </c>
      <c r="B1495" s="3">
        <v>46254</v>
      </c>
      <c r="C1495" s="36" t="s">
        <v>2816</v>
      </c>
      <c r="D1495" s="2">
        <f>MONTH(ProductionData[[#This Row],[Month]])</f>
        <v>8</v>
      </c>
      <c r="E1495" s="2" t="s">
        <v>107</v>
      </c>
      <c r="F1495" s="2" t="s">
        <v>66</v>
      </c>
      <c r="G1495" s="2" t="s">
        <v>174</v>
      </c>
      <c r="H1495" s="2" t="s">
        <v>175</v>
      </c>
      <c r="I1495" s="2" t="s">
        <v>176</v>
      </c>
      <c r="J1495" s="2" t="s">
        <v>177</v>
      </c>
      <c r="K1495" s="2" t="s">
        <v>178</v>
      </c>
      <c r="L1495" s="2" t="s">
        <v>3123</v>
      </c>
      <c r="M1495" s="2" t="s">
        <v>73</v>
      </c>
      <c r="N1495" s="2" t="s">
        <v>96</v>
      </c>
      <c r="O1495" s="2">
        <v>10</v>
      </c>
      <c r="P1495" s="2">
        <v>10</v>
      </c>
      <c r="Q1495" s="4">
        <v>8620</v>
      </c>
      <c r="R1495" s="4">
        <v>8800</v>
      </c>
      <c r="S1495" s="4">
        <v>387</v>
      </c>
      <c r="T1495" s="19">
        <f>(ProductionData[[#This Row],[Rejected_Qty]])/ProductionData[[#This Row],[Produced_Qty]]</f>
        <v>4.3977272727272726E-2</v>
      </c>
      <c r="U1495" s="19">
        <f>ProductionData[[#This Row],[Produced_Qty]]/ProductionData[[#This Row],[Planned_Qty]]</f>
        <v>1.0208816705336428</v>
      </c>
      <c r="V1495" s="2" t="s">
        <v>113</v>
      </c>
      <c r="W1495" s="11">
        <v>0</v>
      </c>
      <c r="X1495" s="13">
        <f>W1495/60</f>
        <v>0</v>
      </c>
      <c r="Y1495" s="2" t="s">
        <v>90</v>
      </c>
      <c r="Z1495" s="2">
        <v>24</v>
      </c>
      <c r="AA1495" s="2">
        <f>ProductionData[[#This Row],[Rejected_Qty]]*ProductionData[[#This Row],[Unit_Cost_INR]]</f>
        <v>9288</v>
      </c>
      <c r="AB1495" s="4">
        <v>25840</v>
      </c>
      <c r="AC1495" s="4">
        <v>6650</v>
      </c>
      <c r="AD1495" s="4">
        <v>6650</v>
      </c>
      <c r="AE1495" s="4">
        <v>27603</v>
      </c>
      <c r="AF1495" s="4">
        <v>12000</v>
      </c>
    </row>
    <row r="1496" spans="1:32">
      <c r="A1496" s="2" t="s">
        <v>3124</v>
      </c>
      <c r="B1496" s="3">
        <v>46243</v>
      </c>
      <c r="C1496" s="36" t="s">
        <v>2816</v>
      </c>
      <c r="D1496" s="2">
        <f>MONTH(ProductionData[[#This Row],[Month]])</f>
        <v>8</v>
      </c>
      <c r="E1496" s="2" t="s">
        <v>186</v>
      </c>
      <c r="F1496" s="2" t="s">
        <v>80</v>
      </c>
      <c r="G1496" s="2" t="s">
        <v>174</v>
      </c>
      <c r="H1496" s="2" t="s">
        <v>175</v>
      </c>
      <c r="I1496" s="2" t="s">
        <v>176</v>
      </c>
      <c r="J1496" s="2" t="s">
        <v>177</v>
      </c>
      <c r="K1496" s="2" t="s">
        <v>178</v>
      </c>
      <c r="L1496" s="2" t="s">
        <v>3125</v>
      </c>
      <c r="M1496" s="2" t="s">
        <v>102</v>
      </c>
      <c r="N1496" s="2" t="s">
        <v>96</v>
      </c>
      <c r="O1496" s="2">
        <v>10</v>
      </c>
      <c r="P1496" s="2">
        <v>9</v>
      </c>
      <c r="Q1496" s="4">
        <v>5310</v>
      </c>
      <c r="R1496" s="4">
        <v>5070</v>
      </c>
      <c r="S1496" s="4">
        <v>153</v>
      </c>
      <c r="T1496" s="19">
        <f>(ProductionData[[#This Row],[Rejected_Qty]])/ProductionData[[#This Row],[Produced_Qty]]</f>
        <v>3.0177514792899408E-2</v>
      </c>
      <c r="U1496" s="19">
        <f>ProductionData[[#This Row],[Produced_Qty]]/ProductionData[[#This Row],[Planned_Qty]]</f>
        <v>0.95480225988700562</v>
      </c>
      <c r="V1496" s="2" t="s">
        <v>75</v>
      </c>
      <c r="W1496" s="11">
        <v>21</v>
      </c>
      <c r="X1496" s="13">
        <f>W1496/60</f>
        <v>0.35</v>
      </c>
      <c r="Y1496" s="2" t="s">
        <v>136</v>
      </c>
      <c r="Z1496" s="2">
        <v>24</v>
      </c>
      <c r="AA1496" s="2">
        <f>ProductionData[[#This Row],[Rejected_Qty]]*ProductionData[[#This Row],[Unit_Cost_INR]]</f>
        <v>3672</v>
      </c>
      <c r="AB1496" s="4">
        <v>27447</v>
      </c>
      <c r="AC1496" s="4">
        <v>4830</v>
      </c>
      <c r="AD1496" s="4">
        <v>4830</v>
      </c>
      <c r="AE1496" s="4">
        <v>27534</v>
      </c>
      <c r="AF1496" s="4">
        <v>12000</v>
      </c>
    </row>
    <row r="1497" spans="1:32">
      <c r="A1497" s="2" t="s">
        <v>3126</v>
      </c>
      <c r="B1497" s="3">
        <v>46243</v>
      </c>
      <c r="C1497" s="36" t="s">
        <v>2816</v>
      </c>
      <c r="D1497" s="2">
        <f>MONTH(ProductionData[[#This Row],[Month]])</f>
        <v>8</v>
      </c>
      <c r="E1497" s="2" t="s">
        <v>186</v>
      </c>
      <c r="F1497" s="2" t="s">
        <v>66</v>
      </c>
      <c r="G1497" s="2" t="s">
        <v>174</v>
      </c>
      <c r="H1497" s="2" t="s">
        <v>175</v>
      </c>
      <c r="I1497" s="2" t="s">
        <v>176</v>
      </c>
      <c r="J1497" s="2" t="s">
        <v>177</v>
      </c>
      <c r="K1497" s="2" t="s">
        <v>178</v>
      </c>
      <c r="L1497" s="2" t="s">
        <v>3127</v>
      </c>
      <c r="M1497" s="2" t="s">
        <v>99</v>
      </c>
      <c r="N1497" s="2" t="s">
        <v>96</v>
      </c>
      <c r="O1497" s="2">
        <v>10</v>
      </c>
      <c r="P1497" s="2">
        <v>9</v>
      </c>
      <c r="Q1497" s="4">
        <v>5720</v>
      </c>
      <c r="R1497" s="4">
        <v>5430</v>
      </c>
      <c r="S1497" s="4">
        <v>145</v>
      </c>
      <c r="T1497" s="19">
        <f>(ProductionData[[#This Row],[Rejected_Qty]])/ProductionData[[#This Row],[Produced_Qty]]</f>
        <v>2.6703499079189688E-2</v>
      </c>
      <c r="U1497" s="19">
        <f>ProductionData[[#This Row],[Produced_Qty]]/ProductionData[[#This Row],[Planned_Qty]]</f>
        <v>0.94930069930069927</v>
      </c>
      <c r="V1497" s="2" t="s">
        <v>113</v>
      </c>
      <c r="W1497" s="11">
        <v>10</v>
      </c>
      <c r="X1497" s="13">
        <f>W1497/60</f>
        <v>0.16666666666666666</v>
      </c>
      <c r="Y1497" s="2" t="s">
        <v>110</v>
      </c>
      <c r="Z1497" s="2">
        <v>24</v>
      </c>
      <c r="AA1497" s="2">
        <f>ProductionData[[#This Row],[Rejected_Qty]]*ProductionData[[#This Row],[Unit_Cost_INR]]</f>
        <v>3480</v>
      </c>
      <c r="AB1497" s="4">
        <v>27292</v>
      </c>
      <c r="AC1497" s="4">
        <v>5130</v>
      </c>
      <c r="AD1497" s="4">
        <v>5130</v>
      </c>
      <c r="AE1497" s="4">
        <v>27447</v>
      </c>
      <c r="AF1497" s="4">
        <v>12000</v>
      </c>
    </row>
    <row r="1498" spans="1:32">
      <c r="A1498" s="2" t="s">
        <v>3128</v>
      </c>
      <c r="B1498" s="3">
        <v>46245</v>
      </c>
      <c r="C1498" s="36" t="s">
        <v>2816</v>
      </c>
      <c r="D1498" s="2">
        <f>MONTH(ProductionData[[#This Row],[Month]])</f>
        <v>8</v>
      </c>
      <c r="E1498" s="2" t="s">
        <v>92</v>
      </c>
      <c r="F1498" s="2" t="s">
        <v>66</v>
      </c>
      <c r="G1498" s="2" t="s">
        <v>174</v>
      </c>
      <c r="H1498" s="2" t="s">
        <v>175</v>
      </c>
      <c r="I1498" s="2" t="s">
        <v>176</v>
      </c>
      <c r="J1498" s="2" t="s">
        <v>177</v>
      </c>
      <c r="K1498" s="2" t="s">
        <v>178</v>
      </c>
      <c r="L1498" s="2" t="s">
        <v>3129</v>
      </c>
      <c r="M1498" s="2" t="s">
        <v>99</v>
      </c>
      <c r="N1498" s="2" t="s">
        <v>88</v>
      </c>
      <c r="O1498" s="2">
        <v>10</v>
      </c>
      <c r="P1498" s="2">
        <v>10</v>
      </c>
      <c r="Q1498" s="4">
        <v>7650</v>
      </c>
      <c r="R1498" s="4">
        <v>6840</v>
      </c>
      <c r="S1498" s="4">
        <v>189</v>
      </c>
      <c r="T1498" s="19">
        <f>(ProductionData[[#This Row],[Rejected_Qty]])/ProductionData[[#This Row],[Produced_Qty]]</f>
        <v>2.763157894736842E-2</v>
      </c>
      <c r="U1498" s="19">
        <f>ProductionData[[#This Row],[Produced_Qty]]/ProductionData[[#This Row],[Planned_Qty]]</f>
        <v>0.89411764705882357</v>
      </c>
      <c r="V1498" s="2" t="s">
        <v>103</v>
      </c>
      <c r="W1498" s="11">
        <v>51</v>
      </c>
      <c r="X1498" s="13">
        <f>W1498/60</f>
        <v>0.85</v>
      </c>
      <c r="Y1498" s="2" t="s">
        <v>110</v>
      </c>
      <c r="Z1498" s="2">
        <v>24</v>
      </c>
      <c r="AA1498" s="2">
        <f>ProductionData[[#This Row],[Rejected_Qty]]*ProductionData[[#This Row],[Unit_Cost_INR]]</f>
        <v>4536</v>
      </c>
      <c r="AB1498" s="4">
        <v>27534</v>
      </c>
      <c r="AC1498" s="4">
        <v>6840</v>
      </c>
      <c r="AD1498" s="4">
        <v>6840</v>
      </c>
      <c r="AE1498" s="4">
        <v>27345</v>
      </c>
      <c r="AF1498" s="4">
        <v>12000</v>
      </c>
    </row>
    <row r="1499" spans="1:32">
      <c r="A1499" s="2" t="s">
        <v>3130</v>
      </c>
      <c r="B1499" s="3">
        <v>46258</v>
      </c>
      <c r="C1499" s="36" t="s">
        <v>2816</v>
      </c>
      <c r="D1499" s="2">
        <f>MONTH(ProductionData[[#This Row],[Month]])</f>
        <v>8</v>
      </c>
      <c r="E1499" s="2" t="s">
        <v>116</v>
      </c>
      <c r="F1499" s="2" t="s">
        <v>66</v>
      </c>
      <c r="G1499" s="2" t="s">
        <v>174</v>
      </c>
      <c r="H1499" s="2" t="s">
        <v>175</v>
      </c>
      <c r="I1499" s="2" t="s">
        <v>176</v>
      </c>
      <c r="J1499" s="2" t="s">
        <v>177</v>
      </c>
      <c r="K1499" s="2" t="s">
        <v>178</v>
      </c>
      <c r="L1499" s="2" t="s">
        <v>3131</v>
      </c>
      <c r="M1499" s="2" t="s">
        <v>73</v>
      </c>
      <c r="N1499" s="2" t="s">
        <v>96</v>
      </c>
      <c r="O1499" s="2">
        <v>10</v>
      </c>
      <c r="P1499" s="2">
        <v>10</v>
      </c>
      <c r="Q1499" s="4">
        <v>8570</v>
      </c>
      <c r="R1499" s="4">
        <v>8060</v>
      </c>
      <c r="S1499" s="4">
        <v>107</v>
      </c>
      <c r="T1499" s="19">
        <f>(ProductionData[[#This Row],[Rejected_Qty]])/ProductionData[[#This Row],[Produced_Qty]]</f>
        <v>1.3275434243176178E-2</v>
      </c>
      <c r="U1499" s="19">
        <f>ProductionData[[#This Row],[Produced_Qty]]/ProductionData[[#This Row],[Planned_Qty]]</f>
        <v>0.94049008168028003</v>
      </c>
      <c r="V1499" s="2" t="s">
        <v>89</v>
      </c>
      <c r="W1499" s="11">
        <v>0</v>
      </c>
      <c r="X1499" s="13">
        <f>W1499/60</f>
        <v>0</v>
      </c>
      <c r="Y1499" s="2" t="s">
        <v>90</v>
      </c>
      <c r="Z1499" s="2">
        <v>24</v>
      </c>
      <c r="AA1499" s="2">
        <f>ProductionData[[#This Row],[Rejected_Qty]]*ProductionData[[#This Row],[Unit_Cost_INR]]</f>
        <v>2568</v>
      </c>
      <c r="AB1499" s="4">
        <v>28045</v>
      </c>
      <c r="AC1499" s="4">
        <v>8660</v>
      </c>
      <c r="AD1499" s="4">
        <v>8660</v>
      </c>
      <c r="AE1499" s="4">
        <v>27338</v>
      </c>
      <c r="AF1499" s="4">
        <v>12000</v>
      </c>
    </row>
    <row r="1500" spans="1:32">
      <c r="A1500" s="2" t="s">
        <v>3132</v>
      </c>
      <c r="B1500" s="3">
        <v>46242</v>
      </c>
      <c r="C1500" s="36" t="s">
        <v>2816</v>
      </c>
      <c r="D1500" s="2">
        <f>MONTH(ProductionData[[#This Row],[Month]])</f>
        <v>8</v>
      </c>
      <c r="E1500" s="2" t="s">
        <v>65</v>
      </c>
      <c r="F1500" s="2" t="s">
        <v>93</v>
      </c>
      <c r="G1500" s="2" t="s">
        <v>174</v>
      </c>
      <c r="H1500" s="2" t="s">
        <v>175</v>
      </c>
      <c r="I1500" s="2" t="s">
        <v>176</v>
      </c>
      <c r="J1500" s="2" t="s">
        <v>177</v>
      </c>
      <c r="K1500" s="2" t="s">
        <v>178</v>
      </c>
      <c r="L1500" s="2" t="s">
        <v>3133</v>
      </c>
      <c r="M1500" s="2" t="s">
        <v>95</v>
      </c>
      <c r="N1500" s="2" t="s">
        <v>88</v>
      </c>
      <c r="O1500" s="2">
        <v>10</v>
      </c>
      <c r="P1500" s="2">
        <v>8</v>
      </c>
      <c r="Q1500" s="4">
        <v>8110</v>
      </c>
      <c r="R1500" s="4">
        <v>7060</v>
      </c>
      <c r="S1500" s="4">
        <v>255</v>
      </c>
      <c r="T1500" s="19">
        <f>(ProductionData[[#This Row],[Rejected_Qty]])/ProductionData[[#This Row],[Produced_Qty]]</f>
        <v>3.6118980169971671E-2</v>
      </c>
      <c r="U1500" s="19">
        <f>ProductionData[[#This Row],[Produced_Qty]]/ProductionData[[#This Row],[Planned_Qty]]</f>
        <v>0.87053020961775585</v>
      </c>
      <c r="V1500" s="2" t="s">
        <v>113</v>
      </c>
      <c r="W1500" s="11">
        <v>51</v>
      </c>
      <c r="X1500" s="13">
        <f>W1500/60</f>
        <v>0.85</v>
      </c>
      <c r="Y1500" s="2" t="s">
        <v>182</v>
      </c>
      <c r="Z1500" s="2">
        <v>24</v>
      </c>
      <c r="AA1500" s="2">
        <f>ProductionData[[#This Row],[Rejected_Qty]]*ProductionData[[#This Row],[Unit_Cost_INR]]</f>
        <v>6120</v>
      </c>
      <c r="AB1500" s="4">
        <v>28257</v>
      </c>
      <c r="AC1500" s="4">
        <v>7770</v>
      </c>
      <c r="AD1500" s="4">
        <v>7770</v>
      </c>
      <c r="AE1500" s="4">
        <v>27292</v>
      </c>
      <c r="AF1500" s="4">
        <v>12000</v>
      </c>
    </row>
    <row r="1501" spans="1:32">
      <c r="A1501" s="2" t="s">
        <v>3134</v>
      </c>
      <c r="B1501" s="3">
        <v>46249</v>
      </c>
      <c r="C1501" s="36" t="s">
        <v>2816</v>
      </c>
      <c r="D1501" s="2">
        <f>MONTH(ProductionData[[#This Row],[Month]])</f>
        <v>8</v>
      </c>
      <c r="E1501" s="2" t="s">
        <v>65</v>
      </c>
      <c r="F1501" s="2" t="s">
        <v>80</v>
      </c>
      <c r="G1501" s="2" t="s">
        <v>174</v>
      </c>
      <c r="H1501" s="2" t="s">
        <v>175</v>
      </c>
      <c r="I1501" s="2" t="s">
        <v>176</v>
      </c>
      <c r="J1501" s="2" t="s">
        <v>177</v>
      </c>
      <c r="K1501" s="2" t="s">
        <v>178</v>
      </c>
      <c r="L1501" s="2" t="s">
        <v>3135</v>
      </c>
      <c r="M1501" s="2" t="s">
        <v>87</v>
      </c>
      <c r="N1501" s="2" t="s">
        <v>96</v>
      </c>
      <c r="O1501" s="2">
        <v>10</v>
      </c>
      <c r="P1501" s="2">
        <v>10</v>
      </c>
      <c r="Q1501" s="4">
        <v>8210</v>
      </c>
      <c r="R1501" s="4">
        <v>7950</v>
      </c>
      <c r="S1501" s="4">
        <v>109</v>
      </c>
      <c r="T1501" s="19">
        <f>(ProductionData[[#This Row],[Rejected_Qty]])/ProductionData[[#This Row],[Produced_Qty]]</f>
        <v>1.3710691823899371E-2</v>
      </c>
      <c r="U1501" s="19">
        <f>ProductionData[[#This Row],[Produced_Qty]]/ProductionData[[#This Row],[Planned_Qty]]</f>
        <v>0.96833130328867234</v>
      </c>
      <c r="V1501" s="2" t="s">
        <v>109</v>
      </c>
      <c r="W1501" s="11">
        <v>15</v>
      </c>
      <c r="X1501" s="13">
        <f>W1501/60</f>
        <v>0.25</v>
      </c>
      <c r="Y1501" s="2" t="s">
        <v>110</v>
      </c>
      <c r="Z1501" s="2">
        <v>24</v>
      </c>
      <c r="AA1501" s="2">
        <f>ProductionData[[#This Row],[Rejected_Qty]]*ProductionData[[#This Row],[Unit_Cost_INR]]</f>
        <v>2616</v>
      </c>
      <c r="AB1501" s="4">
        <v>27058</v>
      </c>
      <c r="AC1501" s="4">
        <v>7670</v>
      </c>
      <c r="AD1501" s="4">
        <v>7670</v>
      </c>
      <c r="AE1501" s="4">
        <v>27229</v>
      </c>
      <c r="AF1501" s="4">
        <v>12000</v>
      </c>
    </row>
    <row r="1502" spans="1:32">
      <c r="A1502" s="2" t="s">
        <v>3136</v>
      </c>
      <c r="B1502" s="3">
        <v>46246</v>
      </c>
      <c r="C1502" s="36" t="s">
        <v>2816</v>
      </c>
      <c r="D1502" s="2">
        <f>MONTH(ProductionData[[#This Row],[Month]])</f>
        <v>8</v>
      </c>
      <c r="E1502" s="2" t="s">
        <v>79</v>
      </c>
      <c r="F1502" s="2" t="s">
        <v>80</v>
      </c>
      <c r="G1502" s="2" t="s">
        <v>174</v>
      </c>
      <c r="H1502" s="2" t="s">
        <v>175</v>
      </c>
      <c r="I1502" s="2" t="s">
        <v>176</v>
      </c>
      <c r="J1502" s="2" t="s">
        <v>177</v>
      </c>
      <c r="K1502" s="2" t="s">
        <v>178</v>
      </c>
      <c r="L1502" s="2" t="s">
        <v>3137</v>
      </c>
      <c r="M1502" s="2" t="s">
        <v>87</v>
      </c>
      <c r="N1502" s="2" t="s">
        <v>88</v>
      </c>
      <c r="O1502" s="2">
        <v>10</v>
      </c>
      <c r="P1502" s="2">
        <v>10</v>
      </c>
      <c r="Q1502" s="4">
        <v>7950</v>
      </c>
      <c r="R1502" s="4">
        <v>7370</v>
      </c>
      <c r="S1502" s="4">
        <v>121</v>
      </c>
      <c r="T1502" s="19">
        <f>(ProductionData[[#This Row],[Rejected_Qty]])/ProductionData[[#This Row],[Produced_Qty]]</f>
        <v>1.6417910447761194E-2</v>
      </c>
      <c r="U1502" s="19">
        <f>ProductionData[[#This Row],[Produced_Qty]]/ProductionData[[#This Row],[Planned_Qty]]</f>
        <v>0.92704402515723272</v>
      </c>
      <c r="V1502" s="2" t="s">
        <v>103</v>
      </c>
      <c r="W1502" s="11">
        <v>0</v>
      </c>
      <c r="X1502" s="13">
        <f>W1502/60</f>
        <v>0</v>
      </c>
      <c r="Y1502" s="2" t="s">
        <v>90</v>
      </c>
      <c r="Z1502" s="2">
        <v>24</v>
      </c>
      <c r="AA1502" s="2">
        <f>ProductionData[[#This Row],[Rejected_Qty]]*ProductionData[[#This Row],[Unit_Cost_INR]]</f>
        <v>2904</v>
      </c>
      <c r="AB1502" s="4">
        <v>27345</v>
      </c>
      <c r="AC1502" s="4">
        <v>7490</v>
      </c>
      <c r="AD1502" s="4">
        <v>7490</v>
      </c>
      <c r="AE1502" s="4">
        <v>27104</v>
      </c>
      <c r="AF1502" s="4">
        <v>12000</v>
      </c>
    </row>
    <row r="1503" spans="1:32">
      <c r="A1503" s="2" t="s">
        <v>3138</v>
      </c>
      <c r="B1503" s="3">
        <v>46247</v>
      </c>
      <c r="C1503" s="36" t="s">
        <v>2816</v>
      </c>
      <c r="D1503" s="2">
        <f>MONTH(ProductionData[[#This Row],[Month]])</f>
        <v>8</v>
      </c>
      <c r="E1503" s="2" t="s">
        <v>107</v>
      </c>
      <c r="F1503" s="2" t="s">
        <v>93</v>
      </c>
      <c r="G1503" s="2" t="s">
        <v>174</v>
      </c>
      <c r="H1503" s="2" t="s">
        <v>175</v>
      </c>
      <c r="I1503" s="2" t="s">
        <v>176</v>
      </c>
      <c r="J1503" s="2" t="s">
        <v>177</v>
      </c>
      <c r="K1503" s="2" t="s">
        <v>178</v>
      </c>
      <c r="L1503" s="2" t="s">
        <v>3139</v>
      </c>
      <c r="M1503" s="2" t="s">
        <v>95</v>
      </c>
      <c r="N1503" s="2" t="s">
        <v>88</v>
      </c>
      <c r="O1503" s="2">
        <v>10</v>
      </c>
      <c r="P1503" s="2">
        <v>9</v>
      </c>
      <c r="Q1503" s="4">
        <v>7910</v>
      </c>
      <c r="R1503" s="4">
        <v>7030</v>
      </c>
      <c r="S1503" s="4">
        <v>97</v>
      </c>
      <c r="T1503" s="19">
        <f>(ProductionData[[#This Row],[Rejected_Qty]])/ProductionData[[#This Row],[Produced_Qty]]</f>
        <v>1.379800853485064E-2</v>
      </c>
      <c r="U1503" s="19">
        <f>ProductionData[[#This Row],[Produced_Qty]]/ProductionData[[#This Row],[Planned_Qty]]</f>
        <v>0.88874841972187102</v>
      </c>
      <c r="V1503" s="2" t="s">
        <v>75</v>
      </c>
      <c r="W1503" s="11">
        <v>71</v>
      </c>
      <c r="X1503" s="13">
        <f>W1503/60</f>
        <v>1.1833333333333333</v>
      </c>
      <c r="Y1503" s="2" t="s">
        <v>76</v>
      </c>
      <c r="Z1503" s="2">
        <v>24</v>
      </c>
      <c r="AA1503" s="2">
        <f>ProductionData[[#This Row],[Rejected_Qty]]*ProductionData[[#This Row],[Unit_Cost_INR]]</f>
        <v>2328</v>
      </c>
      <c r="AB1503" s="4">
        <v>27615</v>
      </c>
      <c r="AC1503" s="4">
        <v>7490</v>
      </c>
      <c r="AD1503" s="4">
        <v>7490</v>
      </c>
      <c r="AE1503" s="4">
        <v>27058</v>
      </c>
      <c r="AF1503" s="4">
        <v>12000</v>
      </c>
    </row>
    <row r="1504" spans="1:32">
      <c r="A1504" s="2" t="s">
        <v>3140</v>
      </c>
      <c r="B1504" s="3">
        <v>46246</v>
      </c>
      <c r="C1504" s="36" t="s">
        <v>2816</v>
      </c>
      <c r="D1504" s="2">
        <f>MONTH(ProductionData[[#This Row],[Month]])</f>
        <v>8</v>
      </c>
      <c r="E1504" s="2" t="s">
        <v>79</v>
      </c>
      <c r="F1504" s="2" t="s">
        <v>93</v>
      </c>
      <c r="G1504" s="2" t="s">
        <v>174</v>
      </c>
      <c r="H1504" s="2" t="s">
        <v>175</v>
      </c>
      <c r="I1504" s="2" t="s">
        <v>176</v>
      </c>
      <c r="J1504" s="2" t="s">
        <v>177</v>
      </c>
      <c r="K1504" s="2" t="s">
        <v>178</v>
      </c>
      <c r="L1504" s="2" t="s">
        <v>3141</v>
      </c>
      <c r="M1504" s="2" t="s">
        <v>133</v>
      </c>
      <c r="N1504" s="2" t="s">
        <v>96</v>
      </c>
      <c r="O1504" s="2">
        <v>10</v>
      </c>
      <c r="P1504" s="2">
        <v>9</v>
      </c>
      <c r="Q1504" s="4">
        <v>7540</v>
      </c>
      <c r="R1504" s="4">
        <v>6810</v>
      </c>
      <c r="S1504" s="4">
        <v>207</v>
      </c>
      <c r="T1504" s="19">
        <f>(ProductionData[[#This Row],[Rejected_Qty]])/ProductionData[[#This Row],[Produced_Qty]]</f>
        <v>3.0396475770925111E-2</v>
      </c>
      <c r="U1504" s="19">
        <f>ProductionData[[#This Row],[Produced_Qty]]/ProductionData[[#This Row],[Planned_Qty]]</f>
        <v>0.90318302387267901</v>
      </c>
      <c r="V1504" s="2" t="s">
        <v>89</v>
      </c>
      <c r="W1504" s="11">
        <v>0</v>
      </c>
      <c r="X1504" s="13">
        <f>W1504/60</f>
        <v>0</v>
      </c>
      <c r="Y1504" s="2" t="s">
        <v>90</v>
      </c>
      <c r="Z1504" s="2">
        <v>24</v>
      </c>
      <c r="AA1504" s="2">
        <f>ProductionData[[#This Row],[Rejected_Qty]]*ProductionData[[#This Row],[Unit_Cost_INR]]</f>
        <v>4968</v>
      </c>
      <c r="AB1504" s="4">
        <v>27104</v>
      </c>
      <c r="AC1504" s="4">
        <v>6730</v>
      </c>
      <c r="AD1504" s="4">
        <v>6730</v>
      </c>
      <c r="AE1504" s="4">
        <v>26977</v>
      </c>
      <c r="AF1504" s="4">
        <v>12000</v>
      </c>
    </row>
    <row r="1505" spans="1:32">
      <c r="A1505" s="2" t="s">
        <v>3142</v>
      </c>
      <c r="B1505" s="3">
        <v>46251</v>
      </c>
      <c r="C1505" s="36" t="s">
        <v>2816</v>
      </c>
      <c r="D1505" s="2">
        <f>MONTH(ProductionData[[#This Row],[Month]])</f>
        <v>8</v>
      </c>
      <c r="E1505" s="2" t="s">
        <v>116</v>
      </c>
      <c r="F1505" s="2" t="s">
        <v>66</v>
      </c>
      <c r="G1505" s="2" t="s">
        <v>174</v>
      </c>
      <c r="H1505" s="2" t="s">
        <v>175</v>
      </c>
      <c r="I1505" s="2" t="s">
        <v>176</v>
      </c>
      <c r="J1505" s="2" t="s">
        <v>177</v>
      </c>
      <c r="K1505" s="2" t="s">
        <v>178</v>
      </c>
      <c r="L1505" s="2" t="s">
        <v>3143</v>
      </c>
      <c r="M1505" s="2" t="s">
        <v>73</v>
      </c>
      <c r="N1505" s="2" t="s">
        <v>88</v>
      </c>
      <c r="O1505" s="2">
        <v>10</v>
      </c>
      <c r="P1505" s="2">
        <v>9</v>
      </c>
      <c r="Q1505" s="4">
        <v>7720</v>
      </c>
      <c r="R1505" s="4">
        <v>6760</v>
      </c>
      <c r="S1505" s="4">
        <v>163</v>
      </c>
      <c r="T1505" s="19">
        <f>(ProductionData[[#This Row],[Rejected_Qty]])/ProductionData[[#This Row],[Produced_Qty]]</f>
        <v>2.4112426035502958E-2</v>
      </c>
      <c r="U1505" s="19">
        <f>ProductionData[[#This Row],[Produced_Qty]]/ProductionData[[#This Row],[Planned_Qty]]</f>
        <v>0.87564766839378239</v>
      </c>
      <c r="V1505" s="2" t="s">
        <v>89</v>
      </c>
      <c r="W1505" s="11">
        <v>0</v>
      </c>
      <c r="X1505" s="13">
        <f>W1505/60</f>
        <v>0</v>
      </c>
      <c r="Y1505" s="2" t="s">
        <v>90</v>
      </c>
      <c r="Z1505" s="2">
        <v>24</v>
      </c>
      <c r="AA1505" s="2">
        <f>ProductionData[[#This Row],[Rejected_Qty]]*ProductionData[[#This Row],[Unit_Cost_INR]]</f>
        <v>3912</v>
      </c>
      <c r="AB1505" s="4">
        <v>27229</v>
      </c>
      <c r="AC1505" s="4">
        <v>7040</v>
      </c>
      <c r="AD1505" s="4">
        <v>7040</v>
      </c>
      <c r="AE1505" s="4">
        <v>26786</v>
      </c>
      <c r="AF1505" s="4">
        <v>12000</v>
      </c>
    </row>
    <row r="1506" spans="1:32">
      <c r="A1506" s="2" t="s">
        <v>3144</v>
      </c>
      <c r="B1506" s="3">
        <v>46252</v>
      </c>
      <c r="C1506" s="36" t="s">
        <v>2816</v>
      </c>
      <c r="D1506" s="2">
        <f>MONTH(ProductionData[[#This Row],[Month]])</f>
        <v>8</v>
      </c>
      <c r="E1506" s="2" t="s">
        <v>92</v>
      </c>
      <c r="F1506" s="2" t="s">
        <v>93</v>
      </c>
      <c r="G1506" s="2" t="s">
        <v>174</v>
      </c>
      <c r="H1506" s="2" t="s">
        <v>175</v>
      </c>
      <c r="I1506" s="2" t="s">
        <v>176</v>
      </c>
      <c r="J1506" s="2" t="s">
        <v>177</v>
      </c>
      <c r="K1506" s="2" t="s">
        <v>178</v>
      </c>
      <c r="L1506" s="2" t="s">
        <v>3145</v>
      </c>
      <c r="M1506" s="2" t="s">
        <v>133</v>
      </c>
      <c r="N1506" s="2" t="s">
        <v>96</v>
      </c>
      <c r="O1506" s="2">
        <v>10</v>
      </c>
      <c r="P1506" s="2">
        <v>10</v>
      </c>
      <c r="Q1506" s="4">
        <v>7700</v>
      </c>
      <c r="R1506" s="4">
        <v>7430</v>
      </c>
      <c r="S1506" s="4">
        <v>168</v>
      </c>
      <c r="T1506" s="19">
        <f>(ProductionData[[#This Row],[Rejected_Qty]])/ProductionData[[#This Row],[Produced_Qty]]</f>
        <v>2.2611036339165544E-2</v>
      </c>
      <c r="U1506" s="19">
        <f>ProductionData[[#This Row],[Produced_Qty]]/ProductionData[[#This Row],[Planned_Qty]]</f>
        <v>0.96493506493506498</v>
      </c>
      <c r="V1506" s="2" t="s">
        <v>103</v>
      </c>
      <c r="W1506" s="11">
        <v>31</v>
      </c>
      <c r="X1506" s="13">
        <f>W1506/60</f>
        <v>0.51666666666666672</v>
      </c>
      <c r="Y1506" s="2" t="s">
        <v>110</v>
      </c>
      <c r="Z1506" s="2">
        <v>24</v>
      </c>
      <c r="AA1506" s="2">
        <f>ProductionData[[#This Row],[Rejected_Qty]]*ProductionData[[#This Row],[Unit_Cost_INR]]</f>
        <v>4032</v>
      </c>
      <c r="AB1506" s="4">
        <v>26260</v>
      </c>
      <c r="AC1506" s="4">
        <v>6960</v>
      </c>
      <c r="AD1506" s="4">
        <v>6960</v>
      </c>
      <c r="AE1506" s="4">
        <v>26562</v>
      </c>
      <c r="AF1506" s="4">
        <v>12000</v>
      </c>
    </row>
    <row r="1507" spans="1:32">
      <c r="A1507" s="2" t="s">
        <v>3146</v>
      </c>
      <c r="B1507" s="3">
        <v>46251</v>
      </c>
      <c r="C1507" s="36" t="s">
        <v>2816</v>
      </c>
      <c r="D1507" s="2">
        <f>MONTH(ProductionData[[#This Row],[Month]])</f>
        <v>8</v>
      </c>
      <c r="E1507" s="2" t="s">
        <v>116</v>
      </c>
      <c r="F1507" s="2" t="s">
        <v>80</v>
      </c>
      <c r="G1507" s="2" t="s">
        <v>174</v>
      </c>
      <c r="H1507" s="2" t="s">
        <v>175</v>
      </c>
      <c r="I1507" s="2" t="s">
        <v>176</v>
      </c>
      <c r="J1507" s="2" t="s">
        <v>177</v>
      </c>
      <c r="K1507" s="2" t="s">
        <v>178</v>
      </c>
      <c r="L1507" s="2" t="s">
        <v>3147</v>
      </c>
      <c r="M1507" s="2" t="s">
        <v>87</v>
      </c>
      <c r="N1507" s="2" t="s">
        <v>96</v>
      </c>
      <c r="O1507" s="2">
        <v>10</v>
      </c>
      <c r="P1507" s="2">
        <v>9</v>
      </c>
      <c r="Q1507" s="4">
        <v>7980</v>
      </c>
      <c r="R1507" s="4">
        <v>7310</v>
      </c>
      <c r="S1507" s="4">
        <v>224</v>
      </c>
      <c r="T1507" s="19">
        <f>(ProductionData[[#This Row],[Rejected_Qty]])/ProductionData[[#This Row],[Produced_Qty]]</f>
        <v>3.0642954856361149E-2</v>
      </c>
      <c r="U1507" s="19">
        <f>ProductionData[[#This Row],[Produced_Qty]]/ProductionData[[#This Row],[Planned_Qty]]</f>
        <v>0.91604010025062654</v>
      </c>
      <c r="V1507" s="2" t="s">
        <v>109</v>
      </c>
      <c r="W1507" s="11">
        <v>0</v>
      </c>
      <c r="X1507" s="13">
        <f>W1507/60</f>
        <v>0</v>
      </c>
      <c r="Y1507" s="2" t="s">
        <v>90</v>
      </c>
      <c r="Z1507" s="2">
        <v>24</v>
      </c>
      <c r="AA1507" s="2">
        <f>ProductionData[[#This Row],[Rejected_Qty]]*ProductionData[[#This Row],[Unit_Cost_INR]]</f>
        <v>5376</v>
      </c>
      <c r="AB1507" s="4">
        <v>26786</v>
      </c>
      <c r="AC1507" s="4">
        <v>7320</v>
      </c>
      <c r="AD1507" s="4">
        <v>7320</v>
      </c>
      <c r="AE1507" s="4">
        <v>26552</v>
      </c>
      <c r="AF1507" s="4">
        <v>12000</v>
      </c>
    </row>
    <row r="1508" spans="1:32">
      <c r="A1508" s="2" t="s">
        <v>3148</v>
      </c>
      <c r="B1508" s="3">
        <v>46252</v>
      </c>
      <c r="C1508" s="36" t="s">
        <v>2816</v>
      </c>
      <c r="D1508" s="2">
        <f>MONTH(ProductionData[[#This Row],[Month]])</f>
        <v>8</v>
      </c>
      <c r="E1508" s="2" t="s">
        <v>92</v>
      </c>
      <c r="F1508" s="2" t="s">
        <v>66</v>
      </c>
      <c r="G1508" s="2" t="s">
        <v>174</v>
      </c>
      <c r="H1508" s="2" t="s">
        <v>175</v>
      </c>
      <c r="I1508" s="2" t="s">
        <v>176</v>
      </c>
      <c r="J1508" s="2" t="s">
        <v>177</v>
      </c>
      <c r="K1508" s="2" t="s">
        <v>178</v>
      </c>
      <c r="L1508" s="2" t="s">
        <v>3149</v>
      </c>
      <c r="M1508" s="2" t="s">
        <v>99</v>
      </c>
      <c r="N1508" s="2" t="s">
        <v>88</v>
      </c>
      <c r="O1508" s="2">
        <v>10</v>
      </c>
      <c r="P1508" s="2">
        <v>9</v>
      </c>
      <c r="Q1508" s="4">
        <v>7910</v>
      </c>
      <c r="R1508" s="4">
        <v>7770</v>
      </c>
      <c r="S1508" s="4">
        <v>102</v>
      </c>
      <c r="T1508" s="19">
        <f>(ProductionData[[#This Row],[Rejected_Qty]])/ProductionData[[#This Row],[Produced_Qty]]</f>
        <v>1.3127413127413128E-2</v>
      </c>
      <c r="U1508" s="19">
        <f>ProductionData[[#This Row],[Produced_Qty]]/ProductionData[[#This Row],[Planned_Qty]]</f>
        <v>0.98230088495575218</v>
      </c>
      <c r="V1508" s="2" t="s">
        <v>109</v>
      </c>
      <c r="W1508" s="11">
        <v>0</v>
      </c>
      <c r="X1508" s="13">
        <f>W1508/60</f>
        <v>0</v>
      </c>
      <c r="Y1508" s="2" t="s">
        <v>90</v>
      </c>
      <c r="Z1508" s="2">
        <v>24</v>
      </c>
      <c r="AA1508" s="2">
        <f>ProductionData[[#This Row],[Rejected_Qty]]*ProductionData[[#This Row],[Unit_Cost_INR]]</f>
        <v>2448</v>
      </c>
      <c r="AB1508" s="4">
        <v>26552</v>
      </c>
      <c r="AC1508" s="4">
        <v>7960</v>
      </c>
      <c r="AD1508" s="4">
        <v>7960</v>
      </c>
      <c r="AE1508" s="4">
        <v>26260</v>
      </c>
      <c r="AF1508" s="4">
        <v>12000</v>
      </c>
    </row>
    <row r="1509" spans="1:32">
      <c r="A1509" s="2" t="s">
        <v>3150</v>
      </c>
      <c r="B1509" s="3">
        <v>46265</v>
      </c>
      <c r="C1509" s="36" t="s">
        <v>2816</v>
      </c>
      <c r="D1509" s="2">
        <f>MONTH(ProductionData[[#This Row],[Month]])</f>
        <v>8</v>
      </c>
      <c r="E1509" s="2" t="s">
        <v>116</v>
      </c>
      <c r="F1509" s="2" t="s">
        <v>80</v>
      </c>
      <c r="G1509" s="2" t="s">
        <v>195</v>
      </c>
      <c r="H1509" s="2" t="s">
        <v>196</v>
      </c>
      <c r="I1509" s="2" t="s">
        <v>197</v>
      </c>
      <c r="J1509" s="2" t="s">
        <v>586</v>
      </c>
      <c r="K1509" s="2" t="s">
        <v>587</v>
      </c>
      <c r="L1509" s="2" t="s">
        <v>3151</v>
      </c>
      <c r="M1509" s="2" t="s">
        <v>87</v>
      </c>
      <c r="N1509" s="2" t="s">
        <v>96</v>
      </c>
      <c r="O1509" s="2">
        <v>14</v>
      </c>
      <c r="P1509" s="2">
        <v>14</v>
      </c>
      <c r="Q1509" s="4">
        <v>5790</v>
      </c>
      <c r="R1509" s="4">
        <v>5160</v>
      </c>
      <c r="S1509" s="4">
        <v>77</v>
      </c>
      <c r="T1509" s="19">
        <f>(ProductionData[[#This Row],[Rejected_Qty]])/ProductionData[[#This Row],[Produced_Qty]]</f>
        <v>1.4922480620155039E-2</v>
      </c>
      <c r="U1509" s="19">
        <f>ProductionData[[#This Row],[Produced_Qty]]/ProductionData[[#This Row],[Planned_Qty]]</f>
        <v>0.89119170984455953</v>
      </c>
      <c r="V1509" s="2" t="s">
        <v>75</v>
      </c>
      <c r="W1509" s="11">
        <v>46</v>
      </c>
      <c r="X1509" s="13">
        <f>W1509/60</f>
        <v>0.76666666666666672</v>
      </c>
      <c r="Y1509" s="2" t="s">
        <v>182</v>
      </c>
      <c r="Z1509" s="2">
        <v>51</v>
      </c>
      <c r="AA1509" s="2">
        <f>ProductionData[[#This Row],[Rejected_Qty]]*ProductionData[[#This Row],[Unit_Cost_INR]]</f>
        <v>3927</v>
      </c>
      <c r="AB1509" s="4">
        <v>26059</v>
      </c>
      <c r="AC1509" s="4">
        <v>4890</v>
      </c>
      <c r="AD1509" s="4">
        <v>4890</v>
      </c>
      <c r="AE1509" s="4">
        <v>26252</v>
      </c>
      <c r="AF1509" s="4">
        <v>9000</v>
      </c>
    </row>
    <row r="1510" spans="1:32">
      <c r="A1510" s="2" t="s">
        <v>3152</v>
      </c>
      <c r="B1510" s="3">
        <v>46263</v>
      </c>
      <c r="C1510" s="36" t="s">
        <v>2816</v>
      </c>
      <c r="D1510" s="2">
        <f>MONTH(ProductionData[[#This Row],[Month]])</f>
        <v>8</v>
      </c>
      <c r="E1510" s="2" t="s">
        <v>65</v>
      </c>
      <c r="F1510" s="2" t="s">
        <v>93</v>
      </c>
      <c r="G1510" s="2" t="s">
        <v>195</v>
      </c>
      <c r="H1510" s="2" t="s">
        <v>196</v>
      </c>
      <c r="I1510" s="2" t="s">
        <v>197</v>
      </c>
      <c r="J1510" s="2" t="s">
        <v>586</v>
      </c>
      <c r="K1510" s="2" t="s">
        <v>587</v>
      </c>
      <c r="L1510" s="2" t="s">
        <v>3153</v>
      </c>
      <c r="M1510" s="2" t="s">
        <v>95</v>
      </c>
      <c r="N1510" s="2" t="s">
        <v>96</v>
      </c>
      <c r="O1510" s="2">
        <v>14</v>
      </c>
      <c r="P1510" s="2">
        <v>13</v>
      </c>
      <c r="Q1510" s="4">
        <v>5990</v>
      </c>
      <c r="R1510" s="4">
        <v>5710</v>
      </c>
      <c r="S1510" s="4">
        <v>128</v>
      </c>
      <c r="T1510" s="19">
        <f>(ProductionData[[#This Row],[Rejected_Qty]])/ProductionData[[#This Row],[Produced_Qty]]</f>
        <v>2.2416812609457094E-2</v>
      </c>
      <c r="U1510" s="19">
        <f>ProductionData[[#This Row],[Produced_Qty]]/ProductionData[[#This Row],[Planned_Qty]]</f>
        <v>0.95325542570951582</v>
      </c>
      <c r="V1510" s="2" t="s">
        <v>103</v>
      </c>
      <c r="W1510" s="11">
        <v>0</v>
      </c>
      <c r="X1510" s="13">
        <f>W1510/60</f>
        <v>0</v>
      </c>
      <c r="Y1510" s="2" t="s">
        <v>90</v>
      </c>
      <c r="Z1510" s="2">
        <v>51</v>
      </c>
      <c r="AA1510" s="2">
        <f>ProductionData[[#This Row],[Rejected_Qty]]*ProductionData[[#This Row],[Unit_Cost_INR]]</f>
        <v>6528</v>
      </c>
      <c r="AB1510" s="4">
        <v>25527</v>
      </c>
      <c r="AC1510" s="4">
        <v>5050</v>
      </c>
      <c r="AD1510" s="4">
        <v>5050</v>
      </c>
      <c r="AE1510" s="4">
        <v>26059</v>
      </c>
      <c r="AF1510" s="4">
        <v>9000</v>
      </c>
    </row>
    <row r="1511" spans="1:32">
      <c r="A1511" s="2" t="s">
        <v>3154</v>
      </c>
      <c r="B1511" s="3">
        <v>46253</v>
      </c>
      <c r="C1511" s="36" t="s">
        <v>2816</v>
      </c>
      <c r="D1511" s="2">
        <f>MONTH(ProductionData[[#This Row],[Month]])</f>
        <v>8</v>
      </c>
      <c r="E1511" s="2" t="s">
        <v>79</v>
      </c>
      <c r="F1511" s="2" t="s">
        <v>93</v>
      </c>
      <c r="G1511" s="2" t="s">
        <v>174</v>
      </c>
      <c r="H1511" s="2" t="s">
        <v>175</v>
      </c>
      <c r="I1511" s="2" t="s">
        <v>176</v>
      </c>
      <c r="J1511" s="2" t="s">
        <v>177</v>
      </c>
      <c r="K1511" s="2" t="s">
        <v>178</v>
      </c>
      <c r="L1511" s="2" t="s">
        <v>3155</v>
      </c>
      <c r="M1511" s="2" t="s">
        <v>95</v>
      </c>
      <c r="N1511" s="2" t="s">
        <v>88</v>
      </c>
      <c r="O1511" s="2">
        <v>10</v>
      </c>
      <c r="P1511" s="2">
        <v>7</v>
      </c>
      <c r="Q1511" s="4">
        <v>7050</v>
      </c>
      <c r="R1511" s="4">
        <v>6080</v>
      </c>
      <c r="S1511" s="4">
        <v>132</v>
      </c>
      <c r="T1511" s="19">
        <f>(ProductionData[[#This Row],[Rejected_Qty]])/ProductionData[[#This Row],[Produced_Qty]]</f>
        <v>2.1710526315789475E-2</v>
      </c>
      <c r="U1511" s="19">
        <f>ProductionData[[#This Row],[Produced_Qty]]/ProductionData[[#This Row],[Planned_Qty]]</f>
        <v>0.86241134751773052</v>
      </c>
      <c r="V1511" s="2" t="s">
        <v>89</v>
      </c>
      <c r="W1511" s="11">
        <v>0</v>
      </c>
      <c r="X1511" s="13">
        <f>W1511/60</f>
        <v>0</v>
      </c>
      <c r="Y1511" s="2" t="s">
        <v>90</v>
      </c>
      <c r="Z1511" s="2">
        <v>24</v>
      </c>
      <c r="AA1511" s="2">
        <f>ProductionData[[#This Row],[Rejected_Qty]]*ProductionData[[#This Row],[Unit_Cost_INR]]</f>
        <v>3168</v>
      </c>
      <c r="AB1511" s="4">
        <v>26562</v>
      </c>
      <c r="AC1511" s="4">
        <v>6670</v>
      </c>
      <c r="AD1511" s="4">
        <v>6670</v>
      </c>
      <c r="AE1511" s="4">
        <v>25840</v>
      </c>
      <c r="AF1511" s="4">
        <v>12000</v>
      </c>
    </row>
    <row r="1512" spans="1:32">
      <c r="A1512" s="2" t="s">
        <v>3156</v>
      </c>
      <c r="B1512" s="3">
        <v>46261</v>
      </c>
      <c r="C1512" s="36" t="s">
        <v>2816</v>
      </c>
      <c r="D1512" s="2">
        <f>MONTH(ProductionData[[#This Row],[Month]])</f>
        <v>8</v>
      </c>
      <c r="E1512" s="2" t="s">
        <v>107</v>
      </c>
      <c r="F1512" s="2" t="s">
        <v>93</v>
      </c>
      <c r="G1512" s="2" t="s">
        <v>195</v>
      </c>
      <c r="H1512" s="2" t="s">
        <v>196</v>
      </c>
      <c r="I1512" s="2" t="s">
        <v>197</v>
      </c>
      <c r="J1512" s="2" t="s">
        <v>586</v>
      </c>
      <c r="K1512" s="2" t="s">
        <v>587</v>
      </c>
      <c r="L1512" s="2" t="s">
        <v>3157</v>
      </c>
      <c r="M1512" s="2" t="s">
        <v>95</v>
      </c>
      <c r="N1512" s="2" t="s">
        <v>96</v>
      </c>
      <c r="O1512" s="2">
        <v>14</v>
      </c>
      <c r="P1512" s="2">
        <v>13</v>
      </c>
      <c r="Q1512" s="4">
        <v>5360</v>
      </c>
      <c r="R1512" s="4">
        <v>5220</v>
      </c>
      <c r="S1512" s="4">
        <v>97</v>
      </c>
      <c r="T1512" s="19">
        <f>(ProductionData[[#This Row],[Rejected_Qty]])/ProductionData[[#This Row],[Produced_Qty]]</f>
        <v>1.8582375478927202E-2</v>
      </c>
      <c r="U1512" s="19">
        <f>ProductionData[[#This Row],[Produced_Qty]]/ProductionData[[#This Row],[Planned_Qty]]</f>
        <v>0.97388059701492535</v>
      </c>
      <c r="V1512" s="2" t="s">
        <v>113</v>
      </c>
      <c r="W1512" s="11">
        <v>24</v>
      </c>
      <c r="X1512" s="13">
        <f>W1512/60</f>
        <v>0.4</v>
      </c>
      <c r="Y1512" s="2" t="s">
        <v>110</v>
      </c>
      <c r="Z1512" s="2">
        <v>51</v>
      </c>
      <c r="AA1512" s="2">
        <f>ProductionData[[#This Row],[Rejected_Qty]]*ProductionData[[#This Row],[Unit_Cost_INR]]</f>
        <v>4947</v>
      </c>
      <c r="AB1512" s="4">
        <v>25321</v>
      </c>
      <c r="AC1512" s="4">
        <v>4800</v>
      </c>
      <c r="AD1512" s="4">
        <v>4800</v>
      </c>
      <c r="AE1512" s="4">
        <v>25644</v>
      </c>
      <c r="AF1512" s="4">
        <v>9000</v>
      </c>
    </row>
    <row r="1513" spans="1:32">
      <c r="A1513" s="2" t="s">
        <v>3158</v>
      </c>
      <c r="B1513" s="3">
        <v>46263</v>
      </c>
      <c r="C1513" s="36" t="s">
        <v>2816</v>
      </c>
      <c r="D1513" s="2">
        <f>MONTH(ProductionData[[#This Row],[Month]])</f>
        <v>8</v>
      </c>
      <c r="E1513" s="2" t="s">
        <v>65</v>
      </c>
      <c r="F1513" s="2" t="s">
        <v>66</v>
      </c>
      <c r="G1513" s="2" t="s">
        <v>195</v>
      </c>
      <c r="H1513" s="2" t="s">
        <v>196</v>
      </c>
      <c r="I1513" s="2" t="s">
        <v>197</v>
      </c>
      <c r="J1513" s="2" t="s">
        <v>586</v>
      </c>
      <c r="K1513" s="2" t="s">
        <v>587</v>
      </c>
      <c r="L1513" s="2" t="s">
        <v>3159</v>
      </c>
      <c r="M1513" s="2" t="s">
        <v>99</v>
      </c>
      <c r="N1513" s="2" t="s">
        <v>96</v>
      </c>
      <c r="O1513" s="2">
        <v>14</v>
      </c>
      <c r="P1513" s="2">
        <v>13</v>
      </c>
      <c r="Q1513" s="4">
        <v>6120</v>
      </c>
      <c r="R1513" s="4">
        <v>5910</v>
      </c>
      <c r="S1513" s="4">
        <v>95</v>
      </c>
      <c r="T1513" s="19">
        <f>(ProductionData[[#This Row],[Rejected_Qty]])/ProductionData[[#This Row],[Produced_Qty]]</f>
        <v>1.6074450084602367E-2</v>
      </c>
      <c r="U1513" s="19">
        <f>ProductionData[[#This Row],[Produced_Qty]]/ProductionData[[#This Row],[Planned_Qty]]</f>
        <v>0.96568627450980393</v>
      </c>
      <c r="V1513" s="2" t="s">
        <v>103</v>
      </c>
      <c r="W1513" s="11">
        <v>28</v>
      </c>
      <c r="X1513" s="13">
        <f>W1513/60</f>
        <v>0.46666666666666667</v>
      </c>
      <c r="Y1513" s="2" t="s">
        <v>182</v>
      </c>
      <c r="Z1513" s="2">
        <v>51</v>
      </c>
      <c r="AA1513" s="2">
        <f>ProductionData[[#This Row],[Rejected_Qty]]*ProductionData[[#This Row],[Unit_Cost_INR]]</f>
        <v>4845</v>
      </c>
      <c r="AB1513" s="4">
        <v>25342</v>
      </c>
      <c r="AC1513" s="4">
        <v>5630</v>
      </c>
      <c r="AD1513" s="4">
        <v>5630</v>
      </c>
      <c r="AE1513" s="4">
        <v>25527</v>
      </c>
      <c r="AF1513" s="4">
        <v>9000</v>
      </c>
    </row>
    <row r="1514" spans="1:32">
      <c r="A1514" s="2" t="s">
        <v>3160</v>
      </c>
      <c r="B1514" s="3">
        <v>46262</v>
      </c>
      <c r="C1514" s="36" t="s">
        <v>2816</v>
      </c>
      <c r="D1514" s="2">
        <f>MONTH(ProductionData[[#This Row],[Month]])</f>
        <v>8</v>
      </c>
      <c r="E1514" s="2" t="s">
        <v>125</v>
      </c>
      <c r="F1514" s="2" t="s">
        <v>93</v>
      </c>
      <c r="G1514" s="2" t="s">
        <v>195</v>
      </c>
      <c r="H1514" s="2" t="s">
        <v>196</v>
      </c>
      <c r="I1514" s="2" t="s">
        <v>197</v>
      </c>
      <c r="J1514" s="2" t="s">
        <v>586</v>
      </c>
      <c r="K1514" s="2" t="s">
        <v>587</v>
      </c>
      <c r="L1514" s="2" t="s">
        <v>3161</v>
      </c>
      <c r="M1514" s="2" t="s">
        <v>133</v>
      </c>
      <c r="N1514" s="2" t="s">
        <v>88</v>
      </c>
      <c r="O1514" s="2">
        <v>14</v>
      </c>
      <c r="P1514" s="2">
        <v>13</v>
      </c>
      <c r="Q1514" s="4">
        <v>6000</v>
      </c>
      <c r="R1514" s="4">
        <v>5340</v>
      </c>
      <c r="S1514" s="4">
        <v>132</v>
      </c>
      <c r="T1514" s="19">
        <f>(ProductionData[[#This Row],[Rejected_Qty]])/ProductionData[[#This Row],[Produced_Qty]]</f>
        <v>2.4719101123595506E-2</v>
      </c>
      <c r="U1514" s="19">
        <f>ProductionData[[#This Row],[Produced_Qty]]/ProductionData[[#This Row],[Planned_Qty]]</f>
        <v>0.89</v>
      </c>
      <c r="V1514" s="2" t="s">
        <v>103</v>
      </c>
      <c r="W1514" s="11">
        <v>21</v>
      </c>
      <c r="X1514" s="13">
        <f>W1514/60</f>
        <v>0.35</v>
      </c>
      <c r="Y1514" s="2" t="s">
        <v>76</v>
      </c>
      <c r="Z1514" s="2">
        <v>51</v>
      </c>
      <c r="AA1514" s="2">
        <f>ProductionData[[#This Row],[Rejected_Qty]]*ProductionData[[#This Row],[Unit_Cost_INR]]</f>
        <v>6732</v>
      </c>
      <c r="AB1514" s="4">
        <v>25644</v>
      </c>
      <c r="AC1514" s="4">
        <v>5510</v>
      </c>
      <c r="AD1514" s="4">
        <v>5510</v>
      </c>
      <c r="AE1514" s="4">
        <v>25342</v>
      </c>
      <c r="AF1514" s="4">
        <v>9000</v>
      </c>
    </row>
    <row r="1515" spans="1:32">
      <c r="A1515" s="2" t="s">
        <v>3162</v>
      </c>
      <c r="B1515" s="3">
        <v>46261</v>
      </c>
      <c r="C1515" s="36" t="s">
        <v>2816</v>
      </c>
      <c r="D1515" s="2">
        <f>MONTH(ProductionData[[#This Row],[Month]])</f>
        <v>8</v>
      </c>
      <c r="E1515" s="2" t="s">
        <v>107</v>
      </c>
      <c r="F1515" s="2" t="s">
        <v>66</v>
      </c>
      <c r="G1515" s="2" t="s">
        <v>195</v>
      </c>
      <c r="H1515" s="2" t="s">
        <v>196</v>
      </c>
      <c r="I1515" s="2" t="s">
        <v>197</v>
      </c>
      <c r="J1515" s="2" t="s">
        <v>586</v>
      </c>
      <c r="K1515" s="2" t="s">
        <v>587</v>
      </c>
      <c r="L1515" s="2" t="s">
        <v>3163</v>
      </c>
      <c r="M1515" s="2" t="s">
        <v>99</v>
      </c>
      <c r="N1515" s="2" t="s">
        <v>96</v>
      </c>
      <c r="O1515" s="2">
        <v>14</v>
      </c>
      <c r="P1515" s="2">
        <v>14</v>
      </c>
      <c r="Q1515" s="4">
        <v>5610</v>
      </c>
      <c r="R1515" s="4">
        <v>5530</v>
      </c>
      <c r="S1515" s="4">
        <v>137</v>
      </c>
      <c r="T1515" s="19">
        <f>(ProductionData[[#This Row],[Rejected_Qty]])/ProductionData[[#This Row],[Produced_Qty]]</f>
        <v>2.4773960216998191E-2</v>
      </c>
      <c r="U1515" s="19">
        <f>ProductionData[[#This Row],[Produced_Qty]]/ProductionData[[#This Row],[Planned_Qty]]</f>
        <v>0.98573975044563278</v>
      </c>
      <c r="V1515" s="2" t="s">
        <v>113</v>
      </c>
      <c r="W1515" s="11">
        <v>0</v>
      </c>
      <c r="X1515" s="13">
        <f>W1515/60</f>
        <v>0</v>
      </c>
      <c r="Y1515" s="2" t="s">
        <v>90</v>
      </c>
      <c r="Z1515" s="2">
        <v>51</v>
      </c>
      <c r="AA1515" s="2">
        <f>ProductionData[[#This Row],[Rejected_Qty]]*ProductionData[[#This Row],[Unit_Cost_INR]]</f>
        <v>6987</v>
      </c>
      <c r="AB1515" s="4">
        <v>24358</v>
      </c>
      <c r="AC1515" s="4">
        <v>4430</v>
      </c>
      <c r="AD1515" s="4">
        <v>4430</v>
      </c>
      <c r="AE1515" s="4">
        <v>25321</v>
      </c>
      <c r="AF1515" s="4">
        <v>9000</v>
      </c>
    </row>
    <row r="1516" spans="1:32">
      <c r="A1516" s="2" t="s">
        <v>3164</v>
      </c>
      <c r="B1516" s="3">
        <v>46258</v>
      </c>
      <c r="C1516" s="36" t="s">
        <v>2816</v>
      </c>
      <c r="D1516" s="2">
        <f>MONTH(ProductionData[[#This Row],[Month]])</f>
        <v>8</v>
      </c>
      <c r="E1516" s="2" t="s">
        <v>116</v>
      </c>
      <c r="F1516" s="2" t="s">
        <v>66</v>
      </c>
      <c r="G1516" s="2" t="s">
        <v>195</v>
      </c>
      <c r="H1516" s="2" t="s">
        <v>196</v>
      </c>
      <c r="I1516" s="2" t="s">
        <v>197</v>
      </c>
      <c r="J1516" s="2" t="s">
        <v>586</v>
      </c>
      <c r="K1516" s="2" t="s">
        <v>587</v>
      </c>
      <c r="L1516" s="2" t="s">
        <v>3165</v>
      </c>
      <c r="M1516" s="2" t="s">
        <v>99</v>
      </c>
      <c r="N1516" s="2" t="s">
        <v>88</v>
      </c>
      <c r="O1516" s="2">
        <v>14</v>
      </c>
      <c r="P1516" s="2">
        <v>13</v>
      </c>
      <c r="Q1516" s="4">
        <v>6200</v>
      </c>
      <c r="R1516" s="4">
        <v>5870</v>
      </c>
      <c r="S1516" s="4">
        <v>137</v>
      </c>
      <c r="T1516" s="19">
        <f>(ProductionData[[#This Row],[Rejected_Qty]])/ProductionData[[#This Row],[Produced_Qty]]</f>
        <v>2.3339011925042591E-2</v>
      </c>
      <c r="U1516" s="19">
        <f>ProductionData[[#This Row],[Produced_Qty]]/ProductionData[[#This Row],[Planned_Qty]]</f>
        <v>0.9467741935483871</v>
      </c>
      <c r="V1516" s="2" t="s">
        <v>109</v>
      </c>
      <c r="W1516" s="11">
        <v>31</v>
      </c>
      <c r="X1516" s="13">
        <f>W1516/60</f>
        <v>0.51666666666666672</v>
      </c>
      <c r="Y1516" s="2" t="s">
        <v>110</v>
      </c>
      <c r="Z1516" s="2">
        <v>51</v>
      </c>
      <c r="AA1516" s="2">
        <f>ProductionData[[#This Row],[Rejected_Qty]]*ProductionData[[#This Row],[Unit_Cost_INR]]</f>
        <v>6987</v>
      </c>
      <c r="AB1516" s="4">
        <v>23965</v>
      </c>
      <c r="AC1516" s="4">
        <v>5340</v>
      </c>
      <c r="AD1516" s="4">
        <v>5340</v>
      </c>
      <c r="AE1516" s="4">
        <v>24358</v>
      </c>
      <c r="AF1516" s="4">
        <v>9000</v>
      </c>
    </row>
    <row r="1517" spans="1:32">
      <c r="A1517" s="2" t="s">
        <v>3166</v>
      </c>
      <c r="B1517" s="3">
        <v>46256</v>
      </c>
      <c r="C1517" s="36" t="s">
        <v>2816</v>
      </c>
      <c r="D1517" s="2">
        <f>MONTH(ProductionData[[#This Row],[Month]])</f>
        <v>8</v>
      </c>
      <c r="E1517" s="2" t="s">
        <v>65</v>
      </c>
      <c r="F1517" s="2" t="s">
        <v>93</v>
      </c>
      <c r="G1517" s="2" t="s">
        <v>195</v>
      </c>
      <c r="H1517" s="2" t="s">
        <v>196</v>
      </c>
      <c r="I1517" s="2" t="s">
        <v>197</v>
      </c>
      <c r="J1517" s="2" t="s">
        <v>586</v>
      </c>
      <c r="K1517" s="2" t="s">
        <v>587</v>
      </c>
      <c r="L1517" s="2" t="s">
        <v>3167</v>
      </c>
      <c r="M1517" s="2" t="s">
        <v>95</v>
      </c>
      <c r="N1517" s="2" t="s">
        <v>96</v>
      </c>
      <c r="O1517" s="2">
        <v>14</v>
      </c>
      <c r="P1517" s="2">
        <v>12</v>
      </c>
      <c r="Q1517" s="4">
        <v>5960</v>
      </c>
      <c r="R1517" s="4">
        <v>5200</v>
      </c>
      <c r="S1517" s="4">
        <v>138</v>
      </c>
      <c r="T1517" s="19">
        <f>(ProductionData[[#This Row],[Rejected_Qty]])/ProductionData[[#This Row],[Produced_Qty]]</f>
        <v>2.6538461538461539E-2</v>
      </c>
      <c r="U1517" s="19">
        <f>ProductionData[[#This Row],[Produced_Qty]]/ProductionData[[#This Row],[Planned_Qty]]</f>
        <v>0.87248322147651003</v>
      </c>
      <c r="V1517" s="2" t="s">
        <v>75</v>
      </c>
      <c r="W1517" s="11">
        <v>23</v>
      </c>
      <c r="X1517" s="13">
        <f>W1517/60</f>
        <v>0.38333333333333336</v>
      </c>
      <c r="Y1517" s="2" t="s">
        <v>114</v>
      </c>
      <c r="Z1517" s="2">
        <v>51</v>
      </c>
      <c r="AA1517" s="2">
        <f>ProductionData[[#This Row],[Rejected_Qty]]*ProductionData[[#This Row],[Unit_Cost_INR]]</f>
        <v>7038</v>
      </c>
      <c r="AB1517" s="4">
        <v>23943</v>
      </c>
      <c r="AC1517" s="4">
        <v>5040</v>
      </c>
      <c r="AD1517" s="4">
        <v>5040</v>
      </c>
      <c r="AE1517" s="4">
        <v>23965</v>
      </c>
      <c r="AF1517" s="4">
        <v>9000</v>
      </c>
    </row>
    <row r="1518" spans="1:32">
      <c r="A1518" s="2" t="s">
        <v>3168</v>
      </c>
      <c r="B1518" s="3">
        <v>46254</v>
      </c>
      <c r="C1518" s="36" t="s">
        <v>2816</v>
      </c>
      <c r="D1518" s="2">
        <f>MONTH(ProductionData[[#This Row],[Month]])</f>
        <v>8</v>
      </c>
      <c r="E1518" s="2" t="s">
        <v>107</v>
      </c>
      <c r="F1518" s="2" t="s">
        <v>93</v>
      </c>
      <c r="G1518" s="2" t="s">
        <v>195</v>
      </c>
      <c r="H1518" s="2" t="s">
        <v>196</v>
      </c>
      <c r="I1518" s="2" t="s">
        <v>197</v>
      </c>
      <c r="J1518" s="2" t="s">
        <v>586</v>
      </c>
      <c r="K1518" s="2" t="s">
        <v>587</v>
      </c>
      <c r="L1518" s="2" t="s">
        <v>3169</v>
      </c>
      <c r="M1518" s="2" t="s">
        <v>95</v>
      </c>
      <c r="N1518" s="2" t="s">
        <v>88</v>
      </c>
      <c r="O1518" s="2">
        <v>14</v>
      </c>
      <c r="P1518" s="2">
        <v>14</v>
      </c>
      <c r="Q1518" s="4">
        <v>5400</v>
      </c>
      <c r="R1518" s="4">
        <v>5030</v>
      </c>
      <c r="S1518" s="4">
        <v>167</v>
      </c>
      <c r="T1518" s="19">
        <f>(ProductionData[[#This Row],[Rejected_Qty]])/ProductionData[[#This Row],[Produced_Qty]]</f>
        <v>3.3200795228628233E-2</v>
      </c>
      <c r="U1518" s="19">
        <f>ProductionData[[#This Row],[Produced_Qty]]/ProductionData[[#This Row],[Planned_Qty]]</f>
        <v>0.93148148148148147</v>
      </c>
      <c r="V1518" s="2" t="s">
        <v>89</v>
      </c>
      <c r="W1518" s="11">
        <v>0</v>
      </c>
      <c r="X1518" s="13">
        <f>W1518/60</f>
        <v>0</v>
      </c>
      <c r="Y1518" s="2" t="s">
        <v>90</v>
      </c>
      <c r="Z1518" s="2">
        <v>51</v>
      </c>
      <c r="AA1518" s="2">
        <f>ProductionData[[#This Row],[Rejected_Qty]]*ProductionData[[#This Row],[Unit_Cost_INR]]</f>
        <v>8517</v>
      </c>
      <c r="AB1518" s="4">
        <v>23220</v>
      </c>
      <c r="AC1518" s="4">
        <v>4140</v>
      </c>
      <c r="AD1518" s="4">
        <v>4140</v>
      </c>
      <c r="AE1518" s="4">
        <v>23943</v>
      </c>
      <c r="AF1518" s="4">
        <v>9000</v>
      </c>
    </row>
    <row r="1519" spans="1:32">
      <c r="A1519" s="2" t="s">
        <v>3170</v>
      </c>
      <c r="B1519" s="3">
        <v>46244</v>
      </c>
      <c r="C1519" s="36" t="s">
        <v>2816</v>
      </c>
      <c r="D1519" s="2">
        <f>MONTH(ProductionData[[#This Row],[Month]])</f>
        <v>8</v>
      </c>
      <c r="E1519" s="2" t="s">
        <v>116</v>
      </c>
      <c r="F1519" s="2" t="s">
        <v>80</v>
      </c>
      <c r="G1519" s="2" t="s">
        <v>195</v>
      </c>
      <c r="H1519" s="2" t="s">
        <v>196</v>
      </c>
      <c r="I1519" s="2" t="s">
        <v>197</v>
      </c>
      <c r="J1519" s="2" t="s">
        <v>586</v>
      </c>
      <c r="K1519" s="2" t="s">
        <v>587</v>
      </c>
      <c r="L1519" s="2" t="s">
        <v>3171</v>
      </c>
      <c r="M1519" s="2" t="s">
        <v>87</v>
      </c>
      <c r="N1519" s="2" t="s">
        <v>96</v>
      </c>
      <c r="O1519" s="2">
        <v>14</v>
      </c>
      <c r="P1519" s="2">
        <v>13</v>
      </c>
      <c r="Q1519" s="4">
        <v>5760</v>
      </c>
      <c r="R1519" s="4">
        <v>5370</v>
      </c>
      <c r="S1519" s="4">
        <v>174</v>
      </c>
      <c r="T1519" s="19">
        <f>(ProductionData[[#This Row],[Rejected_Qty]])/ProductionData[[#This Row],[Produced_Qty]]</f>
        <v>3.2402234636871509E-2</v>
      </c>
      <c r="U1519" s="19">
        <f>ProductionData[[#This Row],[Produced_Qty]]/ProductionData[[#This Row],[Planned_Qty]]</f>
        <v>0.93229166666666663</v>
      </c>
      <c r="V1519" s="2" t="s">
        <v>75</v>
      </c>
      <c r="W1519" s="11">
        <v>0</v>
      </c>
      <c r="X1519" s="13">
        <f>W1519/60</f>
        <v>0</v>
      </c>
      <c r="Y1519" s="2" t="s">
        <v>90</v>
      </c>
      <c r="Z1519" s="2">
        <v>51</v>
      </c>
      <c r="AA1519" s="2">
        <f>ProductionData[[#This Row],[Rejected_Qty]]*ProductionData[[#This Row],[Unit_Cost_INR]]</f>
        <v>8874</v>
      </c>
      <c r="AB1519" s="4">
        <v>22626</v>
      </c>
      <c r="AC1519" s="4">
        <v>4200</v>
      </c>
      <c r="AD1519" s="4">
        <v>4200</v>
      </c>
      <c r="AE1519" s="4">
        <v>23622</v>
      </c>
      <c r="AF1519" s="4">
        <v>9000</v>
      </c>
    </row>
    <row r="1520" spans="1:32">
      <c r="A1520" s="2" t="s">
        <v>3172</v>
      </c>
      <c r="B1520" s="3">
        <v>46246</v>
      </c>
      <c r="C1520" s="36" t="s">
        <v>2816</v>
      </c>
      <c r="D1520" s="2">
        <f>MONTH(ProductionData[[#This Row],[Month]])</f>
        <v>8</v>
      </c>
      <c r="E1520" s="2" t="s">
        <v>79</v>
      </c>
      <c r="F1520" s="2" t="s">
        <v>80</v>
      </c>
      <c r="G1520" s="2" t="s">
        <v>195</v>
      </c>
      <c r="H1520" s="2" t="s">
        <v>196</v>
      </c>
      <c r="I1520" s="2" t="s">
        <v>197</v>
      </c>
      <c r="J1520" s="2" t="s">
        <v>586</v>
      </c>
      <c r="K1520" s="2" t="s">
        <v>587</v>
      </c>
      <c r="L1520" s="2" t="s">
        <v>3173</v>
      </c>
      <c r="M1520" s="2" t="s">
        <v>102</v>
      </c>
      <c r="N1520" s="2" t="s">
        <v>88</v>
      </c>
      <c r="O1520" s="2">
        <v>14</v>
      </c>
      <c r="P1520" s="2">
        <v>11</v>
      </c>
      <c r="Q1520" s="4">
        <v>5660</v>
      </c>
      <c r="R1520" s="4">
        <v>5220</v>
      </c>
      <c r="S1520" s="4">
        <v>120</v>
      </c>
      <c r="T1520" s="19">
        <f>(ProductionData[[#This Row],[Rejected_Qty]])/ProductionData[[#This Row],[Produced_Qty]]</f>
        <v>2.2988505747126436E-2</v>
      </c>
      <c r="U1520" s="19">
        <f>ProductionData[[#This Row],[Produced_Qty]]/ProductionData[[#This Row],[Planned_Qty]]</f>
        <v>0.92226148409893993</v>
      </c>
      <c r="V1520" s="2" t="s">
        <v>113</v>
      </c>
      <c r="W1520" s="11">
        <v>47</v>
      </c>
      <c r="X1520" s="13">
        <f>W1520/60</f>
        <v>0.78333333333333333</v>
      </c>
      <c r="Y1520" s="2" t="s">
        <v>182</v>
      </c>
      <c r="Z1520" s="2">
        <v>51</v>
      </c>
      <c r="AA1520" s="2">
        <f>ProductionData[[#This Row],[Rejected_Qty]]*ProductionData[[#This Row],[Unit_Cost_INR]]</f>
        <v>6120</v>
      </c>
      <c r="AB1520" s="4">
        <v>23622</v>
      </c>
      <c r="AC1520" s="4">
        <v>5280</v>
      </c>
      <c r="AD1520" s="4">
        <v>5280</v>
      </c>
      <c r="AE1520" s="4">
        <v>23442</v>
      </c>
      <c r="AF1520" s="4">
        <v>9000</v>
      </c>
    </row>
    <row r="1521" spans="1:32">
      <c r="A1521" s="2" t="s">
        <v>3174</v>
      </c>
      <c r="B1521" s="3">
        <v>46254</v>
      </c>
      <c r="C1521" s="36" t="s">
        <v>2816</v>
      </c>
      <c r="D1521" s="2">
        <f>MONTH(ProductionData[[#This Row],[Month]])</f>
        <v>8</v>
      </c>
      <c r="E1521" s="2" t="s">
        <v>107</v>
      </c>
      <c r="F1521" s="2" t="s">
        <v>80</v>
      </c>
      <c r="G1521" s="2" t="s">
        <v>195</v>
      </c>
      <c r="H1521" s="2" t="s">
        <v>196</v>
      </c>
      <c r="I1521" s="2" t="s">
        <v>197</v>
      </c>
      <c r="J1521" s="2" t="s">
        <v>586</v>
      </c>
      <c r="K1521" s="2" t="s">
        <v>587</v>
      </c>
      <c r="L1521" s="2" t="s">
        <v>3175</v>
      </c>
      <c r="M1521" s="2" t="s">
        <v>87</v>
      </c>
      <c r="N1521" s="2" t="s">
        <v>96</v>
      </c>
      <c r="O1521" s="2">
        <v>14</v>
      </c>
      <c r="P1521" s="2">
        <v>14</v>
      </c>
      <c r="Q1521" s="4">
        <v>5670</v>
      </c>
      <c r="R1521" s="4">
        <v>5780</v>
      </c>
      <c r="S1521" s="4">
        <v>150</v>
      </c>
      <c r="T1521" s="19">
        <f>(ProductionData[[#This Row],[Rejected_Qty]])/ProductionData[[#This Row],[Produced_Qty]]</f>
        <v>2.5951557093425604E-2</v>
      </c>
      <c r="U1521" s="19">
        <f>ProductionData[[#This Row],[Produced_Qty]]/ProductionData[[#This Row],[Planned_Qty]]</f>
        <v>1.0194003527336861</v>
      </c>
      <c r="V1521" s="2" t="s">
        <v>103</v>
      </c>
      <c r="W1521" s="11">
        <v>0</v>
      </c>
      <c r="X1521" s="13">
        <f>W1521/60</f>
        <v>0</v>
      </c>
      <c r="Y1521" s="2" t="s">
        <v>90</v>
      </c>
      <c r="Z1521" s="2">
        <v>51</v>
      </c>
      <c r="AA1521" s="2">
        <f>ProductionData[[#This Row],[Rejected_Qty]]*ProductionData[[#This Row],[Unit_Cost_INR]]</f>
        <v>7650</v>
      </c>
      <c r="AB1521" s="4">
        <v>22880</v>
      </c>
      <c r="AC1521" s="4">
        <v>5290</v>
      </c>
      <c r="AD1521" s="4">
        <v>5290</v>
      </c>
      <c r="AE1521" s="4">
        <v>23220</v>
      </c>
      <c r="AF1521" s="4">
        <v>9000</v>
      </c>
    </row>
    <row r="1522" spans="1:32">
      <c r="A1522" s="2" t="s">
        <v>3176</v>
      </c>
      <c r="B1522" s="3">
        <v>46253</v>
      </c>
      <c r="C1522" s="36" t="s">
        <v>2816</v>
      </c>
      <c r="D1522" s="2">
        <f>MONTH(ProductionData[[#This Row],[Month]])</f>
        <v>8</v>
      </c>
      <c r="E1522" s="2" t="s">
        <v>79</v>
      </c>
      <c r="F1522" s="2" t="s">
        <v>80</v>
      </c>
      <c r="G1522" s="2" t="s">
        <v>195</v>
      </c>
      <c r="H1522" s="2" t="s">
        <v>196</v>
      </c>
      <c r="I1522" s="2" t="s">
        <v>197</v>
      </c>
      <c r="J1522" s="2" t="s">
        <v>586</v>
      </c>
      <c r="K1522" s="2" t="s">
        <v>587</v>
      </c>
      <c r="L1522" s="2" t="s">
        <v>3177</v>
      </c>
      <c r="M1522" s="2" t="s">
        <v>87</v>
      </c>
      <c r="N1522" s="2" t="s">
        <v>96</v>
      </c>
      <c r="O1522" s="2">
        <v>14</v>
      </c>
      <c r="P1522" s="2">
        <v>12</v>
      </c>
      <c r="Q1522" s="4">
        <v>6080</v>
      </c>
      <c r="R1522" s="4">
        <v>5580</v>
      </c>
      <c r="S1522" s="4">
        <v>202</v>
      </c>
      <c r="T1522" s="19">
        <f>(ProductionData[[#This Row],[Rejected_Qty]])/ProductionData[[#This Row],[Produced_Qty]]</f>
        <v>3.6200716845878139E-2</v>
      </c>
      <c r="U1522" s="19">
        <f>ProductionData[[#This Row],[Produced_Qty]]/ProductionData[[#This Row],[Planned_Qty]]</f>
        <v>0.91776315789473684</v>
      </c>
      <c r="V1522" s="2" t="s">
        <v>113</v>
      </c>
      <c r="W1522" s="11">
        <v>0</v>
      </c>
      <c r="X1522" s="13">
        <f>W1522/60</f>
        <v>0</v>
      </c>
      <c r="Y1522" s="2" t="s">
        <v>90</v>
      </c>
      <c r="Z1522" s="2">
        <v>51</v>
      </c>
      <c r="AA1522" s="2">
        <f>ProductionData[[#This Row],[Rejected_Qty]]*ProductionData[[#This Row],[Unit_Cost_INR]]</f>
        <v>10302</v>
      </c>
      <c r="AB1522" s="4">
        <v>22643</v>
      </c>
      <c r="AC1522" s="4">
        <v>4920</v>
      </c>
      <c r="AD1522" s="4">
        <v>4920</v>
      </c>
      <c r="AE1522" s="4">
        <v>23101</v>
      </c>
      <c r="AF1522" s="4">
        <v>9000</v>
      </c>
    </row>
    <row r="1523" spans="1:32">
      <c r="A1523" s="2" t="s">
        <v>3178</v>
      </c>
      <c r="B1523" s="3">
        <v>46248</v>
      </c>
      <c r="C1523" s="36" t="s">
        <v>2816</v>
      </c>
      <c r="D1523" s="2">
        <f>MONTH(ProductionData[[#This Row],[Month]])</f>
        <v>8</v>
      </c>
      <c r="E1523" s="2" t="s">
        <v>125</v>
      </c>
      <c r="F1523" s="2" t="s">
        <v>66</v>
      </c>
      <c r="G1523" s="2" t="s">
        <v>195</v>
      </c>
      <c r="H1523" s="2" t="s">
        <v>196</v>
      </c>
      <c r="I1523" s="2" t="s">
        <v>197</v>
      </c>
      <c r="J1523" s="2" t="s">
        <v>586</v>
      </c>
      <c r="K1523" s="2" t="s">
        <v>587</v>
      </c>
      <c r="L1523" s="2" t="s">
        <v>3179</v>
      </c>
      <c r="M1523" s="2" t="s">
        <v>99</v>
      </c>
      <c r="N1523" s="2" t="s">
        <v>96</v>
      </c>
      <c r="O1523" s="2">
        <v>14</v>
      </c>
      <c r="P1523" s="2">
        <v>14</v>
      </c>
      <c r="Q1523" s="4">
        <v>6010</v>
      </c>
      <c r="R1523" s="4">
        <v>5750</v>
      </c>
      <c r="S1523" s="4">
        <v>158</v>
      </c>
      <c r="T1523" s="19">
        <f>(ProductionData[[#This Row],[Rejected_Qty]])/ProductionData[[#This Row],[Produced_Qty]]</f>
        <v>2.7478260869565216E-2</v>
      </c>
      <c r="U1523" s="19">
        <f>ProductionData[[#This Row],[Produced_Qty]]/ProductionData[[#This Row],[Planned_Qty]]</f>
        <v>0.95673876871880204</v>
      </c>
      <c r="V1523" s="2" t="s">
        <v>89</v>
      </c>
      <c r="W1523" s="11">
        <v>0</v>
      </c>
      <c r="X1523" s="13">
        <f>W1523/60</f>
        <v>0</v>
      </c>
      <c r="Y1523" s="2" t="s">
        <v>90</v>
      </c>
      <c r="Z1523" s="2">
        <v>51</v>
      </c>
      <c r="AA1523" s="2">
        <f>ProductionData[[#This Row],[Rejected_Qty]]*ProductionData[[#This Row],[Unit_Cost_INR]]</f>
        <v>8058</v>
      </c>
      <c r="AB1523" s="4">
        <v>23091</v>
      </c>
      <c r="AC1523" s="4">
        <v>5590</v>
      </c>
      <c r="AD1523" s="4">
        <v>5590</v>
      </c>
      <c r="AE1523" s="4">
        <v>23093</v>
      </c>
      <c r="AF1523" s="4">
        <v>9000</v>
      </c>
    </row>
    <row r="1524" spans="1:32">
      <c r="A1524" s="2" t="s">
        <v>3180</v>
      </c>
      <c r="B1524" s="3">
        <v>46247</v>
      </c>
      <c r="C1524" s="36" t="s">
        <v>2816</v>
      </c>
      <c r="D1524" s="2">
        <f>MONTH(ProductionData[[#This Row],[Month]])</f>
        <v>8</v>
      </c>
      <c r="E1524" s="2" t="s">
        <v>107</v>
      </c>
      <c r="F1524" s="2" t="s">
        <v>80</v>
      </c>
      <c r="G1524" s="2" t="s">
        <v>195</v>
      </c>
      <c r="H1524" s="2" t="s">
        <v>196</v>
      </c>
      <c r="I1524" s="2" t="s">
        <v>197</v>
      </c>
      <c r="J1524" s="2" t="s">
        <v>586</v>
      </c>
      <c r="K1524" s="2" t="s">
        <v>587</v>
      </c>
      <c r="L1524" s="2" t="s">
        <v>3181</v>
      </c>
      <c r="M1524" s="2" t="s">
        <v>87</v>
      </c>
      <c r="N1524" s="2" t="s">
        <v>88</v>
      </c>
      <c r="O1524" s="2">
        <v>14</v>
      </c>
      <c r="P1524" s="2">
        <v>13</v>
      </c>
      <c r="Q1524" s="4">
        <v>5580</v>
      </c>
      <c r="R1524" s="4">
        <v>5190</v>
      </c>
      <c r="S1524" s="4">
        <v>151</v>
      </c>
      <c r="T1524" s="19">
        <f>(ProductionData[[#This Row],[Rejected_Qty]])/ProductionData[[#This Row],[Produced_Qty]]</f>
        <v>2.9094412331406552E-2</v>
      </c>
      <c r="U1524" s="19">
        <f>ProductionData[[#This Row],[Produced_Qty]]/ProductionData[[#This Row],[Planned_Qty]]</f>
        <v>0.93010752688172038</v>
      </c>
      <c r="V1524" s="2" t="s">
        <v>75</v>
      </c>
      <c r="W1524" s="11">
        <v>0</v>
      </c>
      <c r="X1524" s="13">
        <f>W1524/60</f>
        <v>0</v>
      </c>
      <c r="Y1524" s="2" t="s">
        <v>90</v>
      </c>
      <c r="Z1524" s="2">
        <v>51</v>
      </c>
      <c r="AA1524" s="2">
        <f>ProductionData[[#This Row],[Rejected_Qty]]*ProductionData[[#This Row],[Unit_Cost_INR]]</f>
        <v>7701</v>
      </c>
      <c r="AB1524" s="4">
        <v>23442</v>
      </c>
      <c r="AC1524" s="4">
        <v>5390</v>
      </c>
      <c r="AD1524" s="4">
        <v>5390</v>
      </c>
      <c r="AE1524" s="4">
        <v>23091</v>
      </c>
      <c r="AF1524" s="4">
        <v>9000</v>
      </c>
    </row>
    <row r="1525" spans="1:32">
      <c r="A1525" s="2" t="s">
        <v>3182</v>
      </c>
      <c r="B1525" s="3">
        <v>46254</v>
      </c>
      <c r="C1525" s="36" t="s">
        <v>2816</v>
      </c>
      <c r="D1525" s="2">
        <f>MONTH(ProductionData[[#This Row],[Month]])</f>
        <v>8</v>
      </c>
      <c r="E1525" s="2" t="s">
        <v>107</v>
      </c>
      <c r="F1525" s="2" t="s">
        <v>66</v>
      </c>
      <c r="G1525" s="2" t="s">
        <v>195</v>
      </c>
      <c r="H1525" s="2" t="s">
        <v>196</v>
      </c>
      <c r="I1525" s="2" t="s">
        <v>197</v>
      </c>
      <c r="J1525" s="2" t="s">
        <v>586</v>
      </c>
      <c r="K1525" s="2" t="s">
        <v>587</v>
      </c>
      <c r="L1525" s="2" t="s">
        <v>3183</v>
      </c>
      <c r="M1525" s="2" t="s">
        <v>99</v>
      </c>
      <c r="N1525" s="2" t="s">
        <v>88</v>
      </c>
      <c r="O1525" s="2">
        <v>14</v>
      </c>
      <c r="P1525" s="2">
        <v>14</v>
      </c>
      <c r="Q1525" s="4">
        <v>5610</v>
      </c>
      <c r="R1525" s="4">
        <v>5520</v>
      </c>
      <c r="S1525" s="4">
        <v>131</v>
      </c>
      <c r="T1525" s="19">
        <f>(ProductionData[[#This Row],[Rejected_Qty]])/ProductionData[[#This Row],[Produced_Qty]]</f>
        <v>2.3731884057971015E-2</v>
      </c>
      <c r="U1525" s="19">
        <f>ProductionData[[#This Row],[Produced_Qty]]/ProductionData[[#This Row],[Planned_Qty]]</f>
        <v>0.98395721925133695</v>
      </c>
      <c r="V1525" s="2" t="s">
        <v>109</v>
      </c>
      <c r="W1525" s="11">
        <v>0</v>
      </c>
      <c r="X1525" s="13">
        <f>W1525/60</f>
        <v>0</v>
      </c>
      <c r="Y1525" s="2" t="s">
        <v>90</v>
      </c>
      <c r="Z1525" s="2">
        <v>51</v>
      </c>
      <c r="AA1525" s="2">
        <f>ProductionData[[#This Row],[Rejected_Qty]]*ProductionData[[#This Row],[Unit_Cost_INR]]</f>
        <v>6681</v>
      </c>
      <c r="AB1525" s="4">
        <v>23101</v>
      </c>
      <c r="AC1525" s="4">
        <v>5610</v>
      </c>
      <c r="AD1525" s="4">
        <v>5610</v>
      </c>
      <c r="AE1525" s="4">
        <v>22880</v>
      </c>
      <c r="AF1525" s="4">
        <v>9000</v>
      </c>
    </row>
    <row r="1526" spans="1:32">
      <c r="A1526" s="2" t="s">
        <v>3184</v>
      </c>
      <c r="B1526" s="3">
        <v>46249</v>
      </c>
      <c r="C1526" s="36" t="s">
        <v>2816</v>
      </c>
      <c r="D1526" s="2">
        <f>MONTH(ProductionData[[#This Row],[Month]])</f>
        <v>8</v>
      </c>
      <c r="E1526" s="2" t="s">
        <v>65</v>
      </c>
      <c r="F1526" s="2" t="s">
        <v>93</v>
      </c>
      <c r="G1526" s="2" t="s">
        <v>195</v>
      </c>
      <c r="H1526" s="2" t="s">
        <v>196</v>
      </c>
      <c r="I1526" s="2" t="s">
        <v>197</v>
      </c>
      <c r="J1526" s="2" t="s">
        <v>586</v>
      </c>
      <c r="K1526" s="2" t="s">
        <v>587</v>
      </c>
      <c r="L1526" s="2" t="s">
        <v>3185</v>
      </c>
      <c r="M1526" s="2" t="s">
        <v>133</v>
      </c>
      <c r="N1526" s="2" t="s">
        <v>88</v>
      </c>
      <c r="O1526" s="2">
        <v>14</v>
      </c>
      <c r="P1526" s="2">
        <v>14</v>
      </c>
      <c r="Q1526" s="4">
        <v>5960</v>
      </c>
      <c r="R1526" s="4">
        <v>5510</v>
      </c>
      <c r="S1526" s="4">
        <v>124</v>
      </c>
      <c r="T1526" s="19">
        <f>(ProductionData[[#This Row],[Rejected_Qty]])/ProductionData[[#This Row],[Produced_Qty]]</f>
        <v>2.2504537205081668E-2</v>
      </c>
      <c r="U1526" s="19">
        <f>ProductionData[[#This Row],[Produced_Qty]]/ProductionData[[#This Row],[Planned_Qty]]</f>
        <v>0.92449664429530198</v>
      </c>
      <c r="V1526" s="2" t="s">
        <v>75</v>
      </c>
      <c r="W1526" s="11">
        <v>52</v>
      </c>
      <c r="X1526" s="13">
        <f>W1526/60</f>
        <v>0.8666666666666667</v>
      </c>
      <c r="Y1526" s="2" t="s">
        <v>76</v>
      </c>
      <c r="Z1526" s="2">
        <v>51</v>
      </c>
      <c r="AA1526" s="2">
        <f>ProductionData[[#This Row],[Rejected_Qty]]*ProductionData[[#This Row],[Unit_Cost_INR]]</f>
        <v>6324</v>
      </c>
      <c r="AB1526" s="4">
        <v>22591</v>
      </c>
      <c r="AC1526" s="4">
        <v>5170</v>
      </c>
      <c r="AD1526" s="4">
        <v>5170</v>
      </c>
      <c r="AE1526" s="4">
        <v>22807</v>
      </c>
      <c r="AF1526" s="4">
        <v>9000</v>
      </c>
    </row>
    <row r="1527" spans="1:32">
      <c r="A1527" s="2" t="s">
        <v>3186</v>
      </c>
      <c r="B1527" s="3">
        <v>46252</v>
      </c>
      <c r="C1527" s="36" t="s">
        <v>2816</v>
      </c>
      <c r="D1527" s="2">
        <f>MONTH(ProductionData[[#This Row],[Month]])</f>
        <v>8</v>
      </c>
      <c r="E1527" s="2" t="s">
        <v>92</v>
      </c>
      <c r="F1527" s="2" t="s">
        <v>66</v>
      </c>
      <c r="G1527" s="2" t="s">
        <v>195</v>
      </c>
      <c r="H1527" s="2" t="s">
        <v>196</v>
      </c>
      <c r="I1527" s="2" t="s">
        <v>197</v>
      </c>
      <c r="J1527" s="2" t="s">
        <v>586</v>
      </c>
      <c r="K1527" s="2" t="s">
        <v>587</v>
      </c>
      <c r="L1527" s="2" t="s">
        <v>3187</v>
      </c>
      <c r="M1527" s="2" t="s">
        <v>73</v>
      </c>
      <c r="N1527" s="2" t="s">
        <v>88</v>
      </c>
      <c r="O1527" s="2">
        <v>14</v>
      </c>
      <c r="P1527" s="2">
        <v>14</v>
      </c>
      <c r="Q1527" s="4">
        <v>6450</v>
      </c>
      <c r="R1527" s="4">
        <v>6140</v>
      </c>
      <c r="S1527" s="4">
        <v>237</v>
      </c>
      <c r="T1527" s="19">
        <f>(ProductionData[[#This Row],[Rejected_Qty]])/ProductionData[[#This Row],[Produced_Qty]]</f>
        <v>3.8599348534201952E-2</v>
      </c>
      <c r="U1527" s="19">
        <f>ProductionData[[#This Row],[Produced_Qty]]/ProductionData[[#This Row],[Planned_Qty]]</f>
        <v>0.95193798449612399</v>
      </c>
      <c r="V1527" s="2" t="s">
        <v>113</v>
      </c>
      <c r="W1527" s="11">
        <v>0</v>
      </c>
      <c r="X1527" s="13">
        <f>W1527/60</f>
        <v>0</v>
      </c>
      <c r="Y1527" s="2" t="s">
        <v>90</v>
      </c>
      <c r="Z1527" s="2">
        <v>51</v>
      </c>
      <c r="AA1527" s="2">
        <f>ProductionData[[#This Row],[Rejected_Qty]]*ProductionData[[#This Row],[Unit_Cost_INR]]</f>
        <v>12087</v>
      </c>
      <c r="AB1527" s="4">
        <v>22807</v>
      </c>
      <c r="AC1527" s="4">
        <v>5990</v>
      </c>
      <c r="AD1527" s="4">
        <v>5990</v>
      </c>
      <c r="AE1527" s="4">
        <v>22720</v>
      </c>
      <c r="AF1527" s="4">
        <v>9000</v>
      </c>
    </row>
    <row r="1528" spans="1:32">
      <c r="A1528" s="2" t="s">
        <v>3188</v>
      </c>
      <c r="B1528" s="3">
        <v>46253</v>
      </c>
      <c r="C1528" s="36" t="s">
        <v>2816</v>
      </c>
      <c r="D1528" s="2">
        <f>MONTH(ProductionData[[#This Row],[Month]])</f>
        <v>8</v>
      </c>
      <c r="E1528" s="2" t="s">
        <v>79</v>
      </c>
      <c r="F1528" s="2" t="s">
        <v>66</v>
      </c>
      <c r="G1528" s="2" t="s">
        <v>195</v>
      </c>
      <c r="H1528" s="2" t="s">
        <v>196</v>
      </c>
      <c r="I1528" s="2" t="s">
        <v>197</v>
      </c>
      <c r="J1528" s="2" t="s">
        <v>586</v>
      </c>
      <c r="K1528" s="2" t="s">
        <v>587</v>
      </c>
      <c r="L1528" s="2" t="s">
        <v>3189</v>
      </c>
      <c r="M1528" s="2" t="s">
        <v>99</v>
      </c>
      <c r="N1528" s="2" t="s">
        <v>88</v>
      </c>
      <c r="O1528" s="2">
        <v>14</v>
      </c>
      <c r="P1528" s="2">
        <v>14</v>
      </c>
      <c r="Q1528" s="4">
        <v>5920</v>
      </c>
      <c r="R1528" s="4">
        <v>5300</v>
      </c>
      <c r="S1528" s="4">
        <v>147</v>
      </c>
      <c r="T1528" s="19">
        <f>(ProductionData[[#This Row],[Rejected_Qty]])/ProductionData[[#This Row],[Produced_Qty]]</f>
        <v>2.7735849056603774E-2</v>
      </c>
      <c r="U1528" s="19">
        <f>ProductionData[[#This Row],[Produced_Qty]]/ProductionData[[#This Row],[Planned_Qty]]</f>
        <v>0.89527027027027029</v>
      </c>
      <c r="V1528" s="2" t="s">
        <v>75</v>
      </c>
      <c r="W1528" s="11">
        <v>0</v>
      </c>
      <c r="X1528" s="13">
        <f>W1528/60</f>
        <v>0</v>
      </c>
      <c r="Y1528" s="2" t="s">
        <v>90</v>
      </c>
      <c r="Z1528" s="2">
        <v>51</v>
      </c>
      <c r="AA1528" s="2">
        <f>ProductionData[[#This Row],[Rejected_Qty]]*ProductionData[[#This Row],[Unit_Cost_INR]]</f>
        <v>7497</v>
      </c>
      <c r="AB1528" s="4">
        <v>22720</v>
      </c>
      <c r="AC1528" s="4">
        <v>5230</v>
      </c>
      <c r="AD1528" s="4">
        <v>5230</v>
      </c>
      <c r="AE1528" s="4">
        <v>22643</v>
      </c>
      <c r="AF1528" s="4">
        <v>9000</v>
      </c>
    </row>
    <row r="1529" spans="1:32">
      <c r="A1529" s="2" t="s">
        <v>3190</v>
      </c>
      <c r="B1529" s="3">
        <v>46243</v>
      </c>
      <c r="C1529" s="36" t="s">
        <v>2816</v>
      </c>
      <c r="D1529" s="2">
        <f>MONTH(ProductionData[[#This Row],[Month]])</f>
        <v>8</v>
      </c>
      <c r="E1529" s="2" t="s">
        <v>186</v>
      </c>
      <c r="F1529" s="2" t="s">
        <v>66</v>
      </c>
      <c r="G1529" s="2" t="s">
        <v>195</v>
      </c>
      <c r="H1529" s="2" t="s">
        <v>196</v>
      </c>
      <c r="I1529" s="2" t="s">
        <v>197</v>
      </c>
      <c r="J1529" s="2" t="s">
        <v>586</v>
      </c>
      <c r="K1529" s="2" t="s">
        <v>587</v>
      </c>
      <c r="L1529" s="2" t="s">
        <v>3191</v>
      </c>
      <c r="M1529" s="2" t="s">
        <v>99</v>
      </c>
      <c r="N1529" s="2" t="s">
        <v>88</v>
      </c>
      <c r="O1529" s="2">
        <v>14</v>
      </c>
      <c r="P1529" s="2">
        <v>13</v>
      </c>
      <c r="Q1529" s="4">
        <v>4340</v>
      </c>
      <c r="R1529" s="4">
        <v>4140</v>
      </c>
      <c r="S1529" s="4">
        <v>97</v>
      </c>
      <c r="T1529" s="19">
        <f>(ProductionData[[#This Row],[Rejected_Qty]])/ProductionData[[#This Row],[Produced_Qty]]</f>
        <v>2.3429951690821255E-2</v>
      </c>
      <c r="U1529" s="19">
        <f>ProductionData[[#This Row],[Produced_Qty]]/ProductionData[[#This Row],[Planned_Qty]]</f>
        <v>0.95391705069124422</v>
      </c>
      <c r="V1529" s="2" t="s">
        <v>75</v>
      </c>
      <c r="W1529" s="11">
        <v>42</v>
      </c>
      <c r="X1529" s="13">
        <f>W1529/60</f>
        <v>0.7</v>
      </c>
      <c r="Y1529" s="2" t="s">
        <v>110</v>
      </c>
      <c r="Z1529" s="2">
        <v>51</v>
      </c>
      <c r="AA1529" s="2">
        <f>ProductionData[[#This Row],[Rejected_Qty]]*ProductionData[[#This Row],[Unit_Cost_INR]]</f>
        <v>4947</v>
      </c>
      <c r="AB1529" s="4">
        <v>22163</v>
      </c>
      <c r="AC1529" s="4">
        <v>3580</v>
      </c>
      <c r="AD1529" s="4">
        <v>3580</v>
      </c>
      <c r="AE1529" s="4">
        <v>22626</v>
      </c>
      <c r="AF1529" s="4">
        <v>9000</v>
      </c>
    </row>
    <row r="1530" spans="1:32">
      <c r="A1530" s="2" t="s">
        <v>3192</v>
      </c>
      <c r="B1530" s="3">
        <v>46248</v>
      </c>
      <c r="C1530" s="36" t="s">
        <v>2816</v>
      </c>
      <c r="D1530" s="2">
        <f>MONTH(ProductionData[[#This Row],[Month]])</f>
        <v>8</v>
      </c>
      <c r="E1530" s="2" t="s">
        <v>125</v>
      </c>
      <c r="F1530" s="2" t="s">
        <v>80</v>
      </c>
      <c r="G1530" s="2" t="s">
        <v>195</v>
      </c>
      <c r="H1530" s="2" t="s">
        <v>196</v>
      </c>
      <c r="I1530" s="2" t="s">
        <v>197</v>
      </c>
      <c r="J1530" s="2" t="s">
        <v>586</v>
      </c>
      <c r="K1530" s="2" t="s">
        <v>587</v>
      </c>
      <c r="L1530" s="2" t="s">
        <v>3193</v>
      </c>
      <c r="M1530" s="2" t="s">
        <v>102</v>
      </c>
      <c r="N1530" s="2" t="s">
        <v>96</v>
      </c>
      <c r="O1530" s="2">
        <v>14</v>
      </c>
      <c r="P1530" s="2">
        <v>13</v>
      </c>
      <c r="Q1530" s="4">
        <v>6320</v>
      </c>
      <c r="R1530" s="4">
        <v>5540</v>
      </c>
      <c r="S1530" s="4">
        <v>62</v>
      </c>
      <c r="T1530" s="19">
        <f>(ProductionData[[#This Row],[Rejected_Qty]])/ProductionData[[#This Row],[Produced_Qty]]</f>
        <v>1.1191335740072202E-2</v>
      </c>
      <c r="U1530" s="19">
        <f>ProductionData[[#This Row],[Produced_Qty]]/ProductionData[[#This Row],[Planned_Qty]]</f>
        <v>0.87658227848101267</v>
      </c>
      <c r="V1530" s="2" t="s">
        <v>103</v>
      </c>
      <c r="W1530" s="11">
        <v>0</v>
      </c>
      <c r="X1530" s="13">
        <f>W1530/60</f>
        <v>0</v>
      </c>
      <c r="Y1530" s="2" t="s">
        <v>90</v>
      </c>
      <c r="Z1530" s="2">
        <v>51</v>
      </c>
      <c r="AA1530" s="2">
        <f>ProductionData[[#This Row],[Rejected_Qty]]*ProductionData[[#This Row],[Unit_Cost_INR]]</f>
        <v>3162</v>
      </c>
      <c r="AB1530" s="4">
        <v>23093</v>
      </c>
      <c r="AC1530" s="4">
        <v>5980</v>
      </c>
      <c r="AD1530" s="4">
        <v>5980</v>
      </c>
      <c r="AE1530" s="4">
        <v>22591</v>
      </c>
      <c r="AF1530" s="4">
        <v>9000</v>
      </c>
    </row>
    <row r="1531" spans="1:32">
      <c r="A1531" s="2" t="s">
        <v>3194</v>
      </c>
      <c r="B1531" s="3">
        <v>46241</v>
      </c>
      <c r="C1531" s="36" t="s">
        <v>2816</v>
      </c>
      <c r="D1531" s="2">
        <f>MONTH(ProductionData[[#This Row],[Month]])</f>
        <v>8</v>
      </c>
      <c r="E1531" s="2" t="s">
        <v>125</v>
      </c>
      <c r="F1531" s="2" t="s">
        <v>80</v>
      </c>
      <c r="G1531" s="2" t="s">
        <v>195</v>
      </c>
      <c r="H1531" s="2" t="s">
        <v>196</v>
      </c>
      <c r="I1531" s="2" t="s">
        <v>197</v>
      </c>
      <c r="J1531" s="2" t="s">
        <v>586</v>
      </c>
      <c r="K1531" s="2" t="s">
        <v>587</v>
      </c>
      <c r="L1531" s="2" t="s">
        <v>3195</v>
      </c>
      <c r="M1531" s="2" t="s">
        <v>102</v>
      </c>
      <c r="N1531" s="2" t="s">
        <v>96</v>
      </c>
      <c r="O1531" s="2">
        <v>14</v>
      </c>
      <c r="P1531" s="2">
        <v>14</v>
      </c>
      <c r="Q1531" s="4">
        <v>6130</v>
      </c>
      <c r="R1531" s="4">
        <v>5790</v>
      </c>
      <c r="S1531" s="4">
        <v>118</v>
      </c>
      <c r="T1531" s="19">
        <f>(ProductionData[[#This Row],[Rejected_Qty]])/ProductionData[[#This Row],[Produced_Qty]]</f>
        <v>2.0379965457685664E-2</v>
      </c>
      <c r="U1531" s="19">
        <f>ProductionData[[#This Row],[Produced_Qty]]/ProductionData[[#This Row],[Planned_Qty]]</f>
        <v>0.94453507340946163</v>
      </c>
      <c r="V1531" s="2" t="s">
        <v>75</v>
      </c>
      <c r="W1531" s="11">
        <v>20</v>
      </c>
      <c r="X1531" s="13">
        <f>W1531/60</f>
        <v>0.33333333333333331</v>
      </c>
      <c r="Y1531" s="2" t="s">
        <v>110</v>
      </c>
      <c r="Z1531" s="2">
        <v>51</v>
      </c>
      <c r="AA1531" s="2">
        <f>ProductionData[[#This Row],[Rejected_Qty]]*ProductionData[[#This Row],[Unit_Cost_INR]]</f>
        <v>6018</v>
      </c>
      <c r="AB1531" s="4">
        <v>21922</v>
      </c>
      <c r="AC1531" s="4">
        <v>5090</v>
      </c>
      <c r="AD1531" s="4">
        <v>5090</v>
      </c>
      <c r="AE1531" s="4">
        <v>22504</v>
      </c>
      <c r="AF1531" s="4">
        <v>9000</v>
      </c>
    </row>
    <row r="1532" spans="1:32">
      <c r="A1532" s="2" t="s">
        <v>3196</v>
      </c>
      <c r="B1532" s="3">
        <v>46236</v>
      </c>
      <c r="C1532" s="36" t="s">
        <v>2816</v>
      </c>
      <c r="D1532" s="2">
        <f>MONTH(ProductionData[[#This Row],[Month]])</f>
        <v>8</v>
      </c>
      <c r="E1532" s="2" t="s">
        <v>186</v>
      </c>
      <c r="F1532" s="2" t="s">
        <v>66</v>
      </c>
      <c r="G1532" s="2" t="s">
        <v>195</v>
      </c>
      <c r="H1532" s="2" t="s">
        <v>196</v>
      </c>
      <c r="I1532" s="2" t="s">
        <v>197</v>
      </c>
      <c r="J1532" s="2" t="s">
        <v>586</v>
      </c>
      <c r="K1532" s="2" t="s">
        <v>587</v>
      </c>
      <c r="L1532" s="2" t="s">
        <v>3197</v>
      </c>
      <c r="M1532" s="2" t="s">
        <v>99</v>
      </c>
      <c r="N1532" s="2" t="s">
        <v>96</v>
      </c>
      <c r="O1532" s="2">
        <v>14</v>
      </c>
      <c r="P1532" s="2">
        <v>13</v>
      </c>
      <c r="Q1532" s="4">
        <v>4350</v>
      </c>
      <c r="R1532" s="4">
        <v>4070</v>
      </c>
      <c r="S1532" s="4">
        <v>86</v>
      </c>
      <c r="T1532" s="19">
        <f>(ProductionData[[#This Row],[Rejected_Qty]])/ProductionData[[#This Row],[Produced_Qty]]</f>
        <v>2.113022113022113E-2</v>
      </c>
      <c r="U1532" s="19">
        <f>ProductionData[[#This Row],[Produced_Qty]]/ProductionData[[#This Row],[Planned_Qty]]</f>
        <v>0.93563218390804592</v>
      </c>
      <c r="V1532" s="2" t="s">
        <v>109</v>
      </c>
      <c r="W1532" s="11">
        <v>74</v>
      </c>
      <c r="X1532" s="13">
        <f>W1532/60</f>
        <v>1.2333333333333334</v>
      </c>
      <c r="Y1532" s="2" t="s">
        <v>76</v>
      </c>
      <c r="Z1532" s="2">
        <v>51</v>
      </c>
      <c r="AA1532" s="2">
        <f>ProductionData[[#This Row],[Rejected_Qty]]*ProductionData[[#This Row],[Unit_Cost_INR]]</f>
        <v>4386</v>
      </c>
      <c r="AB1532" s="4">
        <v>22009</v>
      </c>
      <c r="AC1532" s="4">
        <v>3810</v>
      </c>
      <c r="AD1532" s="4">
        <v>3810</v>
      </c>
      <c r="AE1532" s="4">
        <v>22183</v>
      </c>
      <c r="AF1532" s="4">
        <v>9000</v>
      </c>
    </row>
    <row r="1533" spans="1:32">
      <c r="A1533" s="2" t="s">
        <v>3198</v>
      </c>
      <c r="B1533" s="3">
        <v>46242</v>
      </c>
      <c r="C1533" s="36" t="s">
        <v>2816</v>
      </c>
      <c r="D1533" s="2">
        <f>MONTH(ProductionData[[#This Row],[Month]])</f>
        <v>8</v>
      </c>
      <c r="E1533" s="2" t="s">
        <v>65</v>
      </c>
      <c r="F1533" s="2" t="s">
        <v>93</v>
      </c>
      <c r="G1533" s="2" t="s">
        <v>195</v>
      </c>
      <c r="H1533" s="2" t="s">
        <v>196</v>
      </c>
      <c r="I1533" s="2" t="s">
        <v>197</v>
      </c>
      <c r="J1533" s="2" t="s">
        <v>586</v>
      </c>
      <c r="K1533" s="2" t="s">
        <v>587</v>
      </c>
      <c r="L1533" s="2" t="s">
        <v>3199</v>
      </c>
      <c r="M1533" s="2" t="s">
        <v>95</v>
      </c>
      <c r="N1533" s="2" t="s">
        <v>96</v>
      </c>
      <c r="O1533" s="2">
        <v>14</v>
      </c>
      <c r="P1533" s="2">
        <v>11</v>
      </c>
      <c r="Q1533" s="4">
        <v>6050</v>
      </c>
      <c r="R1533" s="4">
        <v>5390</v>
      </c>
      <c r="S1533" s="4">
        <v>131</v>
      </c>
      <c r="T1533" s="19">
        <f>(ProductionData[[#This Row],[Rejected_Qty]])/ProductionData[[#This Row],[Produced_Qty]]</f>
        <v>2.4304267161410018E-2</v>
      </c>
      <c r="U1533" s="19">
        <f>ProductionData[[#This Row],[Produced_Qty]]/ProductionData[[#This Row],[Planned_Qty]]</f>
        <v>0.89090909090909087</v>
      </c>
      <c r="V1533" s="2" t="s">
        <v>75</v>
      </c>
      <c r="W1533" s="11">
        <v>12</v>
      </c>
      <c r="X1533" s="13">
        <f>W1533/60</f>
        <v>0.2</v>
      </c>
      <c r="Y1533" s="2" t="s">
        <v>136</v>
      </c>
      <c r="Z1533" s="2">
        <v>51</v>
      </c>
      <c r="AA1533" s="2">
        <f>ProductionData[[#This Row],[Rejected_Qty]]*ProductionData[[#This Row],[Unit_Cost_INR]]</f>
        <v>6681</v>
      </c>
      <c r="AB1533" s="4">
        <v>22504</v>
      </c>
      <c r="AC1533" s="4">
        <v>5600</v>
      </c>
      <c r="AD1533" s="4">
        <v>5600</v>
      </c>
      <c r="AE1533" s="4">
        <v>22163</v>
      </c>
      <c r="AF1533" s="4">
        <v>9000</v>
      </c>
    </row>
    <row r="1534" spans="1:32">
      <c r="A1534" s="2" t="s">
        <v>3200</v>
      </c>
      <c r="B1534" s="3">
        <v>46235</v>
      </c>
      <c r="C1534" s="36" t="s">
        <v>2816</v>
      </c>
      <c r="D1534" s="2">
        <f>MONTH(ProductionData[[#This Row],[Month]])</f>
        <v>8</v>
      </c>
      <c r="E1534" s="2" t="s">
        <v>65</v>
      </c>
      <c r="F1534" s="2" t="s">
        <v>66</v>
      </c>
      <c r="G1534" s="2" t="s">
        <v>195</v>
      </c>
      <c r="H1534" s="2" t="s">
        <v>196</v>
      </c>
      <c r="I1534" s="2" t="s">
        <v>197</v>
      </c>
      <c r="J1534" s="2" t="s">
        <v>586</v>
      </c>
      <c r="K1534" s="2" t="s">
        <v>587</v>
      </c>
      <c r="L1534" s="2" t="s">
        <v>3201</v>
      </c>
      <c r="M1534" s="2" t="s">
        <v>99</v>
      </c>
      <c r="N1534" s="2" t="s">
        <v>96</v>
      </c>
      <c r="O1534" s="2">
        <v>14</v>
      </c>
      <c r="P1534" s="2">
        <v>14</v>
      </c>
      <c r="Q1534" s="4">
        <v>6360</v>
      </c>
      <c r="R1534" s="4">
        <v>6090</v>
      </c>
      <c r="S1534" s="4">
        <v>155</v>
      </c>
      <c r="T1534" s="19">
        <f>(ProductionData[[#This Row],[Rejected_Qty]])/ProductionData[[#This Row],[Produced_Qty]]</f>
        <v>2.5451559934318555E-2</v>
      </c>
      <c r="U1534" s="19">
        <f>ProductionData[[#This Row],[Produced_Qty]]/ProductionData[[#This Row],[Planned_Qty]]</f>
        <v>0.95754716981132071</v>
      </c>
      <c r="V1534" s="2" t="s">
        <v>113</v>
      </c>
      <c r="W1534" s="11">
        <v>0</v>
      </c>
      <c r="X1534" s="13">
        <f>W1534/60</f>
        <v>0</v>
      </c>
      <c r="Y1534" s="2" t="s">
        <v>90</v>
      </c>
      <c r="Z1534" s="2">
        <v>51</v>
      </c>
      <c r="AA1534" s="2">
        <f>ProductionData[[#This Row],[Rejected_Qty]]*ProductionData[[#This Row],[Unit_Cost_INR]]</f>
        <v>7905</v>
      </c>
      <c r="AB1534" s="4">
        <v>22004</v>
      </c>
      <c r="AC1534" s="4">
        <v>5930</v>
      </c>
      <c r="AD1534" s="4">
        <v>5930</v>
      </c>
      <c r="AE1534" s="4">
        <v>22009</v>
      </c>
      <c r="AF1534" s="4">
        <v>9000</v>
      </c>
    </row>
    <row r="1535" spans="1:32">
      <c r="A1535" s="2" t="s">
        <v>3202</v>
      </c>
      <c r="B1535" s="3">
        <v>46240</v>
      </c>
      <c r="C1535" s="36" t="s">
        <v>2816</v>
      </c>
      <c r="D1535" s="2">
        <f>MONTH(ProductionData[[#This Row],[Month]])</f>
        <v>8</v>
      </c>
      <c r="E1535" s="2" t="s">
        <v>107</v>
      </c>
      <c r="F1535" s="2" t="s">
        <v>93</v>
      </c>
      <c r="G1535" s="2" t="s">
        <v>195</v>
      </c>
      <c r="H1535" s="2" t="s">
        <v>196</v>
      </c>
      <c r="I1535" s="2" t="s">
        <v>197</v>
      </c>
      <c r="J1535" s="2" t="s">
        <v>586</v>
      </c>
      <c r="K1535" s="2" t="s">
        <v>587</v>
      </c>
      <c r="L1535" s="2" t="s">
        <v>3203</v>
      </c>
      <c r="M1535" s="2" t="s">
        <v>95</v>
      </c>
      <c r="N1535" s="2" t="s">
        <v>88</v>
      </c>
      <c r="O1535" s="2">
        <v>14</v>
      </c>
      <c r="P1535" s="2">
        <v>12</v>
      </c>
      <c r="Q1535" s="4">
        <v>5270</v>
      </c>
      <c r="R1535" s="4">
        <v>4680</v>
      </c>
      <c r="S1535" s="4">
        <v>71</v>
      </c>
      <c r="T1535" s="19">
        <f>(ProductionData[[#This Row],[Rejected_Qty]])/ProductionData[[#This Row],[Produced_Qty]]</f>
        <v>1.5170940170940171E-2</v>
      </c>
      <c r="U1535" s="19">
        <f>ProductionData[[#This Row],[Produced_Qty]]/ProductionData[[#This Row],[Planned_Qty]]</f>
        <v>0.88804554079696396</v>
      </c>
      <c r="V1535" s="2" t="s">
        <v>113</v>
      </c>
      <c r="W1535" s="11">
        <v>50</v>
      </c>
      <c r="X1535" s="13">
        <f>W1535/60</f>
        <v>0.83333333333333337</v>
      </c>
      <c r="Y1535" s="2" t="s">
        <v>114</v>
      </c>
      <c r="Z1535" s="2">
        <v>51</v>
      </c>
      <c r="AA1535" s="2">
        <f>ProductionData[[#This Row],[Rejected_Qty]]*ProductionData[[#This Row],[Unit_Cost_INR]]</f>
        <v>3621</v>
      </c>
      <c r="AB1535" s="4">
        <v>22183</v>
      </c>
      <c r="AC1535" s="4">
        <v>4870</v>
      </c>
      <c r="AD1535" s="4">
        <v>4870</v>
      </c>
      <c r="AE1535" s="4">
        <v>21922</v>
      </c>
      <c r="AF1535" s="4">
        <v>9000</v>
      </c>
    </row>
    <row r="1536" spans="1:32">
      <c r="A1536" s="2" t="s">
        <v>3204</v>
      </c>
      <c r="B1536" s="3">
        <v>46257</v>
      </c>
      <c r="C1536" s="36" t="s">
        <v>2816</v>
      </c>
      <c r="D1536" s="2">
        <f>MONTH(ProductionData[[#This Row],[Month]])</f>
        <v>8</v>
      </c>
      <c r="E1536" s="2" t="s">
        <v>186</v>
      </c>
      <c r="F1536" s="2" t="s">
        <v>80</v>
      </c>
      <c r="G1536" s="2" t="s">
        <v>174</v>
      </c>
      <c r="H1536" s="2" t="s">
        <v>175</v>
      </c>
      <c r="I1536" s="2" t="s">
        <v>176</v>
      </c>
      <c r="J1536" s="2" t="s">
        <v>629</v>
      </c>
      <c r="K1536" s="2" t="s">
        <v>630</v>
      </c>
      <c r="L1536" s="2" t="s">
        <v>3205</v>
      </c>
      <c r="M1536" s="2" t="s">
        <v>87</v>
      </c>
      <c r="N1536" s="2" t="s">
        <v>88</v>
      </c>
      <c r="O1536" s="2">
        <v>10</v>
      </c>
      <c r="P1536" s="2">
        <v>10</v>
      </c>
      <c r="Q1536" s="4">
        <v>3250</v>
      </c>
      <c r="R1536" s="4">
        <v>3160</v>
      </c>
      <c r="S1536" s="4">
        <v>90</v>
      </c>
      <c r="T1536" s="19">
        <f>(ProductionData[[#This Row],[Rejected_Qty]])/ProductionData[[#This Row],[Produced_Qty]]</f>
        <v>2.8481012658227847E-2</v>
      </c>
      <c r="U1536" s="19">
        <f>ProductionData[[#This Row],[Produced_Qty]]/ProductionData[[#This Row],[Planned_Qty]]</f>
        <v>0.97230769230769232</v>
      </c>
      <c r="V1536" s="2" t="s">
        <v>113</v>
      </c>
      <c r="W1536" s="11">
        <v>51</v>
      </c>
      <c r="X1536" s="13">
        <f>W1536/60</f>
        <v>0.85</v>
      </c>
      <c r="Y1536" s="2" t="s">
        <v>110</v>
      </c>
      <c r="Z1536" s="2">
        <v>29</v>
      </c>
      <c r="AA1536" s="2">
        <f>ProductionData[[#This Row],[Rejected_Qty]]*ProductionData[[#This Row],[Unit_Cost_INR]]</f>
        <v>2610</v>
      </c>
      <c r="AB1536" s="4">
        <v>17053</v>
      </c>
      <c r="AC1536" s="4">
        <v>2620</v>
      </c>
      <c r="AD1536" s="4">
        <v>2620</v>
      </c>
      <c r="AE1536" s="4">
        <v>17503</v>
      </c>
      <c r="AF1536" s="4">
        <v>7500</v>
      </c>
    </row>
    <row r="1537" spans="1:32">
      <c r="A1537" s="2" t="s">
        <v>3206</v>
      </c>
      <c r="B1537" s="3">
        <v>46259</v>
      </c>
      <c r="C1537" s="36" t="s">
        <v>2816</v>
      </c>
      <c r="D1537" s="2">
        <f>MONTH(ProductionData[[#This Row],[Month]])</f>
        <v>8</v>
      </c>
      <c r="E1537" s="2" t="s">
        <v>92</v>
      </c>
      <c r="F1537" s="2" t="s">
        <v>93</v>
      </c>
      <c r="G1537" s="2" t="s">
        <v>174</v>
      </c>
      <c r="H1537" s="2" t="s">
        <v>175</v>
      </c>
      <c r="I1537" s="2" t="s">
        <v>176</v>
      </c>
      <c r="J1537" s="2" t="s">
        <v>629</v>
      </c>
      <c r="K1537" s="2" t="s">
        <v>630</v>
      </c>
      <c r="L1537" s="2" t="s">
        <v>3207</v>
      </c>
      <c r="M1537" s="2" t="s">
        <v>133</v>
      </c>
      <c r="N1537" s="2" t="s">
        <v>96</v>
      </c>
      <c r="O1537" s="2">
        <v>10</v>
      </c>
      <c r="P1537" s="2">
        <v>10</v>
      </c>
      <c r="Q1537" s="4">
        <v>4690</v>
      </c>
      <c r="R1537" s="4">
        <v>4600</v>
      </c>
      <c r="S1537" s="4">
        <v>96</v>
      </c>
      <c r="T1537" s="19">
        <f>(ProductionData[[#This Row],[Rejected_Qty]])/ProductionData[[#This Row],[Produced_Qty]]</f>
        <v>2.0869565217391306E-2</v>
      </c>
      <c r="U1537" s="19">
        <f>ProductionData[[#This Row],[Produced_Qty]]/ProductionData[[#This Row],[Planned_Qty]]</f>
        <v>0.98081023454157779</v>
      </c>
      <c r="V1537" s="2" t="s">
        <v>75</v>
      </c>
      <c r="W1537" s="11">
        <v>30</v>
      </c>
      <c r="X1537" s="13">
        <f>W1537/60</f>
        <v>0.5</v>
      </c>
      <c r="Y1537" s="2" t="s">
        <v>110</v>
      </c>
      <c r="Z1537" s="2">
        <v>29</v>
      </c>
      <c r="AA1537" s="2">
        <f>ProductionData[[#This Row],[Rejected_Qty]]*ProductionData[[#This Row],[Unit_Cost_INR]]</f>
        <v>2784</v>
      </c>
      <c r="AB1537" s="4">
        <v>17393</v>
      </c>
      <c r="AC1537" s="4">
        <v>4410</v>
      </c>
      <c r="AD1537" s="4">
        <v>4410</v>
      </c>
      <c r="AE1537" s="4">
        <v>17487</v>
      </c>
      <c r="AF1537" s="4">
        <v>7500</v>
      </c>
    </row>
    <row r="1538" spans="1:32">
      <c r="A1538" s="2" t="s">
        <v>3208</v>
      </c>
      <c r="B1538" s="3">
        <v>46258</v>
      </c>
      <c r="C1538" s="36" t="s">
        <v>2816</v>
      </c>
      <c r="D1538" s="2">
        <f>MONTH(ProductionData[[#This Row],[Month]])</f>
        <v>8</v>
      </c>
      <c r="E1538" s="2" t="s">
        <v>116</v>
      </c>
      <c r="F1538" s="2" t="s">
        <v>93</v>
      </c>
      <c r="G1538" s="2" t="s">
        <v>174</v>
      </c>
      <c r="H1538" s="2" t="s">
        <v>175</v>
      </c>
      <c r="I1538" s="2" t="s">
        <v>176</v>
      </c>
      <c r="J1538" s="2" t="s">
        <v>629</v>
      </c>
      <c r="K1538" s="2" t="s">
        <v>630</v>
      </c>
      <c r="L1538" s="2" t="s">
        <v>3209</v>
      </c>
      <c r="M1538" s="2" t="s">
        <v>133</v>
      </c>
      <c r="N1538" s="2" t="s">
        <v>96</v>
      </c>
      <c r="O1538" s="2">
        <v>10</v>
      </c>
      <c r="P1538" s="2">
        <v>9</v>
      </c>
      <c r="Q1538" s="4">
        <v>4860</v>
      </c>
      <c r="R1538" s="4">
        <v>4550</v>
      </c>
      <c r="S1538" s="4">
        <v>110</v>
      </c>
      <c r="T1538" s="19">
        <f>(ProductionData[[#This Row],[Rejected_Qty]])/ProductionData[[#This Row],[Produced_Qty]]</f>
        <v>2.4175824175824177E-2</v>
      </c>
      <c r="U1538" s="19">
        <f>ProductionData[[#This Row],[Produced_Qty]]/ProductionData[[#This Row],[Planned_Qty]]</f>
        <v>0.93621399176954734</v>
      </c>
      <c r="V1538" s="2" t="s">
        <v>109</v>
      </c>
      <c r="W1538" s="11">
        <v>0</v>
      </c>
      <c r="X1538" s="13">
        <f>W1538/60</f>
        <v>0</v>
      </c>
      <c r="Y1538" s="2" t="s">
        <v>90</v>
      </c>
      <c r="Z1538" s="2">
        <v>29</v>
      </c>
      <c r="AA1538" s="2">
        <f>ProductionData[[#This Row],[Rejected_Qty]]*ProductionData[[#This Row],[Unit_Cost_INR]]</f>
        <v>3190</v>
      </c>
      <c r="AB1538" s="4">
        <v>17503</v>
      </c>
      <c r="AC1538" s="4">
        <v>4550</v>
      </c>
      <c r="AD1538" s="4">
        <v>4550</v>
      </c>
      <c r="AE1538" s="4">
        <v>17393</v>
      </c>
      <c r="AF1538" s="4">
        <v>7500</v>
      </c>
    </row>
    <row r="1539" spans="1:32">
      <c r="A1539" s="2" t="s">
        <v>3210</v>
      </c>
      <c r="B1539" s="3">
        <v>46262</v>
      </c>
      <c r="C1539" s="36" t="s">
        <v>2816</v>
      </c>
      <c r="D1539" s="2">
        <f>MONTH(ProductionData[[#This Row],[Month]])</f>
        <v>8</v>
      </c>
      <c r="E1539" s="2" t="s">
        <v>125</v>
      </c>
      <c r="F1539" s="2" t="s">
        <v>93</v>
      </c>
      <c r="G1539" s="2" t="s">
        <v>174</v>
      </c>
      <c r="H1539" s="2" t="s">
        <v>175</v>
      </c>
      <c r="I1539" s="2" t="s">
        <v>176</v>
      </c>
      <c r="J1539" s="2" t="s">
        <v>629</v>
      </c>
      <c r="K1539" s="2" t="s">
        <v>630</v>
      </c>
      <c r="L1539" s="2" t="s">
        <v>3211</v>
      </c>
      <c r="M1539" s="2" t="s">
        <v>95</v>
      </c>
      <c r="N1539" s="2" t="s">
        <v>96</v>
      </c>
      <c r="O1539" s="2">
        <v>10</v>
      </c>
      <c r="P1539" s="2">
        <v>8</v>
      </c>
      <c r="Q1539" s="4">
        <v>4710</v>
      </c>
      <c r="R1539" s="4">
        <v>4340</v>
      </c>
      <c r="S1539" s="4">
        <v>154</v>
      </c>
      <c r="T1539" s="19">
        <f>(ProductionData[[#This Row],[Rejected_Qty]])/ProductionData[[#This Row],[Produced_Qty]]</f>
        <v>3.5483870967741936E-2</v>
      </c>
      <c r="U1539" s="19">
        <f>ProductionData[[#This Row],[Produced_Qty]]/ProductionData[[#This Row],[Planned_Qty]]</f>
        <v>0.92144373673036095</v>
      </c>
      <c r="V1539" s="2" t="s">
        <v>89</v>
      </c>
      <c r="W1539" s="11">
        <v>20</v>
      </c>
      <c r="X1539" s="13">
        <f>W1539/60</f>
        <v>0.33333333333333331</v>
      </c>
      <c r="Y1539" s="2" t="s">
        <v>136</v>
      </c>
      <c r="Z1539" s="2">
        <v>29</v>
      </c>
      <c r="AA1539" s="2">
        <f>ProductionData[[#This Row],[Rejected_Qty]]*ProductionData[[#This Row],[Unit_Cost_INR]]</f>
        <v>4466</v>
      </c>
      <c r="AB1539" s="4">
        <v>17487</v>
      </c>
      <c r="AC1539" s="4">
        <v>4340</v>
      </c>
      <c r="AD1539" s="4">
        <v>4340</v>
      </c>
      <c r="AE1539" s="4">
        <v>17333</v>
      </c>
      <c r="AF1539" s="4">
        <v>7500</v>
      </c>
    </row>
    <row r="1540" spans="1:32">
      <c r="A1540" s="2" t="s">
        <v>3212</v>
      </c>
      <c r="B1540" s="3">
        <v>46264</v>
      </c>
      <c r="C1540" s="36" t="s">
        <v>2816</v>
      </c>
      <c r="D1540" s="2">
        <f>MONTH(ProductionData[[#This Row],[Month]])</f>
        <v>8</v>
      </c>
      <c r="E1540" s="2" t="s">
        <v>186</v>
      </c>
      <c r="F1540" s="2" t="s">
        <v>66</v>
      </c>
      <c r="G1540" s="2" t="s">
        <v>174</v>
      </c>
      <c r="H1540" s="2" t="s">
        <v>175</v>
      </c>
      <c r="I1540" s="2" t="s">
        <v>176</v>
      </c>
      <c r="J1540" s="2" t="s">
        <v>629</v>
      </c>
      <c r="K1540" s="2" t="s">
        <v>630</v>
      </c>
      <c r="L1540" s="2" t="s">
        <v>3213</v>
      </c>
      <c r="M1540" s="2" t="s">
        <v>73</v>
      </c>
      <c r="N1540" s="2" t="s">
        <v>88</v>
      </c>
      <c r="O1540" s="2">
        <v>10</v>
      </c>
      <c r="P1540" s="2">
        <v>9</v>
      </c>
      <c r="Q1540" s="4">
        <v>3600</v>
      </c>
      <c r="R1540" s="4">
        <v>3410</v>
      </c>
      <c r="S1540" s="4">
        <v>91</v>
      </c>
      <c r="T1540" s="19">
        <f>(ProductionData[[#This Row],[Rejected_Qty]])/ProductionData[[#This Row],[Produced_Qty]]</f>
        <v>2.6686217008797655E-2</v>
      </c>
      <c r="U1540" s="19">
        <f>ProductionData[[#This Row],[Produced_Qty]]/ProductionData[[#This Row],[Planned_Qty]]</f>
        <v>0.94722222222222219</v>
      </c>
      <c r="V1540" s="2" t="s">
        <v>103</v>
      </c>
      <c r="W1540" s="11">
        <v>47</v>
      </c>
      <c r="X1540" s="13">
        <f>W1540/60</f>
        <v>0.78333333333333333</v>
      </c>
      <c r="Y1540" s="2" t="s">
        <v>136</v>
      </c>
      <c r="Z1540" s="2">
        <v>29</v>
      </c>
      <c r="AA1540" s="2">
        <f>ProductionData[[#This Row],[Rejected_Qty]]*ProductionData[[#This Row],[Unit_Cost_INR]]</f>
        <v>2639</v>
      </c>
      <c r="AB1540" s="4">
        <v>17333</v>
      </c>
      <c r="AC1540" s="4">
        <v>3540</v>
      </c>
      <c r="AD1540" s="4">
        <v>3540</v>
      </c>
      <c r="AE1540" s="4">
        <v>17112</v>
      </c>
      <c r="AF1540" s="4">
        <v>7500</v>
      </c>
    </row>
    <row r="1541" spans="1:32">
      <c r="A1541" s="2" t="s">
        <v>3214</v>
      </c>
      <c r="B1541" s="3">
        <v>46255</v>
      </c>
      <c r="C1541" s="36" t="s">
        <v>2816</v>
      </c>
      <c r="D1541" s="2">
        <f>MONTH(ProductionData[[#This Row],[Month]])</f>
        <v>8</v>
      </c>
      <c r="E1541" s="2" t="s">
        <v>125</v>
      </c>
      <c r="F1541" s="2" t="s">
        <v>66</v>
      </c>
      <c r="G1541" s="2" t="s">
        <v>174</v>
      </c>
      <c r="H1541" s="2" t="s">
        <v>175</v>
      </c>
      <c r="I1541" s="2" t="s">
        <v>176</v>
      </c>
      <c r="J1541" s="2" t="s">
        <v>629</v>
      </c>
      <c r="K1541" s="2" t="s">
        <v>630</v>
      </c>
      <c r="L1541" s="2" t="s">
        <v>3215</v>
      </c>
      <c r="M1541" s="2" t="s">
        <v>73</v>
      </c>
      <c r="N1541" s="2" t="s">
        <v>88</v>
      </c>
      <c r="O1541" s="2">
        <v>10</v>
      </c>
      <c r="P1541" s="2">
        <v>10</v>
      </c>
      <c r="Q1541" s="4">
        <v>4720</v>
      </c>
      <c r="R1541" s="4">
        <v>4410</v>
      </c>
      <c r="S1541" s="4">
        <v>144</v>
      </c>
      <c r="T1541" s="19">
        <f>(ProductionData[[#This Row],[Rejected_Qty]])/ProductionData[[#This Row],[Produced_Qty]]</f>
        <v>3.2653061224489799E-2</v>
      </c>
      <c r="U1541" s="19">
        <f>ProductionData[[#This Row],[Produced_Qty]]/ProductionData[[#This Row],[Planned_Qty]]</f>
        <v>0.93432203389830504</v>
      </c>
      <c r="V1541" s="2" t="s">
        <v>89</v>
      </c>
      <c r="W1541" s="11">
        <v>0</v>
      </c>
      <c r="X1541" s="13">
        <f>W1541/60</f>
        <v>0</v>
      </c>
      <c r="Y1541" s="2" t="s">
        <v>90</v>
      </c>
      <c r="Z1541" s="2">
        <v>29</v>
      </c>
      <c r="AA1541" s="2">
        <f>ProductionData[[#This Row],[Rejected_Qty]]*ProductionData[[#This Row],[Unit_Cost_INR]]</f>
        <v>4176</v>
      </c>
      <c r="AB1541" s="4">
        <v>16799</v>
      </c>
      <c r="AC1541" s="4">
        <v>3960</v>
      </c>
      <c r="AD1541" s="4">
        <v>3960</v>
      </c>
      <c r="AE1541" s="4">
        <v>17105</v>
      </c>
      <c r="AF1541" s="4">
        <v>7500</v>
      </c>
    </row>
    <row r="1542" spans="1:32">
      <c r="A1542" s="2" t="s">
        <v>3216</v>
      </c>
      <c r="B1542" s="3">
        <v>46235</v>
      </c>
      <c r="C1542" s="36" t="s">
        <v>2816</v>
      </c>
      <c r="D1542" s="2">
        <f>MONTH(ProductionData[[#This Row],[Month]])</f>
        <v>8</v>
      </c>
      <c r="E1542" s="2" t="s">
        <v>65</v>
      </c>
      <c r="F1542" s="2" t="s">
        <v>93</v>
      </c>
      <c r="G1542" s="2" t="s">
        <v>67</v>
      </c>
      <c r="H1542" s="2" t="s">
        <v>68</v>
      </c>
      <c r="I1542" s="2" t="s">
        <v>69</v>
      </c>
      <c r="J1542" s="2" t="s">
        <v>70</v>
      </c>
      <c r="K1542" s="2" t="s">
        <v>71</v>
      </c>
      <c r="L1542" s="2" t="s">
        <v>3217</v>
      </c>
      <c r="M1542" s="2" t="s">
        <v>95</v>
      </c>
      <c r="N1542" s="2" t="s">
        <v>88</v>
      </c>
      <c r="O1542" s="2">
        <v>16</v>
      </c>
      <c r="P1542" s="2">
        <v>15</v>
      </c>
      <c r="Q1542" s="4">
        <v>6570</v>
      </c>
      <c r="R1542" s="4">
        <v>6180</v>
      </c>
      <c r="S1542" s="4">
        <v>103</v>
      </c>
      <c r="T1542" s="19">
        <f>(ProductionData[[#This Row],[Rejected_Qty]])/ProductionData[[#This Row],[Produced_Qty]]</f>
        <v>1.6666666666666666E-2</v>
      </c>
      <c r="U1542" s="19">
        <f>ProductionData[[#This Row],[Produced_Qty]]/ProductionData[[#This Row],[Planned_Qty]]</f>
        <v>0.94063926940639264</v>
      </c>
      <c r="V1542" s="2" t="s">
        <v>75</v>
      </c>
      <c r="W1542" s="11">
        <v>42</v>
      </c>
      <c r="X1542" s="13">
        <f>W1542/60</f>
        <v>0.7</v>
      </c>
      <c r="Y1542" s="2" t="s">
        <v>136</v>
      </c>
      <c r="Z1542" s="2">
        <v>46</v>
      </c>
      <c r="AA1542" s="2">
        <f>ProductionData[[#This Row],[Rejected_Qty]]*ProductionData[[#This Row],[Unit_Cost_INR]]</f>
        <v>4738</v>
      </c>
      <c r="AB1542" s="4">
        <v>17472</v>
      </c>
      <c r="AC1542" s="4">
        <v>6460</v>
      </c>
      <c r="AD1542" s="4">
        <v>6460</v>
      </c>
      <c r="AE1542" s="4">
        <v>17089</v>
      </c>
      <c r="AF1542" s="4">
        <v>10500</v>
      </c>
    </row>
    <row r="1543" spans="1:32">
      <c r="A1543" s="2" t="s">
        <v>3218</v>
      </c>
      <c r="B1543" s="3">
        <v>46255</v>
      </c>
      <c r="C1543" s="36" t="s">
        <v>2816</v>
      </c>
      <c r="D1543" s="2">
        <f>MONTH(ProductionData[[#This Row],[Month]])</f>
        <v>8</v>
      </c>
      <c r="E1543" s="2" t="s">
        <v>125</v>
      </c>
      <c r="F1543" s="2" t="s">
        <v>93</v>
      </c>
      <c r="G1543" s="2" t="s">
        <v>174</v>
      </c>
      <c r="H1543" s="2" t="s">
        <v>175</v>
      </c>
      <c r="I1543" s="2" t="s">
        <v>176</v>
      </c>
      <c r="J1543" s="2" t="s">
        <v>629</v>
      </c>
      <c r="K1543" s="2" t="s">
        <v>630</v>
      </c>
      <c r="L1543" s="2" t="s">
        <v>3219</v>
      </c>
      <c r="M1543" s="2" t="s">
        <v>95</v>
      </c>
      <c r="N1543" s="2" t="s">
        <v>96</v>
      </c>
      <c r="O1543" s="2">
        <v>10</v>
      </c>
      <c r="P1543" s="2">
        <v>10</v>
      </c>
      <c r="Q1543" s="4">
        <v>4930</v>
      </c>
      <c r="R1543" s="4">
        <v>4620</v>
      </c>
      <c r="S1543" s="4">
        <v>132</v>
      </c>
      <c r="T1543" s="19">
        <f>(ProductionData[[#This Row],[Rejected_Qty]])/ProductionData[[#This Row],[Produced_Qty]]</f>
        <v>2.8571428571428571E-2</v>
      </c>
      <c r="U1543" s="19">
        <f>ProductionData[[#This Row],[Produced_Qty]]/ProductionData[[#This Row],[Planned_Qty]]</f>
        <v>0.93711967545638941</v>
      </c>
      <c r="V1543" s="2" t="s">
        <v>75</v>
      </c>
      <c r="W1543" s="11">
        <v>0</v>
      </c>
      <c r="X1543" s="13">
        <f>W1543/60</f>
        <v>0</v>
      </c>
      <c r="Y1543" s="2" t="s">
        <v>90</v>
      </c>
      <c r="Z1543" s="2">
        <v>29</v>
      </c>
      <c r="AA1543" s="2">
        <f>ProductionData[[#This Row],[Rejected_Qty]]*ProductionData[[#This Row],[Unit_Cost_INR]]</f>
        <v>3828</v>
      </c>
      <c r="AB1543" s="4">
        <v>17105</v>
      </c>
      <c r="AC1543" s="4">
        <v>4540</v>
      </c>
      <c r="AD1543" s="4">
        <v>4540</v>
      </c>
      <c r="AE1543" s="4">
        <v>17053</v>
      </c>
      <c r="AF1543" s="4">
        <v>7500</v>
      </c>
    </row>
    <row r="1544" spans="1:32">
      <c r="A1544" s="2" t="s">
        <v>3220</v>
      </c>
      <c r="B1544" s="3">
        <v>46254</v>
      </c>
      <c r="C1544" s="36" t="s">
        <v>2816</v>
      </c>
      <c r="D1544" s="2">
        <f>MONTH(ProductionData[[#This Row],[Month]])</f>
        <v>8</v>
      </c>
      <c r="E1544" s="2" t="s">
        <v>107</v>
      </c>
      <c r="F1544" s="2" t="s">
        <v>80</v>
      </c>
      <c r="G1544" s="2" t="s">
        <v>174</v>
      </c>
      <c r="H1544" s="2" t="s">
        <v>175</v>
      </c>
      <c r="I1544" s="2" t="s">
        <v>176</v>
      </c>
      <c r="J1544" s="2" t="s">
        <v>629</v>
      </c>
      <c r="K1544" s="2" t="s">
        <v>630</v>
      </c>
      <c r="L1544" s="2" t="s">
        <v>3221</v>
      </c>
      <c r="M1544" s="2" t="s">
        <v>87</v>
      </c>
      <c r="N1544" s="2" t="s">
        <v>88</v>
      </c>
      <c r="O1544" s="2">
        <v>10</v>
      </c>
      <c r="P1544" s="2">
        <v>10</v>
      </c>
      <c r="Q1544" s="4">
        <v>4870</v>
      </c>
      <c r="R1544" s="4">
        <v>4630</v>
      </c>
      <c r="S1544" s="4">
        <v>111</v>
      </c>
      <c r="T1544" s="19">
        <f>(ProductionData[[#This Row],[Rejected_Qty]])/ProductionData[[#This Row],[Produced_Qty]]</f>
        <v>2.3974082073434124E-2</v>
      </c>
      <c r="U1544" s="19">
        <f>ProductionData[[#This Row],[Produced_Qty]]/ProductionData[[#This Row],[Planned_Qty]]</f>
        <v>0.95071868583162222</v>
      </c>
      <c r="V1544" s="2" t="s">
        <v>89</v>
      </c>
      <c r="W1544" s="11">
        <v>0</v>
      </c>
      <c r="X1544" s="13">
        <f>W1544/60</f>
        <v>0</v>
      </c>
      <c r="Y1544" s="2" t="s">
        <v>90</v>
      </c>
      <c r="Z1544" s="2">
        <v>29</v>
      </c>
      <c r="AA1544" s="2">
        <f>ProductionData[[#This Row],[Rejected_Qty]]*ProductionData[[#This Row],[Unit_Cost_INR]]</f>
        <v>3219</v>
      </c>
      <c r="AB1544" s="4">
        <v>16620</v>
      </c>
      <c r="AC1544" s="4">
        <v>4340</v>
      </c>
      <c r="AD1544" s="4">
        <v>4340</v>
      </c>
      <c r="AE1544" s="4">
        <v>16799</v>
      </c>
      <c r="AF1544" s="4">
        <v>7500</v>
      </c>
    </row>
    <row r="1545" spans="1:32">
      <c r="A1545" s="2" t="s">
        <v>3222</v>
      </c>
      <c r="B1545" s="3">
        <v>46265</v>
      </c>
      <c r="C1545" s="36" t="s">
        <v>2816</v>
      </c>
      <c r="D1545" s="2">
        <f>MONTH(ProductionData[[#This Row],[Month]])</f>
        <v>8</v>
      </c>
      <c r="E1545" s="2" t="s">
        <v>116</v>
      </c>
      <c r="F1545" s="2" t="s">
        <v>93</v>
      </c>
      <c r="G1545" s="2" t="s">
        <v>174</v>
      </c>
      <c r="H1545" s="2" t="s">
        <v>175</v>
      </c>
      <c r="I1545" s="2" t="s">
        <v>176</v>
      </c>
      <c r="J1545" s="2" t="s">
        <v>629</v>
      </c>
      <c r="K1545" s="2" t="s">
        <v>630</v>
      </c>
      <c r="L1545" s="2" t="s">
        <v>3223</v>
      </c>
      <c r="M1545" s="2" t="s">
        <v>133</v>
      </c>
      <c r="N1545" s="2" t="s">
        <v>96</v>
      </c>
      <c r="O1545" s="2">
        <v>10</v>
      </c>
      <c r="P1545" s="2">
        <v>9</v>
      </c>
      <c r="Q1545" s="4">
        <v>5120</v>
      </c>
      <c r="R1545" s="4">
        <v>4750</v>
      </c>
      <c r="S1545" s="4">
        <v>135</v>
      </c>
      <c r="T1545" s="19">
        <f>(ProductionData[[#This Row],[Rejected_Qty]])/ProductionData[[#This Row],[Produced_Qty]]</f>
        <v>2.8421052631578948E-2</v>
      </c>
      <c r="U1545" s="19">
        <f>ProductionData[[#This Row],[Produced_Qty]]/ProductionData[[#This Row],[Planned_Qty]]</f>
        <v>0.927734375</v>
      </c>
      <c r="V1545" s="2" t="s">
        <v>89</v>
      </c>
      <c r="W1545" s="11">
        <v>0</v>
      </c>
      <c r="X1545" s="13">
        <f>W1545/60</f>
        <v>0</v>
      </c>
      <c r="Y1545" s="2" t="s">
        <v>90</v>
      </c>
      <c r="Z1545" s="2">
        <v>29</v>
      </c>
      <c r="AA1545" s="2">
        <f>ProductionData[[#This Row],[Rejected_Qty]]*ProductionData[[#This Row],[Unit_Cost_INR]]</f>
        <v>3915</v>
      </c>
      <c r="AB1545" s="4">
        <v>17112</v>
      </c>
      <c r="AC1545" s="4">
        <v>4960</v>
      </c>
      <c r="AD1545" s="4">
        <v>4960</v>
      </c>
      <c r="AE1545" s="4">
        <v>16767</v>
      </c>
      <c r="AF1545" s="4">
        <v>7500</v>
      </c>
    </row>
    <row r="1546" spans="1:32">
      <c r="A1546" s="2" t="s">
        <v>3224</v>
      </c>
      <c r="B1546" s="3">
        <v>46253</v>
      </c>
      <c r="C1546" s="36" t="s">
        <v>2816</v>
      </c>
      <c r="D1546" s="2">
        <f>MONTH(ProductionData[[#This Row],[Month]])</f>
        <v>8</v>
      </c>
      <c r="E1546" s="2" t="s">
        <v>79</v>
      </c>
      <c r="F1546" s="2" t="s">
        <v>66</v>
      </c>
      <c r="G1546" s="2" t="s">
        <v>174</v>
      </c>
      <c r="H1546" s="2" t="s">
        <v>175</v>
      </c>
      <c r="I1546" s="2" t="s">
        <v>176</v>
      </c>
      <c r="J1546" s="2" t="s">
        <v>629</v>
      </c>
      <c r="K1546" s="2" t="s">
        <v>630</v>
      </c>
      <c r="L1546" s="2" t="s">
        <v>3225</v>
      </c>
      <c r="M1546" s="2" t="s">
        <v>99</v>
      </c>
      <c r="N1546" s="2" t="s">
        <v>88</v>
      </c>
      <c r="O1546" s="2">
        <v>10</v>
      </c>
      <c r="P1546" s="2">
        <v>10</v>
      </c>
      <c r="Q1546" s="4">
        <v>4750</v>
      </c>
      <c r="R1546" s="4">
        <v>4600</v>
      </c>
      <c r="S1546" s="4">
        <v>75</v>
      </c>
      <c r="T1546" s="19">
        <f>(ProductionData[[#This Row],[Rejected_Qty]])/ProductionData[[#This Row],[Produced_Qty]]</f>
        <v>1.6304347826086956E-2</v>
      </c>
      <c r="U1546" s="19">
        <f>ProductionData[[#This Row],[Produced_Qty]]/ProductionData[[#This Row],[Planned_Qty]]</f>
        <v>0.96842105263157896</v>
      </c>
      <c r="V1546" s="2" t="s">
        <v>89</v>
      </c>
      <c r="W1546" s="11">
        <v>0</v>
      </c>
      <c r="X1546" s="13">
        <f>W1546/60</f>
        <v>0</v>
      </c>
      <c r="Y1546" s="2" t="s">
        <v>90</v>
      </c>
      <c r="Z1546" s="2">
        <v>29</v>
      </c>
      <c r="AA1546" s="2">
        <f>ProductionData[[#This Row],[Rejected_Qty]]*ProductionData[[#This Row],[Unit_Cost_INR]]</f>
        <v>2175</v>
      </c>
      <c r="AB1546" s="4">
        <v>16385</v>
      </c>
      <c r="AC1546" s="4">
        <v>4290</v>
      </c>
      <c r="AD1546" s="4">
        <v>4290</v>
      </c>
      <c r="AE1546" s="4">
        <v>16620</v>
      </c>
      <c r="AF1546" s="4">
        <v>7500</v>
      </c>
    </row>
    <row r="1547" spans="1:32">
      <c r="A1547" s="2" t="s">
        <v>3226</v>
      </c>
      <c r="B1547" s="3">
        <v>46248</v>
      </c>
      <c r="C1547" s="36" t="s">
        <v>2816</v>
      </c>
      <c r="D1547" s="2">
        <f>MONTH(ProductionData[[#This Row],[Month]])</f>
        <v>8</v>
      </c>
      <c r="E1547" s="2" t="s">
        <v>125</v>
      </c>
      <c r="F1547" s="2" t="s">
        <v>80</v>
      </c>
      <c r="G1547" s="2" t="s">
        <v>174</v>
      </c>
      <c r="H1547" s="2" t="s">
        <v>175</v>
      </c>
      <c r="I1547" s="2" t="s">
        <v>176</v>
      </c>
      <c r="J1547" s="2" t="s">
        <v>629</v>
      </c>
      <c r="K1547" s="2" t="s">
        <v>630</v>
      </c>
      <c r="L1547" s="2" t="s">
        <v>3227</v>
      </c>
      <c r="M1547" s="2" t="s">
        <v>102</v>
      </c>
      <c r="N1547" s="2" t="s">
        <v>96</v>
      </c>
      <c r="O1547" s="2">
        <v>10</v>
      </c>
      <c r="P1547" s="2">
        <v>10</v>
      </c>
      <c r="Q1547" s="4">
        <v>4950</v>
      </c>
      <c r="R1547" s="4">
        <v>4880</v>
      </c>
      <c r="S1547" s="4">
        <v>101</v>
      </c>
      <c r="T1547" s="19">
        <f>(ProductionData[[#This Row],[Rejected_Qty]])/ProductionData[[#This Row],[Produced_Qty]]</f>
        <v>2.0696721311475409E-2</v>
      </c>
      <c r="U1547" s="19">
        <f>ProductionData[[#This Row],[Produced_Qty]]/ProductionData[[#This Row],[Planned_Qty]]</f>
        <v>0.98585858585858588</v>
      </c>
      <c r="V1547" s="2" t="s">
        <v>109</v>
      </c>
      <c r="W1547" s="11">
        <v>52</v>
      </c>
      <c r="X1547" s="13">
        <f>W1547/60</f>
        <v>0.8666666666666667</v>
      </c>
      <c r="Y1547" s="2" t="s">
        <v>110</v>
      </c>
      <c r="Z1547" s="2">
        <v>29</v>
      </c>
      <c r="AA1547" s="2">
        <f>ProductionData[[#This Row],[Rejected_Qty]]*ProductionData[[#This Row],[Unit_Cost_INR]]</f>
        <v>2929</v>
      </c>
      <c r="AB1547" s="4">
        <v>16152</v>
      </c>
      <c r="AC1547" s="4">
        <v>4520</v>
      </c>
      <c r="AD1547" s="4">
        <v>4520</v>
      </c>
      <c r="AE1547" s="4">
        <v>16411</v>
      </c>
      <c r="AF1547" s="4">
        <v>7500</v>
      </c>
    </row>
    <row r="1548" spans="1:32">
      <c r="A1548" s="2" t="s">
        <v>3228</v>
      </c>
      <c r="B1548" s="3">
        <v>46249</v>
      </c>
      <c r="C1548" s="36" t="s">
        <v>2816</v>
      </c>
      <c r="D1548" s="2">
        <f>MONTH(ProductionData[[#This Row],[Month]])</f>
        <v>8</v>
      </c>
      <c r="E1548" s="2" t="s">
        <v>65</v>
      </c>
      <c r="F1548" s="2" t="s">
        <v>66</v>
      </c>
      <c r="G1548" s="2" t="s">
        <v>174</v>
      </c>
      <c r="H1548" s="2" t="s">
        <v>175</v>
      </c>
      <c r="I1548" s="2" t="s">
        <v>176</v>
      </c>
      <c r="J1548" s="2" t="s">
        <v>629</v>
      </c>
      <c r="K1548" s="2" t="s">
        <v>630</v>
      </c>
      <c r="L1548" s="2" t="s">
        <v>3229</v>
      </c>
      <c r="M1548" s="2" t="s">
        <v>73</v>
      </c>
      <c r="N1548" s="2" t="s">
        <v>88</v>
      </c>
      <c r="O1548" s="2">
        <v>10</v>
      </c>
      <c r="P1548" s="2">
        <v>9</v>
      </c>
      <c r="Q1548" s="4">
        <v>5030</v>
      </c>
      <c r="R1548" s="4">
        <v>4650</v>
      </c>
      <c r="S1548" s="4">
        <v>143</v>
      </c>
      <c r="T1548" s="19">
        <f>(ProductionData[[#This Row],[Rejected_Qty]])/ProductionData[[#This Row],[Produced_Qty]]</f>
        <v>3.0752688172043012E-2</v>
      </c>
      <c r="U1548" s="19">
        <f>ProductionData[[#This Row],[Produced_Qty]]/ProductionData[[#This Row],[Planned_Qty]]</f>
        <v>0.92445328031809149</v>
      </c>
      <c r="V1548" s="2" t="s">
        <v>89</v>
      </c>
      <c r="W1548" s="11">
        <v>0</v>
      </c>
      <c r="X1548" s="13">
        <f>W1548/60</f>
        <v>0</v>
      </c>
      <c r="Y1548" s="2" t="s">
        <v>90</v>
      </c>
      <c r="Z1548" s="2">
        <v>29</v>
      </c>
      <c r="AA1548" s="2">
        <f>ProductionData[[#This Row],[Rejected_Qty]]*ProductionData[[#This Row],[Unit_Cost_INR]]</f>
        <v>4147</v>
      </c>
      <c r="AB1548" s="4">
        <v>16411</v>
      </c>
      <c r="AC1548" s="4">
        <v>4530</v>
      </c>
      <c r="AD1548" s="4">
        <v>4530</v>
      </c>
      <c r="AE1548" s="4">
        <v>16388</v>
      </c>
      <c r="AF1548" s="4">
        <v>7500</v>
      </c>
    </row>
    <row r="1549" spans="1:32">
      <c r="A1549" s="2" t="s">
        <v>3230</v>
      </c>
      <c r="B1549" s="3">
        <v>46252</v>
      </c>
      <c r="C1549" s="36" t="s">
        <v>2816</v>
      </c>
      <c r="D1549" s="2">
        <f>MONTH(ProductionData[[#This Row],[Month]])</f>
        <v>8</v>
      </c>
      <c r="E1549" s="2" t="s">
        <v>92</v>
      </c>
      <c r="F1549" s="2" t="s">
        <v>80</v>
      </c>
      <c r="G1549" s="2" t="s">
        <v>174</v>
      </c>
      <c r="H1549" s="2" t="s">
        <v>175</v>
      </c>
      <c r="I1549" s="2" t="s">
        <v>176</v>
      </c>
      <c r="J1549" s="2" t="s">
        <v>629</v>
      </c>
      <c r="K1549" s="2" t="s">
        <v>630</v>
      </c>
      <c r="L1549" s="2" t="s">
        <v>3231</v>
      </c>
      <c r="M1549" s="2" t="s">
        <v>102</v>
      </c>
      <c r="N1549" s="2" t="s">
        <v>96</v>
      </c>
      <c r="O1549" s="2">
        <v>10</v>
      </c>
      <c r="P1549" s="2">
        <v>9</v>
      </c>
      <c r="Q1549" s="4">
        <v>4860</v>
      </c>
      <c r="R1549" s="4">
        <v>4750</v>
      </c>
      <c r="S1549" s="4">
        <v>144</v>
      </c>
      <c r="T1549" s="19">
        <f>(ProductionData[[#This Row],[Rejected_Qty]])/ProductionData[[#This Row],[Produced_Qty]]</f>
        <v>3.0315789473684209E-2</v>
      </c>
      <c r="U1549" s="19">
        <f>ProductionData[[#This Row],[Produced_Qty]]/ProductionData[[#This Row],[Planned_Qty]]</f>
        <v>0.97736625514403297</v>
      </c>
      <c r="V1549" s="2" t="s">
        <v>103</v>
      </c>
      <c r="W1549" s="11">
        <v>0</v>
      </c>
      <c r="X1549" s="13">
        <f>W1549/60</f>
        <v>0</v>
      </c>
      <c r="Y1549" s="2" t="s">
        <v>90</v>
      </c>
      <c r="Z1549" s="2">
        <v>29</v>
      </c>
      <c r="AA1549" s="2">
        <f>ProductionData[[#This Row],[Rejected_Qty]]*ProductionData[[#This Row],[Unit_Cost_INR]]</f>
        <v>4176</v>
      </c>
      <c r="AB1549" s="4">
        <v>16119</v>
      </c>
      <c r="AC1549" s="4">
        <v>4340</v>
      </c>
      <c r="AD1549" s="4">
        <v>4340</v>
      </c>
      <c r="AE1549" s="4">
        <v>16385</v>
      </c>
      <c r="AF1549" s="4">
        <v>7500</v>
      </c>
    </row>
    <row r="1550" spans="1:32">
      <c r="A1550" s="2" t="s">
        <v>3232</v>
      </c>
      <c r="B1550" s="3">
        <v>46244</v>
      </c>
      <c r="C1550" s="36" t="s">
        <v>2816</v>
      </c>
      <c r="D1550" s="2">
        <f>MONTH(ProductionData[[#This Row],[Month]])</f>
        <v>8</v>
      </c>
      <c r="E1550" s="2" t="s">
        <v>116</v>
      </c>
      <c r="F1550" s="2" t="s">
        <v>80</v>
      </c>
      <c r="G1550" s="2" t="s">
        <v>174</v>
      </c>
      <c r="H1550" s="2" t="s">
        <v>175</v>
      </c>
      <c r="I1550" s="2" t="s">
        <v>176</v>
      </c>
      <c r="J1550" s="2" t="s">
        <v>629</v>
      </c>
      <c r="K1550" s="2" t="s">
        <v>630</v>
      </c>
      <c r="L1550" s="2" t="s">
        <v>3233</v>
      </c>
      <c r="M1550" s="2" t="s">
        <v>102</v>
      </c>
      <c r="N1550" s="2" t="s">
        <v>96</v>
      </c>
      <c r="O1550" s="2">
        <v>10</v>
      </c>
      <c r="P1550" s="2">
        <v>9</v>
      </c>
      <c r="Q1550" s="4">
        <v>4610</v>
      </c>
      <c r="R1550" s="4">
        <v>4230</v>
      </c>
      <c r="S1550" s="4">
        <v>65</v>
      </c>
      <c r="T1550" s="19">
        <f>(ProductionData[[#This Row],[Rejected_Qty]])/ProductionData[[#This Row],[Produced_Qty]]</f>
        <v>1.5366430260047281E-2</v>
      </c>
      <c r="U1550" s="19">
        <f>ProductionData[[#This Row],[Produced_Qty]]/ProductionData[[#This Row],[Planned_Qty]]</f>
        <v>0.91757049891540132</v>
      </c>
      <c r="V1550" s="2" t="s">
        <v>89</v>
      </c>
      <c r="W1550" s="11">
        <v>28</v>
      </c>
      <c r="X1550" s="13">
        <f>W1550/60</f>
        <v>0.46666666666666667</v>
      </c>
      <c r="Y1550" s="2" t="s">
        <v>136</v>
      </c>
      <c r="Z1550" s="2">
        <v>29</v>
      </c>
      <c r="AA1550" s="2">
        <f>ProductionData[[#This Row],[Rejected_Qty]]*ProductionData[[#This Row],[Unit_Cost_INR]]</f>
        <v>1885</v>
      </c>
      <c r="AB1550" s="4">
        <v>16007</v>
      </c>
      <c r="AC1550" s="4">
        <v>4020</v>
      </c>
      <c r="AD1550" s="4">
        <v>4020</v>
      </c>
      <c r="AE1550" s="4">
        <v>16152</v>
      </c>
      <c r="AF1550" s="4">
        <v>7500</v>
      </c>
    </row>
    <row r="1551" spans="1:32">
      <c r="A1551" s="2" t="s">
        <v>3234</v>
      </c>
      <c r="B1551" s="3">
        <v>46251</v>
      </c>
      <c r="C1551" s="36" t="s">
        <v>2816</v>
      </c>
      <c r="D1551" s="2">
        <f>MONTH(ProductionData[[#This Row],[Month]])</f>
        <v>8</v>
      </c>
      <c r="E1551" s="2" t="s">
        <v>116</v>
      </c>
      <c r="F1551" s="2" t="s">
        <v>93</v>
      </c>
      <c r="G1551" s="2" t="s">
        <v>174</v>
      </c>
      <c r="H1551" s="2" t="s">
        <v>175</v>
      </c>
      <c r="I1551" s="2" t="s">
        <v>176</v>
      </c>
      <c r="J1551" s="2" t="s">
        <v>629</v>
      </c>
      <c r="K1551" s="2" t="s">
        <v>630</v>
      </c>
      <c r="L1551" s="2" t="s">
        <v>3235</v>
      </c>
      <c r="M1551" s="2" t="s">
        <v>133</v>
      </c>
      <c r="N1551" s="2" t="s">
        <v>88</v>
      </c>
      <c r="O1551" s="2">
        <v>10</v>
      </c>
      <c r="P1551" s="2">
        <v>8</v>
      </c>
      <c r="Q1551" s="4">
        <v>5090</v>
      </c>
      <c r="R1551" s="4">
        <v>4580</v>
      </c>
      <c r="S1551" s="4">
        <v>117</v>
      </c>
      <c r="T1551" s="19">
        <f>(ProductionData[[#This Row],[Rejected_Qty]])/ProductionData[[#This Row],[Produced_Qty]]</f>
        <v>2.5545851528384279E-2</v>
      </c>
      <c r="U1551" s="19">
        <f>ProductionData[[#This Row],[Produced_Qty]]/ProductionData[[#This Row],[Planned_Qty]]</f>
        <v>0.89980353634577603</v>
      </c>
      <c r="V1551" s="2" t="s">
        <v>89</v>
      </c>
      <c r="W1551" s="11">
        <v>34</v>
      </c>
      <c r="X1551" s="13">
        <f>W1551/60</f>
        <v>0.56666666666666665</v>
      </c>
      <c r="Y1551" s="2" t="s">
        <v>182</v>
      </c>
      <c r="Z1551" s="2">
        <v>29</v>
      </c>
      <c r="AA1551" s="2">
        <f>ProductionData[[#This Row],[Rejected_Qty]]*ProductionData[[#This Row],[Unit_Cost_INR]]</f>
        <v>3393</v>
      </c>
      <c r="AB1551" s="4">
        <v>15816</v>
      </c>
      <c r="AC1551" s="4">
        <v>4160</v>
      </c>
      <c r="AD1551" s="4">
        <v>4160</v>
      </c>
      <c r="AE1551" s="4">
        <v>16119</v>
      </c>
      <c r="AF1551" s="4">
        <v>7500</v>
      </c>
    </row>
    <row r="1552" spans="1:32">
      <c r="A1552" s="2" t="s">
        <v>3236</v>
      </c>
      <c r="B1552" s="3">
        <v>46244</v>
      </c>
      <c r="C1552" s="36" t="s">
        <v>2816</v>
      </c>
      <c r="D1552" s="2">
        <f>MONTH(ProductionData[[#This Row],[Month]])</f>
        <v>8</v>
      </c>
      <c r="E1552" s="2" t="s">
        <v>116</v>
      </c>
      <c r="F1552" s="2" t="s">
        <v>66</v>
      </c>
      <c r="G1552" s="2" t="s">
        <v>174</v>
      </c>
      <c r="H1552" s="2" t="s">
        <v>175</v>
      </c>
      <c r="I1552" s="2" t="s">
        <v>176</v>
      </c>
      <c r="J1552" s="2" t="s">
        <v>629</v>
      </c>
      <c r="K1552" s="2" t="s">
        <v>630</v>
      </c>
      <c r="L1552" s="2" t="s">
        <v>3237</v>
      </c>
      <c r="M1552" s="2" t="s">
        <v>99</v>
      </c>
      <c r="N1552" s="2" t="s">
        <v>96</v>
      </c>
      <c r="O1552" s="2">
        <v>10</v>
      </c>
      <c r="P1552" s="2">
        <v>10</v>
      </c>
      <c r="Q1552" s="4">
        <v>4680</v>
      </c>
      <c r="R1552" s="4">
        <v>4480</v>
      </c>
      <c r="S1552" s="4">
        <v>166</v>
      </c>
      <c r="T1552" s="19">
        <f>(ProductionData[[#This Row],[Rejected_Qty]])/ProductionData[[#This Row],[Produced_Qty]]</f>
        <v>3.7053571428571429E-2</v>
      </c>
      <c r="U1552" s="19">
        <f>ProductionData[[#This Row],[Produced_Qty]]/ProductionData[[#This Row],[Planned_Qty]]</f>
        <v>0.95726495726495731</v>
      </c>
      <c r="V1552" s="2" t="s">
        <v>113</v>
      </c>
      <c r="W1552" s="11">
        <v>10</v>
      </c>
      <c r="X1552" s="13">
        <f>W1552/60</f>
        <v>0.16666666666666666</v>
      </c>
      <c r="Y1552" s="2" t="s">
        <v>76</v>
      </c>
      <c r="Z1552" s="2">
        <v>29</v>
      </c>
      <c r="AA1552" s="2">
        <f>ProductionData[[#This Row],[Rejected_Qty]]*ProductionData[[#This Row],[Unit_Cost_INR]]</f>
        <v>4814</v>
      </c>
      <c r="AB1552" s="4">
        <v>15773</v>
      </c>
      <c r="AC1552" s="4">
        <v>4080</v>
      </c>
      <c r="AD1552" s="4">
        <v>4080</v>
      </c>
      <c r="AE1552" s="4">
        <v>16007</v>
      </c>
      <c r="AF1552" s="4">
        <v>7500</v>
      </c>
    </row>
    <row r="1553" spans="1:32">
      <c r="A1553" s="2" t="s">
        <v>3238</v>
      </c>
      <c r="B1553" s="3">
        <v>46237</v>
      </c>
      <c r="C1553" s="36" t="s">
        <v>2816</v>
      </c>
      <c r="D1553" s="2">
        <f>MONTH(ProductionData[[#This Row],[Month]])</f>
        <v>8</v>
      </c>
      <c r="E1553" s="2" t="s">
        <v>116</v>
      </c>
      <c r="F1553" s="2" t="s">
        <v>80</v>
      </c>
      <c r="G1553" s="2" t="s">
        <v>67</v>
      </c>
      <c r="H1553" s="2" t="s">
        <v>68</v>
      </c>
      <c r="I1553" s="2" t="s">
        <v>69</v>
      </c>
      <c r="J1553" s="2" t="s">
        <v>70</v>
      </c>
      <c r="K1553" s="2" t="s">
        <v>71</v>
      </c>
      <c r="L1553" s="2" t="s">
        <v>3239</v>
      </c>
      <c r="M1553" s="2" t="s">
        <v>87</v>
      </c>
      <c r="N1553" s="2" t="s">
        <v>74</v>
      </c>
      <c r="O1553" s="2">
        <v>16</v>
      </c>
      <c r="P1553" s="2">
        <v>15</v>
      </c>
      <c r="Q1553" s="4">
        <v>7010</v>
      </c>
      <c r="R1553" s="4">
        <v>6390</v>
      </c>
      <c r="S1553" s="4">
        <v>752</v>
      </c>
      <c r="T1553" s="19">
        <f>(ProductionData[[#This Row],[Rejected_Qty]])/ProductionData[[#This Row],[Produced_Qty]]</f>
        <v>0.11768388106416275</v>
      </c>
      <c r="U1553" s="19">
        <f>ProductionData[[#This Row],[Produced_Qty]]/ProductionData[[#This Row],[Planned_Qty]]</f>
        <v>0.9115549215406562</v>
      </c>
      <c r="V1553" s="2" t="s">
        <v>103</v>
      </c>
      <c r="W1553" s="11">
        <v>31</v>
      </c>
      <c r="X1553" s="13">
        <f>W1553/60</f>
        <v>0.51666666666666672</v>
      </c>
      <c r="Y1553" s="2" t="s">
        <v>182</v>
      </c>
      <c r="Z1553" s="2">
        <v>46</v>
      </c>
      <c r="AA1553" s="2">
        <f>ProductionData[[#This Row],[Rejected_Qty]]*ProductionData[[#This Row],[Unit_Cost_INR]]</f>
        <v>34592</v>
      </c>
      <c r="AB1553" s="4">
        <v>17089</v>
      </c>
      <c r="AC1553" s="4">
        <v>6750</v>
      </c>
      <c r="AD1553" s="4">
        <v>6750</v>
      </c>
      <c r="AE1553" s="4">
        <v>15977</v>
      </c>
      <c r="AF1553" s="4">
        <v>10500</v>
      </c>
    </row>
    <row r="1554" spans="1:32">
      <c r="A1554" s="2" t="s">
        <v>3240</v>
      </c>
      <c r="B1554" s="3">
        <v>46240</v>
      </c>
      <c r="C1554" s="36" t="s">
        <v>2816</v>
      </c>
      <c r="D1554" s="2">
        <f>MONTH(ProductionData[[#This Row],[Month]])</f>
        <v>8</v>
      </c>
      <c r="E1554" s="2" t="s">
        <v>107</v>
      </c>
      <c r="F1554" s="2" t="s">
        <v>66</v>
      </c>
      <c r="G1554" s="2" t="s">
        <v>67</v>
      </c>
      <c r="H1554" s="2" t="s">
        <v>68</v>
      </c>
      <c r="I1554" s="2" t="s">
        <v>69</v>
      </c>
      <c r="J1554" s="2" t="s">
        <v>403</v>
      </c>
      <c r="K1554" s="2" t="s">
        <v>404</v>
      </c>
      <c r="L1554" s="2" t="s">
        <v>3241</v>
      </c>
      <c r="M1554" s="2" t="s">
        <v>73</v>
      </c>
      <c r="N1554" s="2" t="s">
        <v>74</v>
      </c>
      <c r="O1554" s="2">
        <v>16</v>
      </c>
      <c r="P1554" s="2">
        <v>16</v>
      </c>
      <c r="Q1554" s="4">
        <v>6300</v>
      </c>
      <c r="R1554" s="4">
        <v>6300</v>
      </c>
      <c r="S1554" s="4">
        <v>632</v>
      </c>
      <c r="T1554" s="19">
        <f>(ProductionData[[#This Row],[Rejected_Qty]])/ProductionData[[#This Row],[Produced_Qty]]</f>
        <v>0.10031746031746032</v>
      </c>
      <c r="U1554" s="19">
        <f>ProductionData[[#This Row],[Produced_Qty]]/ProductionData[[#This Row],[Planned_Qty]]</f>
        <v>1</v>
      </c>
      <c r="V1554" s="2" t="s">
        <v>2284</v>
      </c>
      <c r="W1554" s="11">
        <v>0</v>
      </c>
      <c r="X1554" s="13">
        <f>W1554/60</f>
        <v>0</v>
      </c>
      <c r="Y1554" s="2" t="s">
        <v>90</v>
      </c>
      <c r="Z1554" s="2">
        <v>58</v>
      </c>
      <c r="AA1554" s="2">
        <f>ProductionData[[#This Row],[Rejected_Qty]]*ProductionData[[#This Row],[Unit_Cost_INR]]</f>
        <v>36656</v>
      </c>
      <c r="AB1554" s="4">
        <v>15698</v>
      </c>
      <c r="AC1554" s="4">
        <v>5460</v>
      </c>
      <c r="AD1554" s="4">
        <v>5460</v>
      </c>
      <c r="AE1554" s="4">
        <v>15906</v>
      </c>
      <c r="AF1554" s="4">
        <v>9000</v>
      </c>
    </row>
    <row r="1555" spans="1:32">
      <c r="A1555" s="2" t="s">
        <v>3242</v>
      </c>
      <c r="B1555" s="3">
        <v>46249</v>
      </c>
      <c r="C1555" s="36" t="s">
        <v>2816</v>
      </c>
      <c r="D1555" s="2">
        <f>MONTH(ProductionData[[#This Row],[Month]])</f>
        <v>8</v>
      </c>
      <c r="E1555" s="2" t="s">
        <v>65</v>
      </c>
      <c r="F1555" s="2" t="s">
        <v>93</v>
      </c>
      <c r="G1555" s="2" t="s">
        <v>174</v>
      </c>
      <c r="H1555" s="2" t="s">
        <v>175</v>
      </c>
      <c r="I1555" s="2" t="s">
        <v>176</v>
      </c>
      <c r="J1555" s="2" t="s">
        <v>629</v>
      </c>
      <c r="K1555" s="2" t="s">
        <v>630</v>
      </c>
      <c r="L1555" s="2" t="s">
        <v>3243</v>
      </c>
      <c r="M1555" s="2" t="s">
        <v>95</v>
      </c>
      <c r="N1555" s="2" t="s">
        <v>88</v>
      </c>
      <c r="O1555" s="2">
        <v>10</v>
      </c>
      <c r="P1555" s="2">
        <v>8</v>
      </c>
      <c r="Q1555" s="4">
        <v>4870</v>
      </c>
      <c r="R1555" s="4">
        <v>4250</v>
      </c>
      <c r="S1555" s="4">
        <v>152</v>
      </c>
      <c r="T1555" s="19">
        <f>(ProductionData[[#This Row],[Rejected_Qty]])/ProductionData[[#This Row],[Produced_Qty]]</f>
        <v>3.5764705882352942E-2</v>
      </c>
      <c r="U1555" s="19">
        <f>ProductionData[[#This Row],[Produced_Qty]]/ProductionData[[#This Row],[Planned_Qty]]</f>
        <v>0.87268993839835729</v>
      </c>
      <c r="V1555" s="2" t="s">
        <v>103</v>
      </c>
      <c r="W1555" s="11">
        <v>0</v>
      </c>
      <c r="X1555" s="13">
        <f>W1555/60</f>
        <v>0</v>
      </c>
      <c r="Y1555" s="2" t="s">
        <v>90</v>
      </c>
      <c r="Z1555" s="2">
        <v>29</v>
      </c>
      <c r="AA1555" s="2">
        <f>ProductionData[[#This Row],[Rejected_Qty]]*ProductionData[[#This Row],[Unit_Cost_INR]]</f>
        <v>4408</v>
      </c>
      <c r="AB1555" s="4">
        <v>16388</v>
      </c>
      <c r="AC1555" s="4">
        <v>4670</v>
      </c>
      <c r="AD1555" s="4">
        <v>4670</v>
      </c>
      <c r="AE1555" s="4">
        <v>15816</v>
      </c>
      <c r="AF1555" s="4">
        <v>7500</v>
      </c>
    </row>
    <row r="1556" spans="1:32">
      <c r="A1556" s="2" t="s">
        <v>3244</v>
      </c>
      <c r="B1556" s="3">
        <v>46242</v>
      </c>
      <c r="C1556" s="36" t="s">
        <v>2816</v>
      </c>
      <c r="D1556" s="2">
        <f>MONTH(ProductionData[[#This Row],[Month]])</f>
        <v>8</v>
      </c>
      <c r="E1556" s="2" t="s">
        <v>65</v>
      </c>
      <c r="F1556" s="2" t="s">
        <v>66</v>
      </c>
      <c r="G1556" s="2" t="s">
        <v>174</v>
      </c>
      <c r="H1556" s="2" t="s">
        <v>175</v>
      </c>
      <c r="I1556" s="2" t="s">
        <v>176</v>
      </c>
      <c r="J1556" s="2" t="s">
        <v>629</v>
      </c>
      <c r="K1556" s="2" t="s">
        <v>630</v>
      </c>
      <c r="L1556" s="2" t="s">
        <v>3245</v>
      </c>
      <c r="M1556" s="2" t="s">
        <v>99</v>
      </c>
      <c r="N1556" s="2" t="s">
        <v>88</v>
      </c>
      <c r="O1556" s="2">
        <v>10</v>
      </c>
      <c r="P1556" s="2">
        <v>10</v>
      </c>
      <c r="Q1556" s="4">
        <v>5250</v>
      </c>
      <c r="R1556" s="4">
        <v>5460</v>
      </c>
      <c r="S1556" s="4">
        <v>137</v>
      </c>
      <c r="T1556" s="19">
        <f>(ProductionData[[#This Row],[Rejected_Qty]])/ProductionData[[#This Row],[Produced_Qty]]</f>
        <v>2.5091575091575093E-2</v>
      </c>
      <c r="U1556" s="19">
        <f>ProductionData[[#This Row],[Produced_Qty]]/ProductionData[[#This Row],[Planned_Qty]]</f>
        <v>1.04</v>
      </c>
      <c r="V1556" s="2" t="s">
        <v>109</v>
      </c>
      <c r="W1556" s="11">
        <v>0</v>
      </c>
      <c r="X1556" s="13">
        <f>W1556/60</f>
        <v>0</v>
      </c>
      <c r="Y1556" s="2" t="s">
        <v>90</v>
      </c>
      <c r="Z1556" s="2">
        <v>29</v>
      </c>
      <c r="AA1556" s="2">
        <f>ProductionData[[#This Row],[Rejected_Qty]]*ProductionData[[#This Row],[Unit_Cost_INR]]</f>
        <v>3973</v>
      </c>
      <c r="AB1556" s="4">
        <v>14950</v>
      </c>
      <c r="AC1556" s="4">
        <v>4500</v>
      </c>
      <c r="AD1556" s="4">
        <v>4500</v>
      </c>
      <c r="AE1556" s="4">
        <v>15773</v>
      </c>
      <c r="AF1556" s="4">
        <v>7500</v>
      </c>
    </row>
    <row r="1557" spans="1:32">
      <c r="A1557" s="2" t="s">
        <v>3246</v>
      </c>
      <c r="B1557" s="3">
        <v>46239</v>
      </c>
      <c r="C1557" s="36" t="s">
        <v>2816</v>
      </c>
      <c r="D1557" s="2">
        <f>MONTH(ProductionData[[#This Row],[Month]])</f>
        <v>8</v>
      </c>
      <c r="E1557" s="2" t="s">
        <v>79</v>
      </c>
      <c r="F1557" s="2" t="s">
        <v>80</v>
      </c>
      <c r="G1557" s="2" t="s">
        <v>67</v>
      </c>
      <c r="H1557" s="2" t="s">
        <v>68</v>
      </c>
      <c r="I1557" s="2" t="s">
        <v>69</v>
      </c>
      <c r="J1557" s="2" t="s">
        <v>403</v>
      </c>
      <c r="K1557" s="2" t="s">
        <v>404</v>
      </c>
      <c r="L1557" s="2" t="s">
        <v>3247</v>
      </c>
      <c r="M1557" s="2" t="s">
        <v>102</v>
      </c>
      <c r="N1557" s="2" t="s">
        <v>88</v>
      </c>
      <c r="O1557" s="2">
        <v>16</v>
      </c>
      <c r="P1557" s="2">
        <v>16</v>
      </c>
      <c r="Q1557" s="4">
        <v>6270</v>
      </c>
      <c r="R1557" s="4">
        <v>6220</v>
      </c>
      <c r="S1557" s="4">
        <v>161</v>
      </c>
      <c r="T1557" s="19">
        <f>(ProductionData[[#This Row],[Rejected_Qty]])/ProductionData[[#This Row],[Produced_Qty]]</f>
        <v>2.5884244372990355E-2</v>
      </c>
      <c r="U1557" s="19">
        <f>ProductionData[[#This Row],[Produced_Qty]]/ProductionData[[#This Row],[Planned_Qty]]</f>
        <v>0.99202551834130781</v>
      </c>
      <c r="V1557" s="2" t="s">
        <v>109</v>
      </c>
      <c r="W1557" s="11">
        <v>0</v>
      </c>
      <c r="X1557" s="13">
        <f>W1557/60</f>
        <v>0</v>
      </c>
      <c r="Y1557" s="2" t="s">
        <v>90</v>
      </c>
      <c r="Z1557" s="2">
        <v>58</v>
      </c>
      <c r="AA1557" s="2">
        <f>ProductionData[[#This Row],[Rejected_Qty]]*ProductionData[[#This Row],[Unit_Cost_INR]]</f>
        <v>9338</v>
      </c>
      <c r="AB1557" s="4">
        <v>15619</v>
      </c>
      <c r="AC1557" s="4">
        <v>5980</v>
      </c>
      <c r="AD1557" s="4">
        <v>5980</v>
      </c>
      <c r="AE1557" s="4">
        <v>15698</v>
      </c>
      <c r="AF1557" s="4">
        <v>9000</v>
      </c>
    </row>
    <row r="1558" spans="1:32">
      <c r="A1558" s="2" t="s">
        <v>3248</v>
      </c>
      <c r="B1558" s="3">
        <v>46239</v>
      </c>
      <c r="C1558" s="36" t="s">
        <v>2816</v>
      </c>
      <c r="D1558" s="2">
        <f>MONTH(ProductionData[[#This Row],[Month]])</f>
        <v>8</v>
      </c>
      <c r="E1558" s="2" t="s">
        <v>79</v>
      </c>
      <c r="F1558" s="2" t="s">
        <v>66</v>
      </c>
      <c r="G1558" s="2" t="s">
        <v>67</v>
      </c>
      <c r="H1558" s="2" t="s">
        <v>68</v>
      </c>
      <c r="I1558" s="2" t="s">
        <v>69</v>
      </c>
      <c r="J1558" s="2" t="s">
        <v>403</v>
      </c>
      <c r="K1558" s="2" t="s">
        <v>404</v>
      </c>
      <c r="L1558" s="2" t="s">
        <v>3249</v>
      </c>
      <c r="M1558" s="2" t="s">
        <v>99</v>
      </c>
      <c r="N1558" s="2" t="s">
        <v>88</v>
      </c>
      <c r="O1558" s="2">
        <v>16</v>
      </c>
      <c r="P1558" s="2">
        <v>15</v>
      </c>
      <c r="Q1558" s="4">
        <v>5580</v>
      </c>
      <c r="R1558" s="4">
        <v>5530</v>
      </c>
      <c r="S1558" s="4">
        <v>157</v>
      </c>
      <c r="T1558" s="19">
        <f>(ProductionData[[#This Row],[Rejected_Qty]])/ProductionData[[#This Row],[Produced_Qty]]</f>
        <v>2.8390596745027124E-2</v>
      </c>
      <c r="U1558" s="19">
        <f>ProductionData[[#This Row],[Produced_Qty]]/ProductionData[[#This Row],[Planned_Qty]]</f>
        <v>0.99103942652329746</v>
      </c>
      <c r="V1558" s="2" t="s">
        <v>109</v>
      </c>
      <c r="W1558" s="11">
        <v>49</v>
      </c>
      <c r="X1558" s="13">
        <f>W1558/60</f>
        <v>0.81666666666666665</v>
      </c>
      <c r="Y1558" s="2" t="s">
        <v>76</v>
      </c>
      <c r="Z1558" s="2">
        <v>58</v>
      </c>
      <c r="AA1558" s="2">
        <f>ProductionData[[#This Row],[Rejected_Qty]]*ProductionData[[#This Row],[Unit_Cost_INR]]</f>
        <v>9106</v>
      </c>
      <c r="AB1558" s="4">
        <v>15276</v>
      </c>
      <c r="AC1558" s="4">
        <v>5030</v>
      </c>
      <c r="AD1558" s="4">
        <v>5030</v>
      </c>
      <c r="AE1558" s="4">
        <v>15619</v>
      </c>
      <c r="AF1558" s="4">
        <v>9000</v>
      </c>
    </row>
    <row r="1559" spans="1:32">
      <c r="A1559" s="2" t="s">
        <v>3250</v>
      </c>
      <c r="B1559" s="3">
        <v>46238</v>
      </c>
      <c r="C1559" s="36" t="s">
        <v>2816</v>
      </c>
      <c r="D1559" s="2">
        <f>MONTH(ProductionData[[#This Row],[Month]])</f>
        <v>8</v>
      </c>
      <c r="E1559" s="2" t="s">
        <v>92</v>
      </c>
      <c r="F1559" s="2" t="s">
        <v>93</v>
      </c>
      <c r="G1559" s="2" t="s">
        <v>174</v>
      </c>
      <c r="H1559" s="2" t="s">
        <v>175</v>
      </c>
      <c r="I1559" s="2" t="s">
        <v>176</v>
      </c>
      <c r="J1559" s="2" t="s">
        <v>629</v>
      </c>
      <c r="K1559" s="2" t="s">
        <v>630</v>
      </c>
      <c r="L1559" s="2" t="s">
        <v>3251</v>
      </c>
      <c r="M1559" s="2" t="s">
        <v>95</v>
      </c>
      <c r="N1559" s="2" t="s">
        <v>88</v>
      </c>
      <c r="O1559" s="2">
        <v>10</v>
      </c>
      <c r="P1559" s="2">
        <v>9</v>
      </c>
      <c r="Q1559" s="4">
        <v>4680</v>
      </c>
      <c r="R1559" s="4">
        <v>4340</v>
      </c>
      <c r="S1559" s="4">
        <v>89</v>
      </c>
      <c r="T1559" s="19">
        <f>(ProductionData[[#This Row],[Rejected_Qty]])/ProductionData[[#This Row],[Produced_Qty]]</f>
        <v>2.0506912442396313E-2</v>
      </c>
      <c r="U1559" s="19">
        <f>ProductionData[[#This Row],[Produced_Qty]]/ProductionData[[#This Row],[Planned_Qty]]</f>
        <v>0.92735042735042739</v>
      </c>
      <c r="V1559" s="2" t="s">
        <v>89</v>
      </c>
      <c r="W1559" s="11">
        <v>0</v>
      </c>
      <c r="X1559" s="13">
        <f>W1559/60</f>
        <v>0</v>
      </c>
      <c r="Y1559" s="2" t="s">
        <v>90</v>
      </c>
      <c r="Z1559" s="2">
        <v>29</v>
      </c>
      <c r="AA1559" s="2">
        <f>ProductionData[[#This Row],[Rejected_Qty]]*ProductionData[[#This Row],[Unit_Cost_INR]]</f>
        <v>2581</v>
      </c>
      <c r="AB1559" s="4">
        <v>15243</v>
      </c>
      <c r="AC1559" s="4">
        <v>3990</v>
      </c>
      <c r="AD1559" s="4">
        <v>3990</v>
      </c>
      <c r="AE1559" s="4">
        <v>15504</v>
      </c>
      <c r="AF1559" s="4">
        <v>7500</v>
      </c>
    </row>
    <row r="1560" spans="1:32">
      <c r="A1560" s="2" t="s">
        <v>3252</v>
      </c>
      <c r="B1560" s="3">
        <v>46240</v>
      </c>
      <c r="C1560" s="36" t="s">
        <v>2816</v>
      </c>
      <c r="D1560" s="2">
        <f>MONTH(ProductionData[[#This Row],[Month]])</f>
        <v>8</v>
      </c>
      <c r="E1560" s="2" t="s">
        <v>107</v>
      </c>
      <c r="F1560" s="2" t="s">
        <v>66</v>
      </c>
      <c r="G1560" s="2" t="s">
        <v>174</v>
      </c>
      <c r="H1560" s="2" t="s">
        <v>175</v>
      </c>
      <c r="I1560" s="2" t="s">
        <v>176</v>
      </c>
      <c r="J1560" s="2" t="s">
        <v>629</v>
      </c>
      <c r="K1560" s="2" t="s">
        <v>630</v>
      </c>
      <c r="L1560" s="2" t="s">
        <v>3253</v>
      </c>
      <c r="M1560" s="2" t="s">
        <v>99</v>
      </c>
      <c r="N1560" s="2" t="s">
        <v>96</v>
      </c>
      <c r="O1560" s="2">
        <v>10</v>
      </c>
      <c r="P1560" s="2">
        <v>7</v>
      </c>
      <c r="Q1560" s="4">
        <v>5230</v>
      </c>
      <c r="R1560" s="4">
        <v>4370</v>
      </c>
      <c r="S1560" s="4">
        <v>139</v>
      </c>
      <c r="T1560" s="19">
        <f>(ProductionData[[#This Row],[Rejected_Qty]])/ProductionData[[#This Row],[Produced_Qty]]</f>
        <v>3.180778032036613E-2</v>
      </c>
      <c r="U1560" s="19">
        <f>ProductionData[[#This Row],[Produced_Qty]]/ProductionData[[#This Row],[Planned_Qty]]</f>
        <v>0.83556405353728491</v>
      </c>
      <c r="V1560" s="2" t="s">
        <v>89</v>
      </c>
      <c r="W1560" s="11">
        <v>0</v>
      </c>
      <c r="X1560" s="13">
        <f>W1560/60</f>
        <v>0</v>
      </c>
      <c r="Y1560" s="2" t="s">
        <v>90</v>
      </c>
      <c r="Z1560" s="2">
        <v>29</v>
      </c>
      <c r="AA1560" s="2">
        <f>ProductionData[[#This Row],[Rejected_Qty]]*ProductionData[[#This Row],[Unit_Cost_INR]]</f>
        <v>4031</v>
      </c>
      <c r="AB1560" s="4">
        <v>15504</v>
      </c>
      <c r="AC1560" s="4">
        <v>4420</v>
      </c>
      <c r="AD1560" s="4">
        <v>4420</v>
      </c>
      <c r="AE1560" s="4">
        <v>15315</v>
      </c>
      <c r="AF1560" s="4">
        <v>7500</v>
      </c>
    </row>
    <row r="1561" spans="1:32">
      <c r="A1561" s="2" t="s">
        <v>3254</v>
      </c>
      <c r="B1561" s="3">
        <v>46238</v>
      </c>
      <c r="C1561" s="36" t="s">
        <v>2816</v>
      </c>
      <c r="D1561" s="2">
        <f>MONTH(ProductionData[[#This Row],[Month]])</f>
        <v>8</v>
      </c>
      <c r="E1561" s="2" t="s">
        <v>92</v>
      </c>
      <c r="F1561" s="2" t="s">
        <v>66</v>
      </c>
      <c r="G1561" s="2" t="s">
        <v>67</v>
      </c>
      <c r="H1561" s="2" t="s">
        <v>68</v>
      </c>
      <c r="I1561" s="2" t="s">
        <v>69</v>
      </c>
      <c r="J1561" s="2" t="s">
        <v>403</v>
      </c>
      <c r="K1561" s="2" t="s">
        <v>404</v>
      </c>
      <c r="L1561" s="2" t="s">
        <v>3255</v>
      </c>
      <c r="M1561" s="2" t="s">
        <v>99</v>
      </c>
      <c r="N1561" s="2" t="s">
        <v>88</v>
      </c>
      <c r="O1561" s="2">
        <v>16</v>
      </c>
      <c r="P1561" s="2">
        <v>16</v>
      </c>
      <c r="Q1561" s="4">
        <v>6200</v>
      </c>
      <c r="R1561" s="4">
        <v>6130</v>
      </c>
      <c r="S1561" s="4">
        <v>171</v>
      </c>
      <c r="T1561" s="19">
        <f>(ProductionData[[#This Row],[Rejected_Qty]])/ProductionData[[#This Row],[Produced_Qty]]</f>
        <v>2.7895595432300163E-2</v>
      </c>
      <c r="U1561" s="19">
        <f>ProductionData[[#This Row],[Produced_Qty]]/ProductionData[[#This Row],[Planned_Qty]]</f>
        <v>0.98870967741935489</v>
      </c>
      <c r="V1561" s="2" t="s">
        <v>89</v>
      </c>
      <c r="W1561" s="11">
        <v>0</v>
      </c>
      <c r="X1561" s="13">
        <f>W1561/60</f>
        <v>0</v>
      </c>
      <c r="Y1561" s="2" t="s">
        <v>90</v>
      </c>
      <c r="Z1561" s="2">
        <v>58</v>
      </c>
      <c r="AA1561" s="2">
        <f>ProductionData[[#This Row],[Rejected_Qty]]*ProductionData[[#This Row],[Unit_Cost_INR]]</f>
        <v>9918</v>
      </c>
      <c r="AB1561" s="4">
        <v>14847</v>
      </c>
      <c r="AC1561" s="4">
        <v>5530</v>
      </c>
      <c r="AD1561" s="4">
        <v>5530</v>
      </c>
      <c r="AE1561" s="4">
        <v>15276</v>
      </c>
      <c r="AF1561" s="4">
        <v>9000</v>
      </c>
    </row>
    <row r="1562" spans="1:32">
      <c r="A1562" s="2" t="s">
        <v>3256</v>
      </c>
      <c r="B1562" s="3">
        <v>46235</v>
      </c>
      <c r="C1562" s="36" t="s">
        <v>2816</v>
      </c>
      <c r="D1562" s="2">
        <f>MONTH(ProductionData[[#This Row],[Month]])</f>
        <v>8</v>
      </c>
      <c r="E1562" s="2" t="s">
        <v>65</v>
      </c>
      <c r="F1562" s="2" t="s">
        <v>66</v>
      </c>
      <c r="G1562" s="2" t="s">
        <v>174</v>
      </c>
      <c r="H1562" s="2" t="s">
        <v>175</v>
      </c>
      <c r="I1562" s="2" t="s">
        <v>176</v>
      </c>
      <c r="J1562" s="2" t="s">
        <v>629</v>
      </c>
      <c r="K1562" s="2" t="s">
        <v>630</v>
      </c>
      <c r="L1562" s="2" t="s">
        <v>3257</v>
      </c>
      <c r="M1562" s="2" t="s">
        <v>99</v>
      </c>
      <c r="N1562" s="2" t="s">
        <v>88</v>
      </c>
      <c r="O1562" s="2">
        <v>10</v>
      </c>
      <c r="P1562" s="2">
        <v>9</v>
      </c>
      <c r="Q1562" s="4">
        <v>4820</v>
      </c>
      <c r="R1562" s="4">
        <v>4580</v>
      </c>
      <c r="S1562" s="4">
        <v>120</v>
      </c>
      <c r="T1562" s="19">
        <f>(ProductionData[[#This Row],[Rejected_Qty]])/ProductionData[[#This Row],[Produced_Qty]]</f>
        <v>2.6200873362445413E-2</v>
      </c>
      <c r="U1562" s="19">
        <f>ProductionData[[#This Row],[Produced_Qty]]/ProductionData[[#This Row],[Planned_Qty]]</f>
        <v>0.950207468879668</v>
      </c>
      <c r="V1562" s="2" t="s">
        <v>103</v>
      </c>
      <c r="W1562" s="11">
        <v>0</v>
      </c>
      <c r="X1562" s="13">
        <f>W1562/60</f>
        <v>0</v>
      </c>
      <c r="Y1562" s="2" t="s">
        <v>90</v>
      </c>
      <c r="Z1562" s="2">
        <v>29</v>
      </c>
      <c r="AA1562" s="2">
        <f>ProductionData[[#This Row],[Rejected_Qty]]*ProductionData[[#This Row],[Unit_Cost_INR]]</f>
        <v>3480</v>
      </c>
      <c r="AB1562" s="4">
        <v>14923</v>
      </c>
      <c r="AC1562" s="4">
        <v>4140</v>
      </c>
      <c r="AD1562" s="4">
        <v>4140</v>
      </c>
      <c r="AE1562" s="4">
        <v>15243</v>
      </c>
      <c r="AF1562" s="4">
        <v>7500</v>
      </c>
    </row>
    <row r="1563" spans="1:32">
      <c r="A1563" s="2" t="s">
        <v>3258</v>
      </c>
      <c r="B1563" s="3">
        <v>46240</v>
      </c>
      <c r="C1563" s="36" t="s">
        <v>2816</v>
      </c>
      <c r="D1563" s="2">
        <f>MONTH(ProductionData[[#This Row],[Month]])</f>
        <v>8</v>
      </c>
      <c r="E1563" s="2" t="s">
        <v>107</v>
      </c>
      <c r="F1563" s="2" t="s">
        <v>93</v>
      </c>
      <c r="G1563" s="2" t="s">
        <v>174</v>
      </c>
      <c r="H1563" s="2" t="s">
        <v>175</v>
      </c>
      <c r="I1563" s="2" t="s">
        <v>176</v>
      </c>
      <c r="J1563" s="2" t="s">
        <v>629</v>
      </c>
      <c r="K1563" s="2" t="s">
        <v>630</v>
      </c>
      <c r="L1563" s="2" t="s">
        <v>3259</v>
      </c>
      <c r="M1563" s="2" t="s">
        <v>133</v>
      </c>
      <c r="N1563" s="2" t="s">
        <v>96</v>
      </c>
      <c r="O1563" s="2">
        <v>10</v>
      </c>
      <c r="P1563" s="2">
        <v>9</v>
      </c>
      <c r="Q1563" s="4">
        <v>5040</v>
      </c>
      <c r="R1563" s="4">
        <v>4590</v>
      </c>
      <c r="S1563" s="4">
        <v>105</v>
      </c>
      <c r="T1563" s="19">
        <f>(ProductionData[[#This Row],[Rejected_Qty]])/ProductionData[[#This Row],[Produced_Qty]]</f>
        <v>2.2875816993464051E-2</v>
      </c>
      <c r="U1563" s="19">
        <f>ProductionData[[#This Row],[Produced_Qty]]/ProductionData[[#This Row],[Planned_Qty]]</f>
        <v>0.9107142857142857</v>
      </c>
      <c r="V1563" s="2" t="s">
        <v>75</v>
      </c>
      <c r="W1563" s="11">
        <v>0</v>
      </c>
      <c r="X1563" s="13">
        <f>W1563/60</f>
        <v>0</v>
      </c>
      <c r="Y1563" s="2" t="s">
        <v>90</v>
      </c>
      <c r="Z1563" s="2">
        <v>29</v>
      </c>
      <c r="AA1563" s="2">
        <f>ProductionData[[#This Row],[Rejected_Qty]]*ProductionData[[#This Row],[Unit_Cost_INR]]</f>
        <v>3045</v>
      </c>
      <c r="AB1563" s="4">
        <v>15315</v>
      </c>
      <c r="AC1563" s="4">
        <v>4600</v>
      </c>
      <c r="AD1563" s="4">
        <v>4600</v>
      </c>
      <c r="AE1563" s="4">
        <v>15200</v>
      </c>
      <c r="AF1563" s="4">
        <v>7500</v>
      </c>
    </row>
    <row r="1564" spans="1:32">
      <c r="A1564" s="2" t="s">
        <v>3260</v>
      </c>
      <c r="B1564" s="3">
        <v>46241</v>
      </c>
      <c r="C1564" s="36" t="s">
        <v>2816</v>
      </c>
      <c r="D1564" s="2">
        <f>MONTH(ProductionData[[#This Row],[Month]])</f>
        <v>8</v>
      </c>
      <c r="E1564" s="2" t="s">
        <v>125</v>
      </c>
      <c r="F1564" s="2" t="s">
        <v>66</v>
      </c>
      <c r="G1564" s="2" t="s">
        <v>174</v>
      </c>
      <c r="H1564" s="2" t="s">
        <v>175</v>
      </c>
      <c r="I1564" s="2" t="s">
        <v>176</v>
      </c>
      <c r="J1564" s="2" t="s">
        <v>629</v>
      </c>
      <c r="K1564" s="2" t="s">
        <v>630</v>
      </c>
      <c r="L1564" s="2" t="s">
        <v>3261</v>
      </c>
      <c r="M1564" s="2" t="s">
        <v>73</v>
      </c>
      <c r="N1564" s="2" t="s">
        <v>96</v>
      </c>
      <c r="O1564" s="2">
        <v>10</v>
      </c>
      <c r="P1564" s="2">
        <v>10</v>
      </c>
      <c r="Q1564" s="4">
        <v>4990</v>
      </c>
      <c r="R1564" s="4">
        <v>4680</v>
      </c>
      <c r="S1564" s="4">
        <v>120</v>
      </c>
      <c r="T1564" s="19">
        <f>(ProductionData[[#This Row],[Rejected_Qty]])/ProductionData[[#This Row],[Produced_Qty]]</f>
        <v>2.564102564102564E-2</v>
      </c>
      <c r="U1564" s="19">
        <f>ProductionData[[#This Row],[Produced_Qty]]/ProductionData[[#This Row],[Planned_Qty]]</f>
        <v>0.93787575150300606</v>
      </c>
      <c r="V1564" s="2" t="s">
        <v>113</v>
      </c>
      <c r="W1564" s="11">
        <v>15</v>
      </c>
      <c r="X1564" s="13">
        <f>W1564/60</f>
        <v>0.25</v>
      </c>
      <c r="Y1564" s="2" t="s">
        <v>110</v>
      </c>
      <c r="Z1564" s="2">
        <v>29</v>
      </c>
      <c r="AA1564" s="2">
        <f>ProductionData[[#This Row],[Rejected_Qty]]*ProductionData[[#This Row],[Unit_Cost_INR]]</f>
        <v>3480</v>
      </c>
      <c r="AB1564" s="4">
        <v>15200</v>
      </c>
      <c r="AC1564" s="4">
        <v>4810</v>
      </c>
      <c r="AD1564" s="4">
        <v>4810</v>
      </c>
      <c r="AE1564" s="4">
        <v>14950</v>
      </c>
      <c r="AF1564" s="4">
        <v>7500</v>
      </c>
    </row>
    <row r="1565" spans="1:32">
      <c r="A1565" s="2" t="s">
        <v>3262</v>
      </c>
      <c r="B1565" s="3">
        <v>46241</v>
      </c>
      <c r="C1565" s="36" t="s">
        <v>2816</v>
      </c>
      <c r="D1565" s="2">
        <f>MONTH(ProductionData[[#This Row],[Month]])</f>
        <v>8</v>
      </c>
      <c r="E1565" s="2" t="s">
        <v>125</v>
      </c>
      <c r="F1565" s="2" t="s">
        <v>80</v>
      </c>
      <c r="G1565" s="2" t="s">
        <v>67</v>
      </c>
      <c r="H1565" s="2" t="s">
        <v>68</v>
      </c>
      <c r="I1565" s="2" t="s">
        <v>69</v>
      </c>
      <c r="J1565" s="2" t="s">
        <v>403</v>
      </c>
      <c r="K1565" s="2" t="s">
        <v>404</v>
      </c>
      <c r="L1565" s="2" t="s">
        <v>3263</v>
      </c>
      <c r="M1565" s="2" t="s">
        <v>87</v>
      </c>
      <c r="N1565" s="2" t="s">
        <v>96</v>
      </c>
      <c r="O1565" s="2">
        <v>16</v>
      </c>
      <c r="P1565" s="2">
        <v>16</v>
      </c>
      <c r="Q1565" s="4">
        <v>6270</v>
      </c>
      <c r="R1565" s="4">
        <v>5890</v>
      </c>
      <c r="S1565" s="4">
        <v>138</v>
      </c>
      <c r="T1565" s="19">
        <f>(ProductionData[[#This Row],[Rejected_Qty]])/ProductionData[[#This Row],[Produced_Qty]]</f>
        <v>2.3429541595925297E-2</v>
      </c>
      <c r="U1565" s="19">
        <f>ProductionData[[#This Row],[Produced_Qty]]/ProductionData[[#This Row],[Planned_Qty]]</f>
        <v>0.93939393939393945</v>
      </c>
      <c r="V1565" s="2" t="s">
        <v>75</v>
      </c>
      <c r="W1565" s="11">
        <v>0</v>
      </c>
      <c r="X1565" s="13">
        <f>W1565/60</f>
        <v>0</v>
      </c>
      <c r="Y1565" s="2" t="s">
        <v>90</v>
      </c>
      <c r="Z1565" s="2">
        <v>58</v>
      </c>
      <c r="AA1565" s="2">
        <f>ProductionData[[#This Row],[Rejected_Qty]]*ProductionData[[#This Row],[Unit_Cost_INR]]</f>
        <v>8004</v>
      </c>
      <c r="AB1565" s="4">
        <v>14449</v>
      </c>
      <c r="AC1565" s="4">
        <v>5290</v>
      </c>
      <c r="AD1565" s="4">
        <v>5290</v>
      </c>
      <c r="AE1565" s="4">
        <v>14911</v>
      </c>
      <c r="AF1565" s="4">
        <v>9000</v>
      </c>
    </row>
    <row r="1566" spans="1:32">
      <c r="A1566" s="2" t="s">
        <v>3264</v>
      </c>
      <c r="B1566" s="3">
        <v>46237</v>
      </c>
      <c r="C1566" s="36" t="s">
        <v>2816</v>
      </c>
      <c r="D1566" s="2">
        <f>MONTH(ProductionData[[#This Row],[Month]])</f>
        <v>8</v>
      </c>
      <c r="E1566" s="2" t="s">
        <v>116</v>
      </c>
      <c r="F1566" s="2" t="s">
        <v>93</v>
      </c>
      <c r="G1566" s="2" t="s">
        <v>67</v>
      </c>
      <c r="H1566" s="2" t="s">
        <v>68</v>
      </c>
      <c r="I1566" s="2" t="s">
        <v>69</v>
      </c>
      <c r="J1566" s="2" t="s">
        <v>70</v>
      </c>
      <c r="K1566" s="2" t="s">
        <v>71</v>
      </c>
      <c r="L1566" s="2" t="s">
        <v>3265</v>
      </c>
      <c r="M1566" s="2" t="s">
        <v>95</v>
      </c>
      <c r="N1566" s="2" t="s">
        <v>74</v>
      </c>
      <c r="O1566" s="2">
        <v>16</v>
      </c>
      <c r="P1566" s="2">
        <v>13</v>
      </c>
      <c r="Q1566" s="4">
        <v>6600</v>
      </c>
      <c r="R1566" s="4">
        <v>5760</v>
      </c>
      <c r="S1566" s="4">
        <v>289</v>
      </c>
      <c r="T1566" s="19">
        <f>(ProductionData[[#This Row],[Rejected_Qty]])/ProductionData[[#This Row],[Produced_Qty]]</f>
        <v>5.0173611111111113E-2</v>
      </c>
      <c r="U1566" s="19">
        <f>ProductionData[[#This Row],[Produced_Qty]]/ProductionData[[#This Row],[Planned_Qty]]</f>
        <v>0.87272727272727268</v>
      </c>
      <c r="V1566" s="2" t="s">
        <v>2284</v>
      </c>
      <c r="W1566" s="11">
        <v>0</v>
      </c>
      <c r="X1566" s="13">
        <f>W1566/60</f>
        <v>0</v>
      </c>
      <c r="Y1566" s="2" t="s">
        <v>90</v>
      </c>
      <c r="Z1566" s="2">
        <v>46</v>
      </c>
      <c r="AA1566" s="2">
        <f>ProductionData[[#This Row],[Rejected_Qty]]*ProductionData[[#This Row],[Unit_Cost_INR]]</f>
        <v>13294</v>
      </c>
      <c r="AB1566" s="4">
        <v>15977</v>
      </c>
      <c r="AC1566" s="4">
        <v>6580</v>
      </c>
      <c r="AD1566" s="4">
        <v>6580</v>
      </c>
      <c r="AE1566" s="4">
        <v>14868</v>
      </c>
      <c r="AF1566" s="4">
        <v>10500</v>
      </c>
    </row>
    <row r="1567" spans="1:32">
      <c r="A1567" s="2" t="s">
        <v>3266</v>
      </c>
      <c r="B1567" s="3">
        <v>46237</v>
      </c>
      <c r="C1567" s="36" t="s">
        <v>2816</v>
      </c>
      <c r="D1567" s="2">
        <f>MONTH(ProductionData[[#This Row],[Month]])</f>
        <v>8</v>
      </c>
      <c r="E1567" s="2" t="s">
        <v>116</v>
      </c>
      <c r="F1567" s="2" t="s">
        <v>66</v>
      </c>
      <c r="G1567" s="2" t="s">
        <v>67</v>
      </c>
      <c r="H1567" s="2" t="s">
        <v>68</v>
      </c>
      <c r="I1567" s="2" t="s">
        <v>69</v>
      </c>
      <c r="J1567" s="2" t="s">
        <v>403</v>
      </c>
      <c r="K1567" s="2" t="s">
        <v>404</v>
      </c>
      <c r="L1567" s="2" t="s">
        <v>3267</v>
      </c>
      <c r="M1567" s="2" t="s">
        <v>99</v>
      </c>
      <c r="N1567" s="2" t="s">
        <v>96</v>
      </c>
      <c r="O1567" s="2">
        <v>16</v>
      </c>
      <c r="P1567" s="2">
        <v>16</v>
      </c>
      <c r="Q1567" s="4">
        <v>5580</v>
      </c>
      <c r="R1567" s="4">
        <v>5240</v>
      </c>
      <c r="S1567" s="4">
        <v>129</v>
      </c>
      <c r="T1567" s="19">
        <f>(ProductionData[[#This Row],[Rejected_Qty]])/ProductionData[[#This Row],[Produced_Qty]]</f>
        <v>2.4618320610687024E-2</v>
      </c>
      <c r="U1567" s="19">
        <f>ProductionData[[#This Row],[Produced_Qty]]/ProductionData[[#This Row],[Planned_Qty]]</f>
        <v>0.93906810035842292</v>
      </c>
      <c r="V1567" s="2" t="s">
        <v>103</v>
      </c>
      <c r="W1567" s="11">
        <v>0</v>
      </c>
      <c r="X1567" s="13">
        <f>W1567/60</f>
        <v>0</v>
      </c>
      <c r="Y1567" s="2" t="s">
        <v>90</v>
      </c>
      <c r="Z1567" s="2">
        <v>58</v>
      </c>
      <c r="AA1567" s="2">
        <f>ProductionData[[#This Row],[Rejected_Qty]]*ProductionData[[#This Row],[Unit_Cost_INR]]</f>
        <v>7482</v>
      </c>
      <c r="AB1567" s="4">
        <v>14546</v>
      </c>
      <c r="AC1567" s="4">
        <v>4810</v>
      </c>
      <c r="AD1567" s="4">
        <v>4810</v>
      </c>
      <c r="AE1567" s="4">
        <v>14847</v>
      </c>
      <c r="AF1567" s="4">
        <v>9000</v>
      </c>
    </row>
    <row r="1568" spans="1:32">
      <c r="A1568" s="2" t="s">
        <v>3268</v>
      </c>
      <c r="B1568" s="3">
        <v>46235</v>
      </c>
      <c r="C1568" s="36" t="s">
        <v>2816</v>
      </c>
      <c r="D1568" s="2">
        <f>MONTH(ProductionData[[#This Row],[Month]])</f>
        <v>8</v>
      </c>
      <c r="E1568" s="2" t="s">
        <v>65</v>
      </c>
      <c r="F1568" s="2" t="s">
        <v>66</v>
      </c>
      <c r="G1568" s="2" t="s">
        <v>67</v>
      </c>
      <c r="H1568" s="2" t="s">
        <v>68</v>
      </c>
      <c r="I1568" s="2" t="s">
        <v>69</v>
      </c>
      <c r="J1568" s="2" t="s">
        <v>403</v>
      </c>
      <c r="K1568" s="2" t="s">
        <v>404</v>
      </c>
      <c r="L1568" s="2" t="s">
        <v>3269</v>
      </c>
      <c r="M1568" s="2" t="s">
        <v>99</v>
      </c>
      <c r="N1568" s="2" t="s">
        <v>88</v>
      </c>
      <c r="O1568" s="2">
        <v>16</v>
      </c>
      <c r="P1568" s="2">
        <v>15</v>
      </c>
      <c r="Q1568" s="4">
        <v>6420</v>
      </c>
      <c r="R1568" s="4">
        <v>5810</v>
      </c>
      <c r="S1568" s="4">
        <v>149</v>
      </c>
      <c r="T1568" s="19">
        <f>(ProductionData[[#This Row],[Rejected_Qty]])/ProductionData[[#This Row],[Produced_Qty]]</f>
        <v>2.5645438898450945E-2</v>
      </c>
      <c r="U1568" s="19">
        <f>ProductionData[[#This Row],[Produced_Qty]]/ProductionData[[#This Row],[Planned_Qty]]</f>
        <v>0.90498442367601251</v>
      </c>
      <c r="V1568" s="2" t="s">
        <v>109</v>
      </c>
      <c r="W1568" s="11">
        <v>39</v>
      </c>
      <c r="X1568" s="13">
        <f>W1568/60</f>
        <v>0.65</v>
      </c>
      <c r="Y1568" s="2" t="s">
        <v>136</v>
      </c>
      <c r="Z1568" s="2">
        <v>58</v>
      </c>
      <c r="AA1568" s="2">
        <f>ProductionData[[#This Row],[Rejected_Qty]]*ProductionData[[#This Row],[Unit_Cost_INR]]</f>
        <v>8642</v>
      </c>
      <c r="AB1568" s="4">
        <v>14795</v>
      </c>
      <c r="AC1568" s="4">
        <v>5910</v>
      </c>
      <c r="AD1568" s="4">
        <v>5910</v>
      </c>
      <c r="AE1568" s="4">
        <v>14546</v>
      </c>
      <c r="AF1568" s="4">
        <v>9000</v>
      </c>
    </row>
    <row r="1569" spans="1:32">
      <c r="A1569" s="2" t="s">
        <v>3270</v>
      </c>
      <c r="B1569" s="3">
        <v>46240</v>
      </c>
      <c r="C1569" s="36" t="s">
        <v>2816</v>
      </c>
      <c r="D1569" s="2">
        <f>MONTH(ProductionData[[#This Row],[Month]])</f>
        <v>8</v>
      </c>
      <c r="E1569" s="2" t="s">
        <v>107</v>
      </c>
      <c r="F1569" s="2" t="s">
        <v>93</v>
      </c>
      <c r="G1569" s="2" t="s">
        <v>67</v>
      </c>
      <c r="H1569" s="2" t="s">
        <v>68</v>
      </c>
      <c r="I1569" s="2" t="s">
        <v>69</v>
      </c>
      <c r="J1569" s="2" t="s">
        <v>403</v>
      </c>
      <c r="K1569" s="2" t="s">
        <v>404</v>
      </c>
      <c r="L1569" s="2" t="s">
        <v>3271</v>
      </c>
      <c r="M1569" s="2" t="s">
        <v>133</v>
      </c>
      <c r="N1569" s="2" t="s">
        <v>74</v>
      </c>
      <c r="O1569" s="2">
        <v>16</v>
      </c>
      <c r="P1569" s="2">
        <v>14</v>
      </c>
      <c r="Q1569" s="4">
        <v>5780</v>
      </c>
      <c r="R1569" s="4">
        <v>4980</v>
      </c>
      <c r="S1569" s="4">
        <v>517</v>
      </c>
      <c r="T1569" s="19">
        <f>(ProductionData[[#This Row],[Rejected_Qty]])/ProductionData[[#This Row],[Produced_Qty]]</f>
        <v>0.10381526104417671</v>
      </c>
      <c r="U1569" s="19">
        <f>ProductionData[[#This Row],[Produced_Qty]]/ProductionData[[#This Row],[Planned_Qty]]</f>
        <v>0.86159169550173009</v>
      </c>
      <c r="V1569" s="2" t="s">
        <v>2284</v>
      </c>
      <c r="W1569" s="11">
        <v>0</v>
      </c>
      <c r="X1569" s="13">
        <f>W1569/60</f>
        <v>0</v>
      </c>
      <c r="Y1569" s="2" t="s">
        <v>90</v>
      </c>
      <c r="Z1569" s="2">
        <v>58</v>
      </c>
      <c r="AA1569" s="2">
        <f>ProductionData[[#This Row],[Rejected_Qty]]*ProductionData[[#This Row],[Unit_Cost_INR]]</f>
        <v>29986</v>
      </c>
      <c r="AB1569" s="4">
        <v>15906</v>
      </c>
      <c r="AC1569" s="4">
        <v>5920</v>
      </c>
      <c r="AD1569" s="4">
        <v>5920</v>
      </c>
      <c r="AE1569" s="4">
        <v>14449</v>
      </c>
      <c r="AF1569" s="4">
        <v>9000</v>
      </c>
    </row>
    <row r="1570" spans="1:32">
      <c r="A1570" s="2" t="s">
        <v>3272</v>
      </c>
      <c r="B1570" s="3">
        <v>46242</v>
      </c>
      <c r="C1570" s="36" t="s">
        <v>2816</v>
      </c>
      <c r="D1570" s="2">
        <f>MONTH(ProductionData[[#This Row],[Month]])</f>
        <v>8</v>
      </c>
      <c r="E1570" s="2" t="s">
        <v>65</v>
      </c>
      <c r="F1570" s="2" t="s">
        <v>93</v>
      </c>
      <c r="G1570" s="2" t="s">
        <v>67</v>
      </c>
      <c r="H1570" s="2" t="s">
        <v>68</v>
      </c>
      <c r="I1570" s="2" t="s">
        <v>69</v>
      </c>
      <c r="J1570" s="2" t="s">
        <v>403</v>
      </c>
      <c r="K1570" s="2" t="s">
        <v>404</v>
      </c>
      <c r="L1570" s="2" t="s">
        <v>3273</v>
      </c>
      <c r="M1570" s="2" t="s">
        <v>133</v>
      </c>
      <c r="N1570" s="2" t="s">
        <v>74</v>
      </c>
      <c r="O1570" s="2">
        <v>16</v>
      </c>
      <c r="P1570" s="2">
        <v>13</v>
      </c>
      <c r="Q1570" s="4">
        <v>5550</v>
      </c>
      <c r="R1570" s="4">
        <v>4980</v>
      </c>
      <c r="S1570" s="4">
        <v>449</v>
      </c>
      <c r="T1570" s="19">
        <f>(ProductionData[[#This Row],[Rejected_Qty]])/ProductionData[[#This Row],[Produced_Qty]]</f>
        <v>9.0160642570281127E-2</v>
      </c>
      <c r="U1570" s="19">
        <f>ProductionData[[#This Row],[Produced_Qty]]/ProductionData[[#This Row],[Planned_Qty]]</f>
        <v>0.89729729729729735</v>
      </c>
      <c r="V1570" s="2" t="s">
        <v>2284</v>
      </c>
      <c r="W1570" s="11">
        <v>0</v>
      </c>
      <c r="X1570" s="13">
        <f>W1570/60</f>
        <v>0</v>
      </c>
      <c r="Y1570" s="2" t="s">
        <v>90</v>
      </c>
      <c r="Z1570" s="2">
        <v>58</v>
      </c>
      <c r="AA1570" s="2">
        <f>ProductionData[[#This Row],[Rejected_Qty]]*ProductionData[[#This Row],[Unit_Cost_INR]]</f>
        <v>26042</v>
      </c>
      <c r="AB1570" s="4">
        <v>14911</v>
      </c>
      <c r="AC1570" s="4">
        <v>5640</v>
      </c>
      <c r="AD1570" s="4">
        <v>5640</v>
      </c>
      <c r="AE1570" s="4">
        <v>13802</v>
      </c>
      <c r="AF1570" s="4">
        <v>9000</v>
      </c>
    </row>
    <row r="1571" spans="1:32">
      <c r="A1571" s="2" t="s">
        <v>3274</v>
      </c>
      <c r="B1571" s="3">
        <v>46239</v>
      </c>
      <c r="C1571" s="36" t="s">
        <v>2816</v>
      </c>
      <c r="D1571" s="2">
        <f>MONTH(ProductionData[[#This Row],[Month]])</f>
        <v>8</v>
      </c>
      <c r="E1571" s="2" t="s">
        <v>79</v>
      </c>
      <c r="F1571" s="2" t="s">
        <v>93</v>
      </c>
      <c r="G1571" s="2" t="s">
        <v>67</v>
      </c>
      <c r="H1571" s="2" t="s">
        <v>68</v>
      </c>
      <c r="I1571" s="2" t="s">
        <v>69</v>
      </c>
      <c r="J1571" s="2" t="s">
        <v>70</v>
      </c>
      <c r="K1571" s="2" t="s">
        <v>71</v>
      </c>
      <c r="L1571" s="2" t="s">
        <v>3275</v>
      </c>
      <c r="M1571" s="2" t="s">
        <v>95</v>
      </c>
      <c r="N1571" s="2" t="s">
        <v>74</v>
      </c>
      <c r="O1571" s="2">
        <v>16</v>
      </c>
      <c r="P1571" s="2">
        <v>15</v>
      </c>
      <c r="Q1571" s="4">
        <v>6750</v>
      </c>
      <c r="R1571" s="4">
        <v>6420</v>
      </c>
      <c r="S1571" s="4">
        <v>583</v>
      </c>
      <c r="T1571" s="19">
        <f>(ProductionData[[#This Row],[Rejected_Qty]])/ProductionData[[#This Row],[Produced_Qty]]</f>
        <v>9.0809968847352027E-2</v>
      </c>
      <c r="U1571" s="19">
        <f>ProductionData[[#This Row],[Produced_Qty]]/ProductionData[[#This Row],[Planned_Qty]]</f>
        <v>0.95111111111111113</v>
      </c>
      <c r="V1571" s="2" t="s">
        <v>2284</v>
      </c>
      <c r="W1571" s="11">
        <v>0</v>
      </c>
      <c r="X1571" s="13">
        <f>W1571/60</f>
        <v>0</v>
      </c>
      <c r="Y1571" s="2" t="s">
        <v>90</v>
      </c>
      <c r="Z1571" s="2">
        <v>46</v>
      </c>
      <c r="AA1571" s="2">
        <f>ProductionData[[#This Row],[Rejected_Qty]]*ProductionData[[#This Row],[Unit_Cost_INR]]</f>
        <v>26818</v>
      </c>
      <c r="AB1571" s="4">
        <v>14868</v>
      </c>
      <c r="AC1571" s="4">
        <v>6970</v>
      </c>
      <c r="AD1571" s="4">
        <v>6970</v>
      </c>
      <c r="AE1571" s="4">
        <v>13735</v>
      </c>
      <c r="AF1571" s="4">
        <v>10500</v>
      </c>
    </row>
    <row r="1572" spans="1:32">
      <c r="A1572" s="2" t="s">
        <v>3276</v>
      </c>
      <c r="B1572" s="3">
        <v>46240</v>
      </c>
      <c r="C1572" s="36" t="s">
        <v>2816</v>
      </c>
      <c r="D1572" s="2">
        <f>MONTH(ProductionData[[#This Row],[Month]])</f>
        <v>8</v>
      </c>
      <c r="E1572" s="2" t="s">
        <v>107</v>
      </c>
      <c r="F1572" s="2" t="s">
        <v>80</v>
      </c>
      <c r="G1572" s="2" t="s">
        <v>67</v>
      </c>
      <c r="H1572" s="2" t="s">
        <v>68</v>
      </c>
      <c r="I1572" s="2" t="s">
        <v>69</v>
      </c>
      <c r="J1572" s="2" t="s">
        <v>70</v>
      </c>
      <c r="K1572" s="2" t="s">
        <v>71</v>
      </c>
      <c r="L1572" s="2" t="s">
        <v>3277</v>
      </c>
      <c r="M1572" s="2" t="s">
        <v>102</v>
      </c>
      <c r="N1572" s="2" t="s">
        <v>88</v>
      </c>
      <c r="O1572" s="2">
        <v>16</v>
      </c>
      <c r="P1572" s="2">
        <v>15</v>
      </c>
      <c r="Q1572" s="4">
        <v>7180</v>
      </c>
      <c r="R1572" s="4">
        <v>6820</v>
      </c>
      <c r="S1572" s="4">
        <v>141</v>
      </c>
      <c r="T1572" s="19">
        <f>(ProductionData[[#This Row],[Rejected_Qty]])/ProductionData[[#This Row],[Produced_Qty]]</f>
        <v>2.0674486803519063E-2</v>
      </c>
      <c r="U1572" s="19">
        <f>ProductionData[[#This Row],[Produced_Qty]]/ProductionData[[#This Row],[Planned_Qty]]</f>
        <v>0.94986072423398327</v>
      </c>
      <c r="V1572" s="2" t="s">
        <v>75</v>
      </c>
      <c r="W1572" s="11">
        <v>0</v>
      </c>
      <c r="X1572" s="13">
        <f>W1572/60</f>
        <v>0</v>
      </c>
      <c r="Y1572" s="2" t="s">
        <v>90</v>
      </c>
      <c r="Z1572" s="2">
        <v>46</v>
      </c>
      <c r="AA1572" s="2">
        <f>ProductionData[[#This Row],[Rejected_Qty]]*ProductionData[[#This Row],[Unit_Cost_INR]]</f>
        <v>6486</v>
      </c>
      <c r="AB1572" s="4">
        <v>13735</v>
      </c>
      <c r="AC1572" s="4">
        <v>6940</v>
      </c>
      <c r="AD1572" s="4">
        <v>6940</v>
      </c>
      <c r="AE1572" s="4">
        <v>13474</v>
      </c>
      <c r="AF1572" s="4">
        <v>10500</v>
      </c>
    </row>
    <row r="1573" spans="1:32">
      <c r="A1573" s="2" t="s">
        <v>3278</v>
      </c>
      <c r="B1573" s="3">
        <v>46245</v>
      </c>
      <c r="C1573" s="36" t="s">
        <v>2816</v>
      </c>
      <c r="D1573" s="2">
        <f>MONTH(ProductionData[[#This Row],[Month]])</f>
        <v>8</v>
      </c>
      <c r="E1573" s="2" t="s">
        <v>92</v>
      </c>
      <c r="F1573" s="2" t="s">
        <v>80</v>
      </c>
      <c r="G1573" s="2" t="s">
        <v>67</v>
      </c>
      <c r="H1573" s="2" t="s">
        <v>68</v>
      </c>
      <c r="I1573" s="2" t="s">
        <v>69</v>
      </c>
      <c r="J1573" s="2" t="s">
        <v>403</v>
      </c>
      <c r="K1573" s="2" t="s">
        <v>404</v>
      </c>
      <c r="L1573" s="2" t="s">
        <v>3279</v>
      </c>
      <c r="M1573" s="2" t="s">
        <v>87</v>
      </c>
      <c r="N1573" s="2" t="s">
        <v>88</v>
      </c>
      <c r="O1573" s="2">
        <v>16</v>
      </c>
      <c r="P1573" s="2">
        <v>13</v>
      </c>
      <c r="Q1573" s="4">
        <v>6120</v>
      </c>
      <c r="R1573" s="4">
        <v>5470</v>
      </c>
      <c r="S1573" s="4">
        <v>135</v>
      </c>
      <c r="T1573" s="19">
        <f>(ProductionData[[#This Row],[Rejected_Qty]])/ProductionData[[#This Row],[Produced_Qty]]</f>
        <v>2.4680073126142597E-2</v>
      </c>
      <c r="U1573" s="19">
        <f>ProductionData[[#This Row],[Produced_Qty]]/ProductionData[[#This Row],[Planned_Qty]]</f>
        <v>0.89379084967320266</v>
      </c>
      <c r="V1573" s="2" t="s">
        <v>89</v>
      </c>
      <c r="W1573" s="11">
        <v>0</v>
      </c>
      <c r="X1573" s="13">
        <f>W1573/60</f>
        <v>0</v>
      </c>
      <c r="Y1573" s="2" t="s">
        <v>90</v>
      </c>
      <c r="Z1573" s="2">
        <v>58</v>
      </c>
      <c r="AA1573" s="2">
        <f>ProductionData[[#This Row],[Rejected_Qty]]*ProductionData[[#This Row],[Unit_Cost_INR]]</f>
        <v>7830</v>
      </c>
      <c r="AB1573" s="4">
        <v>13802</v>
      </c>
      <c r="AC1573" s="4">
        <v>5860</v>
      </c>
      <c r="AD1573" s="4">
        <v>5860</v>
      </c>
      <c r="AE1573" s="4">
        <v>13277</v>
      </c>
      <c r="AF1573" s="4">
        <v>9000</v>
      </c>
    </row>
    <row r="1574" spans="1:32">
      <c r="A1574" s="2" t="s">
        <v>3280</v>
      </c>
      <c r="B1574" s="3">
        <v>46244</v>
      </c>
      <c r="C1574" s="36" t="s">
        <v>2816</v>
      </c>
      <c r="D1574" s="2">
        <f>MONTH(ProductionData[[#This Row],[Month]])</f>
        <v>8</v>
      </c>
      <c r="E1574" s="2" t="s">
        <v>116</v>
      </c>
      <c r="F1574" s="2" t="s">
        <v>66</v>
      </c>
      <c r="G1574" s="2" t="s">
        <v>67</v>
      </c>
      <c r="H1574" s="2" t="s">
        <v>68</v>
      </c>
      <c r="I1574" s="2" t="s">
        <v>69</v>
      </c>
      <c r="J1574" s="2" t="s">
        <v>70</v>
      </c>
      <c r="K1574" s="2" t="s">
        <v>71</v>
      </c>
      <c r="L1574" s="2" t="s">
        <v>3281</v>
      </c>
      <c r="M1574" s="2" t="s">
        <v>99</v>
      </c>
      <c r="N1574" s="2" t="s">
        <v>96</v>
      </c>
      <c r="O1574" s="2">
        <v>16</v>
      </c>
      <c r="P1574" s="2">
        <v>15</v>
      </c>
      <c r="Q1574" s="4">
        <v>7030</v>
      </c>
      <c r="R1574" s="4">
        <v>6820</v>
      </c>
      <c r="S1574" s="4">
        <v>180</v>
      </c>
      <c r="T1574" s="19">
        <f>(ProductionData[[#This Row],[Rejected_Qty]])/ProductionData[[#This Row],[Produced_Qty]]</f>
        <v>2.6392961876832845E-2</v>
      </c>
      <c r="U1574" s="19">
        <f>ProductionData[[#This Row],[Produced_Qty]]/ProductionData[[#This Row],[Planned_Qty]]</f>
        <v>0.97012802275960175</v>
      </c>
      <c r="V1574" s="2" t="s">
        <v>75</v>
      </c>
      <c r="W1574" s="11">
        <v>0</v>
      </c>
      <c r="X1574" s="13">
        <f>W1574/60</f>
        <v>0</v>
      </c>
      <c r="Y1574" s="2" t="s">
        <v>90</v>
      </c>
      <c r="Z1574" s="2">
        <v>46</v>
      </c>
      <c r="AA1574" s="2">
        <f>ProductionData[[#This Row],[Rejected_Qty]]*ProductionData[[#This Row],[Unit_Cost_INR]]</f>
        <v>8280</v>
      </c>
      <c r="AB1574" s="4">
        <v>12265</v>
      </c>
      <c r="AC1574" s="4">
        <v>5850</v>
      </c>
      <c r="AD1574" s="4">
        <v>5850</v>
      </c>
      <c r="AE1574" s="4">
        <v>13055</v>
      </c>
      <c r="AF1574" s="4">
        <v>10500</v>
      </c>
    </row>
    <row r="1575" spans="1:32">
      <c r="A1575" s="2" t="s">
        <v>3282</v>
      </c>
      <c r="B1575" s="3">
        <v>46246</v>
      </c>
      <c r="C1575" s="36" t="s">
        <v>2816</v>
      </c>
      <c r="D1575" s="2">
        <f>MONTH(ProductionData[[#This Row],[Month]])</f>
        <v>8</v>
      </c>
      <c r="E1575" s="2" t="s">
        <v>79</v>
      </c>
      <c r="F1575" s="2" t="s">
        <v>80</v>
      </c>
      <c r="G1575" s="2" t="s">
        <v>67</v>
      </c>
      <c r="H1575" s="2" t="s">
        <v>68</v>
      </c>
      <c r="I1575" s="2" t="s">
        <v>69</v>
      </c>
      <c r="J1575" s="2" t="s">
        <v>403</v>
      </c>
      <c r="K1575" s="2" t="s">
        <v>404</v>
      </c>
      <c r="L1575" s="2" t="s">
        <v>3283</v>
      </c>
      <c r="M1575" s="2" t="s">
        <v>87</v>
      </c>
      <c r="N1575" s="2" t="s">
        <v>96</v>
      </c>
      <c r="O1575" s="2">
        <v>16</v>
      </c>
      <c r="P1575" s="2">
        <v>15</v>
      </c>
      <c r="Q1575" s="4">
        <v>6330</v>
      </c>
      <c r="R1575" s="4">
        <v>5930</v>
      </c>
      <c r="S1575" s="4">
        <v>69</v>
      </c>
      <c r="T1575" s="19">
        <f>(ProductionData[[#This Row],[Rejected_Qty]])/ProductionData[[#This Row],[Produced_Qty]]</f>
        <v>1.1635750421585159E-2</v>
      </c>
      <c r="U1575" s="19">
        <f>ProductionData[[#This Row],[Produced_Qty]]/ProductionData[[#This Row],[Planned_Qty]]</f>
        <v>0.93680884676145337</v>
      </c>
      <c r="V1575" s="2" t="s">
        <v>89</v>
      </c>
      <c r="W1575" s="11">
        <v>0</v>
      </c>
      <c r="X1575" s="13">
        <f>W1575/60</f>
        <v>0</v>
      </c>
      <c r="Y1575" s="2" t="s">
        <v>90</v>
      </c>
      <c r="Z1575" s="2">
        <v>58</v>
      </c>
      <c r="AA1575" s="2">
        <f>ProductionData[[#This Row],[Rejected_Qty]]*ProductionData[[#This Row],[Unit_Cost_INR]]</f>
        <v>4002</v>
      </c>
      <c r="AB1575" s="4">
        <v>13277</v>
      </c>
      <c r="AC1575" s="4">
        <v>6100</v>
      </c>
      <c r="AD1575" s="4">
        <v>6100</v>
      </c>
      <c r="AE1575" s="4">
        <v>13038</v>
      </c>
      <c r="AF1575" s="4">
        <v>9000</v>
      </c>
    </row>
    <row r="1576" spans="1:32">
      <c r="A1576" s="2" t="s">
        <v>3284</v>
      </c>
      <c r="B1576" s="3">
        <v>46251</v>
      </c>
      <c r="C1576" s="36" t="s">
        <v>2816</v>
      </c>
      <c r="D1576" s="2">
        <f>MONTH(ProductionData[[#This Row],[Month]])</f>
        <v>8</v>
      </c>
      <c r="E1576" s="2" t="s">
        <v>116</v>
      </c>
      <c r="F1576" s="2" t="s">
        <v>66</v>
      </c>
      <c r="G1576" s="2" t="s">
        <v>67</v>
      </c>
      <c r="H1576" s="2" t="s">
        <v>68</v>
      </c>
      <c r="I1576" s="2" t="s">
        <v>69</v>
      </c>
      <c r="J1576" s="2" t="s">
        <v>403</v>
      </c>
      <c r="K1576" s="2" t="s">
        <v>404</v>
      </c>
      <c r="L1576" s="2" t="s">
        <v>3285</v>
      </c>
      <c r="M1576" s="2" t="s">
        <v>99</v>
      </c>
      <c r="N1576" s="2" t="s">
        <v>88</v>
      </c>
      <c r="O1576" s="2">
        <v>16</v>
      </c>
      <c r="P1576" s="2">
        <v>16</v>
      </c>
      <c r="Q1576" s="4">
        <v>6270</v>
      </c>
      <c r="R1576" s="4">
        <v>6030</v>
      </c>
      <c r="S1576" s="4">
        <v>92</v>
      </c>
      <c r="T1576" s="19">
        <f>(ProductionData[[#This Row],[Rejected_Qty]])/ProductionData[[#This Row],[Produced_Qty]]</f>
        <v>1.5257048092868989E-2</v>
      </c>
      <c r="U1576" s="19">
        <f>ProductionData[[#This Row],[Produced_Qty]]/ProductionData[[#This Row],[Planned_Qty]]</f>
        <v>0.96172248803827753</v>
      </c>
      <c r="V1576" s="2" t="s">
        <v>103</v>
      </c>
      <c r="W1576" s="11">
        <v>0</v>
      </c>
      <c r="X1576" s="13">
        <f>W1576/60</f>
        <v>0</v>
      </c>
      <c r="Y1576" s="2" t="s">
        <v>90</v>
      </c>
      <c r="Z1576" s="2">
        <v>58</v>
      </c>
      <c r="AA1576" s="2">
        <f>ProductionData[[#This Row],[Rejected_Qty]]*ProductionData[[#This Row],[Unit_Cost_INR]]</f>
        <v>5336</v>
      </c>
      <c r="AB1576" s="4">
        <v>12695</v>
      </c>
      <c r="AC1576" s="4">
        <v>5640</v>
      </c>
      <c r="AD1576" s="4">
        <v>5640</v>
      </c>
      <c r="AE1576" s="4">
        <v>12993</v>
      </c>
      <c r="AF1576" s="4">
        <v>9000</v>
      </c>
    </row>
    <row r="1577" spans="1:32">
      <c r="A1577" s="2" t="s">
        <v>3286</v>
      </c>
      <c r="B1577" s="3">
        <v>46248</v>
      </c>
      <c r="C1577" s="36" t="s">
        <v>2816</v>
      </c>
      <c r="D1577" s="2">
        <f>MONTH(ProductionData[[#This Row],[Month]])</f>
        <v>8</v>
      </c>
      <c r="E1577" s="2" t="s">
        <v>125</v>
      </c>
      <c r="F1577" s="2" t="s">
        <v>80</v>
      </c>
      <c r="G1577" s="2" t="s">
        <v>67</v>
      </c>
      <c r="H1577" s="2" t="s">
        <v>68</v>
      </c>
      <c r="I1577" s="2" t="s">
        <v>69</v>
      </c>
      <c r="J1577" s="2" t="s">
        <v>403</v>
      </c>
      <c r="K1577" s="2" t="s">
        <v>404</v>
      </c>
      <c r="L1577" s="2" t="s">
        <v>3287</v>
      </c>
      <c r="M1577" s="2" t="s">
        <v>102</v>
      </c>
      <c r="N1577" s="2" t="s">
        <v>88</v>
      </c>
      <c r="O1577" s="2">
        <v>16</v>
      </c>
      <c r="P1577" s="2">
        <v>15</v>
      </c>
      <c r="Q1577" s="4">
        <v>6340</v>
      </c>
      <c r="R1577" s="4">
        <v>5820</v>
      </c>
      <c r="S1577" s="4">
        <v>47</v>
      </c>
      <c r="T1577" s="19">
        <f>(ProductionData[[#This Row],[Rejected_Qty]])/ProductionData[[#This Row],[Produced_Qty]]</f>
        <v>8.0756013745704475E-3</v>
      </c>
      <c r="U1577" s="19">
        <f>ProductionData[[#This Row],[Produced_Qty]]/ProductionData[[#This Row],[Planned_Qty]]</f>
        <v>0.917981072555205</v>
      </c>
      <c r="V1577" s="2" t="s">
        <v>89</v>
      </c>
      <c r="W1577" s="11">
        <v>50</v>
      </c>
      <c r="X1577" s="13">
        <f>W1577/60</f>
        <v>0.83333333333333337</v>
      </c>
      <c r="Y1577" s="2" t="s">
        <v>136</v>
      </c>
      <c r="Z1577" s="2">
        <v>58</v>
      </c>
      <c r="AA1577" s="2">
        <f>ProductionData[[#This Row],[Rejected_Qty]]*ProductionData[[#This Row],[Unit_Cost_INR]]</f>
        <v>2726</v>
      </c>
      <c r="AB1577" s="4">
        <v>13038</v>
      </c>
      <c r="AC1577" s="4">
        <v>5860</v>
      </c>
      <c r="AD1577" s="4">
        <v>5860</v>
      </c>
      <c r="AE1577" s="4">
        <v>12951</v>
      </c>
      <c r="AF1577" s="4">
        <v>9000</v>
      </c>
    </row>
    <row r="1578" spans="1:32">
      <c r="A1578" s="2" t="s">
        <v>3288</v>
      </c>
      <c r="B1578" s="3">
        <v>46248</v>
      </c>
      <c r="C1578" s="36" t="s">
        <v>2816</v>
      </c>
      <c r="D1578" s="2">
        <f>MONTH(ProductionData[[#This Row],[Month]])</f>
        <v>8</v>
      </c>
      <c r="E1578" s="2" t="s">
        <v>125</v>
      </c>
      <c r="F1578" s="2" t="s">
        <v>93</v>
      </c>
      <c r="G1578" s="2" t="s">
        <v>67</v>
      </c>
      <c r="H1578" s="2" t="s">
        <v>68</v>
      </c>
      <c r="I1578" s="2" t="s">
        <v>69</v>
      </c>
      <c r="J1578" s="2" t="s">
        <v>403</v>
      </c>
      <c r="K1578" s="2" t="s">
        <v>404</v>
      </c>
      <c r="L1578" s="2" t="s">
        <v>3289</v>
      </c>
      <c r="M1578" s="2" t="s">
        <v>133</v>
      </c>
      <c r="N1578" s="2" t="s">
        <v>74</v>
      </c>
      <c r="O1578" s="2">
        <v>16</v>
      </c>
      <c r="P1578" s="2">
        <v>14</v>
      </c>
      <c r="Q1578" s="4">
        <v>5260</v>
      </c>
      <c r="R1578" s="4">
        <v>4890</v>
      </c>
      <c r="S1578" s="4">
        <v>526</v>
      </c>
      <c r="T1578" s="19">
        <f>(ProductionData[[#This Row],[Rejected_Qty]])/ProductionData[[#This Row],[Produced_Qty]]</f>
        <v>0.10756646216768916</v>
      </c>
      <c r="U1578" s="19">
        <f>ProductionData[[#This Row],[Produced_Qty]]/ProductionData[[#This Row],[Planned_Qty]]</f>
        <v>0.92965779467680609</v>
      </c>
      <c r="V1578" s="2" t="s">
        <v>2284</v>
      </c>
      <c r="W1578" s="11">
        <v>0</v>
      </c>
      <c r="X1578" s="13">
        <f>W1578/60</f>
        <v>0</v>
      </c>
      <c r="Y1578" s="2" t="s">
        <v>90</v>
      </c>
      <c r="Z1578" s="2">
        <v>58</v>
      </c>
      <c r="AA1578" s="2">
        <f>ProductionData[[#This Row],[Rejected_Qty]]*ProductionData[[#This Row],[Unit_Cost_INR]]</f>
        <v>30508</v>
      </c>
      <c r="AB1578" s="4">
        <v>12951</v>
      </c>
      <c r="AC1578" s="4">
        <v>4620</v>
      </c>
      <c r="AD1578" s="4">
        <v>4620</v>
      </c>
      <c r="AE1578" s="4">
        <v>12695</v>
      </c>
      <c r="AF1578" s="4">
        <v>9000</v>
      </c>
    </row>
    <row r="1579" spans="1:32">
      <c r="A1579" s="2" t="s">
        <v>3290</v>
      </c>
      <c r="B1579" s="3">
        <v>46245</v>
      </c>
      <c r="C1579" s="36" t="s">
        <v>2816</v>
      </c>
      <c r="D1579" s="2">
        <f>MONTH(ProductionData[[#This Row],[Month]])</f>
        <v>8</v>
      </c>
      <c r="E1579" s="2" t="s">
        <v>92</v>
      </c>
      <c r="F1579" s="2" t="s">
        <v>66</v>
      </c>
      <c r="G1579" s="2" t="s">
        <v>67</v>
      </c>
      <c r="H1579" s="2" t="s">
        <v>68</v>
      </c>
      <c r="I1579" s="2" t="s">
        <v>69</v>
      </c>
      <c r="J1579" s="2" t="s">
        <v>70</v>
      </c>
      <c r="K1579" s="2" t="s">
        <v>71</v>
      </c>
      <c r="L1579" s="2" t="s">
        <v>3291</v>
      </c>
      <c r="M1579" s="2" t="s">
        <v>99</v>
      </c>
      <c r="N1579" s="2" t="s">
        <v>88</v>
      </c>
      <c r="O1579" s="2">
        <v>16</v>
      </c>
      <c r="P1579" s="2">
        <v>16</v>
      </c>
      <c r="Q1579" s="4">
        <v>7490</v>
      </c>
      <c r="R1579" s="4">
        <v>7400</v>
      </c>
      <c r="S1579" s="4">
        <v>232</v>
      </c>
      <c r="T1579" s="19">
        <f>(ProductionData[[#This Row],[Rejected_Qty]])/ProductionData[[#This Row],[Produced_Qty]]</f>
        <v>3.135135135135135E-2</v>
      </c>
      <c r="U1579" s="19">
        <f>ProductionData[[#This Row],[Produced_Qty]]/ProductionData[[#This Row],[Planned_Qty]]</f>
        <v>0.98798397863818421</v>
      </c>
      <c r="V1579" s="2" t="s">
        <v>103</v>
      </c>
      <c r="W1579" s="11">
        <v>0</v>
      </c>
      <c r="X1579" s="13">
        <f>W1579/60</f>
        <v>0</v>
      </c>
      <c r="Y1579" s="2" t="s">
        <v>90</v>
      </c>
      <c r="Z1579" s="2">
        <v>46</v>
      </c>
      <c r="AA1579" s="2">
        <f>ProductionData[[#This Row],[Rejected_Qty]]*ProductionData[[#This Row],[Unit_Cost_INR]]</f>
        <v>10672</v>
      </c>
      <c r="AB1579" s="4">
        <v>11810</v>
      </c>
      <c r="AC1579" s="4">
        <v>6360</v>
      </c>
      <c r="AD1579" s="4">
        <v>6360</v>
      </c>
      <c r="AE1579" s="4">
        <v>12618</v>
      </c>
      <c r="AF1579" s="4">
        <v>10500</v>
      </c>
    </row>
    <row r="1580" spans="1:32">
      <c r="A1580" s="2" t="s">
        <v>3292</v>
      </c>
      <c r="B1580" s="3">
        <v>46241</v>
      </c>
      <c r="C1580" s="36" t="s">
        <v>2816</v>
      </c>
      <c r="D1580" s="2">
        <f>MONTH(ProductionData[[#This Row],[Month]])</f>
        <v>8</v>
      </c>
      <c r="E1580" s="2" t="s">
        <v>125</v>
      </c>
      <c r="F1580" s="2" t="s">
        <v>93</v>
      </c>
      <c r="G1580" s="2" t="s">
        <v>67</v>
      </c>
      <c r="H1580" s="2" t="s">
        <v>68</v>
      </c>
      <c r="I1580" s="2" t="s">
        <v>69</v>
      </c>
      <c r="J1580" s="2" t="s">
        <v>70</v>
      </c>
      <c r="K1580" s="2" t="s">
        <v>71</v>
      </c>
      <c r="L1580" s="2" t="s">
        <v>3293</v>
      </c>
      <c r="M1580" s="2" t="s">
        <v>95</v>
      </c>
      <c r="N1580" s="2" t="s">
        <v>88</v>
      </c>
      <c r="O1580" s="2">
        <v>16</v>
      </c>
      <c r="P1580" s="2">
        <v>12</v>
      </c>
      <c r="Q1580" s="4">
        <v>6900</v>
      </c>
      <c r="R1580" s="4">
        <v>5790</v>
      </c>
      <c r="S1580" s="4">
        <v>110</v>
      </c>
      <c r="T1580" s="19">
        <f>(ProductionData[[#This Row],[Rejected_Qty]])/ProductionData[[#This Row],[Produced_Qty]]</f>
        <v>1.8998272884283247E-2</v>
      </c>
      <c r="U1580" s="19">
        <f>ProductionData[[#This Row],[Produced_Qty]]/ProductionData[[#This Row],[Planned_Qty]]</f>
        <v>0.83913043478260874</v>
      </c>
      <c r="V1580" s="2" t="s">
        <v>89</v>
      </c>
      <c r="W1580" s="11">
        <v>18</v>
      </c>
      <c r="X1580" s="13">
        <f>W1580/60</f>
        <v>0.3</v>
      </c>
      <c r="Y1580" s="2" t="s">
        <v>259</v>
      </c>
      <c r="Z1580" s="2">
        <v>46</v>
      </c>
      <c r="AA1580" s="2">
        <f>ProductionData[[#This Row],[Rejected_Qty]]*ProductionData[[#This Row],[Unit_Cost_INR]]</f>
        <v>5060</v>
      </c>
      <c r="AB1580" s="4">
        <v>13474</v>
      </c>
      <c r="AC1580" s="4">
        <v>6860</v>
      </c>
      <c r="AD1580" s="4">
        <v>6860</v>
      </c>
      <c r="AE1580" s="4">
        <v>12294</v>
      </c>
      <c r="AF1580" s="4">
        <v>10500</v>
      </c>
    </row>
    <row r="1581" spans="1:32">
      <c r="A1581" s="2" t="s">
        <v>3294</v>
      </c>
      <c r="B1581" s="3">
        <v>46243</v>
      </c>
      <c r="C1581" s="36" t="s">
        <v>2816</v>
      </c>
      <c r="D1581" s="2">
        <f>MONTH(ProductionData[[#This Row],[Month]])</f>
        <v>8</v>
      </c>
      <c r="E1581" s="2" t="s">
        <v>186</v>
      </c>
      <c r="F1581" s="2" t="s">
        <v>80</v>
      </c>
      <c r="G1581" s="2" t="s">
        <v>67</v>
      </c>
      <c r="H1581" s="2" t="s">
        <v>68</v>
      </c>
      <c r="I1581" s="2" t="s">
        <v>69</v>
      </c>
      <c r="J1581" s="2" t="s">
        <v>70</v>
      </c>
      <c r="K1581" s="2" t="s">
        <v>71</v>
      </c>
      <c r="L1581" s="2" t="s">
        <v>3295</v>
      </c>
      <c r="M1581" s="2" t="s">
        <v>102</v>
      </c>
      <c r="N1581" s="2" t="s">
        <v>74</v>
      </c>
      <c r="O1581" s="2">
        <v>16</v>
      </c>
      <c r="P1581" s="2">
        <v>16</v>
      </c>
      <c r="Q1581" s="4">
        <v>4900</v>
      </c>
      <c r="R1581" s="4">
        <v>4930</v>
      </c>
      <c r="S1581" s="4">
        <v>589</v>
      </c>
      <c r="T1581" s="19">
        <f>(ProductionData[[#This Row],[Rejected_Qty]])/ProductionData[[#This Row],[Produced_Qty]]</f>
        <v>0.11947261663286005</v>
      </c>
      <c r="U1581" s="19">
        <f>ProductionData[[#This Row],[Produced_Qty]]/ProductionData[[#This Row],[Planned_Qty]]</f>
        <v>1.0061224489795919</v>
      </c>
      <c r="V1581" s="2" t="s">
        <v>2284</v>
      </c>
      <c r="W1581" s="11">
        <v>0</v>
      </c>
      <c r="X1581" s="13">
        <f>W1581/60</f>
        <v>0</v>
      </c>
      <c r="Y1581" s="2" t="s">
        <v>90</v>
      </c>
      <c r="Z1581" s="2">
        <v>46</v>
      </c>
      <c r="AA1581" s="2">
        <f>ProductionData[[#This Row],[Rejected_Qty]]*ProductionData[[#This Row],[Unit_Cost_INR]]</f>
        <v>27094</v>
      </c>
      <c r="AB1581" s="4">
        <v>12294</v>
      </c>
      <c r="AC1581" s="4">
        <v>4370</v>
      </c>
      <c r="AD1581" s="4">
        <v>4370</v>
      </c>
      <c r="AE1581" s="4">
        <v>12265</v>
      </c>
      <c r="AF1581" s="4">
        <v>10500</v>
      </c>
    </row>
    <row r="1582" spans="1:32">
      <c r="A1582" s="2" t="s">
        <v>3296</v>
      </c>
      <c r="B1582" s="3">
        <v>46253</v>
      </c>
      <c r="C1582" s="36" t="s">
        <v>2816</v>
      </c>
      <c r="D1582" s="2">
        <f>MONTH(ProductionData[[#This Row],[Month]])</f>
        <v>8</v>
      </c>
      <c r="E1582" s="2" t="s">
        <v>79</v>
      </c>
      <c r="F1582" s="2" t="s">
        <v>93</v>
      </c>
      <c r="G1582" s="2" t="s">
        <v>67</v>
      </c>
      <c r="H1582" s="2" t="s">
        <v>68</v>
      </c>
      <c r="I1582" s="2" t="s">
        <v>69</v>
      </c>
      <c r="J1582" s="2" t="s">
        <v>403</v>
      </c>
      <c r="K1582" s="2" t="s">
        <v>404</v>
      </c>
      <c r="L1582" s="2" t="s">
        <v>3297</v>
      </c>
      <c r="M1582" s="2" t="s">
        <v>95</v>
      </c>
      <c r="N1582" s="2" t="s">
        <v>74</v>
      </c>
      <c r="O1582" s="2">
        <v>16</v>
      </c>
      <c r="P1582" s="2">
        <v>14</v>
      </c>
      <c r="Q1582" s="4">
        <v>5280</v>
      </c>
      <c r="R1582" s="4">
        <v>4800</v>
      </c>
      <c r="S1582" s="4">
        <v>574</v>
      </c>
      <c r="T1582" s="19">
        <f>(ProductionData[[#This Row],[Rejected_Qty]])/ProductionData[[#This Row],[Produced_Qty]]</f>
        <v>0.11958333333333333</v>
      </c>
      <c r="U1582" s="19">
        <f>ProductionData[[#This Row],[Produced_Qty]]/ProductionData[[#This Row],[Planned_Qty]]</f>
        <v>0.90909090909090906</v>
      </c>
      <c r="V1582" s="2" t="s">
        <v>2284</v>
      </c>
      <c r="W1582" s="11">
        <v>0</v>
      </c>
      <c r="X1582" s="13">
        <f>W1582/60</f>
        <v>0</v>
      </c>
      <c r="Y1582" s="2" t="s">
        <v>90</v>
      </c>
      <c r="Z1582" s="2">
        <v>58</v>
      </c>
      <c r="AA1582" s="2">
        <f>ProductionData[[#This Row],[Rejected_Qty]]*ProductionData[[#This Row],[Unit_Cost_INR]]</f>
        <v>33292</v>
      </c>
      <c r="AB1582" s="4">
        <v>12993</v>
      </c>
      <c r="AC1582" s="4">
        <v>5140</v>
      </c>
      <c r="AD1582" s="4">
        <v>5140</v>
      </c>
      <c r="AE1582" s="4">
        <v>12079</v>
      </c>
      <c r="AF1582" s="4">
        <v>9000</v>
      </c>
    </row>
    <row r="1583" spans="1:32">
      <c r="A1583" s="2" t="s">
        <v>3298</v>
      </c>
      <c r="B1583" s="3">
        <v>46244</v>
      </c>
      <c r="C1583" s="36" t="s">
        <v>2816</v>
      </c>
      <c r="D1583" s="2">
        <f>MONTH(ProductionData[[#This Row],[Month]])</f>
        <v>8</v>
      </c>
      <c r="E1583" s="2" t="s">
        <v>116</v>
      </c>
      <c r="F1583" s="2" t="s">
        <v>93</v>
      </c>
      <c r="G1583" s="2" t="s">
        <v>67</v>
      </c>
      <c r="H1583" s="2" t="s">
        <v>68</v>
      </c>
      <c r="I1583" s="2" t="s">
        <v>69</v>
      </c>
      <c r="J1583" s="2" t="s">
        <v>70</v>
      </c>
      <c r="K1583" s="2" t="s">
        <v>71</v>
      </c>
      <c r="L1583" s="2" t="s">
        <v>3299</v>
      </c>
      <c r="M1583" s="2" t="s">
        <v>95</v>
      </c>
      <c r="N1583" s="2" t="s">
        <v>74</v>
      </c>
      <c r="O1583" s="2">
        <v>16</v>
      </c>
      <c r="P1583" s="2">
        <v>14</v>
      </c>
      <c r="Q1583" s="4">
        <v>6880</v>
      </c>
      <c r="R1583" s="4">
        <v>6460</v>
      </c>
      <c r="S1583" s="4">
        <v>655</v>
      </c>
      <c r="T1583" s="19">
        <f>(ProductionData[[#This Row],[Rejected_Qty]])/ProductionData[[#This Row],[Produced_Qty]]</f>
        <v>0.10139318885448917</v>
      </c>
      <c r="U1583" s="19">
        <f>ProductionData[[#This Row],[Produced_Qty]]/ProductionData[[#This Row],[Planned_Qty]]</f>
        <v>0.93895348837209303</v>
      </c>
      <c r="V1583" s="2" t="s">
        <v>2284</v>
      </c>
      <c r="W1583" s="11">
        <v>56</v>
      </c>
      <c r="X1583" s="13">
        <f>W1583/60</f>
        <v>0.93333333333333335</v>
      </c>
      <c r="Y1583" s="2" t="s">
        <v>76</v>
      </c>
      <c r="Z1583" s="2">
        <v>46</v>
      </c>
      <c r="AA1583" s="2">
        <f>ProductionData[[#This Row],[Rejected_Qty]]*ProductionData[[#This Row],[Unit_Cost_INR]]</f>
        <v>30130</v>
      </c>
      <c r="AB1583" s="4">
        <v>13055</v>
      </c>
      <c r="AC1583" s="4">
        <v>7050</v>
      </c>
      <c r="AD1583" s="4">
        <v>7050</v>
      </c>
      <c r="AE1583" s="4">
        <v>11810</v>
      </c>
      <c r="AF1583" s="4">
        <v>10500</v>
      </c>
    </row>
    <row r="1584" spans="1:32">
      <c r="A1584" s="2" t="s">
        <v>3300</v>
      </c>
      <c r="B1584" s="3">
        <v>46258</v>
      </c>
      <c r="C1584" s="36" t="s">
        <v>2816</v>
      </c>
      <c r="D1584" s="2">
        <f>MONTH(ProductionData[[#This Row],[Month]])</f>
        <v>8</v>
      </c>
      <c r="E1584" s="2" t="s">
        <v>116</v>
      </c>
      <c r="F1584" s="2" t="s">
        <v>80</v>
      </c>
      <c r="G1584" s="2" t="s">
        <v>67</v>
      </c>
      <c r="H1584" s="2" t="s">
        <v>68</v>
      </c>
      <c r="I1584" s="2" t="s">
        <v>69</v>
      </c>
      <c r="J1584" s="2" t="s">
        <v>403</v>
      </c>
      <c r="K1584" s="2" t="s">
        <v>404</v>
      </c>
      <c r="L1584" s="2" t="s">
        <v>3301</v>
      </c>
      <c r="M1584" s="2" t="s">
        <v>102</v>
      </c>
      <c r="N1584" s="2" t="s">
        <v>74</v>
      </c>
      <c r="O1584" s="2">
        <v>16</v>
      </c>
      <c r="P1584" s="2">
        <v>14</v>
      </c>
      <c r="Q1584" s="4">
        <v>6300</v>
      </c>
      <c r="R1584" s="4">
        <v>5850</v>
      </c>
      <c r="S1584" s="4">
        <v>674</v>
      </c>
      <c r="T1584" s="19">
        <f>(ProductionData[[#This Row],[Rejected_Qty]])/ProductionData[[#This Row],[Produced_Qty]]</f>
        <v>0.11521367521367522</v>
      </c>
      <c r="U1584" s="19">
        <f>ProductionData[[#This Row],[Produced_Qty]]/ProductionData[[#This Row],[Planned_Qty]]</f>
        <v>0.9285714285714286</v>
      </c>
      <c r="V1584" s="2" t="s">
        <v>109</v>
      </c>
      <c r="W1584" s="11">
        <v>0</v>
      </c>
      <c r="X1584" s="13">
        <f>W1584/60</f>
        <v>0</v>
      </c>
      <c r="Y1584" s="2" t="s">
        <v>90</v>
      </c>
      <c r="Z1584" s="2">
        <v>58</v>
      </c>
      <c r="AA1584" s="2">
        <f>ProductionData[[#This Row],[Rejected_Qty]]*ProductionData[[#This Row],[Unit_Cost_INR]]</f>
        <v>39092</v>
      </c>
      <c r="AB1584" s="4">
        <v>11604</v>
      </c>
      <c r="AC1584" s="4">
        <v>5040</v>
      </c>
      <c r="AD1584" s="4">
        <v>5040</v>
      </c>
      <c r="AE1584" s="4">
        <v>11740</v>
      </c>
      <c r="AF1584" s="4">
        <v>9000</v>
      </c>
    </row>
    <row r="1585" spans="1:32">
      <c r="A1585" s="2" t="s">
        <v>3302</v>
      </c>
      <c r="B1585" s="3">
        <v>46258</v>
      </c>
      <c r="C1585" s="36" t="s">
        <v>2816</v>
      </c>
      <c r="D1585" s="2">
        <f>MONTH(ProductionData[[#This Row],[Month]])</f>
        <v>8</v>
      </c>
      <c r="E1585" s="2" t="s">
        <v>116</v>
      </c>
      <c r="F1585" s="2" t="s">
        <v>66</v>
      </c>
      <c r="G1585" s="2" t="s">
        <v>67</v>
      </c>
      <c r="H1585" s="2" t="s">
        <v>68</v>
      </c>
      <c r="I1585" s="2" t="s">
        <v>69</v>
      </c>
      <c r="J1585" s="2" t="s">
        <v>403</v>
      </c>
      <c r="K1585" s="2" t="s">
        <v>404</v>
      </c>
      <c r="L1585" s="2" t="s">
        <v>3303</v>
      </c>
      <c r="M1585" s="2" t="s">
        <v>99</v>
      </c>
      <c r="N1585" s="2" t="s">
        <v>88</v>
      </c>
      <c r="O1585" s="2">
        <v>16</v>
      </c>
      <c r="P1585" s="2">
        <v>14</v>
      </c>
      <c r="Q1585" s="4">
        <v>6470</v>
      </c>
      <c r="R1585" s="4">
        <v>5980</v>
      </c>
      <c r="S1585" s="4">
        <v>119</v>
      </c>
      <c r="T1585" s="19">
        <f>(ProductionData[[#This Row],[Rejected_Qty]])/ProductionData[[#This Row],[Produced_Qty]]</f>
        <v>1.9899665551839463E-2</v>
      </c>
      <c r="U1585" s="19">
        <f>ProductionData[[#This Row],[Produced_Qty]]/ProductionData[[#This Row],[Planned_Qty]]</f>
        <v>0.92426584234930453</v>
      </c>
      <c r="V1585" s="2" t="s">
        <v>109</v>
      </c>
      <c r="W1585" s="11">
        <v>0</v>
      </c>
      <c r="X1585" s="13">
        <f>W1585/60</f>
        <v>0</v>
      </c>
      <c r="Y1585" s="2" t="s">
        <v>90</v>
      </c>
      <c r="Z1585" s="2">
        <v>58</v>
      </c>
      <c r="AA1585" s="2">
        <f>ProductionData[[#This Row],[Rejected_Qty]]*ProductionData[[#This Row],[Unit_Cost_INR]]</f>
        <v>6902</v>
      </c>
      <c r="AB1585" s="4">
        <v>11483</v>
      </c>
      <c r="AC1585" s="4">
        <v>5740</v>
      </c>
      <c r="AD1585" s="4">
        <v>5740</v>
      </c>
      <c r="AE1585" s="4">
        <v>11604</v>
      </c>
      <c r="AF1585" s="4">
        <v>9000</v>
      </c>
    </row>
    <row r="1586" spans="1:32">
      <c r="A1586" s="2" t="s">
        <v>3304</v>
      </c>
      <c r="B1586" s="3">
        <v>46254</v>
      </c>
      <c r="C1586" s="36" t="s">
        <v>2816</v>
      </c>
      <c r="D1586" s="2">
        <f>MONTH(ProductionData[[#This Row],[Month]])</f>
        <v>8</v>
      </c>
      <c r="E1586" s="2" t="s">
        <v>107</v>
      </c>
      <c r="F1586" s="2" t="s">
        <v>80</v>
      </c>
      <c r="G1586" s="2" t="s">
        <v>67</v>
      </c>
      <c r="H1586" s="2" t="s">
        <v>68</v>
      </c>
      <c r="I1586" s="2" t="s">
        <v>69</v>
      </c>
      <c r="J1586" s="2" t="s">
        <v>403</v>
      </c>
      <c r="K1586" s="2" t="s">
        <v>404</v>
      </c>
      <c r="L1586" s="2" t="s">
        <v>3305</v>
      </c>
      <c r="M1586" s="2" t="s">
        <v>87</v>
      </c>
      <c r="N1586" s="2" t="s">
        <v>74</v>
      </c>
      <c r="O1586" s="2">
        <v>16</v>
      </c>
      <c r="P1586" s="2">
        <v>16</v>
      </c>
      <c r="Q1586" s="4">
        <v>5570</v>
      </c>
      <c r="R1586" s="4">
        <v>5180</v>
      </c>
      <c r="S1586" s="4">
        <v>366</v>
      </c>
      <c r="T1586" s="19">
        <f>(ProductionData[[#This Row],[Rejected_Qty]])/ProductionData[[#This Row],[Produced_Qty]]</f>
        <v>7.0656370656370662E-2</v>
      </c>
      <c r="U1586" s="19">
        <f>ProductionData[[#This Row],[Produced_Qty]]/ProductionData[[#This Row],[Planned_Qty]]</f>
        <v>0.9299820466786356</v>
      </c>
      <c r="V1586" s="2" t="s">
        <v>2284</v>
      </c>
      <c r="W1586" s="11">
        <v>31</v>
      </c>
      <c r="X1586" s="13">
        <f>W1586/60</f>
        <v>0.51666666666666672</v>
      </c>
      <c r="Y1586" s="2" t="s">
        <v>110</v>
      </c>
      <c r="Z1586" s="2">
        <v>58</v>
      </c>
      <c r="AA1586" s="2">
        <f>ProductionData[[#This Row],[Rejected_Qty]]*ProductionData[[#This Row],[Unit_Cost_INR]]</f>
        <v>21228</v>
      </c>
      <c r="AB1586" s="4">
        <v>12079</v>
      </c>
      <c r="AC1586" s="4">
        <v>5410</v>
      </c>
      <c r="AD1586" s="4">
        <v>5410</v>
      </c>
      <c r="AE1586" s="4">
        <v>11483</v>
      </c>
      <c r="AF1586" s="4">
        <v>9000</v>
      </c>
    </row>
    <row r="1587" spans="1:32">
      <c r="A1587" s="2" t="s">
        <v>3306</v>
      </c>
      <c r="B1587" s="3">
        <v>46235</v>
      </c>
      <c r="C1587" s="36" t="s">
        <v>2816</v>
      </c>
      <c r="D1587" s="2">
        <f>MONTH(ProductionData[[#This Row],[Month]])</f>
        <v>8</v>
      </c>
      <c r="E1587" s="2" t="s">
        <v>65</v>
      </c>
      <c r="F1587" s="2" t="s">
        <v>80</v>
      </c>
      <c r="G1587" s="2" t="s">
        <v>67</v>
      </c>
      <c r="H1587" s="2" t="s">
        <v>68</v>
      </c>
      <c r="I1587" s="2" t="s">
        <v>69</v>
      </c>
      <c r="J1587" s="2" t="s">
        <v>683</v>
      </c>
      <c r="K1587" s="2" t="s">
        <v>684</v>
      </c>
      <c r="L1587" s="2" t="s">
        <v>3307</v>
      </c>
      <c r="M1587" s="2" t="s">
        <v>102</v>
      </c>
      <c r="N1587" s="2" t="s">
        <v>74</v>
      </c>
      <c r="O1587" s="2">
        <v>16</v>
      </c>
      <c r="P1587" s="2">
        <v>15</v>
      </c>
      <c r="Q1587" s="4">
        <v>4570</v>
      </c>
      <c r="R1587" s="4">
        <v>4290</v>
      </c>
      <c r="S1587" s="4">
        <v>549</v>
      </c>
      <c r="T1587" s="19">
        <f>(ProductionData[[#This Row],[Rejected_Qty]])/ProductionData[[#This Row],[Produced_Qty]]</f>
        <v>0.12797202797202797</v>
      </c>
      <c r="U1587" s="19">
        <f>ProductionData[[#This Row],[Produced_Qty]]/ProductionData[[#This Row],[Planned_Qty]]</f>
        <v>0.93873085339168494</v>
      </c>
      <c r="V1587" s="2" t="s">
        <v>2284</v>
      </c>
      <c r="W1587" s="11">
        <v>14</v>
      </c>
      <c r="X1587" s="13">
        <f>W1587/60</f>
        <v>0.23333333333333334</v>
      </c>
      <c r="Y1587" s="2" t="s">
        <v>114</v>
      </c>
      <c r="Z1587" s="2">
        <v>79</v>
      </c>
      <c r="AA1587" s="2">
        <f>ProductionData[[#This Row],[Rejected_Qty]]*ProductionData[[#This Row],[Unit_Cost_INR]]</f>
        <v>43371</v>
      </c>
      <c r="AB1587" s="4">
        <v>11650</v>
      </c>
      <c r="AC1587" s="4">
        <v>3980</v>
      </c>
      <c r="AD1587" s="4">
        <v>3980</v>
      </c>
      <c r="AE1587" s="4">
        <v>11411</v>
      </c>
      <c r="AF1587" s="4">
        <v>6750</v>
      </c>
    </row>
    <row r="1588" spans="1:32">
      <c r="A1588" s="2" t="s">
        <v>3308</v>
      </c>
      <c r="B1588" s="3">
        <v>46249</v>
      </c>
      <c r="C1588" s="36" t="s">
        <v>2816</v>
      </c>
      <c r="D1588" s="2">
        <f>MONTH(ProductionData[[#This Row],[Month]])</f>
        <v>8</v>
      </c>
      <c r="E1588" s="2" t="s">
        <v>65</v>
      </c>
      <c r="F1588" s="2" t="s">
        <v>80</v>
      </c>
      <c r="G1588" s="2" t="s">
        <v>67</v>
      </c>
      <c r="H1588" s="2" t="s">
        <v>68</v>
      </c>
      <c r="I1588" s="2" t="s">
        <v>69</v>
      </c>
      <c r="J1588" s="2" t="s">
        <v>70</v>
      </c>
      <c r="K1588" s="2" t="s">
        <v>71</v>
      </c>
      <c r="L1588" s="2" t="s">
        <v>3309</v>
      </c>
      <c r="M1588" s="2" t="s">
        <v>87</v>
      </c>
      <c r="N1588" s="2" t="s">
        <v>74</v>
      </c>
      <c r="O1588" s="2">
        <v>16</v>
      </c>
      <c r="P1588" s="2">
        <v>16</v>
      </c>
      <c r="Q1588" s="4">
        <v>7550</v>
      </c>
      <c r="R1588" s="4">
        <v>7250</v>
      </c>
      <c r="S1588" s="4">
        <v>1013</v>
      </c>
      <c r="T1588" s="19">
        <f>(ProductionData[[#This Row],[Rejected_Qty]])/ProductionData[[#This Row],[Produced_Qty]]</f>
        <v>0.13972413793103447</v>
      </c>
      <c r="U1588" s="19">
        <f>ProductionData[[#This Row],[Produced_Qty]]/ProductionData[[#This Row],[Planned_Qty]]</f>
        <v>0.96026490066225167</v>
      </c>
      <c r="V1588" s="2" t="s">
        <v>2284</v>
      </c>
      <c r="W1588" s="11">
        <v>59</v>
      </c>
      <c r="X1588" s="13">
        <f>W1588/60</f>
        <v>0.98333333333333328</v>
      </c>
      <c r="Y1588" s="2" t="s">
        <v>110</v>
      </c>
      <c r="Z1588" s="2">
        <v>46</v>
      </c>
      <c r="AA1588" s="2">
        <f>ProductionData[[#This Row],[Rejected_Qty]]*ProductionData[[#This Row],[Unit_Cost_INR]]</f>
        <v>46598</v>
      </c>
      <c r="AB1588" s="4">
        <v>12618</v>
      </c>
      <c r="AC1588" s="4">
        <v>7480</v>
      </c>
      <c r="AD1588" s="4">
        <v>7480</v>
      </c>
      <c r="AE1588" s="4">
        <v>11375</v>
      </c>
      <c r="AF1588" s="4">
        <v>10500</v>
      </c>
    </row>
    <row r="1589" spans="1:32">
      <c r="A1589" s="2" t="s">
        <v>3310</v>
      </c>
      <c r="B1589" s="3">
        <v>46259</v>
      </c>
      <c r="C1589" s="36" t="s">
        <v>2816</v>
      </c>
      <c r="D1589" s="2">
        <f>MONTH(ProductionData[[#This Row],[Month]])</f>
        <v>8</v>
      </c>
      <c r="E1589" s="2" t="s">
        <v>92</v>
      </c>
      <c r="F1589" s="2" t="s">
        <v>66</v>
      </c>
      <c r="G1589" s="2" t="s">
        <v>67</v>
      </c>
      <c r="H1589" s="2" t="s">
        <v>68</v>
      </c>
      <c r="I1589" s="2" t="s">
        <v>69</v>
      </c>
      <c r="J1589" s="2" t="s">
        <v>403</v>
      </c>
      <c r="K1589" s="2" t="s">
        <v>404</v>
      </c>
      <c r="L1589" s="2" t="s">
        <v>3311</v>
      </c>
      <c r="M1589" s="2" t="s">
        <v>99</v>
      </c>
      <c r="N1589" s="2" t="s">
        <v>96</v>
      </c>
      <c r="O1589" s="2">
        <v>16</v>
      </c>
      <c r="P1589" s="2">
        <v>16</v>
      </c>
      <c r="Q1589" s="4">
        <v>6160</v>
      </c>
      <c r="R1589" s="4">
        <v>5870</v>
      </c>
      <c r="S1589" s="4">
        <v>112</v>
      </c>
      <c r="T1589" s="19">
        <f>(ProductionData[[#This Row],[Rejected_Qty]])/ProductionData[[#This Row],[Produced_Qty]]</f>
        <v>1.9080068143100513E-2</v>
      </c>
      <c r="U1589" s="19">
        <f>ProductionData[[#This Row],[Produced_Qty]]/ProductionData[[#This Row],[Planned_Qty]]</f>
        <v>0.95292207792207795</v>
      </c>
      <c r="V1589" s="2" t="s">
        <v>113</v>
      </c>
      <c r="W1589" s="11">
        <v>0</v>
      </c>
      <c r="X1589" s="13">
        <f>W1589/60</f>
        <v>0</v>
      </c>
      <c r="Y1589" s="2" t="s">
        <v>90</v>
      </c>
      <c r="Z1589" s="2">
        <v>58</v>
      </c>
      <c r="AA1589" s="2">
        <f>ProductionData[[#This Row],[Rejected_Qty]]*ProductionData[[#This Row],[Unit_Cost_INR]]</f>
        <v>6496</v>
      </c>
      <c r="AB1589" s="4">
        <v>10928</v>
      </c>
      <c r="AC1589" s="4">
        <v>5500</v>
      </c>
      <c r="AD1589" s="4">
        <v>5500</v>
      </c>
      <c r="AE1589" s="4">
        <v>11186</v>
      </c>
      <c r="AF1589" s="4">
        <v>9000</v>
      </c>
    </row>
    <row r="1590" spans="1:32">
      <c r="A1590" s="2" t="s">
        <v>3312</v>
      </c>
      <c r="B1590" s="3">
        <v>46236</v>
      </c>
      <c r="C1590" s="36" t="s">
        <v>2816</v>
      </c>
      <c r="D1590" s="2">
        <f>MONTH(ProductionData[[#This Row],[Month]])</f>
        <v>8</v>
      </c>
      <c r="E1590" s="2" t="s">
        <v>186</v>
      </c>
      <c r="F1590" s="2" t="s">
        <v>66</v>
      </c>
      <c r="G1590" s="2" t="s">
        <v>67</v>
      </c>
      <c r="H1590" s="2" t="s">
        <v>68</v>
      </c>
      <c r="I1590" s="2" t="s">
        <v>69</v>
      </c>
      <c r="J1590" s="2" t="s">
        <v>683</v>
      </c>
      <c r="K1590" s="2" t="s">
        <v>684</v>
      </c>
      <c r="L1590" s="2" t="s">
        <v>3313</v>
      </c>
      <c r="M1590" s="2" t="s">
        <v>99</v>
      </c>
      <c r="N1590" s="2" t="s">
        <v>74</v>
      </c>
      <c r="O1590" s="2">
        <v>16</v>
      </c>
      <c r="P1590" s="2">
        <v>13</v>
      </c>
      <c r="Q1590" s="4">
        <v>2990</v>
      </c>
      <c r="R1590" s="4">
        <v>2770</v>
      </c>
      <c r="S1590" s="4">
        <v>305</v>
      </c>
      <c r="T1590" s="19">
        <f>(ProductionData[[#This Row],[Rejected_Qty]])/ProductionData[[#This Row],[Produced_Qty]]</f>
        <v>0.11010830324909747</v>
      </c>
      <c r="U1590" s="19">
        <f>ProductionData[[#This Row],[Produced_Qty]]/ProductionData[[#This Row],[Planned_Qty]]</f>
        <v>0.9264214046822743</v>
      </c>
      <c r="V1590" s="2" t="s">
        <v>2284</v>
      </c>
      <c r="W1590" s="11">
        <v>40</v>
      </c>
      <c r="X1590" s="13">
        <f>W1590/60</f>
        <v>0.66666666666666663</v>
      </c>
      <c r="Y1590" s="2" t="s">
        <v>110</v>
      </c>
      <c r="Z1590" s="2">
        <v>79</v>
      </c>
      <c r="AA1590" s="2">
        <f>ProductionData[[#This Row],[Rejected_Qty]]*ProductionData[[#This Row],[Unit_Cost_INR]]</f>
        <v>24095</v>
      </c>
      <c r="AB1590" s="4">
        <v>11411</v>
      </c>
      <c r="AC1590" s="4">
        <v>2760</v>
      </c>
      <c r="AD1590" s="4">
        <v>2760</v>
      </c>
      <c r="AE1590" s="4">
        <v>11116</v>
      </c>
      <c r="AF1590" s="4">
        <v>6750</v>
      </c>
    </row>
    <row r="1591" spans="1:32">
      <c r="A1591" s="2" t="s">
        <v>3314</v>
      </c>
      <c r="B1591" s="3">
        <v>46258</v>
      </c>
      <c r="C1591" s="36" t="s">
        <v>2816</v>
      </c>
      <c r="D1591" s="2">
        <f>MONTH(ProductionData[[#This Row],[Month]])</f>
        <v>8</v>
      </c>
      <c r="E1591" s="2" t="s">
        <v>116</v>
      </c>
      <c r="F1591" s="2" t="s">
        <v>93</v>
      </c>
      <c r="G1591" s="2" t="s">
        <v>67</v>
      </c>
      <c r="H1591" s="2" t="s">
        <v>68</v>
      </c>
      <c r="I1591" s="2" t="s">
        <v>69</v>
      </c>
      <c r="J1591" s="2" t="s">
        <v>403</v>
      </c>
      <c r="K1591" s="2" t="s">
        <v>404</v>
      </c>
      <c r="L1591" s="2" t="s">
        <v>3315</v>
      </c>
      <c r="M1591" s="2" t="s">
        <v>95</v>
      </c>
      <c r="N1591" s="2" t="s">
        <v>74</v>
      </c>
      <c r="O1591" s="2">
        <v>16</v>
      </c>
      <c r="P1591" s="2">
        <v>14</v>
      </c>
      <c r="Q1591" s="4">
        <v>5930</v>
      </c>
      <c r="R1591" s="4">
        <v>5210</v>
      </c>
      <c r="S1591" s="4">
        <v>592</v>
      </c>
      <c r="T1591" s="19">
        <f>(ProductionData[[#This Row],[Rejected_Qty]])/ProductionData[[#This Row],[Produced_Qty]]</f>
        <v>0.11362763915547025</v>
      </c>
      <c r="U1591" s="19">
        <f>ProductionData[[#This Row],[Produced_Qty]]/ProductionData[[#This Row],[Planned_Qty]]</f>
        <v>0.87858347386172009</v>
      </c>
      <c r="V1591" s="2" t="s">
        <v>2284</v>
      </c>
      <c r="W1591" s="11">
        <v>63</v>
      </c>
      <c r="X1591" s="13">
        <f>W1591/60</f>
        <v>1.05</v>
      </c>
      <c r="Y1591" s="2" t="s">
        <v>182</v>
      </c>
      <c r="Z1591" s="2">
        <v>58</v>
      </c>
      <c r="AA1591" s="2">
        <f>ProductionData[[#This Row],[Rejected_Qty]]*ProductionData[[#This Row],[Unit_Cost_INR]]</f>
        <v>34336</v>
      </c>
      <c r="AB1591" s="4">
        <v>11740</v>
      </c>
      <c r="AC1591" s="4">
        <v>5430</v>
      </c>
      <c r="AD1591" s="4">
        <v>5430</v>
      </c>
      <c r="AE1591" s="4">
        <v>10928</v>
      </c>
      <c r="AF1591" s="4">
        <v>9000</v>
      </c>
    </row>
    <row r="1592" spans="1:32">
      <c r="A1592" s="2" t="s">
        <v>3316</v>
      </c>
      <c r="B1592" s="3">
        <v>46238</v>
      </c>
      <c r="C1592" s="36" t="s">
        <v>2816</v>
      </c>
      <c r="D1592" s="2">
        <f>MONTH(ProductionData[[#This Row],[Month]])</f>
        <v>8</v>
      </c>
      <c r="E1592" s="2" t="s">
        <v>92</v>
      </c>
      <c r="F1592" s="2" t="s">
        <v>80</v>
      </c>
      <c r="G1592" s="2" t="s">
        <v>67</v>
      </c>
      <c r="H1592" s="2" t="s">
        <v>68</v>
      </c>
      <c r="I1592" s="2" t="s">
        <v>69</v>
      </c>
      <c r="J1592" s="2" t="s">
        <v>683</v>
      </c>
      <c r="K1592" s="2" t="s">
        <v>684</v>
      </c>
      <c r="L1592" s="2" t="s">
        <v>3317</v>
      </c>
      <c r="M1592" s="2" t="s">
        <v>87</v>
      </c>
      <c r="N1592" s="2" t="s">
        <v>96</v>
      </c>
      <c r="O1592" s="2">
        <v>16</v>
      </c>
      <c r="P1592" s="2">
        <v>16</v>
      </c>
      <c r="Q1592" s="4">
        <v>4500</v>
      </c>
      <c r="R1592" s="4">
        <v>4160</v>
      </c>
      <c r="S1592" s="4">
        <v>93</v>
      </c>
      <c r="T1592" s="19">
        <f>(ProductionData[[#This Row],[Rejected_Qty]])/ProductionData[[#This Row],[Produced_Qty]]</f>
        <v>2.2355769230769231E-2</v>
      </c>
      <c r="U1592" s="19">
        <f>ProductionData[[#This Row],[Produced_Qty]]/ProductionData[[#This Row],[Planned_Qty]]</f>
        <v>0.9244444444444444</v>
      </c>
      <c r="V1592" s="2" t="s">
        <v>103</v>
      </c>
      <c r="W1592" s="11">
        <v>16</v>
      </c>
      <c r="X1592" s="13">
        <f>W1592/60</f>
        <v>0.26666666666666666</v>
      </c>
      <c r="Y1592" s="2" t="s">
        <v>114</v>
      </c>
      <c r="Z1592" s="2">
        <v>79</v>
      </c>
      <c r="AA1592" s="2">
        <f>ProductionData[[#This Row],[Rejected_Qty]]*ProductionData[[#This Row],[Unit_Cost_INR]]</f>
        <v>7347</v>
      </c>
      <c r="AB1592" s="4">
        <v>11116</v>
      </c>
      <c r="AC1592" s="4">
        <v>4310</v>
      </c>
      <c r="AD1592" s="4">
        <v>4310</v>
      </c>
      <c r="AE1592" s="4">
        <v>10873</v>
      </c>
      <c r="AF1592" s="4">
        <v>6750</v>
      </c>
    </row>
    <row r="1593" spans="1:32">
      <c r="A1593" s="2" t="s">
        <v>3318</v>
      </c>
      <c r="B1593" s="3">
        <v>46238</v>
      </c>
      <c r="C1593" s="36" t="s">
        <v>2816</v>
      </c>
      <c r="D1593" s="2">
        <f>MONTH(ProductionData[[#This Row],[Month]])</f>
        <v>8</v>
      </c>
      <c r="E1593" s="2" t="s">
        <v>92</v>
      </c>
      <c r="F1593" s="2" t="s">
        <v>93</v>
      </c>
      <c r="G1593" s="2" t="s">
        <v>67</v>
      </c>
      <c r="H1593" s="2" t="s">
        <v>68</v>
      </c>
      <c r="I1593" s="2" t="s">
        <v>69</v>
      </c>
      <c r="J1593" s="2" t="s">
        <v>683</v>
      </c>
      <c r="K1593" s="2" t="s">
        <v>684</v>
      </c>
      <c r="L1593" s="2" t="s">
        <v>3319</v>
      </c>
      <c r="M1593" s="2" t="s">
        <v>95</v>
      </c>
      <c r="N1593" s="2" t="s">
        <v>74</v>
      </c>
      <c r="O1593" s="2">
        <v>16</v>
      </c>
      <c r="P1593" s="2">
        <v>14</v>
      </c>
      <c r="Q1593" s="4">
        <v>4450</v>
      </c>
      <c r="R1593" s="4">
        <v>4220</v>
      </c>
      <c r="S1593" s="4">
        <v>389</v>
      </c>
      <c r="T1593" s="19">
        <f>(ProductionData[[#This Row],[Rejected_Qty]])/ProductionData[[#This Row],[Produced_Qty]]</f>
        <v>9.2180094786729852E-2</v>
      </c>
      <c r="U1593" s="19">
        <f>ProductionData[[#This Row],[Produced_Qty]]/ProductionData[[#This Row],[Planned_Qty]]</f>
        <v>0.94831460674157309</v>
      </c>
      <c r="V1593" s="2" t="s">
        <v>2284</v>
      </c>
      <c r="W1593" s="11">
        <v>68</v>
      </c>
      <c r="X1593" s="13">
        <f>W1593/60</f>
        <v>1.1333333333333333</v>
      </c>
      <c r="Y1593" s="2" t="s">
        <v>76</v>
      </c>
      <c r="Z1593" s="2">
        <v>79</v>
      </c>
      <c r="AA1593" s="2">
        <f>ProductionData[[#This Row],[Rejected_Qty]]*ProductionData[[#This Row],[Unit_Cost_INR]]</f>
        <v>30731</v>
      </c>
      <c r="AB1593" s="4">
        <v>10873</v>
      </c>
      <c r="AC1593" s="4">
        <v>4180</v>
      </c>
      <c r="AD1593" s="4">
        <v>4180</v>
      </c>
      <c r="AE1593" s="4">
        <v>10524</v>
      </c>
      <c r="AF1593" s="4">
        <v>6750</v>
      </c>
    </row>
    <row r="1594" spans="1:32">
      <c r="A1594" s="2" t="s">
        <v>3320</v>
      </c>
      <c r="B1594" s="3">
        <v>46261</v>
      </c>
      <c r="C1594" s="36" t="s">
        <v>2816</v>
      </c>
      <c r="D1594" s="2">
        <f>MONTH(ProductionData[[#This Row],[Month]])</f>
        <v>8</v>
      </c>
      <c r="E1594" s="2" t="s">
        <v>107</v>
      </c>
      <c r="F1594" s="2" t="s">
        <v>66</v>
      </c>
      <c r="G1594" s="2" t="s">
        <v>67</v>
      </c>
      <c r="H1594" s="2" t="s">
        <v>68</v>
      </c>
      <c r="I1594" s="2" t="s">
        <v>69</v>
      </c>
      <c r="J1594" s="2" t="s">
        <v>403</v>
      </c>
      <c r="K1594" s="2" t="s">
        <v>404</v>
      </c>
      <c r="L1594" s="2" t="s">
        <v>3321</v>
      </c>
      <c r="M1594" s="2" t="s">
        <v>73</v>
      </c>
      <c r="N1594" s="2" t="s">
        <v>96</v>
      </c>
      <c r="O1594" s="2">
        <v>16</v>
      </c>
      <c r="P1594" s="2">
        <v>16</v>
      </c>
      <c r="Q1594" s="4">
        <v>5730</v>
      </c>
      <c r="R1594" s="4">
        <v>5570</v>
      </c>
      <c r="S1594" s="4">
        <v>139</v>
      </c>
      <c r="T1594" s="19">
        <f>(ProductionData[[#This Row],[Rejected_Qty]])/ProductionData[[#This Row],[Produced_Qty]]</f>
        <v>2.4955116696588869E-2</v>
      </c>
      <c r="U1594" s="19">
        <f>ProductionData[[#This Row],[Produced_Qty]]/ProductionData[[#This Row],[Planned_Qty]]</f>
        <v>0.97207678883071558</v>
      </c>
      <c r="V1594" s="2" t="s">
        <v>89</v>
      </c>
      <c r="W1594" s="11">
        <v>59</v>
      </c>
      <c r="X1594" s="13">
        <f>W1594/60</f>
        <v>0.98333333333333328</v>
      </c>
      <c r="Y1594" s="2" t="s">
        <v>114</v>
      </c>
      <c r="Z1594" s="2">
        <v>58</v>
      </c>
      <c r="AA1594" s="2">
        <f>ProductionData[[#This Row],[Rejected_Qty]]*ProductionData[[#This Row],[Unit_Cost_INR]]</f>
        <v>8062</v>
      </c>
      <c r="AB1594" s="4">
        <v>10188</v>
      </c>
      <c r="AC1594" s="4">
        <v>5180</v>
      </c>
      <c r="AD1594" s="4">
        <v>5180</v>
      </c>
      <c r="AE1594" s="4">
        <v>10439</v>
      </c>
      <c r="AF1594" s="4">
        <v>9000</v>
      </c>
    </row>
    <row r="1595" spans="1:32">
      <c r="A1595" s="2" t="s">
        <v>3322</v>
      </c>
      <c r="B1595" s="3">
        <v>46241</v>
      </c>
      <c r="C1595" s="36" t="s">
        <v>2816</v>
      </c>
      <c r="D1595" s="2">
        <f>MONTH(ProductionData[[#This Row],[Month]])</f>
        <v>8</v>
      </c>
      <c r="E1595" s="2" t="s">
        <v>125</v>
      </c>
      <c r="F1595" s="2" t="s">
        <v>66</v>
      </c>
      <c r="G1595" s="2" t="s">
        <v>67</v>
      </c>
      <c r="H1595" s="2" t="s">
        <v>68</v>
      </c>
      <c r="I1595" s="2" t="s">
        <v>69</v>
      </c>
      <c r="J1595" s="2" t="s">
        <v>683</v>
      </c>
      <c r="K1595" s="2" t="s">
        <v>684</v>
      </c>
      <c r="L1595" s="2" t="s">
        <v>3323</v>
      </c>
      <c r="M1595" s="2" t="s">
        <v>73</v>
      </c>
      <c r="N1595" s="2" t="s">
        <v>88</v>
      </c>
      <c r="O1595" s="2">
        <v>16</v>
      </c>
      <c r="P1595" s="2">
        <v>16</v>
      </c>
      <c r="Q1595" s="4">
        <v>4690</v>
      </c>
      <c r="R1595" s="4">
        <v>4500</v>
      </c>
      <c r="S1595" s="4">
        <v>124</v>
      </c>
      <c r="T1595" s="19">
        <f>(ProductionData[[#This Row],[Rejected_Qty]])/ProductionData[[#This Row],[Produced_Qty]]</f>
        <v>2.7555555555555555E-2</v>
      </c>
      <c r="U1595" s="19">
        <f>ProductionData[[#This Row],[Produced_Qty]]/ProductionData[[#This Row],[Planned_Qty]]</f>
        <v>0.95948827292110872</v>
      </c>
      <c r="V1595" s="2" t="s">
        <v>75</v>
      </c>
      <c r="W1595" s="11">
        <v>0</v>
      </c>
      <c r="X1595" s="13">
        <f>W1595/60</f>
        <v>0</v>
      </c>
      <c r="Y1595" s="2" t="s">
        <v>90</v>
      </c>
      <c r="Z1595" s="2">
        <v>79</v>
      </c>
      <c r="AA1595" s="2">
        <f>ProductionData[[#This Row],[Rejected_Qty]]*ProductionData[[#This Row],[Unit_Cost_INR]]</f>
        <v>9796</v>
      </c>
      <c r="AB1595" s="4">
        <v>10524</v>
      </c>
      <c r="AC1595" s="4">
        <v>4470</v>
      </c>
      <c r="AD1595" s="4">
        <v>4470</v>
      </c>
      <c r="AE1595" s="4">
        <v>10430</v>
      </c>
      <c r="AF1595" s="4">
        <v>6750</v>
      </c>
    </row>
    <row r="1596" spans="1:32">
      <c r="A1596" s="2" t="s">
        <v>3324</v>
      </c>
      <c r="B1596" s="3">
        <v>46265</v>
      </c>
      <c r="C1596" s="36" t="s">
        <v>2816</v>
      </c>
      <c r="D1596" s="2">
        <f>MONTH(ProductionData[[#This Row],[Month]])</f>
        <v>8</v>
      </c>
      <c r="E1596" s="2" t="s">
        <v>116</v>
      </c>
      <c r="F1596" s="2" t="s">
        <v>80</v>
      </c>
      <c r="G1596" s="2" t="s">
        <v>67</v>
      </c>
      <c r="H1596" s="2" t="s">
        <v>68</v>
      </c>
      <c r="I1596" s="2" t="s">
        <v>69</v>
      </c>
      <c r="J1596" s="2" t="s">
        <v>403</v>
      </c>
      <c r="K1596" s="2" t="s">
        <v>404</v>
      </c>
      <c r="L1596" s="2" t="s">
        <v>3325</v>
      </c>
      <c r="M1596" s="2" t="s">
        <v>87</v>
      </c>
      <c r="N1596" s="2" t="s">
        <v>96</v>
      </c>
      <c r="O1596" s="2">
        <v>16</v>
      </c>
      <c r="P1596" s="2">
        <v>16</v>
      </c>
      <c r="Q1596" s="4">
        <v>6050</v>
      </c>
      <c r="R1596" s="4">
        <v>5980</v>
      </c>
      <c r="S1596" s="4">
        <v>163</v>
      </c>
      <c r="T1596" s="19">
        <f>(ProductionData[[#This Row],[Rejected_Qty]])/ProductionData[[#This Row],[Produced_Qty]]</f>
        <v>2.7257525083612039E-2</v>
      </c>
      <c r="U1596" s="19">
        <f>ProductionData[[#This Row],[Produced_Qty]]/ProductionData[[#This Row],[Planned_Qty]]</f>
        <v>0.98842975206611572</v>
      </c>
      <c r="V1596" s="2" t="s">
        <v>109</v>
      </c>
      <c r="W1596" s="11">
        <v>74</v>
      </c>
      <c r="X1596" s="13">
        <f>W1596/60</f>
        <v>1.2333333333333334</v>
      </c>
      <c r="Y1596" s="2" t="s">
        <v>76</v>
      </c>
      <c r="Z1596" s="2">
        <v>58</v>
      </c>
      <c r="AA1596" s="2">
        <f>ProductionData[[#This Row],[Rejected_Qty]]*ProductionData[[#This Row],[Unit_Cost_INR]]</f>
        <v>9454</v>
      </c>
      <c r="AB1596" s="4">
        <v>9839</v>
      </c>
      <c r="AC1596" s="4">
        <v>5270</v>
      </c>
      <c r="AD1596" s="4">
        <v>5270</v>
      </c>
      <c r="AE1596" s="4">
        <v>10386</v>
      </c>
      <c r="AF1596" s="4">
        <v>9000</v>
      </c>
    </row>
    <row r="1597" spans="1:32">
      <c r="A1597" s="2" t="s">
        <v>3326</v>
      </c>
      <c r="B1597" s="3">
        <v>46242</v>
      </c>
      <c r="C1597" s="36" t="s">
        <v>2816</v>
      </c>
      <c r="D1597" s="2">
        <f>MONTH(ProductionData[[#This Row],[Month]])</f>
        <v>8</v>
      </c>
      <c r="E1597" s="2" t="s">
        <v>65</v>
      </c>
      <c r="F1597" s="2" t="s">
        <v>66</v>
      </c>
      <c r="G1597" s="2" t="s">
        <v>67</v>
      </c>
      <c r="H1597" s="2" t="s">
        <v>68</v>
      </c>
      <c r="I1597" s="2" t="s">
        <v>69</v>
      </c>
      <c r="J1597" s="2" t="s">
        <v>683</v>
      </c>
      <c r="K1597" s="2" t="s">
        <v>684</v>
      </c>
      <c r="L1597" s="2" t="s">
        <v>3327</v>
      </c>
      <c r="M1597" s="2" t="s">
        <v>99</v>
      </c>
      <c r="N1597" s="2" t="s">
        <v>88</v>
      </c>
      <c r="O1597" s="2">
        <v>16</v>
      </c>
      <c r="P1597" s="2">
        <v>15</v>
      </c>
      <c r="Q1597" s="4">
        <v>4730</v>
      </c>
      <c r="R1597" s="4">
        <v>4570</v>
      </c>
      <c r="S1597" s="4">
        <v>72</v>
      </c>
      <c r="T1597" s="19">
        <f>(ProductionData[[#This Row],[Rejected_Qty]])/ProductionData[[#This Row],[Produced_Qty]]</f>
        <v>1.575492341356674E-2</v>
      </c>
      <c r="U1597" s="19">
        <f>ProductionData[[#This Row],[Produced_Qty]]/ProductionData[[#This Row],[Planned_Qty]]</f>
        <v>0.96617336152219868</v>
      </c>
      <c r="V1597" s="2" t="s">
        <v>75</v>
      </c>
      <c r="W1597" s="11">
        <v>0</v>
      </c>
      <c r="X1597" s="13">
        <f>W1597/60</f>
        <v>0</v>
      </c>
      <c r="Y1597" s="2" t="s">
        <v>90</v>
      </c>
      <c r="Z1597" s="2">
        <v>79</v>
      </c>
      <c r="AA1597" s="2">
        <f>ProductionData[[#This Row],[Rejected_Qty]]*ProductionData[[#This Row],[Unit_Cost_INR]]</f>
        <v>5688</v>
      </c>
      <c r="AB1597" s="4">
        <v>10430</v>
      </c>
      <c r="AC1597" s="4">
        <v>4690</v>
      </c>
      <c r="AD1597" s="4">
        <v>4690</v>
      </c>
      <c r="AE1597" s="4">
        <v>10238</v>
      </c>
      <c r="AF1597" s="4">
        <v>6750</v>
      </c>
    </row>
    <row r="1598" spans="1:32">
      <c r="A1598" s="2" t="s">
        <v>3328</v>
      </c>
      <c r="B1598" s="3">
        <v>46260</v>
      </c>
      <c r="C1598" s="36" t="s">
        <v>2816</v>
      </c>
      <c r="D1598" s="2">
        <f>MONTH(ProductionData[[#This Row],[Month]])</f>
        <v>8</v>
      </c>
      <c r="E1598" s="2" t="s">
        <v>79</v>
      </c>
      <c r="F1598" s="2" t="s">
        <v>93</v>
      </c>
      <c r="G1598" s="2" t="s">
        <v>67</v>
      </c>
      <c r="H1598" s="2" t="s">
        <v>68</v>
      </c>
      <c r="I1598" s="2" t="s">
        <v>69</v>
      </c>
      <c r="J1598" s="2" t="s">
        <v>403</v>
      </c>
      <c r="K1598" s="2" t="s">
        <v>404</v>
      </c>
      <c r="L1598" s="2" t="s">
        <v>3329</v>
      </c>
      <c r="M1598" s="2" t="s">
        <v>95</v>
      </c>
      <c r="N1598" s="2" t="s">
        <v>74</v>
      </c>
      <c r="O1598" s="2">
        <v>16</v>
      </c>
      <c r="P1598" s="2">
        <v>12</v>
      </c>
      <c r="Q1598" s="4">
        <v>6110</v>
      </c>
      <c r="R1598" s="4">
        <v>5250</v>
      </c>
      <c r="S1598" s="4">
        <v>568</v>
      </c>
      <c r="T1598" s="19">
        <f>(ProductionData[[#This Row],[Rejected_Qty]])/ProductionData[[#This Row],[Produced_Qty]]</f>
        <v>0.10819047619047618</v>
      </c>
      <c r="U1598" s="19">
        <f>ProductionData[[#This Row],[Produced_Qty]]/ProductionData[[#This Row],[Planned_Qty]]</f>
        <v>0.85924713584288048</v>
      </c>
      <c r="V1598" s="2" t="s">
        <v>113</v>
      </c>
      <c r="W1598" s="11">
        <v>0</v>
      </c>
      <c r="X1598" s="13">
        <f>W1598/60</f>
        <v>0</v>
      </c>
      <c r="Y1598" s="2" t="s">
        <v>90</v>
      </c>
      <c r="Z1598" s="2">
        <v>58</v>
      </c>
      <c r="AA1598" s="2">
        <f>ProductionData[[#This Row],[Rejected_Qty]]*ProductionData[[#This Row],[Unit_Cost_INR]]</f>
        <v>32944</v>
      </c>
      <c r="AB1598" s="4">
        <v>11186</v>
      </c>
      <c r="AC1598" s="4">
        <v>5680</v>
      </c>
      <c r="AD1598" s="4">
        <v>5680</v>
      </c>
      <c r="AE1598" s="4">
        <v>10188</v>
      </c>
      <c r="AF1598" s="4">
        <v>9000</v>
      </c>
    </row>
    <row r="1599" spans="1:32">
      <c r="A1599" s="2" t="s">
        <v>3330</v>
      </c>
      <c r="B1599" s="3">
        <v>46261</v>
      </c>
      <c r="C1599" s="36" t="s">
        <v>2816</v>
      </c>
      <c r="D1599" s="2">
        <f>MONTH(ProductionData[[#This Row],[Month]])</f>
        <v>8</v>
      </c>
      <c r="E1599" s="2" t="s">
        <v>107</v>
      </c>
      <c r="F1599" s="2" t="s">
        <v>93</v>
      </c>
      <c r="G1599" s="2" t="s">
        <v>67</v>
      </c>
      <c r="H1599" s="2" t="s">
        <v>68</v>
      </c>
      <c r="I1599" s="2" t="s">
        <v>69</v>
      </c>
      <c r="J1599" s="2" t="s">
        <v>403</v>
      </c>
      <c r="K1599" s="2" t="s">
        <v>404</v>
      </c>
      <c r="L1599" s="2" t="s">
        <v>3331</v>
      </c>
      <c r="M1599" s="2" t="s">
        <v>95</v>
      </c>
      <c r="N1599" s="2" t="s">
        <v>74</v>
      </c>
      <c r="O1599" s="2">
        <v>16</v>
      </c>
      <c r="P1599" s="2">
        <v>15</v>
      </c>
      <c r="Q1599" s="4">
        <v>5490</v>
      </c>
      <c r="R1599" s="4">
        <v>5290</v>
      </c>
      <c r="S1599" s="4">
        <v>597</v>
      </c>
      <c r="T1599" s="19">
        <f>(ProductionData[[#This Row],[Rejected_Qty]])/ProductionData[[#This Row],[Produced_Qty]]</f>
        <v>0.11285444234404537</v>
      </c>
      <c r="U1599" s="19">
        <f>ProductionData[[#This Row],[Produced_Qty]]/ProductionData[[#This Row],[Planned_Qty]]</f>
        <v>0.96357012750455373</v>
      </c>
      <c r="V1599" s="2" t="s">
        <v>2284</v>
      </c>
      <c r="W1599" s="11">
        <v>70</v>
      </c>
      <c r="X1599" s="13">
        <f>W1599/60</f>
        <v>1.1666666666666667</v>
      </c>
      <c r="Y1599" s="2" t="s">
        <v>136</v>
      </c>
      <c r="Z1599" s="2">
        <v>58</v>
      </c>
      <c r="AA1599" s="2">
        <f>ProductionData[[#This Row],[Rejected_Qty]]*ProductionData[[#This Row],[Unit_Cost_INR]]</f>
        <v>34626</v>
      </c>
      <c r="AB1599" s="4">
        <v>10439</v>
      </c>
      <c r="AC1599" s="4">
        <v>4990</v>
      </c>
      <c r="AD1599" s="4">
        <v>4990</v>
      </c>
      <c r="AE1599" s="4">
        <v>10142</v>
      </c>
      <c r="AF1599" s="4">
        <v>9000</v>
      </c>
    </row>
    <row r="1600" spans="1:32">
      <c r="A1600" s="2" t="s">
        <v>3332</v>
      </c>
      <c r="B1600" s="3">
        <v>46251</v>
      </c>
      <c r="C1600" s="36" t="s">
        <v>2816</v>
      </c>
      <c r="D1600" s="2">
        <f>MONTH(ProductionData[[#This Row],[Month]])</f>
        <v>8</v>
      </c>
      <c r="E1600" s="2" t="s">
        <v>116</v>
      </c>
      <c r="F1600" s="2" t="s">
        <v>80</v>
      </c>
      <c r="G1600" s="2" t="s">
        <v>67</v>
      </c>
      <c r="H1600" s="2" t="s">
        <v>68</v>
      </c>
      <c r="I1600" s="2" t="s">
        <v>69</v>
      </c>
      <c r="J1600" s="2" t="s">
        <v>70</v>
      </c>
      <c r="K1600" s="2" t="s">
        <v>71</v>
      </c>
      <c r="L1600" s="2" t="s">
        <v>3333</v>
      </c>
      <c r="M1600" s="2" t="s">
        <v>87</v>
      </c>
      <c r="N1600" s="2" t="s">
        <v>74</v>
      </c>
      <c r="O1600" s="2">
        <v>16</v>
      </c>
      <c r="P1600" s="2">
        <v>16</v>
      </c>
      <c r="Q1600" s="4">
        <v>7440</v>
      </c>
      <c r="R1600" s="4">
        <v>7180</v>
      </c>
      <c r="S1600" s="4">
        <v>715</v>
      </c>
      <c r="T1600" s="19">
        <f>(ProductionData[[#This Row],[Rejected_Qty]])/ProductionData[[#This Row],[Produced_Qty]]</f>
        <v>9.9582172701949856E-2</v>
      </c>
      <c r="U1600" s="19">
        <f>ProductionData[[#This Row],[Produced_Qty]]/ProductionData[[#This Row],[Planned_Qty]]</f>
        <v>0.96505376344086025</v>
      </c>
      <c r="V1600" s="2" t="s">
        <v>2284</v>
      </c>
      <c r="W1600" s="11">
        <v>0</v>
      </c>
      <c r="X1600" s="13">
        <f>W1600/60</f>
        <v>0</v>
      </c>
      <c r="Y1600" s="2" t="s">
        <v>90</v>
      </c>
      <c r="Z1600" s="2">
        <v>46</v>
      </c>
      <c r="AA1600" s="2">
        <f>ProductionData[[#This Row],[Rejected_Qty]]*ProductionData[[#This Row],[Unit_Cost_INR]]</f>
        <v>32890</v>
      </c>
      <c r="AB1600" s="4">
        <v>11375</v>
      </c>
      <c r="AC1600" s="4">
        <v>7850</v>
      </c>
      <c r="AD1600" s="4">
        <v>7850</v>
      </c>
      <c r="AE1600" s="4">
        <v>9990</v>
      </c>
      <c r="AF1600" s="4">
        <v>10500</v>
      </c>
    </row>
    <row r="1601" spans="1:32">
      <c r="A1601" s="2" t="s">
        <v>3334</v>
      </c>
      <c r="B1601" s="3">
        <v>46246</v>
      </c>
      <c r="C1601" s="36" t="s">
        <v>2816</v>
      </c>
      <c r="D1601" s="2">
        <f>MONTH(ProductionData[[#This Row],[Month]])</f>
        <v>8</v>
      </c>
      <c r="E1601" s="2" t="s">
        <v>79</v>
      </c>
      <c r="F1601" s="2" t="s">
        <v>66</v>
      </c>
      <c r="G1601" s="2" t="s">
        <v>67</v>
      </c>
      <c r="H1601" s="2" t="s">
        <v>68</v>
      </c>
      <c r="I1601" s="2" t="s">
        <v>69</v>
      </c>
      <c r="J1601" s="2" t="s">
        <v>683</v>
      </c>
      <c r="K1601" s="2" t="s">
        <v>684</v>
      </c>
      <c r="L1601" s="2" t="s">
        <v>3335</v>
      </c>
      <c r="M1601" s="2" t="s">
        <v>99</v>
      </c>
      <c r="N1601" s="2" t="s">
        <v>96</v>
      </c>
      <c r="O1601" s="2">
        <v>16</v>
      </c>
      <c r="P1601" s="2">
        <v>16</v>
      </c>
      <c r="Q1601" s="4">
        <v>4340</v>
      </c>
      <c r="R1601" s="4">
        <v>4330</v>
      </c>
      <c r="S1601" s="4">
        <v>126</v>
      </c>
      <c r="T1601" s="19">
        <f>(ProductionData[[#This Row],[Rejected_Qty]])/ProductionData[[#This Row],[Produced_Qty]]</f>
        <v>2.9099307159353348E-2</v>
      </c>
      <c r="U1601" s="19">
        <f>ProductionData[[#This Row],[Produced_Qty]]/ProductionData[[#This Row],[Planned_Qty]]</f>
        <v>0.99769585253456217</v>
      </c>
      <c r="V1601" s="2" t="s">
        <v>75</v>
      </c>
      <c r="W1601" s="11">
        <v>0</v>
      </c>
      <c r="X1601" s="13">
        <f>W1601/60</f>
        <v>0</v>
      </c>
      <c r="Y1601" s="2" t="s">
        <v>90</v>
      </c>
      <c r="Z1601" s="2">
        <v>79</v>
      </c>
      <c r="AA1601" s="2">
        <f>ProductionData[[#This Row],[Rejected_Qty]]*ProductionData[[#This Row],[Unit_Cost_INR]]</f>
        <v>9954</v>
      </c>
      <c r="AB1601" s="4">
        <v>9334</v>
      </c>
      <c r="AC1601" s="4">
        <v>3640</v>
      </c>
      <c r="AD1601" s="4">
        <v>3640</v>
      </c>
      <c r="AE1601" s="4">
        <v>9898</v>
      </c>
      <c r="AF1601" s="4">
        <v>6750</v>
      </c>
    </row>
    <row r="1602" spans="1:32">
      <c r="A1602" s="2" t="s">
        <v>3336</v>
      </c>
      <c r="B1602" s="3">
        <v>46263</v>
      </c>
      <c r="C1602" s="36" t="s">
        <v>2816</v>
      </c>
      <c r="D1602" s="2">
        <f>MONTH(ProductionData[[#This Row],[Month]])</f>
        <v>8</v>
      </c>
      <c r="E1602" s="2" t="s">
        <v>65</v>
      </c>
      <c r="F1602" s="2" t="s">
        <v>66</v>
      </c>
      <c r="G1602" s="2" t="s">
        <v>67</v>
      </c>
      <c r="H1602" s="2" t="s">
        <v>68</v>
      </c>
      <c r="I1602" s="2" t="s">
        <v>69</v>
      </c>
      <c r="J1602" s="2" t="s">
        <v>403</v>
      </c>
      <c r="K1602" s="2" t="s">
        <v>404</v>
      </c>
      <c r="L1602" s="2" t="s">
        <v>3337</v>
      </c>
      <c r="M1602" s="2" t="s">
        <v>99</v>
      </c>
      <c r="N1602" s="2" t="s">
        <v>96</v>
      </c>
      <c r="O1602" s="2">
        <v>16</v>
      </c>
      <c r="P1602" s="2">
        <v>15</v>
      </c>
      <c r="Q1602" s="4">
        <v>5800</v>
      </c>
      <c r="R1602" s="4">
        <v>5350</v>
      </c>
      <c r="S1602" s="4">
        <v>133</v>
      </c>
      <c r="T1602" s="19">
        <f>(ProductionData[[#This Row],[Rejected_Qty]])/ProductionData[[#This Row],[Produced_Qty]]</f>
        <v>2.4859813084112149E-2</v>
      </c>
      <c r="U1602" s="19">
        <f>ProductionData[[#This Row],[Produced_Qty]]/ProductionData[[#This Row],[Planned_Qty]]</f>
        <v>0.92241379310344829</v>
      </c>
      <c r="V1602" s="2" t="s">
        <v>89</v>
      </c>
      <c r="W1602" s="11">
        <v>0</v>
      </c>
      <c r="X1602" s="13">
        <f>W1602/60</f>
        <v>0</v>
      </c>
      <c r="Y1602" s="2" t="s">
        <v>90</v>
      </c>
      <c r="Z1602" s="2">
        <v>58</v>
      </c>
      <c r="AA1602" s="2">
        <f>ProductionData[[#This Row],[Rejected_Qty]]*ProductionData[[#This Row],[Unit_Cost_INR]]</f>
        <v>7714</v>
      </c>
      <c r="AB1602" s="4">
        <v>10142</v>
      </c>
      <c r="AC1602" s="4">
        <v>5520</v>
      </c>
      <c r="AD1602" s="4">
        <v>5520</v>
      </c>
      <c r="AE1602" s="4">
        <v>9839</v>
      </c>
      <c r="AF1602" s="4">
        <v>9000</v>
      </c>
    </row>
    <row r="1603" spans="1:32">
      <c r="A1603" s="2" t="s">
        <v>3338</v>
      </c>
      <c r="B1603" s="3">
        <v>46242</v>
      </c>
      <c r="C1603" s="36" t="s">
        <v>2816</v>
      </c>
      <c r="D1603" s="2">
        <f>MONTH(ProductionData[[#This Row],[Month]])</f>
        <v>8</v>
      </c>
      <c r="E1603" s="2" t="s">
        <v>65</v>
      </c>
      <c r="F1603" s="2" t="s">
        <v>80</v>
      </c>
      <c r="G1603" s="2" t="s">
        <v>67</v>
      </c>
      <c r="H1603" s="2" t="s">
        <v>68</v>
      </c>
      <c r="I1603" s="2" t="s">
        <v>69</v>
      </c>
      <c r="J1603" s="2" t="s">
        <v>683</v>
      </c>
      <c r="K1603" s="2" t="s">
        <v>684</v>
      </c>
      <c r="L1603" s="2" t="s">
        <v>3339</v>
      </c>
      <c r="M1603" s="2" t="s">
        <v>87</v>
      </c>
      <c r="N1603" s="2" t="s">
        <v>88</v>
      </c>
      <c r="O1603" s="2">
        <v>16</v>
      </c>
      <c r="P1603" s="2">
        <v>12</v>
      </c>
      <c r="Q1603" s="4">
        <v>4660</v>
      </c>
      <c r="R1603" s="4">
        <v>4170</v>
      </c>
      <c r="S1603" s="4">
        <v>96</v>
      </c>
      <c r="T1603" s="19">
        <f>(ProductionData[[#This Row],[Rejected_Qty]])/ProductionData[[#This Row],[Produced_Qty]]</f>
        <v>2.302158273381295E-2</v>
      </c>
      <c r="U1603" s="19">
        <f>ProductionData[[#This Row],[Produced_Qty]]/ProductionData[[#This Row],[Planned_Qty]]</f>
        <v>0.89484978540772531</v>
      </c>
      <c r="V1603" s="2" t="s">
        <v>89</v>
      </c>
      <c r="W1603" s="11">
        <v>49</v>
      </c>
      <c r="X1603" s="13">
        <f>W1603/60</f>
        <v>0.81666666666666665</v>
      </c>
      <c r="Y1603" s="2" t="s">
        <v>76</v>
      </c>
      <c r="Z1603" s="2">
        <v>79</v>
      </c>
      <c r="AA1603" s="2">
        <f>ProductionData[[#This Row],[Rejected_Qty]]*ProductionData[[#This Row],[Unit_Cost_INR]]</f>
        <v>7584</v>
      </c>
      <c r="AB1603" s="4">
        <v>10238</v>
      </c>
      <c r="AC1603" s="4">
        <v>4540</v>
      </c>
      <c r="AD1603" s="4">
        <v>4540</v>
      </c>
      <c r="AE1603" s="4">
        <v>9772</v>
      </c>
      <c r="AF1603" s="4">
        <v>6750</v>
      </c>
    </row>
    <row r="1604" spans="1:32">
      <c r="A1604" s="2" t="s">
        <v>3340</v>
      </c>
      <c r="B1604" s="3">
        <v>46247</v>
      </c>
      <c r="C1604" s="36" t="s">
        <v>2816</v>
      </c>
      <c r="D1604" s="2">
        <f>MONTH(ProductionData[[#This Row],[Month]])</f>
        <v>8</v>
      </c>
      <c r="E1604" s="2" t="s">
        <v>107</v>
      </c>
      <c r="F1604" s="2" t="s">
        <v>80</v>
      </c>
      <c r="G1604" s="2" t="s">
        <v>67</v>
      </c>
      <c r="H1604" s="2" t="s">
        <v>68</v>
      </c>
      <c r="I1604" s="2" t="s">
        <v>69</v>
      </c>
      <c r="J1604" s="2" t="s">
        <v>683</v>
      </c>
      <c r="K1604" s="2" t="s">
        <v>684</v>
      </c>
      <c r="L1604" s="2" t="s">
        <v>3341</v>
      </c>
      <c r="M1604" s="2" t="s">
        <v>87</v>
      </c>
      <c r="N1604" s="2" t="s">
        <v>88</v>
      </c>
      <c r="O1604" s="2">
        <v>16</v>
      </c>
      <c r="P1604" s="2">
        <v>15</v>
      </c>
      <c r="Q1604" s="4">
        <v>4830</v>
      </c>
      <c r="R1604" s="4">
        <v>4510</v>
      </c>
      <c r="S1604" s="4">
        <v>105</v>
      </c>
      <c r="T1604" s="19">
        <f>(ProductionData[[#This Row],[Rejected_Qty]])/ProductionData[[#This Row],[Produced_Qty]]</f>
        <v>2.3281596452328159E-2</v>
      </c>
      <c r="U1604" s="19">
        <f>ProductionData[[#This Row],[Produced_Qty]]/ProductionData[[#This Row],[Planned_Qty]]</f>
        <v>0.9337474120082816</v>
      </c>
      <c r="V1604" s="2" t="s">
        <v>75</v>
      </c>
      <c r="W1604" s="11">
        <v>0</v>
      </c>
      <c r="X1604" s="13">
        <f>W1604/60</f>
        <v>0</v>
      </c>
      <c r="Y1604" s="2" t="s">
        <v>90</v>
      </c>
      <c r="Z1604" s="2">
        <v>79</v>
      </c>
      <c r="AA1604" s="2">
        <f>ProductionData[[#This Row],[Rejected_Qty]]*ProductionData[[#This Row],[Unit_Cost_INR]]</f>
        <v>8295</v>
      </c>
      <c r="AB1604" s="4">
        <v>9564</v>
      </c>
      <c r="AC1604" s="4">
        <v>4280</v>
      </c>
      <c r="AD1604" s="4">
        <v>4280</v>
      </c>
      <c r="AE1604" s="4">
        <v>9689</v>
      </c>
      <c r="AF1604" s="4">
        <v>6750</v>
      </c>
    </row>
    <row r="1605" spans="1:32">
      <c r="A1605" s="2" t="s">
        <v>3342</v>
      </c>
      <c r="B1605" s="3">
        <v>46247</v>
      </c>
      <c r="C1605" s="36" t="s">
        <v>2816</v>
      </c>
      <c r="D1605" s="2">
        <f>MONTH(ProductionData[[#This Row],[Month]])</f>
        <v>8</v>
      </c>
      <c r="E1605" s="2" t="s">
        <v>107</v>
      </c>
      <c r="F1605" s="2" t="s">
        <v>66</v>
      </c>
      <c r="G1605" s="2" t="s">
        <v>67</v>
      </c>
      <c r="H1605" s="2" t="s">
        <v>68</v>
      </c>
      <c r="I1605" s="2" t="s">
        <v>69</v>
      </c>
      <c r="J1605" s="2" t="s">
        <v>683</v>
      </c>
      <c r="K1605" s="2" t="s">
        <v>684</v>
      </c>
      <c r="L1605" s="2" t="s">
        <v>3343</v>
      </c>
      <c r="M1605" s="2" t="s">
        <v>99</v>
      </c>
      <c r="N1605" s="2" t="s">
        <v>88</v>
      </c>
      <c r="O1605" s="2">
        <v>16</v>
      </c>
      <c r="P1605" s="2">
        <v>16</v>
      </c>
      <c r="Q1605" s="4">
        <v>4230</v>
      </c>
      <c r="R1605" s="4">
        <v>4250</v>
      </c>
      <c r="S1605" s="4">
        <v>71</v>
      </c>
      <c r="T1605" s="19">
        <f>(ProductionData[[#This Row],[Rejected_Qty]])/ProductionData[[#This Row],[Produced_Qty]]</f>
        <v>1.6705882352941178E-2</v>
      </c>
      <c r="U1605" s="19">
        <f>ProductionData[[#This Row],[Produced_Qty]]/ProductionData[[#This Row],[Planned_Qty]]</f>
        <v>1.0047281323877069</v>
      </c>
      <c r="V1605" s="2" t="s">
        <v>109</v>
      </c>
      <c r="W1605" s="11">
        <v>0</v>
      </c>
      <c r="X1605" s="13">
        <f>W1605/60</f>
        <v>0</v>
      </c>
      <c r="Y1605" s="2" t="s">
        <v>90</v>
      </c>
      <c r="Z1605" s="2">
        <v>79</v>
      </c>
      <c r="AA1605" s="2">
        <f>ProductionData[[#This Row],[Rejected_Qty]]*ProductionData[[#This Row],[Unit_Cost_INR]]</f>
        <v>5609</v>
      </c>
      <c r="AB1605" s="4">
        <v>9455</v>
      </c>
      <c r="AC1605" s="4">
        <v>4070</v>
      </c>
      <c r="AD1605" s="4">
        <v>4070</v>
      </c>
      <c r="AE1605" s="4">
        <v>9564</v>
      </c>
      <c r="AF1605" s="4">
        <v>6750</v>
      </c>
    </row>
    <row r="1606" spans="1:32">
      <c r="A1606" s="2" t="s">
        <v>3344</v>
      </c>
      <c r="B1606" s="3">
        <v>46244</v>
      </c>
      <c r="C1606" s="36" t="s">
        <v>2816</v>
      </c>
      <c r="D1606" s="2">
        <f>MONTH(ProductionData[[#This Row],[Month]])</f>
        <v>8</v>
      </c>
      <c r="E1606" s="2" t="s">
        <v>116</v>
      </c>
      <c r="F1606" s="2" t="s">
        <v>80</v>
      </c>
      <c r="G1606" s="2" t="s">
        <v>67</v>
      </c>
      <c r="H1606" s="2" t="s">
        <v>68</v>
      </c>
      <c r="I1606" s="2" t="s">
        <v>69</v>
      </c>
      <c r="J1606" s="2" t="s">
        <v>683</v>
      </c>
      <c r="K1606" s="2" t="s">
        <v>684</v>
      </c>
      <c r="L1606" s="2" t="s">
        <v>3345</v>
      </c>
      <c r="M1606" s="2" t="s">
        <v>102</v>
      </c>
      <c r="N1606" s="2" t="s">
        <v>96</v>
      </c>
      <c r="O1606" s="2">
        <v>16</v>
      </c>
      <c r="P1606" s="2">
        <v>16</v>
      </c>
      <c r="Q1606" s="4">
        <v>4220</v>
      </c>
      <c r="R1606" s="4">
        <v>3900</v>
      </c>
      <c r="S1606" s="4">
        <v>113</v>
      </c>
      <c r="T1606" s="19">
        <f>(ProductionData[[#This Row],[Rejected_Qty]])/ProductionData[[#This Row],[Produced_Qty]]</f>
        <v>2.8974358974358974E-2</v>
      </c>
      <c r="U1606" s="19">
        <f>ProductionData[[#This Row],[Produced_Qty]]/ProductionData[[#This Row],[Planned_Qty]]</f>
        <v>0.92417061611374407</v>
      </c>
      <c r="V1606" s="2" t="s">
        <v>109</v>
      </c>
      <c r="W1606" s="11">
        <v>0</v>
      </c>
      <c r="X1606" s="13">
        <f>W1606/60</f>
        <v>0</v>
      </c>
      <c r="Y1606" s="2" t="s">
        <v>90</v>
      </c>
      <c r="Z1606" s="2">
        <v>79</v>
      </c>
      <c r="AA1606" s="2">
        <f>ProductionData[[#This Row],[Rejected_Qty]]*ProductionData[[#This Row],[Unit_Cost_INR]]</f>
        <v>8927</v>
      </c>
      <c r="AB1606" s="4">
        <v>9546</v>
      </c>
      <c r="AC1606" s="4">
        <v>3780</v>
      </c>
      <c r="AD1606" s="4">
        <v>3780</v>
      </c>
      <c r="AE1606" s="4">
        <v>9553</v>
      </c>
      <c r="AF1606" s="4">
        <v>6750</v>
      </c>
    </row>
    <row r="1607" spans="1:32">
      <c r="A1607" s="2" t="s">
        <v>3346</v>
      </c>
      <c r="B1607" s="3">
        <v>46243</v>
      </c>
      <c r="C1607" s="36" t="s">
        <v>2816</v>
      </c>
      <c r="D1607" s="2">
        <f>MONTH(ProductionData[[#This Row],[Month]])</f>
        <v>8</v>
      </c>
      <c r="E1607" s="2" t="s">
        <v>186</v>
      </c>
      <c r="F1607" s="2" t="s">
        <v>66</v>
      </c>
      <c r="G1607" s="2" t="s">
        <v>67</v>
      </c>
      <c r="H1607" s="2" t="s">
        <v>68</v>
      </c>
      <c r="I1607" s="2" t="s">
        <v>69</v>
      </c>
      <c r="J1607" s="2" t="s">
        <v>683</v>
      </c>
      <c r="K1607" s="2" t="s">
        <v>684</v>
      </c>
      <c r="L1607" s="2" t="s">
        <v>3347</v>
      </c>
      <c r="M1607" s="2" t="s">
        <v>99</v>
      </c>
      <c r="N1607" s="2" t="s">
        <v>74</v>
      </c>
      <c r="O1607" s="2">
        <v>16</v>
      </c>
      <c r="P1607" s="2">
        <v>13</v>
      </c>
      <c r="Q1607" s="4">
        <v>3340</v>
      </c>
      <c r="R1607" s="4">
        <v>2910</v>
      </c>
      <c r="S1607" s="4">
        <v>256</v>
      </c>
      <c r="T1607" s="19">
        <f>(ProductionData[[#This Row],[Rejected_Qty]])/ProductionData[[#This Row],[Produced_Qty]]</f>
        <v>8.7972508591065299E-2</v>
      </c>
      <c r="U1607" s="19">
        <f>ProductionData[[#This Row],[Produced_Qty]]/ProductionData[[#This Row],[Planned_Qty]]</f>
        <v>0.87125748502994016</v>
      </c>
      <c r="V1607" s="2" t="s">
        <v>2284</v>
      </c>
      <c r="W1607" s="11">
        <v>68</v>
      </c>
      <c r="X1607" s="13">
        <f>W1607/60</f>
        <v>1.1333333333333333</v>
      </c>
      <c r="Y1607" s="2" t="s">
        <v>110</v>
      </c>
      <c r="Z1607" s="2">
        <v>79</v>
      </c>
      <c r="AA1607" s="2">
        <f>ProductionData[[#This Row],[Rejected_Qty]]*ProductionData[[#This Row],[Unit_Cost_INR]]</f>
        <v>20224</v>
      </c>
      <c r="AB1607" s="4">
        <v>9772</v>
      </c>
      <c r="AC1607" s="4">
        <v>2880</v>
      </c>
      <c r="AD1607" s="4">
        <v>2880</v>
      </c>
      <c r="AE1607" s="4">
        <v>9546</v>
      </c>
      <c r="AF1607" s="4">
        <v>6750</v>
      </c>
    </row>
    <row r="1608" spans="1:32">
      <c r="A1608" s="2" t="s">
        <v>3348</v>
      </c>
      <c r="B1608" s="3">
        <v>46246</v>
      </c>
      <c r="C1608" s="36" t="s">
        <v>2816</v>
      </c>
      <c r="D1608" s="2">
        <f>MONTH(ProductionData[[#This Row],[Month]])</f>
        <v>8</v>
      </c>
      <c r="E1608" s="2" t="s">
        <v>79</v>
      </c>
      <c r="F1608" s="2" t="s">
        <v>93</v>
      </c>
      <c r="G1608" s="2" t="s">
        <v>67</v>
      </c>
      <c r="H1608" s="2" t="s">
        <v>68</v>
      </c>
      <c r="I1608" s="2" t="s">
        <v>69</v>
      </c>
      <c r="J1608" s="2" t="s">
        <v>683</v>
      </c>
      <c r="K1608" s="2" t="s">
        <v>684</v>
      </c>
      <c r="L1608" s="2" t="s">
        <v>3349</v>
      </c>
      <c r="M1608" s="2" t="s">
        <v>133</v>
      </c>
      <c r="N1608" s="2" t="s">
        <v>74</v>
      </c>
      <c r="O1608" s="2">
        <v>16</v>
      </c>
      <c r="P1608" s="2">
        <v>13</v>
      </c>
      <c r="Q1608" s="4">
        <v>4510</v>
      </c>
      <c r="R1608" s="4">
        <v>3930</v>
      </c>
      <c r="S1608" s="4">
        <v>413</v>
      </c>
      <c r="T1608" s="19">
        <f>(ProductionData[[#This Row],[Rejected_Qty]])/ProductionData[[#This Row],[Produced_Qty]]</f>
        <v>0.10508905852417302</v>
      </c>
      <c r="U1608" s="19">
        <f>ProductionData[[#This Row],[Produced_Qty]]/ProductionData[[#This Row],[Planned_Qty]]</f>
        <v>0.87139689578713964</v>
      </c>
      <c r="V1608" s="2" t="s">
        <v>2284</v>
      </c>
      <c r="W1608" s="11">
        <v>0</v>
      </c>
      <c r="X1608" s="13">
        <f>W1608/60</f>
        <v>0</v>
      </c>
      <c r="Y1608" s="2" t="s">
        <v>90</v>
      </c>
      <c r="Z1608" s="2">
        <v>79</v>
      </c>
      <c r="AA1608" s="2">
        <f>ProductionData[[#This Row],[Rejected_Qty]]*ProductionData[[#This Row],[Unit_Cost_INR]]</f>
        <v>32627</v>
      </c>
      <c r="AB1608" s="4">
        <v>9898</v>
      </c>
      <c r="AC1608" s="4">
        <v>3960</v>
      </c>
      <c r="AD1608" s="4">
        <v>3960</v>
      </c>
      <c r="AE1608" s="4">
        <v>9455</v>
      </c>
      <c r="AF1608" s="4">
        <v>6750</v>
      </c>
    </row>
    <row r="1609" spans="1:32">
      <c r="A1609" s="2" t="s">
        <v>3350</v>
      </c>
      <c r="B1609" s="3">
        <v>46245</v>
      </c>
      <c r="C1609" s="36" t="s">
        <v>2816</v>
      </c>
      <c r="D1609" s="2">
        <f>MONTH(ProductionData[[#This Row],[Month]])</f>
        <v>8</v>
      </c>
      <c r="E1609" s="2" t="s">
        <v>92</v>
      </c>
      <c r="F1609" s="2" t="s">
        <v>93</v>
      </c>
      <c r="G1609" s="2" t="s">
        <v>67</v>
      </c>
      <c r="H1609" s="2" t="s">
        <v>68</v>
      </c>
      <c r="I1609" s="2" t="s">
        <v>69</v>
      </c>
      <c r="J1609" s="2" t="s">
        <v>683</v>
      </c>
      <c r="K1609" s="2" t="s">
        <v>684</v>
      </c>
      <c r="L1609" s="2" t="s">
        <v>3351</v>
      </c>
      <c r="M1609" s="2" t="s">
        <v>133</v>
      </c>
      <c r="N1609" s="2" t="s">
        <v>74</v>
      </c>
      <c r="O1609" s="2">
        <v>16</v>
      </c>
      <c r="P1609" s="2">
        <v>14</v>
      </c>
      <c r="Q1609" s="4">
        <v>4550</v>
      </c>
      <c r="R1609" s="4">
        <v>4370</v>
      </c>
      <c r="S1609" s="4">
        <v>489</v>
      </c>
      <c r="T1609" s="19">
        <f>(ProductionData[[#This Row],[Rejected_Qty]])/ProductionData[[#This Row],[Produced_Qty]]</f>
        <v>0.11189931350114417</v>
      </c>
      <c r="U1609" s="19">
        <f>ProductionData[[#This Row],[Produced_Qty]]/ProductionData[[#This Row],[Planned_Qty]]</f>
        <v>0.96043956043956047</v>
      </c>
      <c r="V1609" s="2" t="s">
        <v>113</v>
      </c>
      <c r="W1609" s="11">
        <v>0</v>
      </c>
      <c r="X1609" s="13">
        <f>W1609/60</f>
        <v>0</v>
      </c>
      <c r="Y1609" s="2" t="s">
        <v>90</v>
      </c>
      <c r="Z1609" s="2">
        <v>79</v>
      </c>
      <c r="AA1609" s="2">
        <f>ProductionData[[#This Row],[Rejected_Qty]]*ProductionData[[#This Row],[Unit_Cost_INR]]</f>
        <v>38631</v>
      </c>
      <c r="AB1609" s="4">
        <v>9553</v>
      </c>
      <c r="AC1609" s="4">
        <v>4100</v>
      </c>
      <c r="AD1609" s="4">
        <v>4100</v>
      </c>
      <c r="AE1609" s="4">
        <v>9334</v>
      </c>
      <c r="AF1609" s="4">
        <v>6750</v>
      </c>
    </row>
    <row r="1610" spans="1:32">
      <c r="A1610" s="2" t="s">
        <v>3352</v>
      </c>
      <c r="B1610" s="3">
        <v>46248</v>
      </c>
      <c r="C1610" s="36" t="s">
        <v>2816</v>
      </c>
      <c r="D1610" s="2">
        <f>MONTH(ProductionData[[#This Row],[Month]])</f>
        <v>8</v>
      </c>
      <c r="E1610" s="2" t="s">
        <v>125</v>
      </c>
      <c r="F1610" s="2" t="s">
        <v>66</v>
      </c>
      <c r="G1610" s="2" t="s">
        <v>67</v>
      </c>
      <c r="H1610" s="2" t="s">
        <v>68</v>
      </c>
      <c r="I1610" s="2" t="s">
        <v>69</v>
      </c>
      <c r="J1610" s="2" t="s">
        <v>683</v>
      </c>
      <c r="K1610" s="2" t="s">
        <v>684</v>
      </c>
      <c r="L1610" s="2" t="s">
        <v>3353</v>
      </c>
      <c r="M1610" s="2" t="s">
        <v>73</v>
      </c>
      <c r="N1610" s="2" t="s">
        <v>88</v>
      </c>
      <c r="O1610" s="2">
        <v>16</v>
      </c>
      <c r="P1610" s="2">
        <v>16</v>
      </c>
      <c r="Q1610" s="4">
        <v>4470</v>
      </c>
      <c r="R1610" s="4">
        <v>3950</v>
      </c>
      <c r="S1610" s="4">
        <v>46</v>
      </c>
      <c r="T1610" s="19">
        <f>(ProductionData[[#This Row],[Rejected_Qty]])/ProductionData[[#This Row],[Produced_Qty]]</f>
        <v>1.1645569620253165E-2</v>
      </c>
      <c r="U1610" s="19">
        <f>ProductionData[[#This Row],[Produced_Qty]]/ProductionData[[#This Row],[Planned_Qty]]</f>
        <v>0.88366890380313201</v>
      </c>
      <c r="V1610" s="2" t="s">
        <v>89</v>
      </c>
      <c r="W1610" s="11">
        <v>0</v>
      </c>
      <c r="X1610" s="13">
        <f>W1610/60</f>
        <v>0</v>
      </c>
      <c r="Y1610" s="2" t="s">
        <v>90</v>
      </c>
      <c r="Z1610" s="2">
        <v>79</v>
      </c>
      <c r="AA1610" s="2">
        <f>ProductionData[[#This Row],[Rejected_Qty]]*ProductionData[[#This Row],[Unit_Cost_INR]]</f>
        <v>3634</v>
      </c>
      <c r="AB1610" s="4">
        <v>8577</v>
      </c>
      <c r="AC1610" s="4">
        <v>3720</v>
      </c>
      <c r="AD1610" s="4">
        <v>3720</v>
      </c>
      <c r="AE1610" s="4">
        <v>8761</v>
      </c>
      <c r="AF1610" s="4">
        <v>6750</v>
      </c>
    </row>
    <row r="1611" spans="1:32">
      <c r="A1611" s="2" t="s">
        <v>3354</v>
      </c>
      <c r="B1611" s="3">
        <v>46235</v>
      </c>
      <c r="C1611" s="36" t="s">
        <v>2816</v>
      </c>
      <c r="D1611" s="2">
        <f>MONTH(ProductionData[[#This Row],[Month]])</f>
        <v>8</v>
      </c>
      <c r="E1611" s="2" t="s">
        <v>65</v>
      </c>
      <c r="F1611" s="2" t="s">
        <v>93</v>
      </c>
      <c r="G1611" s="2" t="s">
        <v>81</v>
      </c>
      <c r="H1611" s="2" t="s">
        <v>82</v>
      </c>
      <c r="I1611" s="2" t="s">
        <v>83</v>
      </c>
      <c r="J1611" s="2" t="s">
        <v>721</v>
      </c>
      <c r="K1611" s="2" t="s">
        <v>722</v>
      </c>
      <c r="L1611" s="2" t="s">
        <v>3355</v>
      </c>
      <c r="M1611" s="2" t="s">
        <v>133</v>
      </c>
      <c r="N1611" s="2" t="s">
        <v>96</v>
      </c>
      <c r="O1611" s="2">
        <v>18</v>
      </c>
      <c r="P1611" s="2">
        <v>16</v>
      </c>
      <c r="Q1611" s="4">
        <v>3550</v>
      </c>
      <c r="R1611" s="4">
        <v>3360</v>
      </c>
      <c r="S1611" s="4">
        <v>63</v>
      </c>
      <c r="T1611" s="19">
        <f>(ProductionData[[#This Row],[Rejected_Qty]])/ProductionData[[#This Row],[Produced_Qty]]</f>
        <v>1.8749999999999999E-2</v>
      </c>
      <c r="U1611" s="19">
        <f>ProductionData[[#This Row],[Produced_Qty]]/ProductionData[[#This Row],[Planned_Qty]]</f>
        <v>0.94647887323943658</v>
      </c>
      <c r="V1611" s="2" t="s">
        <v>89</v>
      </c>
      <c r="W1611" s="11">
        <v>0</v>
      </c>
      <c r="X1611" s="13">
        <f>W1611/60</f>
        <v>0</v>
      </c>
      <c r="Y1611" s="2" t="s">
        <v>90</v>
      </c>
      <c r="Z1611" s="2">
        <v>64</v>
      </c>
      <c r="AA1611" s="2">
        <f>ProductionData[[#This Row],[Rejected_Qty]]*ProductionData[[#This Row],[Unit_Cost_INR]]</f>
        <v>4032</v>
      </c>
      <c r="AB1611" s="4">
        <v>8703</v>
      </c>
      <c r="AC1611" s="4">
        <v>3290</v>
      </c>
      <c r="AD1611" s="4">
        <v>3290</v>
      </c>
      <c r="AE1611" s="4">
        <v>8710</v>
      </c>
      <c r="AF1611" s="4">
        <v>5250</v>
      </c>
    </row>
    <row r="1612" spans="1:32">
      <c r="A1612" s="2" t="s">
        <v>3356</v>
      </c>
      <c r="B1612" s="3">
        <v>46235</v>
      </c>
      <c r="C1612" s="36" t="s">
        <v>2816</v>
      </c>
      <c r="D1612" s="2">
        <f>MONTH(ProductionData[[#This Row],[Month]])</f>
        <v>8</v>
      </c>
      <c r="E1612" s="2" t="s">
        <v>65</v>
      </c>
      <c r="F1612" s="2" t="s">
        <v>80</v>
      </c>
      <c r="G1612" s="2" t="s">
        <v>81</v>
      </c>
      <c r="H1612" s="2" t="s">
        <v>82</v>
      </c>
      <c r="I1612" s="2" t="s">
        <v>83</v>
      </c>
      <c r="J1612" s="2" t="s">
        <v>721</v>
      </c>
      <c r="K1612" s="2" t="s">
        <v>722</v>
      </c>
      <c r="L1612" s="2" t="s">
        <v>3357</v>
      </c>
      <c r="M1612" s="2" t="s">
        <v>102</v>
      </c>
      <c r="N1612" s="2" t="s">
        <v>88</v>
      </c>
      <c r="O1612" s="2">
        <v>18</v>
      </c>
      <c r="P1612" s="2">
        <v>17</v>
      </c>
      <c r="Q1612" s="4">
        <v>3260</v>
      </c>
      <c r="R1612" s="4">
        <v>3070</v>
      </c>
      <c r="S1612" s="4">
        <v>95</v>
      </c>
      <c r="T1612" s="19">
        <f>(ProductionData[[#This Row],[Rejected_Qty]])/ProductionData[[#This Row],[Produced_Qty]]</f>
        <v>3.0944625407166124E-2</v>
      </c>
      <c r="U1612" s="19">
        <f>ProductionData[[#This Row],[Produced_Qty]]/ProductionData[[#This Row],[Planned_Qty]]</f>
        <v>0.94171779141104295</v>
      </c>
      <c r="V1612" s="2" t="s">
        <v>113</v>
      </c>
      <c r="W1612" s="11">
        <v>0</v>
      </c>
      <c r="X1612" s="13">
        <f>W1612/60</f>
        <v>0</v>
      </c>
      <c r="Y1612" s="2" t="s">
        <v>90</v>
      </c>
      <c r="Z1612" s="2">
        <v>64</v>
      </c>
      <c r="AA1612" s="2">
        <f>ProductionData[[#This Row],[Rejected_Qty]]*ProductionData[[#This Row],[Unit_Cost_INR]]</f>
        <v>6080</v>
      </c>
      <c r="AB1612" s="4">
        <v>8618</v>
      </c>
      <c r="AC1612" s="4">
        <v>2890</v>
      </c>
      <c r="AD1612" s="4">
        <v>2890</v>
      </c>
      <c r="AE1612" s="4">
        <v>8703</v>
      </c>
      <c r="AF1612" s="4">
        <v>5250</v>
      </c>
    </row>
    <row r="1613" spans="1:32">
      <c r="A1613" s="2" t="s">
        <v>3358</v>
      </c>
      <c r="B1613" s="3">
        <v>46247</v>
      </c>
      <c r="C1613" s="36" t="s">
        <v>2816</v>
      </c>
      <c r="D1613" s="2">
        <f>MONTH(ProductionData[[#This Row],[Month]])</f>
        <v>8</v>
      </c>
      <c r="E1613" s="2" t="s">
        <v>107</v>
      </c>
      <c r="F1613" s="2" t="s">
        <v>93</v>
      </c>
      <c r="G1613" s="2" t="s">
        <v>67</v>
      </c>
      <c r="H1613" s="2" t="s">
        <v>68</v>
      </c>
      <c r="I1613" s="2" t="s">
        <v>69</v>
      </c>
      <c r="J1613" s="2" t="s">
        <v>683</v>
      </c>
      <c r="K1613" s="2" t="s">
        <v>684</v>
      </c>
      <c r="L1613" s="2" t="s">
        <v>3359</v>
      </c>
      <c r="M1613" s="2" t="s">
        <v>133</v>
      </c>
      <c r="N1613" s="2" t="s">
        <v>74</v>
      </c>
      <c r="O1613" s="2">
        <v>16</v>
      </c>
      <c r="P1613" s="2">
        <v>11</v>
      </c>
      <c r="Q1613" s="4">
        <v>4360</v>
      </c>
      <c r="R1613" s="4">
        <v>3690</v>
      </c>
      <c r="S1613" s="4">
        <v>402</v>
      </c>
      <c r="T1613" s="19">
        <f>(ProductionData[[#This Row],[Rejected_Qty]])/ProductionData[[#This Row],[Produced_Qty]]</f>
        <v>0.10894308943089431</v>
      </c>
      <c r="U1613" s="19">
        <f>ProductionData[[#This Row],[Produced_Qty]]/ProductionData[[#This Row],[Planned_Qty]]</f>
        <v>0.84633027522935778</v>
      </c>
      <c r="V1613" s="2" t="s">
        <v>2284</v>
      </c>
      <c r="W1613" s="11">
        <v>0</v>
      </c>
      <c r="X1613" s="13">
        <f>W1613/60</f>
        <v>0</v>
      </c>
      <c r="Y1613" s="2" t="s">
        <v>90</v>
      </c>
      <c r="Z1613" s="2">
        <v>79</v>
      </c>
      <c r="AA1613" s="2">
        <f>ProductionData[[#This Row],[Rejected_Qty]]*ProductionData[[#This Row],[Unit_Cost_INR]]</f>
        <v>31758</v>
      </c>
      <c r="AB1613" s="4">
        <v>9689</v>
      </c>
      <c r="AC1613" s="4">
        <v>4400</v>
      </c>
      <c r="AD1613" s="4">
        <v>4400</v>
      </c>
      <c r="AE1613" s="4">
        <v>8577</v>
      </c>
      <c r="AF1613" s="4">
        <v>6750</v>
      </c>
    </row>
    <row r="1614" spans="1:32">
      <c r="A1614" s="2" t="s">
        <v>3360</v>
      </c>
      <c r="B1614" s="3">
        <v>46255</v>
      </c>
      <c r="C1614" s="36" t="s">
        <v>2816</v>
      </c>
      <c r="D1614" s="2">
        <f>MONTH(ProductionData[[#This Row],[Month]])</f>
        <v>8</v>
      </c>
      <c r="E1614" s="2" t="s">
        <v>125</v>
      </c>
      <c r="F1614" s="2" t="s">
        <v>66</v>
      </c>
      <c r="G1614" s="2" t="s">
        <v>67</v>
      </c>
      <c r="H1614" s="2" t="s">
        <v>68</v>
      </c>
      <c r="I1614" s="2" t="s">
        <v>69</v>
      </c>
      <c r="J1614" s="2" t="s">
        <v>683</v>
      </c>
      <c r="K1614" s="2" t="s">
        <v>684</v>
      </c>
      <c r="L1614" s="2" t="s">
        <v>3361</v>
      </c>
      <c r="M1614" s="2" t="s">
        <v>99</v>
      </c>
      <c r="N1614" s="2" t="s">
        <v>88</v>
      </c>
      <c r="O1614" s="2">
        <v>16</v>
      </c>
      <c r="P1614" s="2">
        <v>15</v>
      </c>
      <c r="Q1614" s="4">
        <v>4440</v>
      </c>
      <c r="R1614" s="4">
        <v>4160</v>
      </c>
      <c r="S1614" s="4">
        <v>117</v>
      </c>
      <c r="T1614" s="19">
        <f>(ProductionData[[#This Row],[Rejected_Qty]])/ProductionData[[#This Row],[Produced_Qty]]</f>
        <v>2.8125000000000001E-2</v>
      </c>
      <c r="U1614" s="19">
        <f>ProductionData[[#This Row],[Produced_Qty]]/ProductionData[[#This Row],[Planned_Qty]]</f>
        <v>0.93693693693693691</v>
      </c>
      <c r="V1614" s="2" t="s">
        <v>103</v>
      </c>
      <c r="W1614" s="11">
        <v>0</v>
      </c>
      <c r="X1614" s="13">
        <f>W1614/60</f>
        <v>0</v>
      </c>
      <c r="Y1614" s="2" t="s">
        <v>90</v>
      </c>
      <c r="Z1614" s="2">
        <v>79</v>
      </c>
      <c r="AA1614" s="2">
        <f>ProductionData[[#This Row],[Rejected_Qty]]*ProductionData[[#This Row],[Unit_Cost_INR]]</f>
        <v>9243</v>
      </c>
      <c r="AB1614" s="4">
        <v>7946</v>
      </c>
      <c r="AC1614" s="4">
        <v>3610</v>
      </c>
      <c r="AD1614" s="4">
        <v>3610</v>
      </c>
      <c r="AE1614" s="4">
        <v>8379</v>
      </c>
      <c r="AF1614" s="4">
        <v>6750</v>
      </c>
    </row>
    <row r="1615" spans="1:32">
      <c r="A1615" s="2" t="s">
        <v>3362</v>
      </c>
      <c r="B1615" s="3">
        <v>46249</v>
      </c>
      <c r="C1615" s="36" t="s">
        <v>2816</v>
      </c>
      <c r="D1615" s="2">
        <f>MONTH(ProductionData[[#This Row],[Month]])</f>
        <v>8</v>
      </c>
      <c r="E1615" s="2" t="s">
        <v>65</v>
      </c>
      <c r="F1615" s="2" t="s">
        <v>66</v>
      </c>
      <c r="G1615" s="2" t="s">
        <v>67</v>
      </c>
      <c r="H1615" s="2" t="s">
        <v>68</v>
      </c>
      <c r="I1615" s="2" t="s">
        <v>69</v>
      </c>
      <c r="J1615" s="2" t="s">
        <v>683</v>
      </c>
      <c r="K1615" s="2" t="s">
        <v>684</v>
      </c>
      <c r="L1615" s="2" t="s">
        <v>3363</v>
      </c>
      <c r="M1615" s="2" t="s">
        <v>99</v>
      </c>
      <c r="N1615" s="2" t="s">
        <v>74</v>
      </c>
      <c r="O1615" s="2">
        <v>16</v>
      </c>
      <c r="P1615" s="2">
        <v>15</v>
      </c>
      <c r="Q1615" s="4">
        <v>4440</v>
      </c>
      <c r="R1615" s="4">
        <v>4040</v>
      </c>
      <c r="S1615" s="4">
        <v>317</v>
      </c>
      <c r="T1615" s="19">
        <f>(ProductionData[[#This Row],[Rejected_Qty]])/ProductionData[[#This Row],[Produced_Qty]]</f>
        <v>7.8465346534653466E-2</v>
      </c>
      <c r="U1615" s="19">
        <f>ProductionData[[#This Row],[Produced_Qty]]/ProductionData[[#This Row],[Planned_Qty]]</f>
        <v>0.90990990990990994</v>
      </c>
      <c r="V1615" s="2" t="s">
        <v>2284</v>
      </c>
      <c r="W1615" s="11">
        <v>0</v>
      </c>
      <c r="X1615" s="13">
        <f>W1615/60</f>
        <v>0</v>
      </c>
      <c r="Y1615" s="2" t="s">
        <v>90</v>
      </c>
      <c r="Z1615" s="2">
        <v>79</v>
      </c>
      <c r="AA1615" s="2">
        <f>ProductionData[[#This Row],[Rejected_Qty]]*ProductionData[[#This Row],[Unit_Cost_INR]]</f>
        <v>25043</v>
      </c>
      <c r="AB1615" s="4">
        <v>8761</v>
      </c>
      <c r="AC1615" s="4">
        <v>4150</v>
      </c>
      <c r="AD1615" s="4">
        <v>4150</v>
      </c>
      <c r="AE1615" s="4">
        <v>8334</v>
      </c>
      <c r="AF1615" s="4">
        <v>6750</v>
      </c>
    </row>
    <row r="1616" spans="1:32">
      <c r="A1616" s="2" t="s">
        <v>3364</v>
      </c>
      <c r="B1616" s="3">
        <v>46237</v>
      </c>
      <c r="C1616" s="36" t="s">
        <v>2816</v>
      </c>
      <c r="D1616" s="2">
        <f>MONTH(ProductionData[[#This Row],[Month]])</f>
        <v>8</v>
      </c>
      <c r="E1616" s="2" t="s">
        <v>116</v>
      </c>
      <c r="F1616" s="2" t="s">
        <v>66</v>
      </c>
      <c r="G1616" s="2" t="s">
        <v>81</v>
      </c>
      <c r="H1616" s="2" t="s">
        <v>82</v>
      </c>
      <c r="I1616" s="2" t="s">
        <v>83</v>
      </c>
      <c r="J1616" s="2" t="s">
        <v>721</v>
      </c>
      <c r="K1616" s="2" t="s">
        <v>722</v>
      </c>
      <c r="L1616" s="2" t="s">
        <v>3365</v>
      </c>
      <c r="M1616" s="2" t="s">
        <v>73</v>
      </c>
      <c r="N1616" s="2" t="s">
        <v>96</v>
      </c>
      <c r="O1616" s="2">
        <v>18</v>
      </c>
      <c r="P1616" s="2">
        <v>17</v>
      </c>
      <c r="Q1616" s="4">
        <v>3250</v>
      </c>
      <c r="R1616" s="4">
        <v>2980</v>
      </c>
      <c r="S1616" s="4">
        <v>97</v>
      </c>
      <c r="T1616" s="19">
        <f>(ProductionData[[#This Row],[Rejected_Qty]])/ProductionData[[#This Row],[Produced_Qty]]</f>
        <v>3.2550335570469796E-2</v>
      </c>
      <c r="U1616" s="19">
        <f>ProductionData[[#This Row],[Produced_Qty]]/ProductionData[[#This Row],[Planned_Qty]]</f>
        <v>0.91692307692307695</v>
      </c>
      <c r="V1616" s="2" t="s">
        <v>75</v>
      </c>
      <c r="W1616" s="11">
        <v>0</v>
      </c>
      <c r="X1616" s="13">
        <f>W1616/60</f>
        <v>0</v>
      </c>
      <c r="Y1616" s="2" t="s">
        <v>90</v>
      </c>
      <c r="Z1616" s="2">
        <v>64</v>
      </c>
      <c r="AA1616" s="2">
        <f>ProductionData[[#This Row],[Rejected_Qty]]*ProductionData[[#This Row],[Unit_Cost_INR]]</f>
        <v>6208</v>
      </c>
      <c r="AB1616" s="4">
        <v>8710</v>
      </c>
      <c r="AC1616" s="4">
        <v>3310</v>
      </c>
      <c r="AD1616" s="4">
        <v>3310</v>
      </c>
      <c r="AE1616" s="4">
        <v>8283</v>
      </c>
      <c r="AF1616" s="4">
        <v>5250</v>
      </c>
    </row>
    <row r="1617" spans="1:32">
      <c r="A1617" s="2" t="s">
        <v>3366</v>
      </c>
      <c r="B1617" s="3">
        <v>46251</v>
      </c>
      <c r="C1617" s="36" t="s">
        <v>2816</v>
      </c>
      <c r="D1617" s="2">
        <f>MONTH(ProductionData[[#This Row],[Month]])</f>
        <v>8</v>
      </c>
      <c r="E1617" s="2" t="s">
        <v>116</v>
      </c>
      <c r="F1617" s="2" t="s">
        <v>93</v>
      </c>
      <c r="G1617" s="2" t="s">
        <v>67</v>
      </c>
      <c r="H1617" s="2" t="s">
        <v>68</v>
      </c>
      <c r="I1617" s="2" t="s">
        <v>69</v>
      </c>
      <c r="J1617" s="2" t="s">
        <v>70</v>
      </c>
      <c r="K1617" s="2" t="s">
        <v>71</v>
      </c>
      <c r="L1617" s="2" t="s">
        <v>3367</v>
      </c>
      <c r="M1617" s="2" t="s">
        <v>95</v>
      </c>
      <c r="N1617" s="2" t="s">
        <v>74</v>
      </c>
      <c r="O1617" s="2">
        <v>16</v>
      </c>
      <c r="P1617" s="2">
        <v>11</v>
      </c>
      <c r="Q1617" s="4">
        <v>7650</v>
      </c>
      <c r="R1617" s="4">
        <v>6050</v>
      </c>
      <c r="S1617" s="4">
        <v>498</v>
      </c>
      <c r="T1617" s="19">
        <f>(ProductionData[[#This Row],[Rejected_Qty]])/ProductionData[[#This Row],[Produced_Qty]]</f>
        <v>8.2314049586776863E-2</v>
      </c>
      <c r="U1617" s="19">
        <f>ProductionData[[#This Row],[Produced_Qty]]/ProductionData[[#This Row],[Planned_Qty]]</f>
        <v>0.79084967320261434</v>
      </c>
      <c r="V1617" s="2" t="s">
        <v>2284</v>
      </c>
      <c r="W1617" s="11">
        <v>0</v>
      </c>
      <c r="X1617" s="13">
        <f>W1617/60</f>
        <v>0</v>
      </c>
      <c r="Y1617" s="2" t="s">
        <v>90</v>
      </c>
      <c r="Z1617" s="2">
        <v>46</v>
      </c>
      <c r="AA1617" s="2">
        <f>ProductionData[[#This Row],[Rejected_Qty]]*ProductionData[[#This Row],[Unit_Cost_INR]]</f>
        <v>22908</v>
      </c>
      <c r="AB1617" s="4">
        <v>9990</v>
      </c>
      <c r="AC1617" s="4">
        <v>7310</v>
      </c>
      <c r="AD1617" s="4">
        <v>7310</v>
      </c>
      <c r="AE1617" s="4">
        <v>8232</v>
      </c>
      <c r="AF1617" s="4">
        <v>10500</v>
      </c>
    </row>
    <row r="1618" spans="1:32">
      <c r="A1618" s="2" t="s">
        <v>3368</v>
      </c>
      <c r="B1618" s="3">
        <v>46255</v>
      </c>
      <c r="C1618" s="36" t="s">
        <v>2816</v>
      </c>
      <c r="D1618" s="2">
        <f>MONTH(ProductionData[[#This Row],[Month]])</f>
        <v>8</v>
      </c>
      <c r="E1618" s="2" t="s">
        <v>125</v>
      </c>
      <c r="F1618" s="2" t="s">
        <v>80</v>
      </c>
      <c r="G1618" s="2" t="s">
        <v>67</v>
      </c>
      <c r="H1618" s="2" t="s">
        <v>68</v>
      </c>
      <c r="I1618" s="2" t="s">
        <v>69</v>
      </c>
      <c r="J1618" s="2" t="s">
        <v>683</v>
      </c>
      <c r="K1618" s="2" t="s">
        <v>684</v>
      </c>
      <c r="L1618" s="2" t="s">
        <v>3369</v>
      </c>
      <c r="M1618" s="2" t="s">
        <v>102</v>
      </c>
      <c r="N1618" s="2" t="s">
        <v>96</v>
      </c>
      <c r="O1618" s="2">
        <v>16</v>
      </c>
      <c r="P1618" s="2">
        <v>13</v>
      </c>
      <c r="Q1618" s="4">
        <v>4550</v>
      </c>
      <c r="R1618" s="4">
        <v>3990</v>
      </c>
      <c r="S1618" s="4">
        <v>57</v>
      </c>
      <c r="T1618" s="19">
        <f>(ProductionData[[#This Row],[Rejected_Qty]])/ProductionData[[#This Row],[Produced_Qty]]</f>
        <v>1.4285714285714285E-2</v>
      </c>
      <c r="U1618" s="19">
        <f>ProductionData[[#This Row],[Produced_Qty]]/ProductionData[[#This Row],[Planned_Qty]]</f>
        <v>0.87692307692307692</v>
      </c>
      <c r="V1618" s="2" t="s">
        <v>103</v>
      </c>
      <c r="W1618" s="11">
        <v>0</v>
      </c>
      <c r="X1618" s="13">
        <f>W1618/60</f>
        <v>0</v>
      </c>
      <c r="Y1618" s="2" t="s">
        <v>90</v>
      </c>
      <c r="Z1618" s="2">
        <v>79</v>
      </c>
      <c r="AA1618" s="2">
        <f>ProductionData[[#This Row],[Rejected_Qty]]*ProductionData[[#This Row],[Unit_Cost_INR]]</f>
        <v>4503</v>
      </c>
      <c r="AB1618" s="4">
        <v>8379</v>
      </c>
      <c r="AC1618" s="4">
        <v>4100</v>
      </c>
      <c r="AD1618" s="4">
        <v>4100</v>
      </c>
      <c r="AE1618" s="4">
        <v>8212</v>
      </c>
      <c r="AF1618" s="4">
        <v>6750</v>
      </c>
    </row>
    <row r="1619" spans="1:32">
      <c r="A1619" s="2" t="s">
        <v>3370</v>
      </c>
      <c r="B1619" s="3">
        <v>46252</v>
      </c>
      <c r="C1619" s="36" t="s">
        <v>2816</v>
      </c>
      <c r="D1619" s="2">
        <f>MONTH(ProductionData[[#This Row],[Month]])</f>
        <v>8</v>
      </c>
      <c r="E1619" s="2" t="s">
        <v>92</v>
      </c>
      <c r="F1619" s="2" t="s">
        <v>80</v>
      </c>
      <c r="G1619" s="2" t="s">
        <v>67</v>
      </c>
      <c r="H1619" s="2" t="s">
        <v>68</v>
      </c>
      <c r="I1619" s="2" t="s">
        <v>69</v>
      </c>
      <c r="J1619" s="2" t="s">
        <v>683</v>
      </c>
      <c r="K1619" s="2" t="s">
        <v>684</v>
      </c>
      <c r="L1619" s="2" t="s">
        <v>3371</v>
      </c>
      <c r="M1619" s="2" t="s">
        <v>87</v>
      </c>
      <c r="N1619" s="2" t="s">
        <v>88</v>
      </c>
      <c r="O1619" s="2">
        <v>16</v>
      </c>
      <c r="P1619" s="2">
        <v>15</v>
      </c>
      <c r="Q1619" s="4">
        <v>4680</v>
      </c>
      <c r="R1619" s="4">
        <v>4450</v>
      </c>
      <c r="S1619" s="4">
        <v>135</v>
      </c>
      <c r="T1619" s="19">
        <f>(ProductionData[[#This Row],[Rejected_Qty]])/ProductionData[[#This Row],[Produced_Qty]]</f>
        <v>3.0337078651685393E-2</v>
      </c>
      <c r="U1619" s="19">
        <f>ProductionData[[#This Row],[Produced_Qty]]/ProductionData[[#This Row],[Planned_Qty]]</f>
        <v>0.95085470085470081</v>
      </c>
      <c r="V1619" s="2" t="s">
        <v>109</v>
      </c>
      <c r="W1619" s="11">
        <v>20</v>
      </c>
      <c r="X1619" s="13">
        <f>W1619/60</f>
        <v>0.33333333333333331</v>
      </c>
      <c r="Y1619" s="2" t="s">
        <v>110</v>
      </c>
      <c r="Z1619" s="2">
        <v>79</v>
      </c>
      <c r="AA1619" s="2">
        <f>ProductionData[[#This Row],[Rejected_Qty]]*ProductionData[[#This Row],[Unit_Cost_INR]]</f>
        <v>10665</v>
      </c>
      <c r="AB1619" s="4">
        <v>7530</v>
      </c>
      <c r="AC1619" s="4">
        <v>3750</v>
      </c>
      <c r="AD1619" s="4">
        <v>3750</v>
      </c>
      <c r="AE1619" s="4">
        <v>8095</v>
      </c>
      <c r="AF1619" s="4">
        <v>6750</v>
      </c>
    </row>
    <row r="1620" spans="1:32">
      <c r="A1620" s="2" t="s">
        <v>3372</v>
      </c>
      <c r="B1620" s="3">
        <v>46256</v>
      </c>
      <c r="C1620" s="36" t="s">
        <v>2816</v>
      </c>
      <c r="D1620" s="2">
        <f>MONTH(ProductionData[[#This Row],[Month]])</f>
        <v>8</v>
      </c>
      <c r="E1620" s="2" t="s">
        <v>65</v>
      </c>
      <c r="F1620" s="2" t="s">
        <v>66</v>
      </c>
      <c r="G1620" s="2" t="s">
        <v>67</v>
      </c>
      <c r="H1620" s="2" t="s">
        <v>68</v>
      </c>
      <c r="I1620" s="2" t="s">
        <v>69</v>
      </c>
      <c r="J1620" s="2" t="s">
        <v>683</v>
      </c>
      <c r="K1620" s="2" t="s">
        <v>684</v>
      </c>
      <c r="L1620" s="2" t="s">
        <v>3373</v>
      </c>
      <c r="M1620" s="2" t="s">
        <v>99</v>
      </c>
      <c r="N1620" s="2" t="s">
        <v>96</v>
      </c>
      <c r="O1620" s="2">
        <v>16</v>
      </c>
      <c r="P1620" s="2">
        <v>16</v>
      </c>
      <c r="Q1620" s="4">
        <v>4260</v>
      </c>
      <c r="R1620" s="4">
        <v>4030</v>
      </c>
      <c r="S1620" s="4">
        <v>104</v>
      </c>
      <c r="T1620" s="19">
        <f>(ProductionData[[#This Row],[Rejected_Qty]])/ProductionData[[#This Row],[Produced_Qty]]</f>
        <v>2.5806451612903226E-2</v>
      </c>
      <c r="U1620" s="19">
        <f>ProductionData[[#This Row],[Produced_Qty]]/ProductionData[[#This Row],[Planned_Qty]]</f>
        <v>0.9460093896713615</v>
      </c>
      <c r="V1620" s="2" t="s">
        <v>89</v>
      </c>
      <c r="W1620" s="11">
        <v>35</v>
      </c>
      <c r="X1620" s="13">
        <f>W1620/60</f>
        <v>0.58333333333333337</v>
      </c>
      <c r="Y1620" s="2" t="s">
        <v>114</v>
      </c>
      <c r="Z1620" s="2">
        <v>79</v>
      </c>
      <c r="AA1620" s="2">
        <f>ProductionData[[#This Row],[Rejected_Qty]]*ProductionData[[#This Row],[Unit_Cost_INR]]</f>
        <v>8216</v>
      </c>
      <c r="AB1620" s="4">
        <v>7966</v>
      </c>
      <c r="AC1620" s="4">
        <v>3860</v>
      </c>
      <c r="AD1620" s="4">
        <v>3860</v>
      </c>
      <c r="AE1620" s="4">
        <v>8032</v>
      </c>
      <c r="AF1620" s="4">
        <v>6750</v>
      </c>
    </row>
    <row r="1621" spans="1:32">
      <c r="A1621" s="2" t="s">
        <v>3374</v>
      </c>
      <c r="B1621" s="3">
        <v>46255</v>
      </c>
      <c r="C1621" s="36" t="s">
        <v>2816</v>
      </c>
      <c r="D1621" s="2">
        <f>MONTH(ProductionData[[#This Row],[Month]])</f>
        <v>8</v>
      </c>
      <c r="E1621" s="2" t="s">
        <v>125</v>
      </c>
      <c r="F1621" s="2" t="s">
        <v>93</v>
      </c>
      <c r="G1621" s="2" t="s">
        <v>67</v>
      </c>
      <c r="H1621" s="2" t="s">
        <v>68</v>
      </c>
      <c r="I1621" s="2" t="s">
        <v>69</v>
      </c>
      <c r="J1621" s="2" t="s">
        <v>683</v>
      </c>
      <c r="K1621" s="2" t="s">
        <v>684</v>
      </c>
      <c r="L1621" s="2" t="s">
        <v>3375</v>
      </c>
      <c r="M1621" s="2" t="s">
        <v>133</v>
      </c>
      <c r="N1621" s="2" t="s">
        <v>74</v>
      </c>
      <c r="O1621" s="2">
        <v>16</v>
      </c>
      <c r="P1621" s="2">
        <v>15</v>
      </c>
      <c r="Q1621" s="4">
        <v>3930</v>
      </c>
      <c r="R1621" s="4">
        <v>3730</v>
      </c>
      <c r="S1621" s="4">
        <v>416</v>
      </c>
      <c r="T1621" s="19">
        <f>(ProductionData[[#This Row],[Rejected_Qty]])/ProductionData[[#This Row],[Produced_Qty]]</f>
        <v>0.11152815013404825</v>
      </c>
      <c r="U1621" s="19">
        <f>ProductionData[[#This Row],[Produced_Qty]]/ProductionData[[#This Row],[Planned_Qty]]</f>
        <v>0.94910941475826971</v>
      </c>
      <c r="V1621" s="2" t="s">
        <v>2284</v>
      </c>
      <c r="W1621" s="11">
        <v>0</v>
      </c>
      <c r="X1621" s="13">
        <f>W1621/60</f>
        <v>0</v>
      </c>
      <c r="Y1621" s="2" t="s">
        <v>90</v>
      </c>
      <c r="Z1621" s="2">
        <v>79</v>
      </c>
      <c r="AA1621" s="2">
        <f>ProductionData[[#This Row],[Rejected_Qty]]*ProductionData[[#This Row],[Unit_Cost_INR]]</f>
        <v>32864</v>
      </c>
      <c r="AB1621" s="4">
        <v>8212</v>
      </c>
      <c r="AC1621" s="4">
        <v>3560</v>
      </c>
      <c r="AD1621" s="4">
        <v>3560</v>
      </c>
      <c r="AE1621" s="4">
        <v>7966</v>
      </c>
      <c r="AF1621" s="4">
        <v>6750</v>
      </c>
    </row>
    <row r="1622" spans="1:32">
      <c r="A1622" s="2" t="s">
        <v>3376</v>
      </c>
      <c r="B1622" s="3">
        <v>46253</v>
      </c>
      <c r="C1622" s="36" t="s">
        <v>2816</v>
      </c>
      <c r="D1622" s="2">
        <f>MONTH(ProductionData[[#This Row],[Month]])</f>
        <v>8</v>
      </c>
      <c r="E1622" s="2" t="s">
        <v>79</v>
      </c>
      <c r="F1622" s="2" t="s">
        <v>80</v>
      </c>
      <c r="G1622" s="2" t="s">
        <v>67</v>
      </c>
      <c r="H1622" s="2" t="s">
        <v>68</v>
      </c>
      <c r="I1622" s="2" t="s">
        <v>69</v>
      </c>
      <c r="J1622" s="2" t="s">
        <v>683</v>
      </c>
      <c r="K1622" s="2" t="s">
        <v>684</v>
      </c>
      <c r="L1622" s="2" t="s">
        <v>3377</v>
      </c>
      <c r="M1622" s="2" t="s">
        <v>102</v>
      </c>
      <c r="N1622" s="2" t="s">
        <v>96</v>
      </c>
      <c r="O1622" s="2">
        <v>16</v>
      </c>
      <c r="P1622" s="2">
        <v>16</v>
      </c>
      <c r="Q1622" s="4">
        <v>4810</v>
      </c>
      <c r="R1622" s="4">
        <v>4710</v>
      </c>
      <c r="S1622" s="4">
        <v>149</v>
      </c>
      <c r="T1622" s="19">
        <f>(ProductionData[[#This Row],[Rejected_Qty]])/ProductionData[[#This Row],[Produced_Qty]]</f>
        <v>3.1634819532908705E-2</v>
      </c>
      <c r="U1622" s="19">
        <f>ProductionData[[#This Row],[Produced_Qty]]/ProductionData[[#This Row],[Planned_Qty]]</f>
        <v>0.97920997920997921</v>
      </c>
      <c r="V1622" s="2" t="s">
        <v>103</v>
      </c>
      <c r="W1622" s="11">
        <v>23</v>
      </c>
      <c r="X1622" s="13">
        <f>W1622/60</f>
        <v>0.38333333333333336</v>
      </c>
      <c r="Y1622" s="2" t="s">
        <v>182</v>
      </c>
      <c r="Z1622" s="2">
        <v>79</v>
      </c>
      <c r="AA1622" s="2">
        <f>ProductionData[[#This Row],[Rejected_Qty]]*ProductionData[[#This Row],[Unit_Cost_INR]]</f>
        <v>11771</v>
      </c>
      <c r="AB1622" s="4">
        <v>8095</v>
      </c>
      <c r="AC1622" s="4">
        <v>4710</v>
      </c>
      <c r="AD1622" s="4">
        <v>4710</v>
      </c>
      <c r="AE1622" s="4">
        <v>7946</v>
      </c>
      <c r="AF1622" s="4">
        <v>6750</v>
      </c>
    </row>
    <row r="1623" spans="1:32">
      <c r="A1623" s="2" t="s">
        <v>3378</v>
      </c>
      <c r="B1623" s="3">
        <v>46239</v>
      </c>
      <c r="C1623" s="36" t="s">
        <v>2816</v>
      </c>
      <c r="D1623" s="2">
        <f>MONTH(ProductionData[[#This Row],[Month]])</f>
        <v>8</v>
      </c>
      <c r="E1623" s="2" t="s">
        <v>79</v>
      </c>
      <c r="F1623" s="2" t="s">
        <v>80</v>
      </c>
      <c r="G1623" s="2" t="s">
        <v>81</v>
      </c>
      <c r="H1623" s="2" t="s">
        <v>82</v>
      </c>
      <c r="I1623" s="2" t="s">
        <v>83</v>
      </c>
      <c r="J1623" s="2" t="s">
        <v>721</v>
      </c>
      <c r="K1623" s="2" t="s">
        <v>722</v>
      </c>
      <c r="L1623" s="2" t="s">
        <v>3379</v>
      </c>
      <c r="M1623" s="2" t="s">
        <v>87</v>
      </c>
      <c r="N1623" s="2" t="s">
        <v>96</v>
      </c>
      <c r="O1623" s="2">
        <v>18</v>
      </c>
      <c r="P1623" s="2">
        <v>16</v>
      </c>
      <c r="Q1623" s="4">
        <v>3660</v>
      </c>
      <c r="R1623" s="4">
        <v>3370</v>
      </c>
      <c r="S1623" s="4">
        <v>81</v>
      </c>
      <c r="T1623" s="19">
        <f>(ProductionData[[#This Row],[Rejected_Qty]])/ProductionData[[#This Row],[Produced_Qty]]</f>
        <v>2.4035608308605343E-2</v>
      </c>
      <c r="U1623" s="19">
        <f>ProductionData[[#This Row],[Produced_Qty]]/ProductionData[[#This Row],[Planned_Qty]]</f>
        <v>0.92076502732240439</v>
      </c>
      <c r="V1623" s="2" t="s">
        <v>103</v>
      </c>
      <c r="W1623" s="11">
        <v>0</v>
      </c>
      <c r="X1623" s="13">
        <f>W1623/60</f>
        <v>0</v>
      </c>
      <c r="Y1623" s="2" t="s">
        <v>90</v>
      </c>
      <c r="Z1623" s="2">
        <v>64</v>
      </c>
      <c r="AA1623" s="2">
        <f>ProductionData[[#This Row],[Rejected_Qty]]*ProductionData[[#This Row],[Unit_Cost_INR]]</f>
        <v>5184</v>
      </c>
      <c r="AB1623" s="4">
        <v>7886</v>
      </c>
      <c r="AC1623" s="4">
        <v>3240</v>
      </c>
      <c r="AD1623" s="4">
        <v>3240</v>
      </c>
      <c r="AE1623" s="4">
        <v>7935</v>
      </c>
      <c r="AF1623" s="4">
        <v>5250</v>
      </c>
    </row>
    <row r="1624" spans="1:32">
      <c r="A1624" s="2" t="s">
        <v>3380</v>
      </c>
      <c r="B1624" s="3">
        <v>46241</v>
      </c>
      <c r="C1624" s="36" t="s">
        <v>2816</v>
      </c>
      <c r="D1624" s="2">
        <f>MONTH(ProductionData[[#This Row],[Month]])</f>
        <v>8</v>
      </c>
      <c r="E1624" s="2" t="s">
        <v>125</v>
      </c>
      <c r="F1624" s="2" t="s">
        <v>80</v>
      </c>
      <c r="G1624" s="2" t="s">
        <v>81</v>
      </c>
      <c r="H1624" s="2" t="s">
        <v>82</v>
      </c>
      <c r="I1624" s="2" t="s">
        <v>83</v>
      </c>
      <c r="J1624" s="2" t="s">
        <v>721</v>
      </c>
      <c r="K1624" s="2" t="s">
        <v>722</v>
      </c>
      <c r="L1624" s="2" t="s">
        <v>3381</v>
      </c>
      <c r="M1624" s="2" t="s">
        <v>102</v>
      </c>
      <c r="N1624" s="2" t="s">
        <v>88</v>
      </c>
      <c r="O1624" s="2">
        <v>18</v>
      </c>
      <c r="P1624" s="2">
        <v>17</v>
      </c>
      <c r="Q1624" s="4">
        <v>3550</v>
      </c>
      <c r="R1624" s="4">
        <v>3210</v>
      </c>
      <c r="S1624" s="4">
        <v>87</v>
      </c>
      <c r="T1624" s="19">
        <f>(ProductionData[[#This Row],[Rejected_Qty]])/ProductionData[[#This Row],[Produced_Qty]]</f>
        <v>2.7102803738317756E-2</v>
      </c>
      <c r="U1624" s="19">
        <f>ProductionData[[#This Row],[Produced_Qty]]/ProductionData[[#This Row],[Planned_Qty]]</f>
        <v>0.90422535211267607</v>
      </c>
      <c r="V1624" s="2" t="s">
        <v>103</v>
      </c>
      <c r="W1624" s="11">
        <v>55</v>
      </c>
      <c r="X1624" s="13">
        <f>W1624/60</f>
        <v>0.91666666666666663</v>
      </c>
      <c r="Y1624" s="2" t="s">
        <v>136</v>
      </c>
      <c r="Z1624" s="2">
        <v>64</v>
      </c>
      <c r="AA1624" s="2">
        <f>ProductionData[[#This Row],[Rejected_Qty]]*ProductionData[[#This Row],[Unit_Cost_INR]]</f>
        <v>5568</v>
      </c>
      <c r="AB1624" s="4">
        <v>7935</v>
      </c>
      <c r="AC1624" s="4">
        <v>3170</v>
      </c>
      <c r="AD1624" s="4">
        <v>3170</v>
      </c>
      <c r="AE1624" s="4">
        <v>7888</v>
      </c>
      <c r="AF1624" s="4">
        <v>5250</v>
      </c>
    </row>
    <row r="1625" spans="1:32">
      <c r="A1625" s="2" t="s">
        <v>3382</v>
      </c>
      <c r="B1625" s="3">
        <v>46238</v>
      </c>
      <c r="C1625" s="36" t="s">
        <v>2816</v>
      </c>
      <c r="D1625" s="2">
        <f>MONTH(ProductionData[[#This Row],[Month]])</f>
        <v>8</v>
      </c>
      <c r="E1625" s="2" t="s">
        <v>92</v>
      </c>
      <c r="F1625" s="2" t="s">
        <v>93</v>
      </c>
      <c r="G1625" s="2" t="s">
        <v>81</v>
      </c>
      <c r="H1625" s="2" t="s">
        <v>82</v>
      </c>
      <c r="I1625" s="2" t="s">
        <v>83</v>
      </c>
      <c r="J1625" s="2" t="s">
        <v>721</v>
      </c>
      <c r="K1625" s="2" t="s">
        <v>722</v>
      </c>
      <c r="L1625" s="2" t="s">
        <v>3383</v>
      </c>
      <c r="M1625" s="2" t="s">
        <v>133</v>
      </c>
      <c r="N1625" s="2" t="s">
        <v>96</v>
      </c>
      <c r="O1625" s="2">
        <v>18</v>
      </c>
      <c r="P1625" s="2">
        <v>14</v>
      </c>
      <c r="Q1625" s="4">
        <v>3100</v>
      </c>
      <c r="R1625" s="4">
        <v>2460</v>
      </c>
      <c r="S1625" s="4">
        <v>47</v>
      </c>
      <c r="T1625" s="19">
        <f>(ProductionData[[#This Row],[Rejected_Qty]])/ProductionData[[#This Row],[Produced_Qty]]</f>
        <v>1.9105691056910568E-2</v>
      </c>
      <c r="U1625" s="19">
        <f>ProductionData[[#This Row],[Produced_Qty]]/ProductionData[[#This Row],[Planned_Qty]]</f>
        <v>0.79354838709677422</v>
      </c>
      <c r="V1625" s="2" t="s">
        <v>89</v>
      </c>
      <c r="W1625" s="11">
        <v>67</v>
      </c>
      <c r="X1625" s="13">
        <f>W1625/60</f>
        <v>1.1166666666666667</v>
      </c>
      <c r="Y1625" s="2" t="s">
        <v>114</v>
      </c>
      <c r="Z1625" s="2">
        <v>64</v>
      </c>
      <c r="AA1625" s="2">
        <f>ProductionData[[#This Row],[Rejected_Qty]]*ProductionData[[#This Row],[Unit_Cost_INR]]</f>
        <v>3008</v>
      </c>
      <c r="AB1625" s="4">
        <v>8283</v>
      </c>
      <c r="AC1625" s="4">
        <v>2810</v>
      </c>
      <c r="AD1625" s="4">
        <v>2810</v>
      </c>
      <c r="AE1625" s="4">
        <v>7886</v>
      </c>
      <c r="AF1625" s="4">
        <v>5250</v>
      </c>
    </row>
    <row r="1626" spans="1:32">
      <c r="A1626" s="2" t="s">
        <v>3384</v>
      </c>
      <c r="B1626" s="3">
        <v>46249</v>
      </c>
      <c r="C1626" s="36" t="s">
        <v>2816</v>
      </c>
      <c r="D1626" s="2">
        <f>MONTH(ProductionData[[#This Row],[Month]])</f>
        <v>8</v>
      </c>
      <c r="E1626" s="2" t="s">
        <v>65</v>
      </c>
      <c r="F1626" s="2" t="s">
        <v>93</v>
      </c>
      <c r="G1626" s="2" t="s">
        <v>67</v>
      </c>
      <c r="H1626" s="2" t="s">
        <v>68</v>
      </c>
      <c r="I1626" s="2" t="s">
        <v>69</v>
      </c>
      <c r="J1626" s="2" t="s">
        <v>683</v>
      </c>
      <c r="K1626" s="2" t="s">
        <v>684</v>
      </c>
      <c r="L1626" s="2" t="s">
        <v>3385</v>
      </c>
      <c r="M1626" s="2" t="s">
        <v>133</v>
      </c>
      <c r="N1626" s="2" t="s">
        <v>74</v>
      </c>
      <c r="O1626" s="2">
        <v>16</v>
      </c>
      <c r="P1626" s="2">
        <v>12</v>
      </c>
      <c r="Q1626" s="4">
        <v>4230</v>
      </c>
      <c r="R1626" s="4">
        <v>3440</v>
      </c>
      <c r="S1626" s="4">
        <v>286</v>
      </c>
      <c r="T1626" s="19">
        <f>(ProductionData[[#This Row],[Rejected_Qty]])/ProductionData[[#This Row],[Produced_Qty]]</f>
        <v>8.3139534883720931E-2</v>
      </c>
      <c r="U1626" s="19">
        <f>ProductionData[[#This Row],[Produced_Qty]]/ProductionData[[#This Row],[Planned_Qty]]</f>
        <v>0.81323877068557915</v>
      </c>
      <c r="V1626" s="2" t="s">
        <v>2284</v>
      </c>
      <c r="W1626" s="11">
        <v>73</v>
      </c>
      <c r="X1626" s="13">
        <f>W1626/60</f>
        <v>1.2166666666666666</v>
      </c>
      <c r="Y1626" s="2" t="s">
        <v>259</v>
      </c>
      <c r="Z1626" s="2">
        <v>79</v>
      </c>
      <c r="AA1626" s="2">
        <f>ProductionData[[#This Row],[Rejected_Qty]]*ProductionData[[#This Row],[Unit_Cost_INR]]</f>
        <v>22594</v>
      </c>
      <c r="AB1626" s="4">
        <v>8334</v>
      </c>
      <c r="AC1626" s="4">
        <v>3760</v>
      </c>
      <c r="AD1626" s="4">
        <v>3760</v>
      </c>
      <c r="AE1626" s="4">
        <v>7728</v>
      </c>
      <c r="AF1626" s="4">
        <v>6750</v>
      </c>
    </row>
    <row r="1627" spans="1:32">
      <c r="A1627" s="2" t="s">
        <v>3386</v>
      </c>
      <c r="B1627" s="3">
        <v>46256</v>
      </c>
      <c r="C1627" s="36" t="s">
        <v>2816</v>
      </c>
      <c r="D1627" s="2">
        <f>MONTH(ProductionData[[#This Row],[Month]])</f>
        <v>8</v>
      </c>
      <c r="E1627" s="2" t="s">
        <v>65</v>
      </c>
      <c r="F1627" s="2" t="s">
        <v>80</v>
      </c>
      <c r="G1627" s="2" t="s">
        <v>67</v>
      </c>
      <c r="H1627" s="2" t="s">
        <v>68</v>
      </c>
      <c r="I1627" s="2" t="s">
        <v>69</v>
      </c>
      <c r="J1627" s="2" t="s">
        <v>683</v>
      </c>
      <c r="K1627" s="2" t="s">
        <v>684</v>
      </c>
      <c r="L1627" s="2" t="s">
        <v>3387</v>
      </c>
      <c r="M1627" s="2" t="s">
        <v>87</v>
      </c>
      <c r="N1627" s="2" t="s">
        <v>74</v>
      </c>
      <c r="O1627" s="2">
        <v>16</v>
      </c>
      <c r="P1627" s="2">
        <v>14</v>
      </c>
      <c r="Q1627" s="4">
        <v>4720</v>
      </c>
      <c r="R1627" s="4">
        <v>4420</v>
      </c>
      <c r="S1627" s="4">
        <v>496</v>
      </c>
      <c r="T1627" s="19">
        <f>(ProductionData[[#This Row],[Rejected_Qty]])/ProductionData[[#This Row],[Produced_Qty]]</f>
        <v>0.11221719457013575</v>
      </c>
      <c r="U1627" s="19">
        <f>ProductionData[[#This Row],[Produced_Qty]]/ProductionData[[#This Row],[Planned_Qty]]</f>
        <v>0.93644067796610164</v>
      </c>
      <c r="V1627" s="2" t="s">
        <v>2284</v>
      </c>
      <c r="W1627" s="11">
        <v>0</v>
      </c>
      <c r="X1627" s="13">
        <f>W1627/60</f>
        <v>0</v>
      </c>
      <c r="Y1627" s="2" t="s">
        <v>90</v>
      </c>
      <c r="Z1627" s="2">
        <v>79</v>
      </c>
      <c r="AA1627" s="2">
        <f>ProductionData[[#This Row],[Rejected_Qty]]*ProductionData[[#This Row],[Unit_Cost_INR]]</f>
        <v>39184</v>
      </c>
      <c r="AB1627" s="4">
        <v>8032</v>
      </c>
      <c r="AC1627" s="4">
        <v>4420</v>
      </c>
      <c r="AD1627" s="4">
        <v>4420</v>
      </c>
      <c r="AE1627" s="4">
        <v>7536</v>
      </c>
      <c r="AF1627" s="4">
        <v>6750</v>
      </c>
    </row>
    <row r="1628" spans="1:32">
      <c r="A1628" s="2" t="s">
        <v>3388</v>
      </c>
      <c r="B1628" s="3">
        <v>46250</v>
      </c>
      <c r="C1628" s="36" t="s">
        <v>2816</v>
      </c>
      <c r="D1628" s="2">
        <f>MONTH(ProductionData[[#This Row],[Month]])</f>
        <v>8</v>
      </c>
      <c r="E1628" s="2" t="s">
        <v>186</v>
      </c>
      <c r="F1628" s="2" t="s">
        <v>80</v>
      </c>
      <c r="G1628" s="2" t="s">
        <v>67</v>
      </c>
      <c r="H1628" s="2" t="s">
        <v>68</v>
      </c>
      <c r="I1628" s="2" t="s">
        <v>69</v>
      </c>
      <c r="J1628" s="2" t="s">
        <v>683</v>
      </c>
      <c r="K1628" s="2" t="s">
        <v>684</v>
      </c>
      <c r="L1628" s="2" t="s">
        <v>3389</v>
      </c>
      <c r="M1628" s="2" t="s">
        <v>87</v>
      </c>
      <c r="N1628" s="2" t="s">
        <v>74</v>
      </c>
      <c r="O1628" s="2">
        <v>16</v>
      </c>
      <c r="P1628" s="2">
        <v>15</v>
      </c>
      <c r="Q1628" s="4">
        <v>2960</v>
      </c>
      <c r="R1628" s="4">
        <v>2670</v>
      </c>
      <c r="S1628" s="4">
        <v>218</v>
      </c>
      <c r="T1628" s="19">
        <f>(ProductionData[[#This Row],[Rejected_Qty]])/ProductionData[[#This Row],[Produced_Qty]]</f>
        <v>8.1647940074906361E-2</v>
      </c>
      <c r="U1628" s="19">
        <f>ProductionData[[#This Row],[Produced_Qty]]/ProductionData[[#This Row],[Planned_Qty]]</f>
        <v>0.90202702702702697</v>
      </c>
      <c r="V1628" s="2" t="s">
        <v>2284</v>
      </c>
      <c r="W1628" s="11">
        <v>0</v>
      </c>
      <c r="X1628" s="13">
        <f>W1628/60</f>
        <v>0</v>
      </c>
      <c r="Y1628" s="2" t="s">
        <v>90</v>
      </c>
      <c r="Z1628" s="2">
        <v>79</v>
      </c>
      <c r="AA1628" s="2">
        <f>ProductionData[[#This Row],[Rejected_Qty]]*ProductionData[[#This Row],[Unit_Cost_INR]]</f>
        <v>17222</v>
      </c>
      <c r="AB1628" s="4">
        <v>7728</v>
      </c>
      <c r="AC1628" s="4">
        <v>2650</v>
      </c>
      <c r="AD1628" s="4">
        <v>2650</v>
      </c>
      <c r="AE1628" s="4">
        <v>7530</v>
      </c>
      <c r="AF1628" s="4">
        <v>6750</v>
      </c>
    </row>
    <row r="1629" spans="1:32">
      <c r="A1629" s="2" t="s">
        <v>3390</v>
      </c>
      <c r="B1629" s="3">
        <v>46252</v>
      </c>
      <c r="C1629" s="36" t="s">
        <v>2816</v>
      </c>
      <c r="D1629" s="2">
        <f>MONTH(ProductionData[[#This Row],[Month]])</f>
        <v>8</v>
      </c>
      <c r="E1629" s="2" t="s">
        <v>92</v>
      </c>
      <c r="F1629" s="2" t="s">
        <v>66</v>
      </c>
      <c r="G1629" s="2" t="s">
        <v>67</v>
      </c>
      <c r="H1629" s="2" t="s">
        <v>68</v>
      </c>
      <c r="I1629" s="2" t="s">
        <v>69</v>
      </c>
      <c r="J1629" s="2" t="s">
        <v>70</v>
      </c>
      <c r="K1629" s="2" t="s">
        <v>71</v>
      </c>
      <c r="L1629" s="2" t="s">
        <v>3391</v>
      </c>
      <c r="M1629" s="2" t="s">
        <v>73</v>
      </c>
      <c r="N1629" s="2" t="s">
        <v>88</v>
      </c>
      <c r="O1629" s="2">
        <v>16</v>
      </c>
      <c r="P1629" s="2">
        <v>14</v>
      </c>
      <c r="Q1629" s="4">
        <v>7910</v>
      </c>
      <c r="R1629" s="4">
        <v>6820</v>
      </c>
      <c r="S1629" s="4">
        <v>170</v>
      </c>
      <c r="T1629" s="19">
        <f>(ProductionData[[#This Row],[Rejected_Qty]])/ProductionData[[#This Row],[Produced_Qty]]</f>
        <v>2.4926686217008796E-2</v>
      </c>
      <c r="U1629" s="19">
        <f>ProductionData[[#This Row],[Produced_Qty]]/ProductionData[[#This Row],[Planned_Qty]]</f>
        <v>0.86219974715549941</v>
      </c>
      <c r="V1629" s="2" t="s">
        <v>75</v>
      </c>
      <c r="W1629" s="11">
        <v>53</v>
      </c>
      <c r="X1629" s="13">
        <f>W1629/60</f>
        <v>0.8833333333333333</v>
      </c>
      <c r="Y1629" s="2" t="s">
        <v>76</v>
      </c>
      <c r="Z1629" s="2">
        <v>46</v>
      </c>
      <c r="AA1629" s="2">
        <f>ProductionData[[#This Row],[Rejected_Qty]]*ProductionData[[#This Row],[Unit_Cost_INR]]</f>
        <v>7820</v>
      </c>
      <c r="AB1629" s="4">
        <v>8232</v>
      </c>
      <c r="AC1629" s="4">
        <v>7480</v>
      </c>
      <c r="AD1629" s="4">
        <v>7480</v>
      </c>
      <c r="AE1629" s="4">
        <v>7402</v>
      </c>
      <c r="AF1629" s="4">
        <v>10500</v>
      </c>
    </row>
    <row r="1630" spans="1:32">
      <c r="A1630" s="2" t="s">
        <v>3392</v>
      </c>
      <c r="B1630" s="3">
        <v>46242</v>
      </c>
      <c r="C1630" s="36" t="s">
        <v>2816</v>
      </c>
      <c r="D1630" s="2">
        <f>MONTH(ProductionData[[#This Row],[Month]])</f>
        <v>8</v>
      </c>
      <c r="E1630" s="2" t="s">
        <v>65</v>
      </c>
      <c r="F1630" s="2" t="s">
        <v>93</v>
      </c>
      <c r="G1630" s="2" t="s">
        <v>81</v>
      </c>
      <c r="H1630" s="2" t="s">
        <v>82</v>
      </c>
      <c r="I1630" s="2" t="s">
        <v>83</v>
      </c>
      <c r="J1630" s="2" t="s">
        <v>721</v>
      </c>
      <c r="K1630" s="2" t="s">
        <v>722</v>
      </c>
      <c r="L1630" s="2" t="s">
        <v>3393</v>
      </c>
      <c r="M1630" s="2" t="s">
        <v>133</v>
      </c>
      <c r="N1630" s="2" t="s">
        <v>96</v>
      </c>
      <c r="O1630" s="2">
        <v>18</v>
      </c>
      <c r="P1630" s="2">
        <v>13</v>
      </c>
      <c r="Q1630" s="4">
        <v>3350</v>
      </c>
      <c r="R1630" s="4">
        <v>2960</v>
      </c>
      <c r="S1630" s="4">
        <v>83</v>
      </c>
      <c r="T1630" s="19">
        <f>(ProductionData[[#This Row],[Rejected_Qty]])/ProductionData[[#This Row],[Produced_Qty]]</f>
        <v>2.8040540540540542E-2</v>
      </c>
      <c r="U1630" s="19">
        <f>ProductionData[[#This Row],[Produced_Qty]]/ProductionData[[#This Row],[Planned_Qty]]</f>
        <v>0.88358208955223883</v>
      </c>
      <c r="V1630" s="2" t="s">
        <v>113</v>
      </c>
      <c r="W1630" s="11">
        <v>0</v>
      </c>
      <c r="X1630" s="13">
        <f>W1630/60</f>
        <v>0</v>
      </c>
      <c r="Y1630" s="2" t="s">
        <v>90</v>
      </c>
      <c r="Z1630" s="2">
        <v>64</v>
      </c>
      <c r="AA1630" s="2">
        <f>ProductionData[[#This Row],[Rejected_Qty]]*ProductionData[[#This Row],[Unit_Cost_INR]]</f>
        <v>5312</v>
      </c>
      <c r="AB1630" s="4">
        <v>7888</v>
      </c>
      <c r="AC1630" s="4">
        <v>3380</v>
      </c>
      <c r="AD1630" s="4">
        <v>3380</v>
      </c>
      <c r="AE1630" s="4">
        <v>7385</v>
      </c>
      <c r="AF1630" s="4">
        <v>5250</v>
      </c>
    </row>
    <row r="1631" spans="1:32">
      <c r="A1631" s="2" t="s">
        <v>3394</v>
      </c>
      <c r="B1631" s="3">
        <v>46244</v>
      </c>
      <c r="C1631" s="36" t="s">
        <v>2816</v>
      </c>
      <c r="D1631" s="2">
        <f>MONTH(ProductionData[[#This Row],[Month]])</f>
        <v>8</v>
      </c>
      <c r="E1631" s="2" t="s">
        <v>116</v>
      </c>
      <c r="F1631" s="2" t="s">
        <v>93</v>
      </c>
      <c r="G1631" s="2" t="s">
        <v>81</v>
      </c>
      <c r="H1631" s="2" t="s">
        <v>82</v>
      </c>
      <c r="I1631" s="2" t="s">
        <v>83</v>
      </c>
      <c r="J1631" s="2" t="s">
        <v>721</v>
      </c>
      <c r="K1631" s="2" t="s">
        <v>722</v>
      </c>
      <c r="L1631" s="2" t="s">
        <v>3395</v>
      </c>
      <c r="M1631" s="2" t="s">
        <v>95</v>
      </c>
      <c r="N1631" s="2" t="s">
        <v>96</v>
      </c>
      <c r="O1631" s="2">
        <v>18</v>
      </c>
      <c r="P1631" s="2">
        <v>17</v>
      </c>
      <c r="Q1631" s="4">
        <v>3080</v>
      </c>
      <c r="R1631" s="4">
        <v>2930</v>
      </c>
      <c r="S1631" s="4">
        <v>86</v>
      </c>
      <c r="T1631" s="19">
        <f>(ProductionData[[#This Row],[Rejected_Qty]])/ProductionData[[#This Row],[Produced_Qty]]</f>
        <v>2.9351535836177476E-2</v>
      </c>
      <c r="U1631" s="19">
        <f>ProductionData[[#This Row],[Produced_Qty]]/ProductionData[[#This Row],[Planned_Qty]]</f>
        <v>0.95129870129870131</v>
      </c>
      <c r="V1631" s="2" t="s">
        <v>109</v>
      </c>
      <c r="W1631" s="11">
        <v>0</v>
      </c>
      <c r="X1631" s="13">
        <f>W1631/60</f>
        <v>0</v>
      </c>
      <c r="Y1631" s="2" t="s">
        <v>90</v>
      </c>
      <c r="Z1631" s="2">
        <v>64</v>
      </c>
      <c r="AA1631" s="2">
        <f>ProductionData[[#This Row],[Rejected_Qty]]*ProductionData[[#This Row],[Unit_Cost_INR]]</f>
        <v>5504</v>
      </c>
      <c r="AB1631" s="4">
        <v>7194</v>
      </c>
      <c r="AC1631" s="4">
        <v>2750</v>
      </c>
      <c r="AD1631" s="4">
        <v>2750</v>
      </c>
      <c r="AE1631" s="4">
        <v>7288</v>
      </c>
      <c r="AF1631" s="4">
        <v>5250</v>
      </c>
    </row>
    <row r="1632" spans="1:32">
      <c r="A1632" s="2" t="s">
        <v>3396</v>
      </c>
      <c r="B1632" s="3">
        <v>46246</v>
      </c>
      <c r="C1632" s="36" t="s">
        <v>2816</v>
      </c>
      <c r="D1632" s="2">
        <f>MONTH(ProductionData[[#This Row],[Month]])</f>
        <v>8</v>
      </c>
      <c r="E1632" s="2" t="s">
        <v>79</v>
      </c>
      <c r="F1632" s="2" t="s">
        <v>80</v>
      </c>
      <c r="G1632" s="2" t="s">
        <v>81</v>
      </c>
      <c r="H1632" s="2" t="s">
        <v>82</v>
      </c>
      <c r="I1632" s="2" t="s">
        <v>83</v>
      </c>
      <c r="J1632" s="2" t="s">
        <v>721</v>
      </c>
      <c r="K1632" s="2" t="s">
        <v>722</v>
      </c>
      <c r="L1632" s="2" t="s">
        <v>3397</v>
      </c>
      <c r="M1632" s="2" t="s">
        <v>102</v>
      </c>
      <c r="N1632" s="2" t="s">
        <v>96</v>
      </c>
      <c r="O1632" s="2">
        <v>18</v>
      </c>
      <c r="P1632" s="2">
        <v>18</v>
      </c>
      <c r="Q1632" s="4">
        <v>3490</v>
      </c>
      <c r="R1632" s="4">
        <v>3480</v>
      </c>
      <c r="S1632" s="4">
        <v>109</v>
      </c>
      <c r="T1632" s="19">
        <f>(ProductionData[[#This Row],[Rejected_Qty]])/ProductionData[[#This Row],[Produced_Qty]]</f>
        <v>3.1321839080459768E-2</v>
      </c>
      <c r="U1632" s="19">
        <f>ProductionData[[#This Row],[Produced_Qty]]/ProductionData[[#This Row],[Planned_Qty]]</f>
        <v>0.99713467048710602</v>
      </c>
      <c r="V1632" s="2" t="s">
        <v>103</v>
      </c>
      <c r="W1632" s="11">
        <v>22</v>
      </c>
      <c r="X1632" s="13">
        <f>W1632/60</f>
        <v>0.36666666666666664</v>
      </c>
      <c r="Y1632" s="2" t="s">
        <v>110</v>
      </c>
      <c r="Z1632" s="2">
        <v>64</v>
      </c>
      <c r="AA1632" s="2">
        <f>ProductionData[[#This Row],[Rejected_Qty]]*ProductionData[[#This Row],[Unit_Cost_INR]]</f>
        <v>6976</v>
      </c>
      <c r="AB1632" s="4">
        <v>6940</v>
      </c>
      <c r="AC1632" s="4">
        <v>3040</v>
      </c>
      <c r="AD1632" s="4">
        <v>3040</v>
      </c>
      <c r="AE1632" s="4">
        <v>7271</v>
      </c>
      <c r="AF1632" s="4">
        <v>5250</v>
      </c>
    </row>
    <row r="1633" spans="1:32">
      <c r="A1633" s="2" t="s">
        <v>3398</v>
      </c>
      <c r="B1633" s="3">
        <v>46256</v>
      </c>
      <c r="C1633" s="36" t="s">
        <v>2816</v>
      </c>
      <c r="D1633" s="2">
        <f>MONTH(ProductionData[[#This Row],[Month]])</f>
        <v>8</v>
      </c>
      <c r="E1633" s="2" t="s">
        <v>65</v>
      </c>
      <c r="F1633" s="2" t="s">
        <v>93</v>
      </c>
      <c r="G1633" s="2" t="s">
        <v>67</v>
      </c>
      <c r="H1633" s="2" t="s">
        <v>68</v>
      </c>
      <c r="I1633" s="2" t="s">
        <v>69</v>
      </c>
      <c r="J1633" s="2" t="s">
        <v>683</v>
      </c>
      <c r="K1633" s="2" t="s">
        <v>684</v>
      </c>
      <c r="L1633" s="2" t="s">
        <v>3399</v>
      </c>
      <c r="M1633" s="2" t="s">
        <v>95</v>
      </c>
      <c r="N1633" s="2" t="s">
        <v>74</v>
      </c>
      <c r="O1633" s="2">
        <v>16</v>
      </c>
      <c r="P1633" s="2">
        <v>12</v>
      </c>
      <c r="Q1633" s="4">
        <v>4300</v>
      </c>
      <c r="R1633" s="4">
        <v>3710</v>
      </c>
      <c r="S1633" s="4">
        <v>352</v>
      </c>
      <c r="T1633" s="19">
        <f>(ProductionData[[#This Row],[Rejected_Qty]])/ProductionData[[#This Row],[Produced_Qty]]</f>
        <v>9.4878706199460913E-2</v>
      </c>
      <c r="U1633" s="19">
        <f>ProductionData[[#This Row],[Produced_Qty]]/ProductionData[[#This Row],[Planned_Qty]]</f>
        <v>0.86279069767441863</v>
      </c>
      <c r="V1633" s="2" t="s">
        <v>2284</v>
      </c>
      <c r="W1633" s="11">
        <v>0</v>
      </c>
      <c r="X1633" s="13">
        <f>W1633/60</f>
        <v>0</v>
      </c>
      <c r="Y1633" s="2" t="s">
        <v>90</v>
      </c>
      <c r="Z1633" s="2">
        <v>79</v>
      </c>
      <c r="AA1633" s="2">
        <f>ProductionData[[#This Row],[Rejected_Qty]]*ProductionData[[#This Row],[Unit_Cost_INR]]</f>
        <v>27808</v>
      </c>
      <c r="AB1633" s="4">
        <v>7536</v>
      </c>
      <c r="AC1633" s="4">
        <v>3690</v>
      </c>
      <c r="AD1633" s="4">
        <v>3690</v>
      </c>
      <c r="AE1633" s="4">
        <v>7204</v>
      </c>
      <c r="AF1633" s="4">
        <v>6750</v>
      </c>
    </row>
    <row r="1634" spans="1:32">
      <c r="A1634" s="2" t="s">
        <v>3400</v>
      </c>
      <c r="B1634" s="3">
        <v>46243</v>
      </c>
      <c r="C1634" s="36" t="s">
        <v>2816</v>
      </c>
      <c r="D1634" s="2">
        <f>MONTH(ProductionData[[#This Row],[Month]])</f>
        <v>8</v>
      </c>
      <c r="E1634" s="2" t="s">
        <v>186</v>
      </c>
      <c r="F1634" s="2" t="s">
        <v>66</v>
      </c>
      <c r="G1634" s="2" t="s">
        <v>81</v>
      </c>
      <c r="H1634" s="2" t="s">
        <v>82</v>
      </c>
      <c r="I1634" s="2" t="s">
        <v>83</v>
      </c>
      <c r="J1634" s="2" t="s">
        <v>721</v>
      </c>
      <c r="K1634" s="2" t="s">
        <v>722</v>
      </c>
      <c r="L1634" s="2" t="s">
        <v>3401</v>
      </c>
      <c r="M1634" s="2" t="s">
        <v>99</v>
      </c>
      <c r="N1634" s="2" t="s">
        <v>88</v>
      </c>
      <c r="O1634" s="2">
        <v>18</v>
      </c>
      <c r="P1634" s="2">
        <v>15</v>
      </c>
      <c r="Q1634" s="4">
        <v>2640</v>
      </c>
      <c r="R1634" s="4">
        <v>2280</v>
      </c>
      <c r="S1634" s="4">
        <v>61</v>
      </c>
      <c r="T1634" s="19">
        <f>(ProductionData[[#This Row],[Rejected_Qty]])/ProductionData[[#This Row],[Produced_Qty]]</f>
        <v>2.6754385964912281E-2</v>
      </c>
      <c r="U1634" s="19">
        <f>ProductionData[[#This Row],[Produced_Qty]]/ProductionData[[#This Row],[Planned_Qty]]</f>
        <v>0.86363636363636365</v>
      </c>
      <c r="V1634" s="2" t="s">
        <v>109</v>
      </c>
      <c r="W1634" s="11">
        <v>35</v>
      </c>
      <c r="X1634" s="13">
        <f>W1634/60</f>
        <v>0.58333333333333337</v>
      </c>
      <c r="Y1634" s="2" t="s">
        <v>136</v>
      </c>
      <c r="Z1634" s="2">
        <v>64</v>
      </c>
      <c r="AA1634" s="2">
        <f>ProductionData[[#This Row],[Rejected_Qty]]*ProductionData[[#This Row],[Unit_Cost_INR]]</f>
        <v>3904</v>
      </c>
      <c r="AB1634" s="4">
        <v>7385</v>
      </c>
      <c r="AC1634" s="4">
        <v>2410</v>
      </c>
      <c r="AD1634" s="4">
        <v>2410</v>
      </c>
      <c r="AE1634" s="4">
        <v>7194</v>
      </c>
      <c r="AF1634" s="4">
        <v>5250</v>
      </c>
    </row>
    <row r="1635" spans="1:32">
      <c r="A1635" s="2" t="s">
        <v>3402</v>
      </c>
      <c r="B1635" s="3">
        <v>46249</v>
      </c>
      <c r="C1635" s="36" t="s">
        <v>2816</v>
      </c>
      <c r="D1635" s="2">
        <f>MONTH(ProductionData[[#This Row],[Month]])</f>
        <v>8</v>
      </c>
      <c r="E1635" s="2" t="s">
        <v>65</v>
      </c>
      <c r="F1635" s="2" t="s">
        <v>93</v>
      </c>
      <c r="G1635" s="2" t="s">
        <v>81</v>
      </c>
      <c r="H1635" s="2" t="s">
        <v>82</v>
      </c>
      <c r="I1635" s="2" t="s">
        <v>83</v>
      </c>
      <c r="J1635" s="2" t="s">
        <v>721</v>
      </c>
      <c r="K1635" s="2" t="s">
        <v>722</v>
      </c>
      <c r="L1635" s="2" t="s">
        <v>3403</v>
      </c>
      <c r="M1635" s="2" t="s">
        <v>133</v>
      </c>
      <c r="N1635" s="2" t="s">
        <v>96</v>
      </c>
      <c r="O1635" s="2">
        <v>18</v>
      </c>
      <c r="P1635" s="2">
        <v>16</v>
      </c>
      <c r="Q1635" s="4">
        <v>3570</v>
      </c>
      <c r="R1635" s="4">
        <v>3370</v>
      </c>
      <c r="S1635" s="4">
        <v>98</v>
      </c>
      <c r="T1635" s="19">
        <f>(ProductionData[[#This Row],[Rejected_Qty]])/ProductionData[[#This Row],[Produced_Qty]]</f>
        <v>2.9080118694362018E-2</v>
      </c>
      <c r="U1635" s="19">
        <f>ProductionData[[#This Row],[Produced_Qty]]/ProductionData[[#This Row],[Planned_Qty]]</f>
        <v>0.94397759103641454</v>
      </c>
      <c r="V1635" s="2" t="s">
        <v>109</v>
      </c>
      <c r="W1635" s="11">
        <v>0</v>
      </c>
      <c r="X1635" s="13">
        <f>W1635/60</f>
        <v>0</v>
      </c>
      <c r="Y1635" s="2" t="s">
        <v>90</v>
      </c>
      <c r="Z1635" s="2">
        <v>64</v>
      </c>
      <c r="AA1635" s="2">
        <f>ProductionData[[#This Row],[Rejected_Qty]]*ProductionData[[#This Row],[Unit_Cost_INR]]</f>
        <v>6272</v>
      </c>
      <c r="AB1635" s="4">
        <v>7042</v>
      </c>
      <c r="AC1635" s="4">
        <v>3160</v>
      </c>
      <c r="AD1635" s="4">
        <v>3160</v>
      </c>
      <c r="AE1635" s="4">
        <v>7154</v>
      </c>
      <c r="AF1635" s="4">
        <v>5250</v>
      </c>
    </row>
    <row r="1636" spans="1:32">
      <c r="A1636" s="2" t="s">
        <v>3404</v>
      </c>
      <c r="B1636" s="3">
        <v>46261</v>
      </c>
      <c r="C1636" s="36" t="s">
        <v>2816</v>
      </c>
      <c r="D1636" s="2">
        <f>MONTH(ProductionData[[#This Row],[Month]])</f>
        <v>8</v>
      </c>
      <c r="E1636" s="2" t="s">
        <v>107</v>
      </c>
      <c r="F1636" s="2" t="s">
        <v>80</v>
      </c>
      <c r="G1636" s="2" t="s">
        <v>67</v>
      </c>
      <c r="H1636" s="2" t="s">
        <v>68</v>
      </c>
      <c r="I1636" s="2" t="s">
        <v>69</v>
      </c>
      <c r="J1636" s="2" t="s">
        <v>683</v>
      </c>
      <c r="K1636" s="2" t="s">
        <v>684</v>
      </c>
      <c r="L1636" s="2" t="s">
        <v>3405</v>
      </c>
      <c r="M1636" s="2" t="s">
        <v>87</v>
      </c>
      <c r="N1636" s="2" t="s">
        <v>96</v>
      </c>
      <c r="O1636" s="2">
        <v>16</v>
      </c>
      <c r="P1636" s="2">
        <v>14</v>
      </c>
      <c r="Q1636" s="4">
        <v>4230</v>
      </c>
      <c r="R1636" s="4">
        <v>3930</v>
      </c>
      <c r="S1636" s="4">
        <v>85</v>
      </c>
      <c r="T1636" s="19">
        <f>(ProductionData[[#This Row],[Rejected_Qty]])/ProductionData[[#This Row],[Produced_Qty]]</f>
        <v>2.1628498727735368E-2</v>
      </c>
      <c r="U1636" s="19">
        <f>ProductionData[[#This Row],[Produced_Qty]]/ProductionData[[#This Row],[Planned_Qty]]</f>
        <v>0.92907801418439717</v>
      </c>
      <c r="V1636" s="2" t="s">
        <v>75</v>
      </c>
      <c r="W1636" s="11">
        <v>0</v>
      </c>
      <c r="X1636" s="13">
        <f>W1636/60</f>
        <v>0</v>
      </c>
      <c r="Y1636" s="2" t="s">
        <v>90</v>
      </c>
      <c r="Z1636" s="2">
        <v>79</v>
      </c>
      <c r="AA1636" s="2">
        <f>ProductionData[[#This Row],[Rejected_Qty]]*ProductionData[[#This Row],[Unit_Cost_INR]]</f>
        <v>6715</v>
      </c>
      <c r="AB1636" s="4">
        <v>6751</v>
      </c>
      <c r="AC1636" s="4">
        <v>3500</v>
      </c>
      <c r="AD1636" s="4">
        <v>3500</v>
      </c>
      <c r="AE1636" s="4">
        <v>7096</v>
      </c>
      <c r="AF1636" s="4">
        <v>6750</v>
      </c>
    </row>
    <row r="1637" spans="1:32">
      <c r="A1637" s="2" t="s">
        <v>3406</v>
      </c>
      <c r="B1637" s="3">
        <v>46252</v>
      </c>
      <c r="C1637" s="36" t="s">
        <v>2816</v>
      </c>
      <c r="D1637" s="2">
        <f>MONTH(ProductionData[[#This Row],[Month]])</f>
        <v>8</v>
      </c>
      <c r="E1637" s="2" t="s">
        <v>92</v>
      </c>
      <c r="F1637" s="2" t="s">
        <v>66</v>
      </c>
      <c r="G1637" s="2" t="s">
        <v>81</v>
      </c>
      <c r="H1637" s="2" t="s">
        <v>82</v>
      </c>
      <c r="I1637" s="2" t="s">
        <v>83</v>
      </c>
      <c r="J1637" s="2" t="s">
        <v>721</v>
      </c>
      <c r="K1637" s="2" t="s">
        <v>722</v>
      </c>
      <c r="L1637" s="2" t="s">
        <v>3407</v>
      </c>
      <c r="M1637" s="2" t="s">
        <v>99</v>
      </c>
      <c r="N1637" s="2" t="s">
        <v>88</v>
      </c>
      <c r="O1637" s="2">
        <v>18</v>
      </c>
      <c r="P1637" s="2">
        <v>18</v>
      </c>
      <c r="Q1637" s="4">
        <v>3430</v>
      </c>
      <c r="R1637" s="4">
        <v>3330</v>
      </c>
      <c r="S1637" s="4">
        <v>70</v>
      </c>
      <c r="T1637" s="19">
        <f>(ProductionData[[#This Row],[Rejected_Qty]])/ProductionData[[#This Row],[Produced_Qty]]</f>
        <v>2.1021021021021023E-2</v>
      </c>
      <c r="U1637" s="19">
        <f>ProductionData[[#This Row],[Produced_Qty]]/ProductionData[[#This Row],[Planned_Qty]]</f>
        <v>0.9708454810495627</v>
      </c>
      <c r="V1637" s="2" t="s">
        <v>103</v>
      </c>
      <c r="W1637" s="11">
        <v>47</v>
      </c>
      <c r="X1637" s="13">
        <f>W1637/60</f>
        <v>0.78333333333333333</v>
      </c>
      <c r="Y1637" s="2" t="s">
        <v>110</v>
      </c>
      <c r="Z1637" s="2">
        <v>64</v>
      </c>
      <c r="AA1637" s="2">
        <f>ProductionData[[#This Row],[Rejected_Qty]]*ProductionData[[#This Row],[Unit_Cost_INR]]</f>
        <v>4480</v>
      </c>
      <c r="AB1637" s="4">
        <v>7071</v>
      </c>
      <c r="AC1637" s="4">
        <v>3250</v>
      </c>
      <c r="AD1637" s="4">
        <v>3250</v>
      </c>
      <c r="AE1637" s="4">
        <v>7081</v>
      </c>
      <c r="AF1637" s="4">
        <v>5250</v>
      </c>
    </row>
    <row r="1638" spans="1:32">
      <c r="A1638" s="2" t="s">
        <v>3408</v>
      </c>
      <c r="B1638" s="3">
        <v>46251</v>
      </c>
      <c r="C1638" s="36" t="s">
        <v>2816</v>
      </c>
      <c r="D1638" s="2">
        <f>MONTH(ProductionData[[#This Row],[Month]])</f>
        <v>8</v>
      </c>
      <c r="E1638" s="2" t="s">
        <v>116</v>
      </c>
      <c r="F1638" s="2" t="s">
        <v>66</v>
      </c>
      <c r="G1638" s="2" t="s">
        <v>81</v>
      </c>
      <c r="H1638" s="2" t="s">
        <v>82</v>
      </c>
      <c r="I1638" s="2" t="s">
        <v>83</v>
      </c>
      <c r="J1638" s="2" t="s">
        <v>721</v>
      </c>
      <c r="K1638" s="2" t="s">
        <v>722</v>
      </c>
      <c r="L1638" s="2" t="s">
        <v>3409</v>
      </c>
      <c r="M1638" s="2" t="s">
        <v>73</v>
      </c>
      <c r="N1638" s="2" t="s">
        <v>96</v>
      </c>
      <c r="O1638" s="2">
        <v>18</v>
      </c>
      <c r="P1638" s="2">
        <v>16</v>
      </c>
      <c r="Q1638" s="4">
        <v>3370</v>
      </c>
      <c r="R1638" s="4">
        <v>3130</v>
      </c>
      <c r="S1638" s="4">
        <v>83</v>
      </c>
      <c r="T1638" s="19">
        <f>(ProductionData[[#This Row],[Rejected_Qty]])/ProductionData[[#This Row],[Produced_Qty]]</f>
        <v>2.6517571884984027E-2</v>
      </c>
      <c r="U1638" s="19">
        <f>ProductionData[[#This Row],[Produced_Qty]]/ProductionData[[#This Row],[Planned_Qty]]</f>
        <v>0.92878338278931749</v>
      </c>
      <c r="V1638" s="2" t="s">
        <v>75</v>
      </c>
      <c r="W1638" s="11">
        <v>0</v>
      </c>
      <c r="X1638" s="13">
        <f>W1638/60</f>
        <v>0</v>
      </c>
      <c r="Y1638" s="2" t="s">
        <v>90</v>
      </c>
      <c r="Z1638" s="2">
        <v>64</v>
      </c>
      <c r="AA1638" s="2">
        <f>ProductionData[[#This Row],[Rejected_Qty]]*ProductionData[[#This Row],[Unit_Cost_INR]]</f>
        <v>5312</v>
      </c>
      <c r="AB1638" s="4">
        <v>7154</v>
      </c>
      <c r="AC1638" s="4">
        <v>3130</v>
      </c>
      <c r="AD1638" s="4">
        <v>3130</v>
      </c>
      <c r="AE1638" s="4">
        <v>7071</v>
      </c>
      <c r="AF1638" s="4">
        <v>5250</v>
      </c>
    </row>
    <row r="1639" spans="1:32">
      <c r="A1639" s="2" t="s">
        <v>3410</v>
      </c>
      <c r="B1639" s="3">
        <v>46249</v>
      </c>
      <c r="C1639" s="36" t="s">
        <v>2816</v>
      </c>
      <c r="D1639" s="2">
        <f>MONTH(ProductionData[[#This Row],[Month]])</f>
        <v>8</v>
      </c>
      <c r="E1639" s="2" t="s">
        <v>65</v>
      </c>
      <c r="F1639" s="2" t="s">
        <v>80</v>
      </c>
      <c r="G1639" s="2" t="s">
        <v>81</v>
      </c>
      <c r="H1639" s="2" t="s">
        <v>82</v>
      </c>
      <c r="I1639" s="2" t="s">
        <v>83</v>
      </c>
      <c r="J1639" s="2" t="s">
        <v>721</v>
      </c>
      <c r="K1639" s="2" t="s">
        <v>722</v>
      </c>
      <c r="L1639" s="2" t="s">
        <v>3411</v>
      </c>
      <c r="M1639" s="2" t="s">
        <v>87</v>
      </c>
      <c r="N1639" s="2" t="s">
        <v>88</v>
      </c>
      <c r="O1639" s="2">
        <v>18</v>
      </c>
      <c r="P1639" s="2">
        <v>18</v>
      </c>
      <c r="Q1639" s="4">
        <v>3600</v>
      </c>
      <c r="R1639" s="4">
        <v>3470</v>
      </c>
      <c r="S1639" s="4">
        <v>86</v>
      </c>
      <c r="T1639" s="19">
        <f>(ProductionData[[#This Row],[Rejected_Qty]])/ProductionData[[#This Row],[Produced_Qty]]</f>
        <v>2.4783861671469742E-2</v>
      </c>
      <c r="U1639" s="19">
        <f>ProductionData[[#This Row],[Produced_Qty]]/ProductionData[[#This Row],[Planned_Qty]]</f>
        <v>0.96388888888888891</v>
      </c>
      <c r="V1639" s="2" t="s">
        <v>109</v>
      </c>
      <c r="W1639" s="11">
        <v>0</v>
      </c>
      <c r="X1639" s="13">
        <f>W1639/60</f>
        <v>0</v>
      </c>
      <c r="Y1639" s="2" t="s">
        <v>90</v>
      </c>
      <c r="Z1639" s="2">
        <v>64</v>
      </c>
      <c r="AA1639" s="2">
        <f>ProductionData[[#This Row],[Rejected_Qty]]*ProductionData[[#This Row],[Unit_Cost_INR]]</f>
        <v>5504</v>
      </c>
      <c r="AB1639" s="4">
        <v>7028</v>
      </c>
      <c r="AC1639" s="4">
        <v>3370</v>
      </c>
      <c r="AD1639" s="4">
        <v>3370</v>
      </c>
      <c r="AE1639" s="4">
        <v>7042</v>
      </c>
      <c r="AF1639" s="4">
        <v>5250</v>
      </c>
    </row>
    <row r="1640" spans="1:32">
      <c r="A1640" s="2" t="s">
        <v>3412</v>
      </c>
      <c r="B1640" s="3">
        <v>46248</v>
      </c>
      <c r="C1640" s="36" t="s">
        <v>2816</v>
      </c>
      <c r="D1640" s="2">
        <f>MONTH(ProductionData[[#This Row],[Month]])</f>
        <v>8</v>
      </c>
      <c r="E1640" s="2" t="s">
        <v>125</v>
      </c>
      <c r="F1640" s="2" t="s">
        <v>80</v>
      </c>
      <c r="G1640" s="2" t="s">
        <v>81</v>
      </c>
      <c r="H1640" s="2" t="s">
        <v>82</v>
      </c>
      <c r="I1640" s="2" t="s">
        <v>83</v>
      </c>
      <c r="J1640" s="2" t="s">
        <v>721</v>
      </c>
      <c r="K1640" s="2" t="s">
        <v>722</v>
      </c>
      <c r="L1640" s="2" t="s">
        <v>3413</v>
      </c>
      <c r="M1640" s="2" t="s">
        <v>87</v>
      </c>
      <c r="N1640" s="2" t="s">
        <v>88</v>
      </c>
      <c r="O1640" s="2">
        <v>18</v>
      </c>
      <c r="P1640" s="2">
        <v>18</v>
      </c>
      <c r="Q1640" s="4">
        <v>3540</v>
      </c>
      <c r="R1640" s="4">
        <v>3540</v>
      </c>
      <c r="S1640" s="4">
        <v>114</v>
      </c>
      <c r="T1640" s="19">
        <f>(ProductionData[[#This Row],[Rejected_Qty]])/ProductionData[[#This Row],[Produced_Qty]]</f>
        <v>3.2203389830508473E-2</v>
      </c>
      <c r="U1640" s="19">
        <f>ProductionData[[#This Row],[Produced_Qty]]/ProductionData[[#This Row],[Planned_Qty]]</f>
        <v>1</v>
      </c>
      <c r="V1640" s="2" t="s">
        <v>75</v>
      </c>
      <c r="W1640" s="11">
        <v>0</v>
      </c>
      <c r="X1640" s="13">
        <f>W1640/60</f>
        <v>0</v>
      </c>
      <c r="Y1640" s="2" t="s">
        <v>90</v>
      </c>
      <c r="Z1640" s="2">
        <v>64</v>
      </c>
      <c r="AA1640" s="2">
        <f>ProductionData[[#This Row],[Rejected_Qty]]*ProductionData[[#This Row],[Unit_Cost_INR]]</f>
        <v>7296</v>
      </c>
      <c r="AB1640" s="4">
        <v>7022</v>
      </c>
      <c r="AC1640" s="4">
        <v>3420</v>
      </c>
      <c r="AD1640" s="4">
        <v>3420</v>
      </c>
      <c r="AE1640" s="4">
        <v>7028</v>
      </c>
      <c r="AF1640" s="4">
        <v>5250</v>
      </c>
    </row>
    <row r="1641" spans="1:32">
      <c r="A1641" s="2" t="s">
        <v>3414</v>
      </c>
      <c r="B1641" s="3">
        <v>46247</v>
      </c>
      <c r="C1641" s="36" t="s">
        <v>2816</v>
      </c>
      <c r="D1641" s="2">
        <f>MONTH(ProductionData[[#This Row],[Month]])</f>
        <v>8</v>
      </c>
      <c r="E1641" s="2" t="s">
        <v>107</v>
      </c>
      <c r="F1641" s="2" t="s">
        <v>80</v>
      </c>
      <c r="G1641" s="2" t="s">
        <v>81</v>
      </c>
      <c r="H1641" s="2" t="s">
        <v>82</v>
      </c>
      <c r="I1641" s="2" t="s">
        <v>83</v>
      </c>
      <c r="J1641" s="2" t="s">
        <v>721</v>
      </c>
      <c r="K1641" s="2" t="s">
        <v>722</v>
      </c>
      <c r="L1641" s="2" t="s">
        <v>3415</v>
      </c>
      <c r="M1641" s="2" t="s">
        <v>102</v>
      </c>
      <c r="N1641" s="2" t="s">
        <v>88</v>
      </c>
      <c r="O1641" s="2">
        <v>18</v>
      </c>
      <c r="P1641" s="2">
        <v>18</v>
      </c>
      <c r="Q1641" s="4">
        <v>3750</v>
      </c>
      <c r="R1641" s="4">
        <v>3480</v>
      </c>
      <c r="S1641" s="4">
        <v>94</v>
      </c>
      <c r="T1641" s="19">
        <f>(ProductionData[[#This Row],[Rejected_Qty]])/ProductionData[[#This Row],[Produced_Qty]]</f>
        <v>2.7011494252873563E-2</v>
      </c>
      <c r="U1641" s="19">
        <f>ProductionData[[#This Row],[Produced_Qty]]/ProductionData[[#This Row],[Planned_Qty]]</f>
        <v>0.92800000000000005</v>
      </c>
      <c r="V1641" s="2" t="s">
        <v>75</v>
      </c>
      <c r="W1641" s="11">
        <v>0</v>
      </c>
      <c r="X1641" s="13">
        <f>W1641/60</f>
        <v>0</v>
      </c>
      <c r="Y1641" s="2" t="s">
        <v>90</v>
      </c>
      <c r="Z1641" s="2">
        <v>64</v>
      </c>
      <c r="AA1641" s="2">
        <f>ProductionData[[#This Row],[Rejected_Qty]]*ProductionData[[#This Row],[Unit_Cost_INR]]</f>
        <v>6016</v>
      </c>
      <c r="AB1641" s="4">
        <v>6946</v>
      </c>
      <c r="AC1641" s="4">
        <v>3310</v>
      </c>
      <c r="AD1641" s="4">
        <v>3310</v>
      </c>
      <c r="AE1641" s="4">
        <v>7022</v>
      </c>
      <c r="AF1641" s="4">
        <v>5250</v>
      </c>
    </row>
    <row r="1642" spans="1:32">
      <c r="A1642" s="2" t="s">
        <v>3416</v>
      </c>
      <c r="B1642" s="3">
        <v>46246</v>
      </c>
      <c r="C1642" s="36" t="s">
        <v>2816</v>
      </c>
      <c r="D1642" s="2">
        <f>MONTH(ProductionData[[#This Row],[Month]])</f>
        <v>8</v>
      </c>
      <c r="E1642" s="2" t="s">
        <v>79</v>
      </c>
      <c r="F1642" s="2" t="s">
        <v>93</v>
      </c>
      <c r="G1642" s="2" t="s">
        <v>81</v>
      </c>
      <c r="H1642" s="2" t="s">
        <v>82</v>
      </c>
      <c r="I1642" s="2" t="s">
        <v>83</v>
      </c>
      <c r="J1642" s="2" t="s">
        <v>721</v>
      </c>
      <c r="K1642" s="2" t="s">
        <v>722</v>
      </c>
      <c r="L1642" s="2" t="s">
        <v>3417</v>
      </c>
      <c r="M1642" s="2" t="s">
        <v>95</v>
      </c>
      <c r="N1642" s="2" t="s">
        <v>96</v>
      </c>
      <c r="O1642" s="2">
        <v>18</v>
      </c>
      <c r="P1642" s="2">
        <v>14</v>
      </c>
      <c r="Q1642" s="4">
        <v>3490</v>
      </c>
      <c r="R1642" s="4">
        <v>2970</v>
      </c>
      <c r="S1642" s="4">
        <v>65</v>
      </c>
      <c r="T1642" s="19">
        <f>(ProductionData[[#This Row],[Rejected_Qty]])/ProductionData[[#This Row],[Produced_Qty]]</f>
        <v>2.1885521885521887E-2</v>
      </c>
      <c r="U1642" s="19">
        <f>ProductionData[[#This Row],[Produced_Qty]]/ProductionData[[#This Row],[Planned_Qty]]</f>
        <v>0.85100286532951286</v>
      </c>
      <c r="V1642" s="2" t="s">
        <v>75</v>
      </c>
      <c r="W1642" s="11">
        <v>0</v>
      </c>
      <c r="X1642" s="13">
        <f>W1642/60</f>
        <v>0</v>
      </c>
      <c r="Y1642" s="2" t="s">
        <v>90</v>
      </c>
      <c r="Z1642" s="2">
        <v>64</v>
      </c>
      <c r="AA1642" s="2">
        <f>ProductionData[[#This Row],[Rejected_Qty]]*ProductionData[[#This Row],[Unit_Cost_INR]]</f>
        <v>4160</v>
      </c>
      <c r="AB1642" s="4">
        <v>7271</v>
      </c>
      <c r="AC1642" s="4">
        <v>3230</v>
      </c>
      <c r="AD1642" s="4">
        <v>3230</v>
      </c>
      <c r="AE1642" s="4">
        <v>6946</v>
      </c>
      <c r="AF1642" s="4">
        <v>5250</v>
      </c>
    </row>
    <row r="1643" spans="1:32">
      <c r="A1643" s="2" t="s">
        <v>3418</v>
      </c>
      <c r="B1643" s="3">
        <v>46245</v>
      </c>
      <c r="C1643" s="36" t="s">
        <v>2816</v>
      </c>
      <c r="D1643" s="2">
        <f>MONTH(ProductionData[[#This Row],[Month]])</f>
        <v>8</v>
      </c>
      <c r="E1643" s="2" t="s">
        <v>92</v>
      </c>
      <c r="F1643" s="2" t="s">
        <v>80</v>
      </c>
      <c r="G1643" s="2" t="s">
        <v>81</v>
      </c>
      <c r="H1643" s="2" t="s">
        <v>82</v>
      </c>
      <c r="I1643" s="2" t="s">
        <v>83</v>
      </c>
      <c r="J1643" s="2" t="s">
        <v>721</v>
      </c>
      <c r="K1643" s="2" t="s">
        <v>722</v>
      </c>
      <c r="L1643" s="2" t="s">
        <v>3419</v>
      </c>
      <c r="M1643" s="2" t="s">
        <v>102</v>
      </c>
      <c r="N1643" s="2" t="s">
        <v>88</v>
      </c>
      <c r="O1643" s="2">
        <v>18</v>
      </c>
      <c r="P1643" s="2">
        <v>17</v>
      </c>
      <c r="Q1643" s="4">
        <v>3750</v>
      </c>
      <c r="R1643" s="4">
        <v>3440</v>
      </c>
      <c r="S1643" s="4">
        <v>68</v>
      </c>
      <c r="T1643" s="19">
        <f>(ProductionData[[#This Row],[Rejected_Qty]])/ProductionData[[#This Row],[Produced_Qty]]</f>
        <v>1.9767441860465116E-2</v>
      </c>
      <c r="U1643" s="19">
        <f>ProductionData[[#This Row],[Produced_Qty]]/ProductionData[[#This Row],[Planned_Qty]]</f>
        <v>0.91733333333333333</v>
      </c>
      <c r="V1643" s="2" t="s">
        <v>103</v>
      </c>
      <c r="W1643" s="11">
        <v>21</v>
      </c>
      <c r="X1643" s="13">
        <f>W1643/60</f>
        <v>0.35</v>
      </c>
      <c r="Y1643" s="2" t="s">
        <v>110</v>
      </c>
      <c r="Z1643" s="2">
        <v>64</v>
      </c>
      <c r="AA1643" s="2">
        <f>ProductionData[[#This Row],[Rejected_Qty]]*ProductionData[[#This Row],[Unit_Cost_INR]]</f>
        <v>4352</v>
      </c>
      <c r="AB1643" s="4">
        <v>7288</v>
      </c>
      <c r="AC1643" s="4">
        <v>3720</v>
      </c>
      <c r="AD1643" s="4">
        <v>3720</v>
      </c>
      <c r="AE1643" s="4">
        <v>6940</v>
      </c>
      <c r="AF1643" s="4">
        <v>5250</v>
      </c>
    </row>
    <row r="1644" spans="1:32">
      <c r="A1644" s="2" t="s">
        <v>3420</v>
      </c>
      <c r="B1644" s="3">
        <v>46253</v>
      </c>
      <c r="C1644" s="36" t="s">
        <v>2816</v>
      </c>
      <c r="D1644" s="2">
        <f>MONTH(ProductionData[[#This Row],[Month]])</f>
        <v>8</v>
      </c>
      <c r="E1644" s="2" t="s">
        <v>79</v>
      </c>
      <c r="F1644" s="2" t="s">
        <v>66</v>
      </c>
      <c r="G1644" s="2" t="s">
        <v>67</v>
      </c>
      <c r="H1644" s="2" t="s">
        <v>68</v>
      </c>
      <c r="I1644" s="2" t="s">
        <v>69</v>
      </c>
      <c r="J1644" s="2" t="s">
        <v>70</v>
      </c>
      <c r="K1644" s="2" t="s">
        <v>71</v>
      </c>
      <c r="L1644" s="2" t="s">
        <v>3421</v>
      </c>
      <c r="M1644" s="2" t="s">
        <v>73</v>
      </c>
      <c r="N1644" s="2" t="s">
        <v>88</v>
      </c>
      <c r="O1644" s="2">
        <v>16</v>
      </c>
      <c r="P1644" s="2">
        <v>15</v>
      </c>
      <c r="Q1644" s="4">
        <v>7680</v>
      </c>
      <c r="R1644" s="4">
        <v>7470</v>
      </c>
      <c r="S1644" s="4">
        <v>147</v>
      </c>
      <c r="T1644" s="19">
        <f>(ProductionData[[#This Row],[Rejected_Qty]])/ProductionData[[#This Row],[Produced_Qty]]</f>
        <v>1.967871485943775E-2</v>
      </c>
      <c r="U1644" s="19">
        <f>ProductionData[[#This Row],[Produced_Qty]]/ProductionData[[#This Row],[Planned_Qty]]</f>
        <v>0.97265625</v>
      </c>
      <c r="V1644" s="2" t="s">
        <v>113</v>
      </c>
      <c r="W1644" s="11">
        <v>0</v>
      </c>
      <c r="X1644" s="13">
        <f>W1644/60</f>
        <v>0</v>
      </c>
      <c r="Y1644" s="2" t="s">
        <v>90</v>
      </c>
      <c r="Z1644" s="2">
        <v>46</v>
      </c>
      <c r="AA1644" s="2">
        <f>ProductionData[[#This Row],[Rejected_Qty]]*ProductionData[[#This Row],[Unit_Cost_INR]]</f>
        <v>6762</v>
      </c>
      <c r="AB1644" s="4">
        <v>6504</v>
      </c>
      <c r="AC1644" s="4">
        <v>6920</v>
      </c>
      <c r="AD1644" s="4">
        <v>6920</v>
      </c>
      <c r="AE1644" s="4">
        <v>6907</v>
      </c>
      <c r="AF1644" s="4">
        <v>10500</v>
      </c>
    </row>
    <row r="1645" spans="1:32">
      <c r="A1645" s="2" t="s">
        <v>3422</v>
      </c>
      <c r="B1645" s="3">
        <v>46253</v>
      </c>
      <c r="C1645" s="36" t="s">
        <v>2816</v>
      </c>
      <c r="D1645" s="2">
        <f>MONTH(ProductionData[[#This Row],[Month]])</f>
        <v>8</v>
      </c>
      <c r="E1645" s="2" t="s">
        <v>79</v>
      </c>
      <c r="F1645" s="2" t="s">
        <v>66</v>
      </c>
      <c r="G1645" s="2" t="s">
        <v>81</v>
      </c>
      <c r="H1645" s="2" t="s">
        <v>82</v>
      </c>
      <c r="I1645" s="2" t="s">
        <v>83</v>
      </c>
      <c r="J1645" s="2" t="s">
        <v>721</v>
      </c>
      <c r="K1645" s="2" t="s">
        <v>722</v>
      </c>
      <c r="L1645" s="2" t="s">
        <v>3423</v>
      </c>
      <c r="M1645" s="2" t="s">
        <v>99</v>
      </c>
      <c r="N1645" s="2" t="s">
        <v>96</v>
      </c>
      <c r="O1645" s="2">
        <v>18</v>
      </c>
      <c r="P1645" s="2">
        <v>18</v>
      </c>
      <c r="Q1645" s="4">
        <v>3570</v>
      </c>
      <c r="R1645" s="4">
        <v>3290</v>
      </c>
      <c r="S1645" s="4">
        <v>91</v>
      </c>
      <c r="T1645" s="19">
        <f>(ProductionData[[#This Row],[Rejected_Qty]])/ProductionData[[#This Row],[Produced_Qty]]</f>
        <v>2.7659574468085105E-2</v>
      </c>
      <c r="U1645" s="19">
        <f>ProductionData[[#This Row],[Produced_Qty]]/ProductionData[[#This Row],[Planned_Qty]]</f>
        <v>0.92156862745098034</v>
      </c>
      <c r="V1645" s="2" t="s">
        <v>89</v>
      </c>
      <c r="W1645" s="11">
        <v>0</v>
      </c>
      <c r="X1645" s="13">
        <f>W1645/60</f>
        <v>0</v>
      </c>
      <c r="Y1645" s="2" t="s">
        <v>90</v>
      </c>
      <c r="Z1645" s="2">
        <v>64</v>
      </c>
      <c r="AA1645" s="2">
        <f>ProductionData[[#This Row],[Rejected_Qty]]*ProductionData[[#This Row],[Unit_Cost_INR]]</f>
        <v>5824</v>
      </c>
      <c r="AB1645" s="4">
        <v>7081</v>
      </c>
      <c r="AC1645" s="4">
        <v>3430</v>
      </c>
      <c r="AD1645" s="4">
        <v>3430</v>
      </c>
      <c r="AE1645" s="4">
        <v>6850</v>
      </c>
      <c r="AF1645" s="4">
        <v>5250</v>
      </c>
    </row>
    <row r="1646" spans="1:32">
      <c r="A1646" s="2" t="s">
        <v>3424</v>
      </c>
      <c r="B1646" s="3">
        <v>46260</v>
      </c>
      <c r="C1646" s="36" t="s">
        <v>2816</v>
      </c>
      <c r="D1646" s="2">
        <f>MONTH(ProductionData[[#This Row],[Month]])</f>
        <v>8</v>
      </c>
      <c r="E1646" s="2" t="s">
        <v>79</v>
      </c>
      <c r="F1646" s="2" t="s">
        <v>66</v>
      </c>
      <c r="G1646" s="2" t="s">
        <v>67</v>
      </c>
      <c r="H1646" s="2" t="s">
        <v>68</v>
      </c>
      <c r="I1646" s="2" t="s">
        <v>69</v>
      </c>
      <c r="J1646" s="2" t="s">
        <v>683</v>
      </c>
      <c r="K1646" s="2" t="s">
        <v>684</v>
      </c>
      <c r="L1646" s="2" t="s">
        <v>3425</v>
      </c>
      <c r="M1646" s="2" t="s">
        <v>99</v>
      </c>
      <c r="N1646" s="2" t="s">
        <v>96</v>
      </c>
      <c r="O1646" s="2">
        <v>16</v>
      </c>
      <c r="P1646" s="2">
        <v>15</v>
      </c>
      <c r="Q1646" s="4">
        <v>5230</v>
      </c>
      <c r="R1646" s="4">
        <v>5090</v>
      </c>
      <c r="S1646" s="4">
        <v>173</v>
      </c>
      <c r="T1646" s="19">
        <f>(ProductionData[[#This Row],[Rejected_Qty]])/ProductionData[[#This Row],[Produced_Qty]]</f>
        <v>3.398821218074656E-2</v>
      </c>
      <c r="U1646" s="19">
        <f>ProductionData[[#This Row],[Produced_Qty]]/ProductionData[[#This Row],[Planned_Qty]]</f>
        <v>0.97323135755258128</v>
      </c>
      <c r="V1646" s="2" t="s">
        <v>113</v>
      </c>
      <c r="W1646" s="11">
        <v>61</v>
      </c>
      <c r="X1646" s="13">
        <f>W1646/60</f>
        <v>1.0166666666666666</v>
      </c>
      <c r="Y1646" s="2" t="s">
        <v>182</v>
      </c>
      <c r="Z1646" s="2">
        <v>79</v>
      </c>
      <c r="AA1646" s="2">
        <f>ProductionData[[#This Row],[Rejected_Qty]]*ProductionData[[#This Row],[Unit_Cost_INR]]</f>
        <v>13667</v>
      </c>
      <c r="AB1646" s="4">
        <v>6234</v>
      </c>
      <c r="AC1646" s="4">
        <v>4400</v>
      </c>
      <c r="AD1646" s="4">
        <v>4400</v>
      </c>
      <c r="AE1646" s="4">
        <v>6751</v>
      </c>
      <c r="AF1646" s="4">
        <v>6750</v>
      </c>
    </row>
    <row r="1647" spans="1:32">
      <c r="A1647" s="2" t="s">
        <v>3426</v>
      </c>
      <c r="B1647" s="3">
        <v>46254</v>
      </c>
      <c r="C1647" s="36" t="s">
        <v>2816</v>
      </c>
      <c r="D1647" s="2">
        <f>MONTH(ProductionData[[#This Row],[Month]])</f>
        <v>8</v>
      </c>
      <c r="E1647" s="2" t="s">
        <v>107</v>
      </c>
      <c r="F1647" s="2" t="s">
        <v>66</v>
      </c>
      <c r="G1647" s="2" t="s">
        <v>81</v>
      </c>
      <c r="H1647" s="2" t="s">
        <v>82</v>
      </c>
      <c r="I1647" s="2" t="s">
        <v>83</v>
      </c>
      <c r="J1647" s="2" t="s">
        <v>721</v>
      </c>
      <c r="K1647" s="2" t="s">
        <v>722</v>
      </c>
      <c r="L1647" s="2" t="s">
        <v>3427</v>
      </c>
      <c r="M1647" s="2" t="s">
        <v>99</v>
      </c>
      <c r="N1647" s="2" t="s">
        <v>96</v>
      </c>
      <c r="O1647" s="2">
        <v>18</v>
      </c>
      <c r="P1647" s="2">
        <v>17</v>
      </c>
      <c r="Q1647" s="4">
        <v>3230</v>
      </c>
      <c r="R1647" s="4">
        <v>2950</v>
      </c>
      <c r="S1647" s="4">
        <v>77</v>
      </c>
      <c r="T1647" s="19">
        <f>(ProductionData[[#This Row],[Rejected_Qty]])/ProductionData[[#This Row],[Produced_Qty]]</f>
        <v>2.6101694915254239E-2</v>
      </c>
      <c r="U1647" s="19">
        <f>ProductionData[[#This Row],[Produced_Qty]]/ProductionData[[#This Row],[Planned_Qty]]</f>
        <v>0.91331269349845201</v>
      </c>
      <c r="V1647" s="2" t="s">
        <v>103</v>
      </c>
      <c r="W1647" s="11">
        <v>0</v>
      </c>
      <c r="X1647" s="13">
        <f>W1647/60</f>
        <v>0</v>
      </c>
      <c r="Y1647" s="2" t="s">
        <v>90</v>
      </c>
      <c r="Z1647" s="2">
        <v>64</v>
      </c>
      <c r="AA1647" s="2">
        <f>ProductionData[[#This Row],[Rejected_Qty]]*ProductionData[[#This Row],[Unit_Cost_INR]]</f>
        <v>4928</v>
      </c>
      <c r="AB1647" s="4">
        <v>6666</v>
      </c>
      <c r="AC1647" s="4">
        <v>2790</v>
      </c>
      <c r="AD1647" s="4">
        <v>2790</v>
      </c>
      <c r="AE1647" s="4">
        <v>6749</v>
      </c>
      <c r="AF1647" s="4">
        <v>5250</v>
      </c>
    </row>
    <row r="1648" spans="1:32">
      <c r="A1648" s="2" t="s">
        <v>3428</v>
      </c>
      <c r="B1648" s="3">
        <v>46253</v>
      </c>
      <c r="C1648" s="36" t="s">
        <v>2816</v>
      </c>
      <c r="D1648" s="2">
        <f>MONTH(ProductionData[[#This Row],[Month]])</f>
        <v>8</v>
      </c>
      <c r="E1648" s="2" t="s">
        <v>79</v>
      </c>
      <c r="F1648" s="2" t="s">
        <v>93</v>
      </c>
      <c r="G1648" s="2" t="s">
        <v>81</v>
      </c>
      <c r="H1648" s="2" t="s">
        <v>82</v>
      </c>
      <c r="I1648" s="2" t="s">
        <v>83</v>
      </c>
      <c r="J1648" s="2" t="s">
        <v>721</v>
      </c>
      <c r="K1648" s="2" t="s">
        <v>722</v>
      </c>
      <c r="L1648" s="2" t="s">
        <v>3429</v>
      </c>
      <c r="M1648" s="2" t="s">
        <v>95</v>
      </c>
      <c r="N1648" s="2" t="s">
        <v>88</v>
      </c>
      <c r="O1648" s="2">
        <v>18</v>
      </c>
      <c r="P1648" s="2">
        <v>18</v>
      </c>
      <c r="Q1648" s="4">
        <v>3350</v>
      </c>
      <c r="R1648" s="4">
        <v>3150</v>
      </c>
      <c r="S1648" s="4">
        <v>34</v>
      </c>
      <c r="T1648" s="19">
        <f>(ProductionData[[#This Row],[Rejected_Qty]])/ProductionData[[#This Row],[Produced_Qty]]</f>
        <v>1.0793650793650795E-2</v>
      </c>
      <c r="U1648" s="19">
        <f>ProductionData[[#This Row],[Produced_Qty]]/ProductionData[[#This Row],[Planned_Qty]]</f>
        <v>0.94029850746268662</v>
      </c>
      <c r="V1648" s="2" t="s">
        <v>103</v>
      </c>
      <c r="W1648" s="11">
        <v>0</v>
      </c>
      <c r="X1648" s="13">
        <f>W1648/60</f>
        <v>0</v>
      </c>
      <c r="Y1648" s="2" t="s">
        <v>90</v>
      </c>
      <c r="Z1648" s="2">
        <v>64</v>
      </c>
      <c r="AA1648" s="2">
        <f>ProductionData[[#This Row],[Rejected_Qty]]*ProductionData[[#This Row],[Unit_Cost_INR]]</f>
        <v>2176</v>
      </c>
      <c r="AB1648" s="4">
        <v>6850</v>
      </c>
      <c r="AC1648" s="4">
        <v>3300</v>
      </c>
      <c r="AD1648" s="4">
        <v>3300</v>
      </c>
      <c r="AE1648" s="4">
        <v>6666</v>
      </c>
      <c r="AF1648" s="4">
        <v>5250</v>
      </c>
    </row>
    <row r="1649" spans="1:32">
      <c r="A1649" s="2" t="s">
        <v>3430</v>
      </c>
      <c r="B1649" s="3">
        <v>46257</v>
      </c>
      <c r="C1649" s="36" t="s">
        <v>2816</v>
      </c>
      <c r="D1649" s="2">
        <f>MONTH(ProductionData[[#This Row],[Month]])</f>
        <v>8</v>
      </c>
      <c r="E1649" s="2" t="s">
        <v>186</v>
      </c>
      <c r="F1649" s="2" t="s">
        <v>80</v>
      </c>
      <c r="G1649" s="2" t="s">
        <v>67</v>
      </c>
      <c r="H1649" s="2" t="s">
        <v>68</v>
      </c>
      <c r="I1649" s="2" t="s">
        <v>69</v>
      </c>
      <c r="J1649" s="2" t="s">
        <v>683</v>
      </c>
      <c r="K1649" s="2" t="s">
        <v>684</v>
      </c>
      <c r="L1649" s="2" t="s">
        <v>3431</v>
      </c>
      <c r="M1649" s="2" t="s">
        <v>102</v>
      </c>
      <c r="N1649" s="2" t="s">
        <v>96</v>
      </c>
      <c r="O1649" s="2">
        <v>16</v>
      </c>
      <c r="P1649" s="2">
        <v>13</v>
      </c>
      <c r="Q1649" s="4">
        <v>3370</v>
      </c>
      <c r="R1649" s="4">
        <v>2810</v>
      </c>
      <c r="S1649" s="4">
        <v>94</v>
      </c>
      <c r="T1649" s="19">
        <f>(ProductionData[[#This Row],[Rejected_Qty]])/ProductionData[[#This Row],[Produced_Qty]]</f>
        <v>3.3451957295373667E-2</v>
      </c>
      <c r="U1649" s="19">
        <f>ProductionData[[#This Row],[Produced_Qty]]/ProductionData[[#This Row],[Planned_Qty]]</f>
        <v>0.83382789317507422</v>
      </c>
      <c r="V1649" s="2" t="s">
        <v>75</v>
      </c>
      <c r="W1649" s="11">
        <v>45</v>
      </c>
      <c r="X1649" s="13">
        <f>W1649/60</f>
        <v>0.75</v>
      </c>
      <c r="Y1649" s="2" t="s">
        <v>76</v>
      </c>
      <c r="Z1649" s="2">
        <v>79</v>
      </c>
      <c r="AA1649" s="2">
        <f>ProductionData[[#This Row],[Rejected_Qty]]*ProductionData[[#This Row],[Unit_Cost_INR]]</f>
        <v>7426</v>
      </c>
      <c r="AB1649" s="4">
        <v>7204</v>
      </c>
      <c r="AC1649" s="4">
        <v>3280</v>
      </c>
      <c r="AD1649" s="4">
        <v>3280</v>
      </c>
      <c r="AE1649" s="4">
        <v>6640</v>
      </c>
      <c r="AF1649" s="4">
        <v>6750</v>
      </c>
    </row>
    <row r="1650" spans="1:32">
      <c r="A1650" s="2" t="s">
        <v>3432</v>
      </c>
      <c r="B1650" s="3">
        <v>46254</v>
      </c>
      <c r="C1650" s="36" t="s">
        <v>2816</v>
      </c>
      <c r="D1650" s="2">
        <f>MONTH(ProductionData[[#This Row],[Month]])</f>
        <v>8</v>
      </c>
      <c r="E1650" s="2" t="s">
        <v>107</v>
      </c>
      <c r="F1650" s="2" t="s">
        <v>80</v>
      </c>
      <c r="G1650" s="2" t="s">
        <v>81</v>
      </c>
      <c r="H1650" s="2" t="s">
        <v>82</v>
      </c>
      <c r="I1650" s="2" t="s">
        <v>83</v>
      </c>
      <c r="J1650" s="2" t="s">
        <v>721</v>
      </c>
      <c r="K1650" s="2" t="s">
        <v>722</v>
      </c>
      <c r="L1650" s="2" t="s">
        <v>3433</v>
      </c>
      <c r="M1650" s="2" t="s">
        <v>102</v>
      </c>
      <c r="N1650" s="2" t="s">
        <v>96</v>
      </c>
      <c r="O1650" s="2">
        <v>18</v>
      </c>
      <c r="P1650" s="2">
        <v>18</v>
      </c>
      <c r="Q1650" s="4">
        <v>3740</v>
      </c>
      <c r="R1650" s="4">
        <v>3700</v>
      </c>
      <c r="S1650" s="4">
        <v>118</v>
      </c>
      <c r="T1650" s="19">
        <f>(ProductionData[[#This Row],[Rejected_Qty]])/ProductionData[[#This Row],[Produced_Qty]]</f>
        <v>3.1891891891891892E-2</v>
      </c>
      <c r="U1650" s="19">
        <f>ProductionData[[#This Row],[Produced_Qty]]/ProductionData[[#This Row],[Planned_Qty]]</f>
        <v>0.98930481283422456</v>
      </c>
      <c r="V1650" s="2" t="s">
        <v>75</v>
      </c>
      <c r="W1650" s="11">
        <v>36</v>
      </c>
      <c r="X1650" s="13">
        <f>W1650/60</f>
        <v>0.6</v>
      </c>
      <c r="Y1650" s="2" t="s">
        <v>76</v>
      </c>
      <c r="Z1650" s="2">
        <v>64</v>
      </c>
      <c r="AA1650" s="2">
        <f>ProductionData[[#This Row],[Rejected_Qty]]*ProductionData[[#This Row],[Unit_Cost_INR]]</f>
        <v>7552</v>
      </c>
      <c r="AB1650" s="4">
        <v>6749</v>
      </c>
      <c r="AC1650" s="4">
        <v>3800</v>
      </c>
      <c r="AD1650" s="4">
        <v>3800</v>
      </c>
      <c r="AE1650" s="4">
        <v>6531</v>
      </c>
      <c r="AF1650" s="4">
        <v>5250</v>
      </c>
    </row>
    <row r="1651" spans="1:32">
      <c r="A1651" s="2" t="s">
        <v>3434</v>
      </c>
      <c r="B1651" s="3">
        <v>46252</v>
      </c>
      <c r="C1651" s="36" t="s">
        <v>2816</v>
      </c>
      <c r="D1651" s="2">
        <f>MONTH(ProductionData[[#This Row],[Month]])</f>
        <v>8</v>
      </c>
      <c r="E1651" s="2" t="s">
        <v>92</v>
      </c>
      <c r="F1651" s="2" t="s">
        <v>93</v>
      </c>
      <c r="G1651" s="2" t="s">
        <v>67</v>
      </c>
      <c r="H1651" s="2" t="s">
        <v>68</v>
      </c>
      <c r="I1651" s="2" t="s">
        <v>69</v>
      </c>
      <c r="J1651" s="2" t="s">
        <v>70</v>
      </c>
      <c r="K1651" s="2" t="s">
        <v>71</v>
      </c>
      <c r="L1651" s="2" t="s">
        <v>3435</v>
      </c>
      <c r="M1651" s="2" t="s">
        <v>133</v>
      </c>
      <c r="N1651" s="2" t="s">
        <v>74</v>
      </c>
      <c r="O1651" s="2">
        <v>16</v>
      </c>
      <c r="P1651" s="2">
        <v>14</v>
      </c>
      <c r="Q1651" s="4">
        <v>7750</v>
      </c>
      <c r="R1651" s="4">
        <v>7080</v>
      </c>
      <c r="S1651" s="4">
        <v>838</v>
      </c>
      <c r="T1651" s="19">
        <f>(ProductionData[[#This Row],[Rejected_Qty]])/ProductionData[[#This Row],[Produced_Qty]]</f>
        <v>0.11836158192090396</v>
      </c>
      <c r="U1651" s="19">
        <f>ProductionData[[#This Row],[Produced_Qty]]/ProductionData[[#This Row],[Planned_Qty]]</f>
        <v>0.91354838709677422</v>
      </c>
      <c r="V1651" s="2" t="s">
        <v>2284</v>
      </c>
      <c r="W1651" s="11">
        <v>0</v>
      </c>
      <c r="X1651" s="13">
        <f>W1651/60</f>
        <v>0</v>
      </c>
      <c r="Y1651" s="2" t="s">
        <v>90</v>
      </c>
      <c r="Z1651" s="2">
        <v>46</v>
      </c>
      <c r="AA1651" s="2">
        <f>ProductionData[[#This Row],[Rejected_Qty]]*ProductionData[[#This Row],[Unit_Cost_INR]]</f>
        <v>38548</v>
      </c>
      <c r="AB1651" s="4">
        <v>7402</v>
      </c>
      <c r="AC1651" s="4">
        <v>7140</v>
      </c>
      <c r="AD1651" s="4">
        <v>7140</v>
      </c>
      <c r="AE1651" s="4">
        <v>6504</v>
      </c>
      <c r="AF1651" s="4">
        <v>10500</v>
      </c>
    </row>
    <row r="1652" spans="1:32">
      <c r="A1652" s="2" t="s">
        <v>3436</v>
      </c>
      <c r="B1652" s="3">
        <v>46262</v>
      </c>
      <c r="C1652" s="36" t="s">
        <v>2816</v>
      </c>
      <c r="D1652" s="2">
        <f>MONTH(ProductionData[[#This Row],[Month]])</f>
        <v>8</v>
      </c>
      <c r="E1652" s="2" t="s">
        <v>125</v>
      </c>
      <c r="F1652" s="2" t="s">
        <v>93</v>
      </c>
      <c r="G1652" s="2" t="s">
        <v>67</v>
      </c>
      <c r="H1652" s="2" t="s">
        <v>68</v>
      </c>
      <c r="I1652" s="2" t="s">
        <v>69</v>
      </c>
      <c r="J1652" s="2" t="s">
        <v>683</v>
      </c>
      <c r="K1652" s="2" t="s">
        <v>684</v>
      </c>
      <c r="L1652" s="2" t="s">
        <v>3437</v>
      </c>
      <c r="M1652" s="2" t="s">
        <v>95</v>
      </c>
      <c r="N1652" s="2" t="s">
        <v>74</v>
      </c>
      <c r="O1652" s="2">
        <v>16</v>
      </c>
      <c r="P1652" s="2">
        <v>13</v>
      </c>
      <c r="Q1652" s="4">
        <v>4420</v>
      </c>
      <c r="R1652" s="4">
        <v>3750</v>
      </c>
      <c r="S1652" s="4">
        <v>384</v>
      </c>
      <c r="T1652" s="19">
        <f>(ProductionData[[#This Row],[Rejected_Qty]])/ProductionData[[#This Row],[Produced_Qty]]</f>
        <v>0.1024</v>
      </c>
      <c r="U1652" s="19">
        <f>ProductionData[[#This Row],[Produced_Qty]]/ProductionData[[#This Row],[Planned_Qty]]</f>
        <v>0.84841628959276016</v>
      </c>
      <c r="V1652" s="2" t="s">
        <v>2284</v>
      </c>
      <c r="W1652" s="11">
        <v>0</v>
      </c>
      <c r="X1652" s="13">
        <f>W1652/60</f>
        <v>0</v>
      </c>
      <c r="Y1652" s="2" t="s">
        <v>90</v>
      </c>
      <c r="Z1652" s="2">
        <v>79</v>
      </c>
      <c r="AA1652" s="2">
        <f>ProductionData[[#This Row],[Rejected_Qty]]*ProductionData[[#This Row],[Unit_Cost_INR]]</f>
        <v>30336</v>
      </c>
      <c r="AB1652" s="4">
        <v>7096</v>
      </c>
      <c r="AC1652" s="4">
        <v>4040</v>
      </c>
      <c r="AD1652" s="4">
        <v>4040</v>
      </c>
      <c r="AE1652" s="4">
        <v>6422</v>
      </c>
      <c r="AF1652" s="4">
        <v>6750</v>
      </c>
    </row>
    <row r="1653" spans="1:32">
      <c r="A1653" s="2" t="s">
        <v>3438</v>
      </c>
      <c r="B1653" s="3">
        <v>46263</v>
      </c>
      <c r="C1653" s="36" t="s">
        <v>2816</v>
      </c>
      <c r="D1653" s="2">
        <f>MONTH(ProductionData[[#This Row],[Month]])</f>
        <v>8</v>
      </c>
      <c r="E1653" s="2" t="s">
        <v>65</v>
      </c>
      <c r="F1653" s="2" t="s">
        <v>80</v>
      </c>
      <c r="G1653" s="2" t="s">
        <v>67</v>
      </c>
      <c r="H1653" s="2" t="s">
        <v>68</v>
      </c>
      <c r="I1653" s="2" t="s">
        <v>69</v>
      </c>
      <c r="J1653" s="2" t="s">
        <v>683</v>
      </c>
      <c r="K1653" s="2" t="s">
        <v>684</v>
      </c>
      <c r="L1653" s="2" t="s">
        <v>3439</v>
      </c>
      <c r="M1653" s="2" t="s">
        <v>87</v>
      </c>
      <c r="N1653" s="2" t="s">
        <v>74</v>
      </c>
      <c r="O1653" s="2">
        <v>16</v>
      </c>
      <c r="P1653" s="2">
        <v>15</v>
      </c>
      <c r="Q1653" s="4">
        <v>4970</v>
      </c>
      <c r="R1653" s="4">
        <v>4780</v>
      </c>
      <c r="S1653" s="4">
        <v>633</v>
      </c>
      <c r="T1653" s="19">
        <f>(ProductionData[[#This Row],[Rejected_Qty]])/ProductionData[[#This Row],[Produced_Qty]]</f>
        <v>0.13242677824267782</v>
      </c>
      <c r="U1653" s="19">
        <f>ProductionData[[#This Row],[Produced_Qty]]/ProductionData[[#This Row],[Planned_Qty]]</f>
        <v>0.9617706237424547</v>
      </c>
      <c r="V1653" s="2" t="s">
        <v>2284</v>
      </c>
      <c r="W1653" s="11">
        <v>36</v>
      </c>
      <c r="X1653" s="13">
        <f>W1653/60</f>
        <v>0.6</v>
      </c>
      <c r="Y1653" s="2" t="s">
        <v>110</v>
      </c>
      <c r="Z1653" s="2">
        <v>79</v>
      </c>
      <c r="AA1653" s="2">
        <f>ProductionData[[#This Row],[Rejected_Qty]]*ProductionData[[#This Row],[Unit_Cost_INR]]</f>
        <v>50007</v>
      </c>
      <c r="AB1653" s="4">
        <v>6422</v>
      </c>
      <c r="AC1653" s="4">
        <v>4310</v>
      </c>
      <c r="AD1653" s="4">
        <v>4310</v>
      </c>
      <c r="AE1653" s="4">
        <v>6259</v>
      </c>
      <c r="AF1653" s="4">
        <v>6750</v>
      </c>
    </row>
    <row r="1654" spans="1:32">
      <c r="A1654" s="2" t="s">
        <v>3440</v>
      </c>
      <c r="B1654" s="3">
        <v>46259</v>
      </c>
      <c r="C1654" s="36" t="s">
        <v>2816</v>
      </c>
      <c r="D1654" s="2">
        <f>MONTH(ProductionData[[#This Row],[Month]])</f>
        <v>8</v>
      </c>
      <c r="E1654" s="2" t="s">
        <v>92</v>
      </c>
      <c r="F1654" s="2" t="s">
        <v>93</v>
      </c>
      <c r="G1654" s="2" t="s">
        <v>67</v>
      </c>
      <c r="H1654" s="2" t="s">
        <v>68</v>
      </c>
      <c r="I1654" s="2" t="s">
        <v>69</v>
      </c>
      <c r="J1654" s="2" t="s">
        <v>683</v>
      </c>
      <c r="K1654" s="2" t="s">
        <v>684</v>
      </c>
      <c r="L1654" s="2" t="s">
        <v>3441</v>
      </c>
      <c r="M1654" s="2" t="s">
        <v>133</v>
      </c>
      <c r="N1654" s="2" t="s">
        <v>74</v>
      </c>
      <c r="O1654" s="2">
        <v>16</v>
      </c>
      <c r="P1654" s="2">
        <v>14</v>
      </c>
      <c r="Q1654" s="4">
        <v>4690</v>
      </c>
      <c r="R1654" s="4">
        <v>4400</v>
      </c>
      <c r="S1654" s="4">
        <v>366</v>
      </c>
      <c r="T1654" s="19">
        <f>(ProductionData[[#This Row],[Rejected_Qty]])/ProductionData[[#This Row],[Produced_Qty]]</f>
        <v>8.3181818181818176E-2</v>
      </c>
      <c r="U1654" s="19">
        <f>ProductionData[[#This Row],[Produced_Qty]]/ProductionData[[#This Row],[Planned_Qty]]</f>
        <v>0.93816631130063965</v>
      </c>
      <c r="V1654" s="2" t="s">
        <v>2284</v>
      </c>
      <c r="W1654" s="11">
        <v>0</v>
      </c>
      <c r="X1654" s="13">
        <f>W1654/60</f>
        <v>0</v>
      </c>
      <c r="Y1654" s="2" t="s">
        <v>90</v>
      </c>
      <c r="Z1654" s="2">
        <v>79</v>
      </c>
      <c r="AA1654" s="2">
        <f>ProductionData[[#This Row],[Rejected_Qty]]*ProductionData[[#This Row],[Unit_Cost_INR]]</f>
        <v>28914</v>
      </c>
      <c r="AB1654" s="4">
        <v>6640</v>
      </c>
      <c r="AC1654" s="4">
        <v>4440</v>
      </c>
      <c r="AD1654" s="4">
        <v>4440</v>
      </c>
      <c r="AE1654" s="4">
        <v>6234</v>
      </c>
      <c r="AF1654" s="4">
        <v>6750</v>
      </c>
    </row>
    <row r="1655" spans="1:32">
      <c r="A1655" s="2" t="s">
        <v>3442</v>
      </c>
      <c r="B1655" s="3">
        <v>46256</v>
      </c>
      <c r="C1655" s="36" t="s">
        <v>2816</v>
      </c>
      <c r="D1655" s="2">
        <f>MONTH(ProductionData[[#This Row],[Month]])</f>
        <v>8</v>
      </c>
      <c r="E1655" s="2" t="s">
        <v>65</v>
      </c>
      <c r="F1655" s="2" t="s">
        <v>66</v>
      </c>
      <c r="G1655" s="2" t="s">
        <v>81</v>
      </c>
      <c r="H1655" s="2" t="s">
        <v>82</v>
      </c>
      <c r="I1655" s="2" t="s">
        <v>83</v>
      </c>
      <c r="J1655" s="2" t="s">
        <v>721</v>
      </c>
      <c r="K1655" s="2" t="s">
        <v>722</v>
      </c>
      <c r="L1655" s="2" t="s">
        <v>3443</v>
      </c>
      <c r="M1655" s="2" t="s">
        <v>99</v>
      </c>
      <c r="N1655" s="2" t="s">
        <v>96</v>
      </c>
      <c r="O1655" s="2">
        <v>18</v>
      </c>
      <c r="P1655" s="2">
        <v>18</v>
      </c>
      <c r="Q1655" s="4">
        <v>3410</v>
      </c>
      <c r="R1655" s="4">
        <v>3240</v>
      </c>
      <c r="S1655" s="4">
        <v>81</v>
      </c>
      <c r="T1655" s="19">
        <f>(ProductionData[[#This Row],[Rejected_Qty]])/ProductionData[[#This Row],[Produced_Qty]]</f>
        <v>2.5000000000000001E-2</v>
      </c>
      <c r="U1655" s="19">
        <f>ProductionData[[#This Row],[Produced_Qty]]/ProductionData[[#This Row],[Planned_Qty]]</f>
        <v>0.95014662756598245</v>
      </c>
      <c r="V1655" s="2" t="s">
        <v>113</v>
      </c>
      <c r="W1655" s="11">
        <v>0</v>
      </c>
      <c r="X1655" s="13">
        <f>W1655/60</f>
        <v>0</v>
      </c>
      <c r="Y1655" s="2" t="s">
        <v>90</v>
      </c>
      <c r="Z1655" s="2">
        <v>64</v>
      </c>
      <c r="AA1655" s="2">
        <f>ProductionData[[#This Row],[Rejected_Qty]]*ProductionData[[#This Row],[Unit_Cost_INR]]</f>
        <v>5184</v>
      </c>
      <c r="AB1655" s="4">
        <v>6178</v>
      </c>
      <c r="AC1655" s="4">
        <v>3120</v>
      </c>
      <c r="AD1655" s="4">
        <v>3120</v>
      </c>
      <c r="AE1655" s="4">
        <v>6217</v>
      </c>
      <c r="AF1655" s="4">
        <v>5250</v>
      </c>
    </row>
    <row r="1656" spans="1:32">
      <c r="A1656" s="2" t="s">
        <v>3444</v>
      </c>
      <c r="B1656" s="3">
        <v>46254</v>
      </c>
      <c r="C1656" s="36" t="s">
        <v>2816</v>
      </c>
      <c r="D1656" s="2">
        <f>MONTH(ProductionData[[#This Row],[Month]])</f>
        <v>8</v>
      </c>
      <c r="E1656" s="2" t="s">
        <v>107</v>
      </c>
      <c r="F1656" s="2" t="s">
        <v>93</v>
      </c>
      <c r="G1656" s="2" t="s">
        <v>81</v>
      </c>
      <c r="H1656" s="2" t="s">
        <v>82</v>
      </c>
      <c r="I1656" s="2" t="s">
        <v>83</v>
      </c>
      <c r="J1656" s="2" t="s">
        <v>721</v>
      </c>
      <c r="K1656" s="2" t="s">
        <v>722</v>
      </c>
      <c r="L1656" s="2" t="s">
        <v>3445</v>
      </c>
      <c r="M1656" s="2" t="s">
        <v>95</v>
      </c>
      <c r="N1656" s="2" t="s">
        <v>96</v>
      </c>
      <c r="O1656" s="2">
        <v>18</v>
      </c>
      <c r="P1656" s="2">
        <v>15</v>
      </c>
      <c r="Q1656" s="4">
        <v>3170</v>
      </c>
      <c r="R1656" s="4">
        <v>2810</v>
      </c>
      <c r="S1656" s="4">
        <v>83</v>
      </c>
      <c r="T1656" s="19">
        <f>(ProductionData[[#This Row],[Rejected_Qty]])/ProductionData[[#This Row],[Produced_Qty]]</f>
        <v>2.9537366548042704E-2</v>
      </c>
      <c r="U1656" s="19">
        <f>ProductionData[[#This Row],[Produced_Qty]]/ProductionData[[#This Row],[Planned_Qty]]</f>
        <v>0.88643533123028395</v>
      </c>
      <c r="V1656" s="2" t="s">
        <v>103</v>
      </c>
      <c r="W1656" s="11">
        <v>0</v>
      </c>
      <c r="X1656" s="13">
        <f>W1656/60</f>
        <v>0</v>
      </c>
      <c r="Y1656" s="2" t="s">
        <v>90</v>
      </c>
      <c r="Z1656" s="2">
        <v>64</v>
      </c>
      <c r="AA1656" s="2">
        <f>ProductionData[[#This Row],[Rejected_Qty]]*ProductionData[[#This Row],[Unit_Cost_INR]]</f>
        <v>5312</v>
      </c>
      <c r="AB1656" s="4">
        <v>6531</v>
      </c>
      <c r="AC1656" s="4">
        <v>3080</v>
      </c>
      <c r="AD1656" s="4">
        <v>3080</v>
      </c>
      <c r="AE1656" s="4">
        <v>6178</v>
      </c>
      <c r="AF1656" s="4">
        <v>5250</v>
      </c>
    </row>
    <row r="1657" spans="1:32">
      <c r="A1657" s="2" t="s">
        <v>3446</v>
      </c>
      <c r="B1657" s="3">
        <v>46258</v>
      </c>
      <c r="C1657" s="36" t="s">
        <v>2816</v>
      </c>
      <c r="D1657" s="2">
        <f>MONTH(ProductionData[[#This Row],[Month]])</f>
        <v>8</v>
      </c>
      <c r="E1657" s="2" t="s">
        <v>116</v>
      </c>
      <c r="F1657" s="2" t="s">
        <v>66</v>
      </c>
      <c r="G1657" s="2" t="s">
        <v>81</v>
      </c>
      <c r="H1657" s="2" t="s">
        <v>82</v>
      </c>
      <c r="I1657" s="2" t="s">
        <v>83</v>
      </c>
      <c r="J1657" s="2" t="s">
        <v>721</v>
      </c>
      <c r="K1657" s="2" t="s">
        <v>722</v>
      </c>
      <c r="L1657" s="2" t="s">
        <v>3447</v>
      </c>
      <c r="M1657" s="2" t="s">
        <v>73</v>
      </c>
      <c r="N1657" s="2" t="s">
        <v>88</v>
      </c>
      <c r="O1657" s="2">
        <v>18</v>
      </c>
      <c r="P1657" s="2">
        <v>18</v>
      </c>
      <c r="Q1657" s="4">
        <v>3520</v>
      </c>
      <c r="R1657" s="4">
        <v>3540</v>
      </c>
      <c r="S1657" s="4">
        <v>67</v>
      </c>
      <c r="T1657" s="19">
        <f>(ProductionData[[#This Row],[Rejected_Qty]])/ProductionData[[#This Row],[Produced_Qty]]</f>
        <v>1.8926553672316385E-2</v>
      </c>
      <c r="U1657" s="19">
        <f>ProductionData[[#This Row],[Produced_Qty]]/ProductionData[[#This Row],[Planned_Qty]]</f>
        <v>1.0056818181818181</v>
      </c>
      <c r="V1657" s="2" t="s">
        <v>89</v>
      </c>
      <c r="W1657" s="11">
        <v>0</v>
      </c>
      <c r="X1657" s="13">
        <f>W1657/60</f>
        <v>0</v>
      </c>
      <c r="Y1657" s="2" t="s">
        <v>90</v>
      </c>
      <c r="Z1657" s="2">
        <v>64</v>
      </c>
      <c r="AA1657" s="2">
        <f>ProductionData[[#This Row],[Rejected_Qty]]*ProductionData[[#This Row],[Unit_Cost_INR]]</f>
        <v>4288</v>
      </c>
      <c r="AB1657" s="4">
        <v>6217</v>
      </c>
      <c r="AC1657" s="4">
        <v>3600</v>
      </c>
      <c r="AD1657" s="4">
        <v>3600</v>
      </c>
      <c r="AE1657" s="4">
        <v>6090</v>
      </c>
      <c r="AF1657" s="4">
        <v>5250</v>
      </c>
    </row>
    <row r="1658" spans="1:32">
      <c r="A1658" s="2" t="s">
        <v>3448</v>
      </c>
      <c r="B1658" s="3">
        <v>46258</v>
      </c>
      <c r="C1658" s="36" t="s">
        <v>2816</v>
      </c>
      <c r="D1658" s="2">
        <f>MONTH(ProductionData[[#This Row],[Month]])</f>
        <v>8</v>
      </c>
      <c r="E1658" s="2" t="s">
        <v>116</v>
      </c>
      <c r="F1658" s="2" t="s">
        <v>80</v>
      </c>
      <c r="G1658" s="2" t="s">
        <v>81</v>
      </c>
      <c r="H1658" s="2" t="s">
        <v>82</v>
      </c>
      <c r="I1658" s="2" t="s">
        <v>83</v>
      </c>
      <c r="J1658" s="2" t="s">
        <v>721</v>
      </c>
      <c r="K1658" s="2" t="s">
        <v>722</v>
      </c>
      <c r="L1658" s="2" t="s">
        <v>3449</v>
      </c>
      <c r="M1658" s="2" t="s">
        <v>87</v>
      </c>
      <c r="N1658" s="2" t="s">
        <v>96</v>
      </c>
      <c r="O1658" s="2">
        <v>18</v>
      </c>
      <c r="P1658" s="2">
        <v>18</v>
      </c>
      <c r="Q1658" s="4">
        <v>3430</v>
      </c>
      <c r="R1658" s="4">
        <v>3240</v>
      </c>
      <c r="S1658" s="4">
        <v>83</v>
      </c>
      <c r="T1658" s="19">
        <f>(ProductionData[[#This Row],[Rejected_Qty]])/ProductionData[[#This Row],[Produced_Qty]]</f>
        <v>2.5617283950617284E-2</v>
      </c>
      <c r="U1658" s="19">
        <f>ProductionData[[#This Row],[Produced_Qty]]/ProductionData[[#This Row],[Planned_Qty]]</f>
        <v>0.94460641399416911</v>
      </c>
      <c r="V1658" s="2" t="s">
        <v>113</v>
      </c>
      <c r="W1658" s="11">
        <v>0</v>
      </c>
      <c r="X1658" s="13">
        <f>W1658/60</f>
        <v>0</v>
      </c>
      <c r="Y1658" s="2" t="s">
        <v>90</v>
      </c>
      <c r="Z1658" s="2">
        <v>64</v>
      </c>
      <c r="AA1658" s="2">
        <f>ProductionData[[#This Row],[Rejected_Qty]]*ProductionData[[#This Row],[Unit_Cost_INR]]</f>
        <v>5312</v>
      </c>
      <c r="AB1658" s="4">
        <v>6090</v>
      </c>
      <c r="AC1658" s="4">
        <v>3160</v>
      </c>
      <c r="AD1658" s="4">
        <v>3160</v>
      </c>
      <c r="AE1658" s="4">
        <v>6087</v>
      </c>
      <c r="AF1658" s="4">
        <v>5250</v>
      </c>
    </row>
    <row r="1659" spans="1:32">
      <c r="A1659" s="2" t="s">
        <v>3450</v>
      </c>
      <c r="B1659" s="3">
        <v>46254</v>
      </c>
      <c r="C1659" s="36" t="s">
        <v>2816</v>
      </c>
      <c r="D1659" s="2">
        <f>MONTH(ProductionData[[#This Row],[Month]])</f>
        <v>8</v>
      </c>
      <c r="E1659" s="2" t="s">
        <v>107</v>
      </c>
      <c r="F1659" s="2" t="s">
        <v>66</v>
      </c>
      <c r="G1659" s="2" t="s">
        <v>67</v>
      </c>
      <c r="H1659" s="2" t="s">
        <v>68</v>
      </c>
      <c r="I1659" s="2" t="s">
        <v>69</v>
      </c>
      <c r="J1659" s="2" t="s">
        <v>70</v>
      </c>
      <c r="K1659" s="2" t="s">
        <v>71</v>
      </c>
      <c r="L1659" s="2" t="s">
        <v>3451</v>
      </c>
      <c r="M1659" s="2" t="s">
        <v>99</v>
      </c>
      <c r="N1659" s="2" t="s">
        <v>74</v>
      </c>
      <c r="O1659" s="2">
        <v>16</v>
      </c>
      <c r="P1659" s="2">
        <v>16</v>
      </c>
      <c r="Q1659" s="4">
        <v>7290</v>
      </c>
      <c r="R1659" s="4">
        <v>7250</v>
      </c>
      <c r="S1659" s="4">
        <v>861</v>
      </c>
      <c r="T1659" s="19">
        <f>(ProductionData[[#This Row],[Rejected_Qty]])/ProductionData[[#This Row],[Produced_Qty]]</f>
        <v>0.11875862068965518</v>
      </c>
      <c r="U1659" s="19">
        <f>ProductionData[[#This Row],[Produced_Qty]]/ProductionData[[#This Row],[Planned_Qty]]</f>
        <v>0.99451303155006854</v>
      </c>
      <c r="V1659" s="2" t="s">
        <v>2284</v>
      </c>
      <c r="W1659" s="11">
        <v>0</v>
      </c>
      <c r="X1659" s="13">
        <f>W1659/60</f>
        <v>0</v>
      </c>
      <c r="Y1659" s="2" t="s">
        <v>90</v>
      </c>
      <c r="Z1659" s="2">
        <v>46</v>
      </c>
      <c r="AA1659" s="2">
        <f>ProductionData[[#This Row],[Rejected_Qty]]*ProductionData[[#This Row],[Unit_Cost_INR]]</f>
        <v>39606</v>
      </c>
      <c r="AB1659" s="4">
        <v>6907</v>
      </c>
      <c r="AC1659" s="4">
        <v>7360</v>
      </c>
      <c r="AD1659" s="4">
        <v>7360</v>
      </c>
      <c r="AE1659" s="4">
        <v>5936</v>
      </c>
      <c r="AF1659" s="4">
        <v>10500</v>
      </c>
    </row>
    <row r="1660" spans="1:32">
      <c r="A1660" s="2" t="s">
        <v>3452</v>
      </c>
      <c r="B1660" s="3">
        <v>46260</v>
      </c>
      <c r="C1660" s="36" t="s">
        <v>2816</v>
      </c>
      <c r="D1660" s="2">
        <f>MONTH(ProductionData[[#This Row],[Month]])</f>
        <v>8</v>
      </c>
      <c r="E1660" s="2" t="s">
        <v>79</v>
      </c>
      <c r="F1660" s="2" t="s">
        <v>66</v>
      </c>
      <c r="G1660" s="2" t="s">
        <v>81</v>
      </c>
      <c r="H1660" s="2" t="s">
        <v>82</v>
      </c>
      <c r="I1660" s="2" t="s">
        <v>83</v>
      </c>
      <c r="J1660" s="2" t="s">
        <v>721</v>
      </c>
      <c r="K1660" s="2" t="s">
        <v>722</v>
      </c>
      <c r="L1660" s="2" t="s">
        <v>3453</v>
      </c>
      <c r="M1660" s="2" t="s">
        <v>73</v>
      </c>
      <c r="N1660" s="2" t="s">
        <v>96</v>
      </c>
      <c r="O1660" s="2">
        <v>18</v>
      </c>
      <c r="P1660" s="2">
        <v>18</v>
      </c>
      <c r="Q1660" s="4">
        <v>3490</v>
      </c>
      <c r="R1660" s="4">
        <v>3260</v>
      </c>
      <c r="S1660" s="4">
        <v>81</v>
      </c>
      <c r="T1660" s="19">
        <f>(ProductionData[[#This Row],[Rejected_Qty]])/ProductionData[[#This Row],[Produced_Qty]]</f>
        <v>2.4846625766871164E-2</v>
      </c>
      <c r="U1660" s="19">
        <f>ProductionData[[#This Row],[Produced_Qty]]/ProductionData[[#This Row],[Planned_Qty]]</f>
        <v>0.93409742120343842</v>
      </c>
      <c r="V1660" s="2" t="s">
        <v>75</v>
      </c>
      <c r="W1660" s="11">
        <v>53</v>
      </c>
      <c r="X1660" s="13">
        <f>W1660/60</f>
        <v>0.8833333333333333</v>
      </c>
      <c r="Y1660" s="2" t="s">
        <v>110</v>
      </c>
      <c r="Z1660" s="2">
        <v>64</v>
      </c>
      <c r="AA1660" s="2">
        <f>ProductionData[[#This Row],[Rejected_Qty]]*ProductionData[[#This Row],[Unit_Cost_INR]]</f>
        <v>5184</v>
      </c>
      <c r="AB1660" s="4">
        <v>5823</v>
      </c>
      <c r="AC1660" s="4">
        <v>3070</v>
      </c>
      <c r="AD1660" s="4">
        <v>3070</v>
      </c>
      <c r="AE1660" s="4">
        <v>5932</v>
      </c>
      <c r="AF1660" s="4">
        <v>5250</v>
      </c>
    </row>
    <row r="1661" spans="1:32">
      <c r="A1661" s="2" t="s">
        <v>3454</v>
      </c>
      <c r="B1661" s="3">
        <v>46263</v>
      </c>
      <c r="C1661" s="36" t="s">
        <v>2816</v>
      </c>
      <c r="D1661" s="2">
        <f>MONTH(ProductionData[[#This Row],[Month]])</f>
        <v>8</v>
      </c>
      <c r="E1661" s="2" t="s">
        <v>65</v>
      </c>
      <c r="F1661" s="2" t="s">
        <v>66</v>
      </c>
      <c r="G1661" s="2" t="s">
        <v>81</v>
      </c>
      <c r="H1661" s="2" t="s">
        <v>82</v>
      </c>
      <c r="I1661" s="2" t="s">
        <v>83</v>
      </c>
      <c r="J1661" s="2" t="s">
        <v>721</v>
      </c>
      <c r="K1661" s="2" t="s">
        <v>722</v>
      </c>
      <c r="L1661" s="2" t="s">
        <v>3455</v>
      </c>
      <c r="M1661" s="2" t="s">
        <v>73</v>
      </c>
      <c r="N1661" s="2" t="s">
        <v>96</v>
      </c>
      <c r="O1661" s="2">
        <v>18</v>
      </c>
      <c r="P1661" s="2">
        <v>17</v>
      </c>
      <c r="Q1661" s="4">
        <v>3770</v>
      </c>
      <c r="R1661" s="4">
        <v>3700</v>
      </c>
      <c r="S1661" s="4">
        <v>86</v>
      </c>
      <c r="T1661" s="19">
        <f>(ProductionData[[#This Row],[Rejected_Qty]])/ProductionData[[#This Row],[Produced_Qty]]</f>
        <v>2.3243243243243242E-2</v>
      </c>
      <c r="U1661" s="19">
        <f>ProductionData[[#This Row],[Produced_Qty]]/ProductionData[[#This Row],[Planned_Qty]]</f>
        <v>0.98143236074270557</v>
      </c>
      <c r="V1661" s="2" t="s">
        <v>75</v>
      </c>
      <c r="W1661" s="11">
        <v>64</v>
      </c>
      <c r="X1661" s="13">
        <f>W1661/60</f>
        <v>1.0666666666666667</v>
      </c>
      <c r="Y1661" s="2" t="s">
        <v>114</v>
      </c>
      <c r="Z1661" s="2">
        <v>64</v>
      </c>
      <c r="AA1661" s="2">
        <f>ProductionData[[#This Row],[Rejected_Qty]]*ProductionData[[#This Row],[Unit_Cost_INR]]</f>
        <v>5504</v>
      </c>
      <c r="AB1661" s="4">
        <v>5846</v>
      </c>
      <c r="AC1661" s="4">
        <v>3600</v>
      </c>
      <c r="AD1661" s="4">
        <v>3600</v>
      </c>
      <c r="AE1661" s="4">
        <v>5860</v>
      </c>
      <c r="AF1661" s="4">
        <v>5250</v>
      </c>
    </row>
    <row r="1662" spans="1:32">
      <c r="A1662" s="2" t="s">
        <v>3456</v>
      </c>
      <c r="B1662" s="3">
        <v>46261</v>
      </c>
      <c r="C1662" s="36" t="s">
        <v>2816</v>
      </c>
      <c r="D1662" s="2">
        <f>MONTH(ProductionData[[#This Row],[Month]])</f>
        <v>8</v>
      </c>
      <c r="E1662" s="2" t="s">
        <v>107</v>
      </c>
      <c r="F1662" s="2" t="s">
        <v>80</v>
      </c>
      <c r="G1662" s="2" t="s">
        <v>81</v>
      </c>
      <c r="H1662" s="2" t="s">
        <v>82</v>
      </c>
      <c r="I1662" s="2" t="s">
        <v>83</v>
      </c>
      <c r="J1662" s="2" t="s">
        <v>721</v>
      </c>
      <c r="K1662" s="2" t="s">
        <v>722</v>
      </c>
      <c r="L1662" s="2" t="s">
        <v>3457</v>
      </c>
      <c r="M1662" s="2" t="s">
        <v>87</v>
      </c>
      <c r="N1662" s="2" t="s">
        <v>96</v>
      </c>
      <c r="O1662" s="2">
        <v>18</v>
      </c>
      <c r="P1662" s="2">
        <v>16</v>
      </c>
      <c r="Q1662" s="4">
        <v>3740</v>
      </c>
      <c r="R1662" s="4">
        <v>3600</v>
      </c>
      <c r="S1662" s="4">
        <v>112</v>
      </c>
      <c r="T1662" s="19">
        <f>(ProductionData[[#This Row],[Rejected_Qty]])/ProductionData[[#This Row],[Produced_Qty]]</f>
        <v>3.111111111111111E-2</v>
      </c>
      <c r="U1662" s="19">
        <f>ProductionData[[#This Row],[Produced_Qty]]/ProductionData[[#This Row],[Planned_Qty]]</f>
        <v>0.96256684491978606</v>
      </c>
      <c r="V1662" s="2" t="s">
        <v>89</v>
      </c>
      <c r="W1662" s="11">
        <v>0</v>
      </c>
      <c r="X1662" s="13">
        <f>W1662/60</f>
        <v>0</v>
      </c>
      <c r="Y1662" s="2" t="s">
        <v>90</v>
      </c>
      <c r="Z1662" s="2">
        <v>64</v>
      </c>
      <c r="AA1662" s="2">
        <f>ProductionData[[#This Row],[Rejected_Qty]]*ProductionData[[#This Row],[Unit_Cost_INR]]</f>
        <v>7168</v>
      </c>
      <c r="AB1662" s="4">
        <v>5758</v>
      </c>
      <c r="AC1662" s="4">
        <v>3400</v>
      </c>
      <c r="AD1662" s="4">
        <v>3400</v>
      </c>
      <c r="AE1662" s="4">
        <v>5846</v>
      </c>
      <c r="AF1662" s="4">
        <v>5250</v>
      </c>
    </row>
    <row r="1663" spans="1:32">
      <c r="A1663" s="2" t="s">
        <v>3458</v>
      </c>
      <c r="B1663" s="3">
        <v>46259</v>
      </c>
      <c r="C1663" s="36" t="s">
        <v>2816</v>
      </c>
      <c r="D1663" s="2">
        <f>MONTH(ProductionData[[#This Row],[Month]])</f>
        <v>8</v>
      </c>
      <c r="E1663" s="2" t="s">
        <v>92</v>
      </c>
      <c r="F1663" s="2" t="s">
        <v>93</v>
      </c>
      <c r="G1663" s="2" t="s">
        <v>81</v>
      </c>
      <c r="H1663" s="2" t="s">
        <v>82</v>
      </c>
      <c r="I1663" s="2" t="s">
        <v>83</v>
      </c>
      <c r="J1663" s="2" t="s">
        <v>721</v>
      </c>
      <c r="K1663" s="2" t="s">
        <v>722</v>
      </c>
      <c r="L1663" s="2" t="s">
        <v>3459</v>
      </c>
      <c r="M1663" s="2" t="s">
        <v>95</v>
      </c>
      <c r="N1663" s="2" t="s">
        <v>88</v>
      </c>
      <c r="O1663" s="2">
        <v>18</v>
      </c>
      <c r="P1663" s="2">
        <v>14</v>
      </c>
      <c r="Q1663" s="4">
        <v>3170</v>
      </c>
      <c r="R1663" s="4">
        <v>2850</v>
      </c>
      <c r="S1663" s="4">
        <v>104</v>
      </c>
      <c r="T1663" s="19">
        <f>(ProductionData[[#This Row],[Rejected_Qty]])/ProductionData[[#This Row],[Produced_Qty]]</f>
        <v>3.6491228070175435E-2</v>
      </c>
      <c r="U1663" s="19">
        <f>ProductionData[[#This Row],[Produced_Qty]]/ProductionData[[#This Row],[Planned_Qty]]</f>
        <v>0.89905362776025233</v>
      </c>
      <c r="V1663" s="2" t="s">
        <v>113</v>
      </c>
      <c r="W1663" s="11">
        <v>0</v>
      </c>
      <c r="X1663" s="13">
        <f>W1663/60</f>
        <v>0</v>
      </c>
      <c r="Y1663" s="2" t="s">
        <v>90</v>
      </c>
      <c r="Z1663" s="2">
        <v>64</v>
      </c>
      <c r="AA1663" s="2">
        <f>ProductionData[[#This Row],[Rejected_Qty]]*ProductionData[[#This Row],[Unit_Cost_INR]]</f>
        <v>6656</v>
      </c>
      <c r="AB1663" s="4">
        <v>6087</v>
      </c>
      <c r="AC1663" s="4">
        <v>3010</v>
      </c>
      <c r="AD1663" s="4">
        <v>3010</v>
      </c>
      <c r="AE1663" s="4">
        <v>5823</v>
      </c>
      <c r="AF1663" s="4">
        <v>5250</v>
      </c>
    </row>
    <row r="1664" spans="1:32">
      <c r="A1664" s="2" t="s">
        <v>3460</v>
      </c>
      <c r="B1664" s="3">
        <v>46260</v>
      </c>
      <c r="C1664" s="36" t="s">
        <v>2816</v>
      </c>
      <c r="D1664" s="2">
        <f>MONTH(ProductionData[[#This Row],[Month]])</f>
        <v>8</v>
      </c>
      <c r="E1664" s="2" t="s">
        <v>79</v>
      </c>
      <c r="F1664" s="2" t="s">
        <v>93</v>
      </c>
      <c r="G1664" s="2" t="s">
        <v>81</v>
      </c>
      <c r="H1664" s="2" t="s">
        <v>82</v>
      </c>
      <c r="I1664" s="2" t="s">
        <v>83</v>
      </c>
      <c r="J1664" s="2" t="s">
        <v>721</v>
      </c>
      <c r="K1664" s="2" t="s">
        <v>722</v>
      </c>
      <c r="L1664" s="2" t="s">
        <v>3461</v>
      </c>
      <c r="M1664" s="2" t="s">
        <v>133</v>
      </c>
      <c r="N1664" s="2" t="s">
        <v>88</v>
      </c>
      <c r="O1664" s="2">
        <v>18</v>
      </c>
      <c r="P1664" s="2">
        <v>14</v>
      </c>
      <c r="Q1664" s="4">
        <v>3230</v>
      </c>
      <c r="R1664" s="4">
        <v>2930</v>
      </c>
      <c r="S1664" s="4">
        <v>54</v>
      </c>
      <c r="T1664" s="19">
        <f>(ProductionData[[#This Row],[Rejected_Qty]])/ProductionData[[#This Row],[Produced_Qty]]</f>
        <v>1.8430034129692834E-2</v>
      </c>
      <c r="U1664" s="19">
        <f>ProductionData[[#This Row],[Produced_Qty]]/ProductionData[[#This Row],[Planned_Qty]]</f>
        <v>0.90712074303405577</v>
      </c>
      <c r="V1664" s="2" t="s">
        <v>75</v>
      </c>
      <c r="W1664" s="11">
        <v>0</v>
      </c>
      <c r="X1664" s="13">
        <f>W1664/60</f>
        <v>0</v>
      </c>
      <c r="Y1664" s="2" t="s">
        <v>90</v>
      </c>
      <c r="Z1664" s="2">
        <v>64</v>
      </c>
      <c r="AA1664" s="2">
        <f>ProductionData[[#This Row],[Rejected_Qty]]*ProductionData[[#This Row],[Unit_Cost_INR]]</f>
        <v>3456</v>
      </c>
      <c r="AB1664" s="4">
        <v>5932</v>
      </c>
      <c r="AC1664" s="4">
        <v>3050</v>
      </c>
      <c r="AD1664" s="4">
        <v>3050</v>
      </c>
      <c r="AE1664" s="4">
        <v>5758</v>
      </c>
      <c r="AF1664" s="4">
        <v>5250</v>
      </c>
    </row>
    <row r="1665" spans="1:32">
      <c r="A1665" s="2" t="s">
        <v>3462</v>
      </c>
      <c r="B1665" s="3">
        <v>46265</v>
      </c>
      <c r="C1665" s="36" t="s">
        <v>2816</v>
      </c>
      <c r="D1665" s="2">
        <f>MONTH(ProductionData[[#This Row],[Month]])</f>
        <v>8</v>
      </c>
      <c r="E1665" s="2" t="s">
        <v>116</v>
      </c>
      <c r="F1665" s="2" t="s">
        <v>66</v>
      </c>
      <c r="G1665" s="2" t="s">
        <v>81</v>
      </c>
      <c r="H1665" s="2" t="s">
        <v>82</v>
      </c>
      <c r="I1665" s="2" t="s">
        <v>83</v>
      </c>
      <c r="J1665" s="2" t="s">
        <v>721</v>
      </c>
      <c r="K1665" s="2" t="s">
        <v>722</v>
      </c>
      <c r="L1665" s="2" t="s">
        <v>3463</v>
      </c>
      <c r="M1665" s="2" t="s">
        <v>73</v>
      </c>
      <c r="N1665" s="2" t="s">
        <v>96</v>
      </c>
      <c r="O1665" s="2">
        <v>18</v>
      </c>
      <c r="P1665" s="2">
        <v>17</v>
      </c>
      <c r="Q1665" s="4">
        <v>3280</v>
      </c>
      <c r="R1665" s="4">
        <v>3000</v>
      </c>
      <c r="S1665" s="4">
        <v>78</v>
      </c>
      <c r="T1665" s="19">
        <f>(ProductionData[[#This Row],[Rejected_Qty]])/ProductionData[[#This Row],[Produced_Qty]]</f>
        <v>2.5999999999999999E-2</v>
      </c>
      <c r="U1665" s="19">
        <f>ProductionData[[#This Row],[Produced_Qty]]/ProductionData[[#This Row],[Planned_Qty]]</f>
        <v>0.91463414634146345</v>
      </c>
      <c r="V1665" s="2" t="s">
        <v>109</v>
      </c>
      <c r="W1665" s="11">
        <v>0</v>
      </c>
      <c r="X1665" s="13">
        <f>W1665/60</f>
        <v>0</v>
      </c>
      <c r="Y1665" s="2" t="s">
        <v>90</v>
      </c>
      <c r="Z1665" s="2">
        <v>64</v>
      </c>
      <c r="AA1665" s="2">
        <f>ProductionData[[#This Row],[Rejected_Qty]]*ProductionData[[#This Row],[Unit_Cost_INR]]</f>
        <v>4992</v>
      </c>
      <c r="AB1665" s="4">
        <v>5860</v>
      </c>
      <c r="AC1665" s="4">
        <v>3080</v>
      </c>
      <c r="AD1665" s="4">
        <v>3080</v>
      </c>
      <c r="AE1665" s="4">
        <v>5702</v>
      </c>
      <c r="AF1665" s="4">
        <v>5250</v>
      </c>
    </row>
    <row r="1666" spans="1:32">
      <c r="A1666" s="2" t="s">
        <v>3464</v>
      </c>
      <c r="B1666" s="3">
        <v>46259</v>
      </c>
      <c r="C1666" s="36" t="s">
        <v>2816</v>
      </c>
      <c r="D1666" s="2">
        <f>MONTH(ProductionData[[#This Row],[Month]])</f>
        <v>8</v>
      </c>
      <c r="E1666" s="2" t="s">
        <v>92</v>
      </c>
      <c r="F1666" s="2" t="s">
        <v>80</v>
      </c>
      <c r="G1666" s="2" t="s">
        <v>67</v>
      </c>
      <c r="H1666" s="2" t="s">
        <v>68</v>
      </c>
      <c r="I1666" s="2" t="s">
        <v>69</v>
      </c>
      <c r="J1666" s="2" t="s">
        <v>70</v>
      </c>
      <c r="K1666" s="2" t="s">
        <v>71</v>
      </c>
      <c r="L1666" s="2" t="s">
        <v>3465</v>
      </c>
      <c r="M1666" s="2" t="s">
        <v>102</v>
      </c>
      <c r="N1666" s="2" t="s">
        <v>74</v>
      </c>
      <c r="O1666" s="2">
        <v>16</v>
      </c>
      <c r="P1666" s="2">
        <v>16</v>
      </c>
      <c r="Q1666" s="4">
        <v>6980</v>
      </c>
      <c r="R1666" s="4">
        <v>6730</v>
      </c>
      <c r="S1666" s="4">
        <v>702</v>
      </c>
      <c r="T1666" s="19">
        <f>(ProductionData[[#This Row],[Rejected_Qty]])/ProductionData[[#This Row],[Produced_Qty]]</f>
        <v>0.10430906389301635</v>
      </c>
      <c r="U1666" s="19">
        <f>ProductionData[[#This Row],[Produced_Qty]]/ProductionData[[#This Row],[Planned_Qty]]</f>
        <v>0.96418338108882518</v>
      </c>
      <c r="V1666" s="2" t="s">
        <v>2284</v>
      </c>
      <c r="W1666" s="11">
        <v>0</v>
      </c>
      <c r="X1666" s="13">
        <f>W1666/60</f>
        <v>0</v>
      </c>
      <c r="Y1666" s="2" t="s">
        <v>90</v>
      </c>
      <c r="Z1666" s="2">
        <v>46</v>
      </c>
      <c r="AA1666" s="2">
        <f>ProductionData[[#This Row],[Rejected_Qty]]*ProductionData[[#This Row],[Unit_Cost_INR]]</f>
        <v>32292</v>
      </c>
      <c r="AB1666" s="4">
        <v>4763</v>
      </c>
      <c r="AC1666" s="4">
        <v>5960</v>
      </c>
      <c r="AD1666" s="4">
        <v>5960</v>
      </c>
      <c r="AE1666" s="4">
        <v>4831</v>
      </c>
      <c r="AF1666" s="4">
        <v>10500</v>
      </c>
    </row>
    <row r="1667" spans="1:32">
      <c r="A1667" s="2" t="s">
        <v>3466</v>
      </c>
      <c r="B1667" s="3">
        <v>46257</v>
      </c>
      <c r="C1667" s="36" t="s">
        <v>2816</v>
      </c>
      <c r="D1667" s="2">
        <f>MONTH(ProductionData[[#This Row],[Month]])</f>
        <v>8</v>
      </c>
      <c r="E1667" s="2" t="s">
        <v>186</v>
      </c>
      <c r="F1667" s="2" t="s">
        <v>66</v>
      </c>
      <c r="G1667" s="2" t="s">
        <v>67</v>
      </c>
      <c r="H1667" s="2" t="s">
        <v>68</v>
      </c>
      <c r="I1667" s="2" t="s">
        <v>69</v>
      </c>
      <c r="J1667" s="2" t="s">
        <v>70</v>
      </c>
      <c r="K1667" s="2" t="s">
        <v>71</v>
      </c>
      <c r="L1667" s="2" t="s">
        <v>3467</v>
      </c>
      <c r="M1667" s="2" t="s">
        <v>73</v>
      </c>
      <c r="N1667" s="2" t="s">
        <v>88</v>
      </c>
      <c r="O1667" s="2">
        <v>16</v>
      </c>
      <c r="P1667" s="2">
        <v>15</v>
      </c>
      <c r="Q1667" s="4">
        <v>5410</v>
      </c>
      <c r="R1667" s="4">
        <v>5220</v>
      </c>
      <c r="S1667" s="4">
        <v>172</v>
      </c>
      <c r="T1667" s="19">
        <f>(ProductionData[[#This Row],[Rejected_Qty]])/ProductionData[[#This Row],[Produced_Qty]]</f>
        <v>3.2950191570881228E-2</v>
      </c>
      <c r="U1667" s="19">
        <f>ProductionData[[#This Row],[Produced_Qty]]/ProductionData[[#This Row],[Planned_Qty]]</f>
        <v>0.96487985212569316</v>
      </c>
      <c r="V1667" s="2" t="s">
        <v>89</v>
      </c>
      <c r="W1667" s="11">
        <v>69</v>
      </c>
      <c r="X1667" s="13">
        <f>W1667/60</f>
        <v>1.1499999999999999</v>
      </c>
      <c r="Y1667" s="2" t="s">
        <v>76</v>
      </c>
      <c r="Z1667" s="2">
        <v>46</v>
      </c>
      <c r="AA1667" s="2">
        <f>ProductionData[[#This Row],[Rejected_Qty]]*ProductionData[[#This Row],[Unit_Cost_INR]]</f>
        <v>7912</v>
      </c>
      <c r="AB1667" s="4">
        <v>4645</v>
      </c>
      <c r="AC1667" s="4">
        <v>4930</v>
      </c>
      <c r="AD1667" s="4">
        <v>4930</v>
      </c>
      <c r="AE1667" s="4">
        <v>4763</v>
      </c>
      <c r="AF1667" s="4">
        <v>10500</v>
      </c>
    </row>
    <row r="1668" spans="1:32">
      <c r="A1668" s="2" t="s">
        <v>3468</v>
      </c>
      <c r="B1668" s="3">
        <v>46254</v>
      </c>
      <c r="C1668" s="36" t="s">
        <v>2816</v>
      </c>
      <c r="D1668" s="2">
        <f>MONTH(ProductionData[[#This Row],[Month]])</f>
        <v>8</v>
      </c>
      <c r="E1668" s="2" t="s">
        <v>107</v>
      </c>
      <c r="F1668" s="2" t="s">
        <v>93</v>
      </c>
      <c r="G1668" s="2" t="s">
        <v>67</v>
      </c>
      <c r="H1668" s="2" t="s">
        <v>68</v>
      </c>
      <c r="I1668" s="2" t="s">
        <v>69</v>
      </c>
      <c r="J1668" s="2" t="s">
        <v>70</v>
      </c>
      <c r="K1668" s="2" t="s">
        <v>71</v>
      </c>
      <c r="L1668" s="2" t="s">
        <v>3469</v>
      </c>
      <c r="M1668" s="2" t="s">
        <v>95</v>
      </c>
      <c r="N1668" s="2" t="s">
        <v>74</v>
      </c>
      <c r="O1668" s="2">
        <v>16</v>
      </c>
      <c r="P1668" s="2">
        <v>14</v>
      </c>
      <c r="Q1668" s="4">
        <v>7400</v>
      </c>
      <c r="R1668" s="4">
        <v>6920</v>
      </c>
      <c r="S1668" s="4">
        <v>721</v>
      </c>
      <c r="T1668" s="19">
        <f>(ProductionData[[#This Row],[Rejected_Qty]])/ProductionData[[#This Row],[Produced_Qty]]</f>
        <v>0.1041907514450867</v>
      </c>
      <c r="U1668" s="19">
        <f>ProductionData[[#This Row],[Produced_Qty]]/ProductionData[[#This Row],[Planned_Qty]]</f>
        <v>0.93513513513513513</v>
      </c>
      <c r="V1668" s="2" t="s">
        <v>2284</v>
      </c>
      <c r="W1668" s="11">
        <v>0</v>
      </c>
      <c r="X1668" s="13">
        <f>W1668/60</f>
        <v>0</v>
      </c>
      <c r="Y1668" s="2" t="s">
        <v>90</v>
      </c>
      <c r="Z1668" s="2">
        <v>46</v>
      </c>
      <c r="AA1668" s="2">
        <f>ProductionData[[#This Row],[Rejected_Qty]]*ProductionData[[#This Row],[Unit_Cost_INR]]</f>
        <v>33166</v>
      </c>
      <c r="AB1668" s="4">
        <v>5936</v>
      </c>
      <c r="AC1668" s="4">
        <v>7490</v>
      </c>
      <c r="AD1668" s="4">
        <v>7490</v>
      </c>
      <c r="AE1668" s="4">
        <v>4645</v>
      </c>
      <c r="AF1668" s="4">
        <v>10500</v>
      </c>
    </row>
    <row r="1669" spans="1:32">
      <c r="A1669" s="2" t="s">
        <v>3470</v>
      </c>
      <c r="B1669" s="3">
        <v>46260</v>
      </c>
      <c r="C1669" s="36" t="s">
        <v>2816</v>
      </c>
      <c r="D1669" s="2">
        <f>MONTH(ProductionData[[#This Row],[Month]])</f>
        <v>8</v>
      </c>
      <c r="E1669" s="2" t="s">
        <v>79</v>
      </c>
      <c r="F1669" s="2" t="s">
        <v>80</v>
      </c>
      <c r="G1669" s="2" t="s">
        <v>67</v>
      </c>
      <c r="H1669" s="2" t="s">
        <v>68</v>
      </c>
      <c r="I1669" s="2" t="s">
        <v>69</v>
      </c>
      <c r="J1669" s="2" t="s">
        <v>70</v>
      </c>
      <c r="K1669" s="2" t="s">
        <v>71</v>
      </c>
      <c r="L1669" s="2" t="s">
        <v>3471</v>
      </c>
      <c r="M1669" s="2" t="s">
        <v>87</v>
      </c>
      <c r="N1669" s="2" t="s">
        <v>88</v>
      </c>
      <c r="O1669" s="2">
        <v>16</v>
      </c>
      <c r="P1669" s="2">
        <v>14</v>
      </c>
      <c r="Q1669" s="4">
        <v>7140</v>
      </c>
      <c r="R1669" s="4">
        <v>6690</v>
      </c>
      <c r="S1669" s="4">
        <v>214</v>
      </c>
      <c r="T1669" s="19">
        <f>(ProductionData[[#This Row],[Rejected_Qty]])/ProductionData[[#This Row],[Produced_Qty]]</f>
        <v>3.1988041853512707E-2</v>
      </c>
      <c r="U1669" s="19">
        <f>ProductionData[[#This Row],[Produced_Qty]]/ProductionData[[#This Row],[Planned_Qty]]</f>
        <v>0.93697478991596639</v>
      </c>
      <c r="V1669" s="2" t="s">
        <v>103</v>
      </c>
      <c r="W1669" s="11">
        <v>0</v>
      </c>
      <c r="X1669" s="13">
        <f>W1669/60</f>
        <v>0</v>
      </c>
      <c r="Y1669" s="2" t="s">
        <v>90</v>
      </c>
      <c r="Z1669" s="2">
        <v>46</v>
      </c>
      <c r="AA1669" s="2">
        <f>ProductionData[[#This Row],[Rejected_Qty]]*ProductionData[[#This Row],[Unit_Cost_INR]]</f>
        <v>9844</v>
      </c>
      <c r="AB1669" s="4">
        <v>4831</v>
      </c>
      <c r="AC1669" s="4">
        <v>6760</v>
      </c>
      <c r="AD1669" s="4">
        <v>6760</v>
      </c>
      <c r="AE1669" s="4">
        <v>4547</v>
      </c>
      <c r="AF1669" s="4">
        <v>10500</v>
      </c>
    </row>
    <row r="1670" spans="1:32">
      <c r="A1670" s="2" t="s">
        <v>3472</v>
      </c>
      <c r="B1670" s="3">
        <v>46262</v>
      </c>
      <c r="C1670" s="36" t="s">
        <v>2816</v>
      </c>
      <c r="D1670" s="2">
        <f>MONTH(ProductionData[[#This Row],[Month]])</f>
        <v>8</v>
      </c>
      <c r="E1670" s="2" t="s">
        <v>125</v>
      </c>
      <c r="F1670" s="2" t="s">
        <v>66</v>
      </c>
      <c r="G1670" s="2" t="s">
        <v>67</v>
      </c>
      <c r="H1670" s="2" t="s">
        <v>68</v>
      </c>
      <c r="I1670" s="2" t="s">
        <v>69</v>
      </c>
      <c r="J1670" s="2" t="s">
        <v>70</v>
      </c>
      <c r="K1670" s="2" t="s">
        <v>71</v>
      </c>
      <c r="L1670" s="2" t="s">
        <v>3473</v>
      </c>
      <c r="M1670" s="2" t="s">
        <v>99</v>
      </c>
      <c r="N1670" s="2" t="s">
        <v>74</v>
      </c>
      <c r="O1670" s="2">
        <v>16</v>
      </c>
      <c r="P1670" s="2">
        <v>16</v>
      </c>
      <c r="Q1670" s="4">
        <v>7130</v>
      </c>
      <c r="R1670" s="4">
        <v>6820</v>
      </c>
      <c r="S1670" s="4">
        <v>831</v>
      </c>
      <c r="T1670" s="19">
        <f>(ProductionData[[#This Row],[Rejected_Qty]])/ProductionData[[#This Row],[Produced_Qty]]</f>
        <v>0.12184750733137829</v>
      </c>
      <c r="U1670" s="19">
        <f>ProductionData[[#This Row],[Produced_Qty]]/ProductionData[[#This Row],[Planned_Qty]]</f>
        <v>0.95652173913043481</v>
      </c>
      <c r="V1670" s="2" t="s">
        <v>2284</v>
      </c>
      <c r="W1670" s="11">
        <v>0</v>
      </c>
      <c r="X1670" s="13">
        <f>W1670/60</f>
        <v>0</v>
      </c>
      <c r="Y1670" s="2" t="s">
        <v>90</v>
      </c>
      <c r="Z1670" s="2">
        <v>46</v>
      </c>
      <c r="AA1670" s="2">
        <f>ProductionData[[#This Row],[Rejected_Qty]]*ProductionData[[#This Row],[Unit_Cost_INR]]</f>
        <v>38226</v>
      </c>
      <c r="AB1670" s="4">
        <v>4547</v>
      </c>
      <c r="AC1670" s="4">
        <v>7320</v>
      </c>
      <c r="AD1670" s="4">
        <v>7320</v>
      </c>
      <c r="AE1670" s="4">
        <v>3216</v>
      </c>
      <c r="AF1670" s="4">
        <v>10500</v>
      </c>
    </row>
    <row r="1671" spans="1:32">
      <c r="A1671" s="2" t="s">
        <v>3474</v>
      </c>
      <c r="B1671" s="3">
        <v>46262</v>
      </c>
      <c r="C1671" s="36" t="s">
        <v>2816</v>
      </c>
      <c r="D1671" s="2">
        <f>MONTH(ProductionData[[#This Row],[Month]])</f>
        <v>8</v>
      </c>
      <c r="E1671" s="2" t="s">
        <v>125</v>
      </c>
      <c r="F1671" s="2" t="s">
        <v>80</v>
      </c>
      <c r="G1671" s="2" t="s">
        <v>67</v>
      </c>
      <c r="H1671" s="2" t="s">
        <v>68</v>
      </c>
      <c r="I1671" s="2" t="s">
        <v>69</v>
      </c>
      <c r="J1671" s="2" t="s">
        <v>70</v>
      </c>
      <c r="K1671" s="2" t="s">
        <v>71</v>
      </c>
      <c r="L1671" s="2" t="s">
        <v>3475</v>
      </c>
      <c r="M1671" s="2" t="s">
        <v>87</v>
      </c>
      <c r="N1671" s="2" t="s">
        <v>88</v>
      </c>
      <c r="O1671" s="2">
        <v>16</v>
      </c>
      <c r="P1671" s="2">
        <v>15</v>
      </c>
      <c r="Q1671" s="4">
        <v>7340</v>
      </c>
      <c r="R1671" s="4">
        <v>6610</v>
      </c>
      <c r="S1671" s="4">
        <v>141</v>
      </c>
      <c r="T1671" s="19">
        <f>(ProductionData[[#This Row],[Rejected_Qty]])/ProductionData[[#This Row],[Produced_Qty]]</f>
        <v>2.1331316187594554E-2</v>
      </c>
      <c r="U1671" s="19">
        <f>ProductionData[[#This Row],[Produced_Qty]]/ProductionData[[#This Row],[Planned_Qty]]</f>
        <v>0.90054495912806543</v>
      </c>
      <c r="V1671" s="2" t="s">
        <v>89</v>
      </c>
      <c r="W1671" s="11">
        <v>55</v>
      </c>
      <c r="X1671" s="13">
        <f>W1671/60</f>
        <v>0.91666666666666663</v>
      </c>
      <c r="Y1671" s="2" t="s">
        <v>110</v>
      </c>
      <c r="Z1671" s="2">
        <v>46</v>
      </c>
      <c r="AA1671" s="2">
        <f>ProductionData[[#This Row],[Rejected_Qty]]*ProductionData[[#This Row],[Unit_Cost_INR]]</f>
        <v>6486</v>
      </c>
      <c r="AB1671" s="4">
        <v>3216</v>
      </c>
      <c r="AC1671" s="4">
        <v>6620</v>
      </c>
      <c r="AD1671" s="4">
        <v>6620</v>
      </c>
      <c r="AE1671" s="4">
        <v>3065</v>
      </c>
      <c r="AF1671" s="4">
        <v>10500</v>
      </c>
    </row>
    <row r="1672" spans="1:32">
      <c r="A1672" s="2" t="s">
        <v>3476</v>
      </c>
      <c r="B1672" s="3">
        <v>46265</v>
      </c>
      <c r="C1672" s="36" t="s">
        <v>2816</v>
      </c>
      <c r="D1672" s="2">
        <f>MONTH(ProductionData[[#This Row],[Month]])</f>
        <v>8</v>
      </c>
      <c r="E1672" s="2" t="s">
        <v>116</v>
      </c>
      <c r="F1672" s="2" t="s">
        <v>66</v>
      </c>
      <c r="G1672" s="2" t="s">
        <v>67</v>
      </c>
      <c r="H1672" s="2" t="s">
        <v>68</v>
      </c>
      <c r="I1672" s="2" t="s">
        <v>69</v>
      </c>
      <c r="J1672" s="2" t="s">
        <v>70</v>
      </c>
      <c r="K1672" s="2" t="s">
        <v>71</v>
      </c>
      <c r="L1672" s="2" t="s">
        <v>3477</v>
      </c>
      <c r="M1672" s="2" t="s">
        <v>99</v>
      </c>
      <c r="N1672" s="2" t="s">
        <v>74</v>
      </c>
      <c r="O1672" s="2">
        <v>16</v>
      </c>
      <c r="P1672" s="2">
        <v>15</v>
      </c>
      <c r="Q1672" s="4">
        <v>7290</v>
      </c>
      <c r="R1672" s="4">
        <v>7060</v>
      </c>
      <c r="S1672" s="4">
        <v>546</v>
      </c>
      <c r="T1672" s="19">
        <f>(ProductionData[[#This Row],[Rejected_Qty]])/ProductionData[[#This Row],[Produced_Qty]]</f>
        <v>7.7337110481586396E-2</v>
      </c>
      <c r="U1672" s="19">
        <f>ProductionData[[#This Row],[Produced_Qty]]/ProductionData[[#This Row],[Planned_Qty]]</f>
        <v>0.96844993141289437</v>
      </c>
      <c r="V1672" s="2" t="s">
        <v>2284</v>
      </c>
      <c r="W1672" s="11">
        <v>0</v>
      </c>
      <c r="X1672" s="13">
        <f>W1672/60</f>
        <v>0</v>
      </c>
      <c r="Y1672" s="2" t="s">
        <v>90</v>
      </c>
      <c r="Z1672" s="2">
        <v>46</v>
      </c>
      <c r="AA1672" s="2">
        <f>ProductionData[[#This Row],[Rejected_Qty]]*ProductionData[[#This Row],[Unit_Cost_INR]]</f>
        <v>25116</v>
      </c>
      <c r="AB1672" s="4">
        <v>2234</v>
      </c>
      <c r="AC1672" s="4">
        <v>6370</v>
      </c>
      <c r="AD1672" s="4">
        <v>6370</v>
      </c>
      <c r="AE1672" s="4">
        <v>2378</v>
      </c>
      <c r="AF1672" s="4">
        <v>10500</v>
      </c>
    </row>
    <row r="1673" spans="1:32">
      <c r="A1673" s="2" t="s">
        <v>3478</v>
      </c>
      <c r="B1673" s="3">
        <v>46263</v>
      </c>
      <c r="C1673" s="36" t="s">
        <v>2816</v>
      </c>
      <c r="D1673" s="2">
        <f>MONTH(ProductionData[[#This Row],[Month]])</f>
        <v>8</v>
      </c>
      <c r="E1673" s="2" t="s">
        <v>65</v>
      </c>
      <c r="F1673" s="2" t="s">
        <v>93</v>
      </c>
      <c r="G1673" s="2" t="s">
        <v>67</v>
      </c>
      <c r="H1673" s="2" t="s">
        <v>68</v>
      </c>
      <c r="I1673" s="2" t="s">
        <v>69</v>
      </c>
      <c r="J1673" s="2" t="s">
        <v>70</v>
      </c>
      <c r="K1673" s="2" t="s">
        <v>71</v>
      </c>
      <c r="L1673" s="2" t="s">
        <v>3479</v>
      </c>
      <c r="M1673" s="2" t="s">
        <v>95</v>
      </c>
      <c r="N1673" s="2" t="s">
        <v>74</v>
      </c>
      <c r="O1673" s="2">
        <v>16</v>
      </c>
      <c r="P1673" s="2">
        <v>11</v>
      </c>
      <c r="Q1673" s="4">
        <v>6690</v>
      </c>
      <c r="R1673" s="4">
        <v>5540</v>
      </c>
      <c r="S1673" s="4">
        <v>441</v>
      </c>
      <c r="T1673" s="19">
        <f>(ProductionData[[#This Row],[Rejected_Qty]])/ProductionData[[#This Row],[Produced_Qty]]</f>
        <v>7.9602888086642593E-2</v>
      </c>
      <c r="U1673" s="19">
        <f>ProductionData[[#This Row],[Produced_Qty]]/ProductionData[[#This Row],[Planned_Qty]]</f>
        <v>0.82810164424514199</v>
      </c>
      <c r="V1673" s="2" t="s">
        <v>2284</v>
      </c>
      <c r="W1673" s="11">
        <v>28</v>
      </c>
      <c r="X1673" s="13">
        <f>W1673/60</f>
        <v>0.46666666666666667</v>
      </c>
      <c r="Y1673" s="2" t="s">
        <v>136</v>
      </c>
      <c r="Z1673" s="2">
        <v>46</v>
      </c>
      <c r="AA1673" s="2">
        <f>ProductionData[[#This Row],[Rejected_Qty]]*ProductionData[[#This Row],[Unit_Cost_INR]]</f>
        <v>20286</v>
      </c>
      <c r="AB1673" s="4">
        <v>3065</v>
      </c>
      <c r="AC1673" s="4">
        <v>5930</v>
      </c>
      <c r="AD1673" s="4">
        <v>5930</v>
      </c>
      <c r="AE1673" s="4">
        <v>2234</v>
      </c>
      <c r="AF1673" s="4">
        <v>10500</v>
      </c>
    </row>
    <row r="1674" spans="1:32">
      <c r="A1674" s="2" t="s">
        <v>3480</v>
      </c>
      <c r="B1674" s="3">
        <v>46265</v>
      </c>
      <c r="C1674" s="36" t="s">
        <v>2816</v>
      </c>
      <c r="D1674" s="2">
        <f>MONTH(ProductionData[[#This Row],[Month]])</f>
        <v>8</v>
      </c>
      <c r="E1674" s="2" t="s">
        <v>116</v>
      </c>
      <c r="F1674" s="2" t="s">
        <v>93</v>
      </c>
      <c r="G1674" s="2" t="s">
        <v>67</v>
      </c>
      <c r="H1674" s="2" t="s">
        <v>68</v>
      </c>
      <c r="I1674" s="2" t="s">
        <v>69</v>
      </c>
      <c r="J1674" s="2" t="s">
        <v>70</v>
      </c>
      <c r="K1674" s="2" t="s">
        <v>71</v>
      </c>
      <c r="L1674" s="2" t="s">
        <v>3481</v>
      </c>
      <c r="M1674" s="2" t="s">
        <v>95</v>
      </c>
      <c r="N1674" s="2" t="s">
        <v>74</v>
      </c>
      <c r="O1674" s="2">
        <v>16</v>
      </c>
      <c r="P1674" s="2">
        <v>14</v>
      </c>
      <c r="Q1674" s="4">
        <v>6640</v>
      </c>
      <c r="R1674" s="4">
        <v>6180</v>
      </c>
      <c r="S1674" s="4">
        <v>675</v>
      </c>
      <c r="T1674" s="19">
        <f>(ProductionData[[#This Row],[Rejected_Qty]])/ProductionData[[#This Row],[Produced_Qty]]</f>
        <v>0.10922330097087378</v>
      </c>
      <c r="U1674" s="19">
        <f>ProductionData[[#This Row],[Produced_Qty]]/ProductionData[[#This Row],[Planned_Qty]]</f>
        <v>0.93072289156626509</v>
      </c>
      <c r="V1674" s="2" t="s">
        <v>2284</v>
      </c>
      <c r="W1674" s="11">
        <v>0</v>
      </c>
      <c r="X1674" s="13">
        <f>W1674/60</f>
        <v>0</v>
      </c>
      <c r="Y1674" s="2" t="s">
        <v>90</v>
      </c>
      <c r="Z1674" s="2">
        <v>46</v>
      </c>
      <c r="AA1674" s="2">
        <f>ProductionData[[#This Row],[Rejected_Qty]]*ProductionData[[#This Row],[Unit_Cost_INR]]</f>
        <v>31050</v>
      </c>
      <c r="AB1674" s="4">
        <v>2378</v>
      </c>
      <c r="AC1674" s="4">
        <v>5670</v>
      </c>
      <c r="AD1674" s="4">
        <v>5670</v>
      </c>
      <c r="AE1674" s="4">
        <v>2213</v>
      </c>
      <c r="AF1674" s="4">
        <v>10500</v>
      </c>
    </row>
    <row r="1675" spans="1:32">
      <c r="A1675" s="2" t="s">
        <v>3482</v>
      </c>
      <c r="B1675" s="3">
        <v>46294</v>
      </c>
      <c r="C1675" s="36" t="s">
        <v>64</v>
      </c>
      <c r="D1675" s="2">
        <f>MONTH(ProductionData[[#This Row],[Month]])</f>
        <v>9</v>
      </c>
      <c r="E1675" s="2" t="s">
        <v>92</v>
      </c>
      <c r="F1675" s="2" t="s">
        <v>80</v>
      </c>
      <c r="G1675" s="2" t="s">
        <v>81</v>
      </c>
      <c r="H1675" s="2" t="s">
        <v>82</v>
      </c>
      <c r="I1675" s="2" t="s">
        <v>83</v>
      </c>
      <c r="J1675" s="2" t="s">
        <v>84</v>
      </c>
      <c r="K1675" s="2" t="s">
        <v>85</v>
      </c>
      <c r="L1675" s="2" t="s">
        <v>3483</v>
      </c>
      <c r="M1675" s="2" t="s">
        <v>102</v>
      </c>
      <c r="N1675" s="2" t="s">
        <v>96</v>
      </c>
      <c r="O1675" s="2">
        <v>18</v>
      </c>
      <c r="P1675" s="2">
        <v>17</v>
      </c>
      <c r="Q1675" s="4">
        <v>9040</v>
      </c>
      <c r="R1675" s="4">
        <v>8650</v>
      </c>
      <c r="S1675" s="4">
        <v>231</v>
      </c>
      <c r="T1675" s="19">
        <f>(ProductionData[[#This Row],[Rejected_Qty]])/ProductionData[[#This Row],[Produced_Qty]]</f>
        <v>2.6705202312138729E-2</v>
      </c>
      <c r="U1675" s="19">
        <f>ProductionData[[#This Row],[Produced_Qty]]/ProductionData[[#This Row],[Planned_Qty]]</f>
        <v>0.95685840707964598</v>
      </c>
      <c r="V1675" s="2" t="s">
        <v>89</v>
      </c>
      <c r="W1675" s="11">
        <v>0</v>
      </c>
      <c r="X1675" s="13">
        <f>W1675/60</f>
        <v>0</v>
      </c>
      <c r="Y1675" s="2" t="s">
        <v>90</v>
      </c>
      <c r="Z1675" s="2">
        <v>18</v>
      </c>
      <c r="AA1675" s="2">
        <f>ProductionData[[#This Row],[Rejected_Qty]]*ProductionData[[#This Row],[Unit_Cost_INR]]</f>
        <v>4158</v>
      </c>
      <c r="AB1675" s="4">
        <v>49714</v>
      </c>
      <c r="AC1675" s="4">
        <v>8240</v>
      </c>
      <c r="AD1675" s="4">
        <v>8240</v>
      </c>
      <c r="AE1675" s="4">
        <v>49893</v>
      </c>
      <c r="AF1675" s="4">
        <v>15000</v>
      </c>
    </row>
    <row r="1676" spans="1:32">
      <c r="A1676" s="2" t="s">
        <v>3484</v>
      </c>
      <c r="B1676" s="3">
        <v>46293</v>
      </c>
      <c r="C1676" s="36" t="s">
        <v>64</v>
      </c>
      <c r="D1676" s="2">
        <f>MONTH(ProductionData[[#This Row],[Month]])</f>
        <v>9</v>
      </c>
      <c r="E1676" s="2" t="s">
        <v>116</v>
      </c>
      <c r="F1676" s="2" t="s">
        <v>80</v>
      </c>
      <c r="G1676" s="2" t="s">
        <v>81</v>
      </c>
      <c r="H1676" s="2" t="s">
        <v>82</v>
      </c>
      <c r="I1676" s="2" t="s">
        <v>83</v>
      </c>
      <c r="J1676" s="2" t="s">
        <v>84</v>
      </c>
      <c r="K1676" s="2" t="s">
        <v>85</v>
      </c>
      <c r="L1676" s="2" t="s">
        <v>3485</v>
      </c>
      <c r="M1676" s="2" t="s">
        <v>102</v>
      </c>
      <c r="N1676" s="2" t="s">
        <v>88</v>
      </c>
      <c r="O1676" s="2">
        <v>18</v>
      </c>
      <c r="P1676" s="2">
        <v>18</v>
      </c>
      <c r="Q1676" s="4">
        <v>7920</v>
      </c>
      <c r="R1676" s="4">
        <v>8060</v>
      </c>
      <c r="S1676" s="4">
        <v>236</v>
      </c>
      <c r="T1676" s="19">
        <f>(ProductionData[[#This Row],[Rejected_Qty]])/ProductionData[[#This Row],[Produced_Qty]]</f>
        <v>2.9280397022332507E-2</v>
      </c>
      <c r="U1676" s="19">
        <f>ProductionData[[#This Row],[Produced_Qty]]/ProductionData[[#This Row],[Planned_Qty]]</f>
        <v>1.0176767676767677</v>
      </c>
      <c r="V1676" s="2" t="s">
        <v>113</v>
      </c>
      <c r="W1676" s="11">
        <v>41</v>
      </c>
      <c r="X1676" s="13">
        <f>W1676/60</f>
        <v>0.68333333333333335</v>
      </c>
      <c r="Y1676" s="2" t="s">
        <v>110</v>
      </c>
      <c r="Z1676" s="2">
        <v>18</v>
      </c>
      <c r="AA1676" s="2">
        <f>ProductionData[[#This Row],[Rejected_Qty]]*ProductionData[[#This Row],[Unit_Cost_INR]]</f>
        <v>4248</v>
      </c>
      <c r="AB1676" s="4">
        <v>48260</v>
      </c>
      <c r="AC1676" s="4">
        <v>6370</v>
      </c>
      <c r="AD1676" s="4">
        <v>6370</v>
      </c>
      <c r="AE1676" s="4">
        <v>49714</v>
      </c>
      <c r="AF1676" s="4">
        <v>15000</v>
      </c>
    </row>
    <row r="1677" spans="1:32">
      <c r="A1677" s="2" t="s">
        <v>3486</v>
      </c>
      <c r="B1677" s="3">
        <v>46295</v>
      </c>
      <c r="C1677" s="36" t="s">
        <v>64</v>
      </c>
      <c r="D1677" s="2">
        <f>MONTH(ProductionData[[#This Row],[Month]])</f>
        <v>9</v>
      </c>
      <c r="E1677" s="2" t="s">
        <v>79</v>
      </c>
      <c r="F1677" s="2" t="s">
        <v>93</v>
      </c>
      <c r="G1677" s="2" t="s">
        <v>81</v>
      </c>
      <c r="H1677" s="2" t="s">
        <v>82</v>
      </c>
      <c r="I1677" s="2" t="s">
        <v>83</v>
      </c>
      <c r="J1677" s="2" t="s">
        <v>84</v>
      </c>
      <c r="K1677" s="2" t="s">
        <v>85</v>
      </c>
      <c r="L1677" s="2" t="s">
        <v>3487</v>
      </c>
      <c r="M1677" s="2" t="s">
        <v>133</v>
      </c>
      <c r="N1677" s="2" t="s">
        <v>88</v>
      </c>
      <c r="O1677" s="2">
        <v>18</v>
      </c>
      <c r="P1677" s="2">
        <v>17</v>
      </c>
      <c r="Q1677" s="4">
        <v>7670</v>
      </c>
      <c r="R1677" s="4">
        <v>7060</v>
      </c>
      <c r="S1677" s="4">
        <v>81</v>
      </c>
      <c r="T1677" s="19">
        <f>(ProductionData[[#This Row],[Rejected_Qty]])/ProductionData[[#This Row],[Produced_Qty]]</f>
        <v>1.1473087818696884E-2</v>
      </c>
      <c r="U1677" s="19">
        <f>ProductionData[[#This Row],[Produced_Qty]]/ProductionData[[#This Row],[Planned_Qty]]</f>
        <v>0.92046936114732725</v>
      </c>
      <c r="V1677" s="2" t="s">
        <v>113</v>
      </c>
      <c r="W1677" s="11">
        <v>0</v>
      </c>
      <c r="X1677" s="13">
        <f>W1677/60</f>
        <v>0</v>
      </c>
      <c r="Y1677" s="2" t="s">
        <v>90</v>
      </c>
      <c r="Z1677" s="2">
        <v>18</v>
      </c>
      <c r="AA1677" s="2">
        <f>ProductionData[[#This Row],[Rejected_Qty]]*ProductionData[[#This Row],[Unit_Cost_INR]]</f>
        <v>1458</v>
      </c>
      <c r="AB1677" s="4">
        <v>49129</v>
      </c>
      <c r="AC1677" s="4">
        <v>6620</v>
      </c>
      <c r="AD1677" s="4">
        <v>6620</v>
      </c>
      <c r="AE1677" s="4">
        <v>49488</v>
      </c>
      <c r="AF1677" s="4">
        <v>15000</v>
      </c>
    </row>
    <row r="1678" spans="1:32">
      <c r="A1678" s="2" t="s">
        <v>3488</v>
      </c>
      <c r="B1678" s="3">
        <v>46294</v>
      </c>
      <c r="C1678" s="36" t="s">
        <v>64</v>
      </c>
      <c r="D1678" s="2">
        <f>MONTH(ProductionData[[#This Row],[Month]])</f>
        <v>9</v>
      </c>
      <c r="E1678" s="2" t="s">
        <v>92</v>
      </c>
      <c r="F1678" s="2" t="s">
        <v>80</v>
      </c>
      <c r="G1678" s="2" t="s">
        <v>195</v>
      </c>
      <c r="H1678" s="2" t="s">
        <v>196</v>
      </c>
      <c r="I1678" s="2" t="s">
        <v>197</v>
      </c>
      <c r="J1678" s="2" t="s">
        <v>198</v>
      </c>
      <c r="K1678" s="2" t="s">
        <v>199</v>
      </c>
      <c r="L1678" s="2" t="s">
        <v>3489</v>
      </c>
      <c r="M1678" s="2" t="s">
        <v>87</v>
      </c>
      <c r="N1678" s="2" t="s">
        <v>88</v>
      </c>
      <c r="O1678" s="2">
        <v>14</v>
      </c>
      <c r="P1678" s="2">
        <v>14</v>
      </c>
      <c r="Q1678" s="4">
        <v>7820</v>
      </c>
      <c r="R1678" s="4">
        <v>7790</v>
      </c>
      <c r="S1678" s="4">
        <v>243</v>
      </c>
      <c r="T1678" s="19">
        <f>(ProductionData[[#This Row],[Rejected_Qty]])/ProductionData[[#This Row],[Produced_Qty]]</f>
        <v>3.1193838254172015E-2</v>
      </c>
      <c r="U1678" s="19">
        <f>ProductionData[[#This Row],[Produced_Qty]]/ProductionData[[#This Row],[Planned_Qty]]</f>
        <v>0.99616368286445012</v>
      </c>
      <c r="V1678" s="2" t="s">
        <v>75</v>
      </c>
      <c r="W1678" s="11">
        <v>0</v>
      </c>
      <c r="X1678" s="13">
        <f>W1678/60</f>
        <v>0</v>
      </c>
      <c r="Y1678" s="2" t="s">
        <v>90</v>
      </c>
      <c r="Z1678" s="2">
        <v>38</v>
      </c>
      <c r="AA1678" s="2">
        <f>ProductionData[[#This Row],[Rejected_Qty]]*ProductionData[[#This Row],[Unit_Cost_INR]]</f>
        <v>9234</v>
      </c>
      <c r="AB1678" s="4">
        <v>48651</v>
      </c>
      <c r="AC1678" s="4">
        <v>7030</v>
      </c>
      <c r="AD1678" s="4">
        <v>7030</v>
      </c>
      <c r="AE1678" s="4">
        <v>49168</v>
      </c>
      <c r="AF1678" s="4">
        <v>13500</v>
      </c>
    </row>
    <row r="1679" spans="1:32">
      <c r="A1679" s="2" t="s">
        <v>3490</v>
      </c>
      <c r="B1679" s="3">
        <v>46294</v>
      </c>
      <c r="C1679" s="36" t="s">
        <v>64</v>
      </c>
      <c r="D1679" s="2">
        <f>MONTH(ProductionData[[#This Row],[Month]])</f>
        <v>9</v>
      </c>
      <c r="E1679" s="2" t="s">
        <v>92</v>
      </c>
      <c r="F1679" s="2" t="s">
        <v>93</v>
      </c>
      <c r="G1679" s="2" t="s">
        <v>81</v>
      </c>
      <c r="H1679" s="2" t="s">
        <v>82</v>
      </c>
      <c r="I1679" s="2" t="s">
        <v>83</v>
      </c>
      <c r="J1679" s="2" t="s">
        <v>84</v>
      </c>
      <c r="K1679" s="2" t="s">
        <v>85</v>
      </c>
      <c r="L1679" s="2" t="s">
        <v>3491</v>
      </c>
      <c r="M1679" s="2" t="s">
        <v>95</v>
      </c>
      <c r="N1679" s="2" t="s">
        <v>96</v>
      </c>
      <c r="O1679" s="2">
        <v>18</v>
      </c>
      <c r="P1679" s="2">
        <v>17</v>
      </c>
      <c r="Q1679" s="4">
        <v>8100</v>
      </c>
      <c r="R1679" s="4">
        <v>7320</v>
      </c>
      <c r="S1679" s="4">
        <v>204</v>
      </c>
      <c r="T1679" s="19">
        <f>(ProductionData[[#This Row],[Rejected_Qty]])/ProductionData[[#This Row],[Produced_Qty]]</f>
        <v>2.7868852459016394E-2</v>
      </c>
      <c r="U1679" s="19">
        <f>ProductionData[[#This Row],[Produced_Qty]]/ProductionData[[#This Row],[Planned_Qty]]</f>
        <v>0.90370370370370368</v>
      </c>
      <c r="V1679" s="2" t="s">
        <v>113</v>
      </c>
      <c r="W1679" s="11">
        <v>53</v>
      </c>
      <c r="X1679" s="13">
        <f>W1679/60</f>
        <v>0.8833333333333333</v>
      </c>
      <c r="Y1679" s="2" t="s">
        <v>182</v>
      </c>
      <c r="Z1679" s="2">
        <v>18</v>
      </c>
      <c r="AA1679" s="2">
        <f>ProductionData[[#This Row],[Rejected_Qty]]*ProductionData[[#This Row],[Unit_Cost_INR]]</f>
        <v>3672</v>
      </c>
      <c r="AB1679" s="4">
        <v>49893</v>
      </c>
      <c r="AC1679" s="4">
        <v>7880</v>
      </c>
      <c r="AD1679" s="4">
        <v>7880</v>
      </c>
      <c r="AE1679" s="4">
        <v>49129</v>
      </c>
      <c r="AF1679" s="4">
        <v>15000</v>
      </c>
    </row>
    <row r="1680" spans="1:32">
      <c r="A1680" s="2" t="s">
        <v>3492</v>
      </c>
      <c r="B1680" s="3">
        <v>46293</v>
      </c>
      <c r="C1680" s="36" t="s">
        <v>64</v>
      </c>
      <c r="D1680" s="2">
        <f>MONTH(ProductionData[[#This Row],[Month]])</f>
        <v>9</v>
      </c>
      <c r="E1680" s="2" t="s">
        <v>116</v>
      </c>
      <c r="F1680" s="2" t="s">
        <v>66</v>
      </c>
      <c r="G1680" s="2" t="s">
        <v>195</v>
      </c>
      <c r="H1680" s="2" t="s">
        <v>196</v>
      </c>
      <c r="I1680" s="2" t="s">
        <v>197</v>
      </c>
      <c r="J1680" s="2" t="s">
        <v>198</v>
      </c>
      <c r="K1680" s="2" t="s">
        <v>199</v>
      </c>
      <c r="L1680" s="2" t="s">
        <v>3493</v>
      </c>
      <c r="M1680" s="2" t="s">
        <v>73</v>
      </c>
      <c r="N1680" s="2" t="s">
        <v>88</v>
      </c>
      <c r="O1680" s="2">
        <v>14</v>
      </c>
      <c r="P1680" s="2">
        <v>14</v>
      </c>
      <c r="Q1680" s="4">
        <v>7240</v>
      </c>
      <c r="R1680" s="4">
        <v>6890</v>
      </c>
      <c r="S1680" s="4">
        <v>99</v>
      </c>
      <c r="T1680" s="19">
        <f>(ProductionData[[#This Row],[Rejected_Qty]])/ProductionData[[#This Row],[Produced_Qty]]</f>
        <v>1.4368650217706821E-2</v>
      </c>
      <c r="U1680" s="19">
        <f>ProductionData[[#This Row],[Produced_Qty]]/ProductionData[[#This Row],[Planned_Qty]]</f>
        <v>0.9516574585635359</v>
      </c>
      <c r="V1680" s="2" t="s">
        <v>109</v>
      </c>
      <c r="W1680" s="11">
        <v>0</v>
      </c>
      <c r="X1680" s="13">
        <f>W1680/60</f>
        <v>0</v>
      </c>
      <c r="Y1680" s="2" t="s">
        <v>90</v>
      </c>
      <c r="Z1680" s="2">
        <v>38</v>
      </c>
      <c r="AA1680" s="2">
        <f>ProductionData[[#This Row],[Rejected_Qty]]*ProductionData[[#This Row],[Unit_Cost_INR]]</f>
        <v>3762</v>
      </c>
      <c r="AB1680" s="4">
        <v>47300</v>
      </c>
      <c r="AC1680" s="4">
        <v>5440</v>
      </c>
      <c r="AD1680" s="4">
        <v>5440</v>
      </c>
      <c r="AE1680" s="4">
        <v>48651</v>
      </c>
      <c r="AF1680" s="4">
        <v>13500</v>
      </c>
    </row>
    <row r="1681" spans="1:32">
      <c r="A1681" s="2" t="s">
        <v>3494</v>
      </c>
      <c r="B1681" s="3">
        <v>46290</v>
      </c>
      <c r="C1681" s="36" t="s">
        <v>64</v>
      </c>
      <c r="D1681" s="2">
        <f>MONTH(ProductionData[[#This Row],[Month]])</f>
        <v>9</v>
      </c>
      <c r="E1681" s="2" t="s">
        <v>125</v>
      </c>
      <c r="F1681" s="2" t="s">
        <v>93</v>
      </c>
      <c r="G1681" s="2" t="s">
        <v>81</v>
      </c>
      <c r="H1681" s="2" t="s">
        <v>82</v>
      </c>
      <c r="I1681" s="2" t="s">
        <v>83</v>
      </c>
      <c r="J1681" s="2" t="s">
        <v>84</v>
      </c>
      <c r="K1681" s="2" t="s">
        <v>85</v>
      </c>
      <c r="L1681" s="2" t="s">
        <v>3495</v>
      </c>
      <c r="M1681" s="2" t="s">
        <v>95</v>
      </c>
      <c r="N1681" s="2" t="s">
        <v>88</v>
      </c>
      <c r="O1681" s="2">
        <v>18</v>
      </c>
      <c r="P1681" s="2">
        <v>16</v>
      </c>
      <c r="Q1681" s="4">
        <v>8040</v>
      </c>
      <c r="R1681" s="4">
        <v>7280</v>
      </c>
      <c r="S1681" s="4">
        <v>228</v>
      </c>
      <c r="T1681" s="19">
        <f>(ProductionData[[#This Row],[Rejected_Qty]])/ProductionData[[#This Row],[Produced_Qty]]</f>
        <v>3.1318681318681318E-2</v>
      </c>
      <c r="U1681" s="19">
        <f>ProductionData[[#This Row],[Produced_Qty]]/ProductionData[[#This Row],[Planned_Qty]]</f>
        <v>0.90547263681592038</v>
      </c>
      <c r="V1681" s="2" t="s">
        <v>103</v>
      </c>
      <c r="W1681" s="11">
        <v>49</v>
      </c>
      <c r="X1681" s="13">
        <f>W1681/60</f>
        <v>0.81666666666666665</v>
      </c>
      <c r="Y1681" s="2" t="s">
        <v>110</v>
      </c>
      <c r="Z1681" s="2">
        <v>18</v>
      </c>
      <c r="AA1681" s="2">
        <f>ProductionData[[#This Row],[Rejected_Qty]]*ProductionData[[#This Row],[Unit_Cost_INR]]</f>
        <v>4104</v>
      </c>
      <c r="AB1681" s="4">
        <v>48329</v>
      </c>
      <c r="AC1681" s="4">
        <v>6870</v>
      </c>
      <c r="AD1681" s="4">
        <v>6870</v>
      </c>
      <c r="AE1681" s="4">
        <v>48511</v>
      </c>
      <c r="AF1681" s="4">
        <v>15000</v>
      </c>
    </row>
    <row r="1682" spans="1:32">
      <c r="A1682" s="2" t="s">
        <v>3496</v>
      </c>
      <c r="B1682" s="3">
        <v>46290</v>
      </c>
      <c r="C1682" s="36" t="s">
        <v>64</v>
      </c>
      <c r="D1682" s="2">
        <f>MONTH(ProductionData[[#This Row],[Month]])</f>
        <v>9</v>
      </c>
      <c r="E1682" s="2" t="s">
        <v>125</v>
      </c>
      <c r="F1682" s="2" t="s">
        <v>80</v>
      </c>
      <c r="G1682" s="2" t="s">
        <v>81</v>
      </c>
      <c r="H1682" s="2" t="s">
        <v>82</v>
      </c>
      <c r="I1682" s="2" t="s">
        <v>83</v>
      </c>
      <c r="J1682" s="2" t="s">
        <v>84</v>
      </c>
      <c r="K1682" s="2" t="s">
        <v>85</v>
      </c>
      <c r="L1682" s="2" t="s">
        <v>3497</v>
      </c>
      <c r="M1682" s="2" t="s">
        <v>102</v>
      </c>
      <c r="N1682" s="2" t="s">
        <v>96</v>
      </c>
      <c r="O1682" s="2">
        <v>18</v>
      </c>
      <c r="P1682" s="2">
        <v>18</v>
      </c>
      <c r="Q1682" s="4">
        <v>8800</v>
      </c>
      <c r="R1682" s="4">
        <v>8430</v>
      </c>
      <c r="S1682" s="4">
        <v>219</v>
      </c>
      <c r="T1682" s="19">
        <f>(ProductionData[[#This Row],[Rejected_Qty]])/ProductionData[[#This Row],[Produced_Qty]]</f>
        <v>2.5978647686832741E-2</v>
      </c>
      <c r="U1682" s="19">
        <f>ProductionData[[#This Row],[Produced_Qty]]/ProductionData[[#This Row],[Planned_Qty]]</f>
        <v>0.9579545454545455</v>
      </c>
      <c r="V1682" s="2" t="s">
        <v>109</v>
      </c>
      <c r="W1682" s="11">
        <v>72</v>
      </c>
      <c r="X1682" s="13">
        <f>W1682/60</f>
        <v>1.2</v>
      </c>
      <c r="Y1682" s="2" t="s">
        <v>110</v>
      </c>
      <c r="Z1682" s="2">
        <v>18</v>
      </c>
      <c r="AA1682" s="2">
        <f>ProductionData[[#This Row],[Rejected_Qty]]*ProductionData[[#This Row],[Unit_Cost_INR]]</f>
        <v>3942</v>
      </c>
      <c r="AB1682" s="4">
        <v>48078</v>
      </c>
      <c r="AC1682" s="4">
        <v>7960</v>
      </c>
      <c r="AD1682" s="4">
        <v>7960</v>
      </c>
      <c r="AE1682" s="4">
        <v>48329</v>
      </c>
      <c r="AF1682" s="4">
        <v>15000</v>
      </c>
    </row>
    <row r="1683" spans="1:32">
      <c r="A1683" s="2" t="s">
        <v>3498</v>
      </c>
      <c r="B1683" s="3">
        <v>46291</v>
      </c>
      <c r="C1683" s="36" t="s">
        <v>64</v>
      </c>
      <c r="D1683" s="2">
        <f>MONTH(ProductionData[[#This Row],[Month]])</f>
        <v>9</v>
      </c>
      <c r="E1683" s="2" t="s">
        <v>65</v>
      </c>
      <c r="F1683" s="2" t="s">
        <v>93</v>
      </c>
      <c r="G1683" s="2" t="s">
        <v>81</v>
      </c>
      <c r="H1683" s="2" t="s">
        <v>82</v>
      </c>
      <c r="I1683" s="2" t="s">
        <v>83</v>
      </c>
      <c r="J1683" s="2" t="s">
        <v>84</v>
      </c>
      <c r="K1683" s="2" t="s">
        <v>85</v>
      </c>
      <c r="L1683" s="2" t="s">
        <v>3499</v>
      </c>
      <c r="M1683" s="2" t="s">
        <v>95</v>
      </c>
      <c r="N1683" s="2" t="s">
        <v>96</v>
      </c>
      <c r="O1683" s="2">
        <v>18</v>
      </c>
      <c r="P1683" s="2">
        <v>17</v>
      </c>
      <c r="Q1683" s="4">
        <v>8340</v>
      </c>
      <c r="R1683" s="4">
        <v>8330</v>
      </c>
      <c r="S1683" s="4">
        <v>251</v>
      </c>
      <c r="T1683" s="19">
        <f>(ProductionData[[#This Row],[Rejected_Qty]])/ProductionData[[#This Row],[Produced_Qty]]</f>
        <v>3.0132052821128453E-2</v>
      </c>
      <c r="U1683" s="19">
        <f>ProductionData[[#This Row],[Produced_Qty]]/ProductionData[[#This Row],[Planned_Qty]]</f>
        <v>0.99880095923261392</v>
      </c>
      <c r="V1683" s="2" t="s">
        <v>89</v>
      </c>
      <c r="W1683" s="11">
        <v>0</v>
      </c>
      <c r="X1683" s="13">
        <f>W1683/60</f>
        <v>0</v>
      </c>
      <c r="Y1683" s="2" t="s">
        <v>90</v>
      </c>
      <c r="Z1683" s="2">
        <v>18</v>
      </c>
      <c r="AA1683" s="2">
        <f>ProductionData[[#This Row],[Rejected_Qty]]*ProductionData[[#This Row],[Unit_Cost_INR]]</f>
        <v>4518</v>
      </c>
      <c r="AB1683" s="4">
        <v>48511</v>
      </c>
      <c r="AC1683" s="4">
        <v>8330</v>
      </c>
      <c r="AD1683" s="4">
        <v>8330</v>
      </c>
      <c r="AE1683" s="4">
        <v>48260</v>
      </c>
      <c r="AF1683" s="4">
        <v>15000</v>
      </c>
    </row>
    <row r="1684" spans="1:32">
      <c r="A1684" s="2" t="s">
        <v>3500</v>
      </c>
      <c r="B1684" s="3">
        <v>46288</v>
      </c>
      <c r="C1684" s="36" t="s">
        <v>64</v>
      </c>
      <c r="D1684" s="2">
        <f>MONTH(ProductionData[[#This Row],[Month]])</f>
        <v>9</v>
      </c>
      <c r="E1684" s="2" t="s">
        <v>79</v>
      </c>
      <c r="F1684" s="2" t="s">
        <v>93</v>
      </c>
      <c r="G1684" s="2" t="s">
        <v>81</v>
      </c>
      <c r="H1684" s="2" t="s">
        <v>82</v>
      </c>
      <c r="I1684" s="2" t="s">
        <v>83</v>
      </c>
      <c r="J1684" s="2" t="s">
        <v>84</v>
      </c>
      <c r="K1684" s="2" t="s">
        <v>85</v>
      </c>
      <c r="L1684" s="2" t="s">
        <v>3501</v>
      </c>
      <c r="M1684" s="2" t="s">
        <v>133</v>
      </c>
      <c r="N1684" s="2" t="s">
        <v>96</v>
      </c>
      <c r="O1684" s="2">
        <v>18</v>
      </c>
      <c r="P1684" s="2">
        <v>17</v>
      </c>
      <c r="Q1684" s="4">
        <v>7560</v>
      </c>
      <c r="R1684" s="4">
        <v>7090</v>
      </c>
      <c r="S1684" s="4">
        <v>98</v>
      </c>
      <c r="T1684" s="19">
        <f>(ProductionData[[#This Row],[Rejected_Qty]])/ProductionData[[#This Row],[Produced_Qty]]</f>
        <v>1.382228490832158E-2</v>
      </c>
      <c r="U1684" s="19">
        <f>ProductionData[[#This Row],[Produced_Qty]]/ProductionData[[#This Row],[Planned_Qty]]</f>
        <v>0.93783068783068779</v>
      </c>
      <c r="V1684" s="2" t="s">
        <v>75</v>
      </c>
      <c r="W1684" s="11">
        <v>0</v>
      </c>
      <c r="X1684" s="13">
        <f>W1684/60</f>
        <v>0</v>
      </c>
      <c r="Y1684" s="2" t="s">
        <v>90</v>
      </c>
      <c r="Z1684" s="2">
        <v>18</v>
      </c>
      <c r="AA1684" s="2">
        <f>ProductionData[[#This Row],[Rejected_Qty]]*ProductionData[[#This Row],[Unit_Cost_INR]]</f>
        <v>1764</v>
      </c>
      <c r="AB1684" s="4">
        <v>47826</v>
      </c>
      <c r="AC1684" s="4">
        <v>6740</v>
      </c>
      <c r="AD1684" s="4">
        <v>6740</v>
      </c>
      <c r="AE1684" s="4">
        <v>48078</v>
      </c>
      <c r="AF1684" s="4">
        <v>15000</v>
      </c>
    </row>
    <row r="1685" spans="1:32">
      <c r="A1685" s="2" t="s">
        <v>3502</v>
      </c>
      <c r="B1685" s="3">
        <v>46288</v>
      </c>
      <c r="C1685" s="36" t="s">
        <v>64</v>
      </c>
      <c r="D1685" s="2">
        <f>MONTH(ProductionData[[#This Row],[Month]])</f>
        <v>9</v>
      </c>
      <c r="E1685" s="2" t="s">
        <v>79</v>
      </c>
      <c r="F1685" s="2" t="s">
        <v>66</v>
      </c>
      <c r="G1685" s="2" t="s">
        <v>81</v>
      </c>
      <c r="H1685" s="2" t="s">
        <v>82</v>
      </c>
      <c r="I1685" s="2" t="s">
        <v>83</v>
      </c>
      <c r="J1685" s="2" t="s">
        <v>84</v>
      </c>
      <c r="K1685" s="2" t="s">
        <v>85</v>
      </c>
      <c r="L1685" s="2" t="s">
        <v>3503</v>
      </c>
      <c r="M1685" s="2" t="s">
        <v>73</v>
      </c>
      <c r="N1685" s="2" t="s">
        <v>96</v>
      </c>
      <c r="O1685" s="2">
        <v>18</v>
      </c>
      <c r="P1685" s="2">
        <v>17</v>
      </c>
      <c r="Q1685" s="4">
        <v>9100</v>
      </c>
      <c r="R1685" s="4">
        <v>8620</v>
      </c>
      <c r="S1685" s="4">
        <v>309</v>
      </c>
      <c r="T1685" s="19">
        <f>(ProductionData[[#This Row],[Rejected_Qty]])/ProductionData[[#This Row],[Produced_Qty]]</f>
        <v>3.5846867749419954E-2</v>
      </c>
      <c r="U1685" s="19">
        <f>ProductionData[[#This Row],[Produced_Qty]]/ProductionData[[#This Row],[Planned_Qty]]</f>
        <v>0.94725274725274722</v>
      </c>
      <c r="V1685" s="2" t="s">
        <v>103</v>
      </c>
      <c r="W1685" s="11">
        <v>52</v>
      </c>
      <c r="X1685" s="13">
        <f>W1685/60</f>
        <v>0.8666666666666667</v>
      </c>
      <c r="Y1685" s="2" t="s">
        <v>110</v>
      </c>
      <c r="Z1685" s="2">
        <v>18</v>
      </c>
      <c r="AA1685" s="2">
        <f>ProductionData[[#This Row],[Rejected_Qty]]*ProductionData[[#This Row],[Unit_Cost_INR]]</f>
        <v>5562</v>
      </c>
      <c r="AB1685" s="4">
        <v>47495</v>
      </c>
      <c r="AC1685" s="4">
        <v>7980</v>
      </c>
      <c r="AD1685" s="4">
        <v>7980</v>
      </c>
      <c r="AE1685" s="4">
        <v>47826</v>
      </c>
      <c r="AF1685" s="4">
        <v>15000</v>
      </c>
    </row>
    <row r="1686" spans="1:32">
      <c r="A1686" s="2" t="s">
        <v>3504</v>
      </c>
      <c r="B1686" s="3">
        <v>46291</v>
      </c>
      <c r="C1686" s="36" t="s">
        <v>64</v>
      </c>
      <c r="D1686" s="2">
        <f>MONTH(ProductionData[[#This Row],[Month]])</f>
        <v>9</v>
      </c>
      <c r="E1686" s="2" t="s">
        <v>65</v>
      </c>
      <c r="F1686" s="2" t="s">
        <v>80</v>
      </c>
      <c r="G1686" s="2" t="s">
        <v>195</v>
      </c>
      <c r="H1686" s="2" t="s">
        <v>196</v>
      </c>
      <c r="I1686" s="2" t="s">
        <v>197</v>
      </c>
      <c r="J1686" s="2" t="s">
        <v>198</v>
      </c>
      <c r="K1686" s="2" t="s">
        <v>199</v>
      </c>
      <c r="L1686" s="2" t="s">
        <v>3505</v>
      </c>
      <c r="M1686" s="2" t="s">
        <v>102</v>
      </c>
      <c r="N1686" s="2" t="s">
        <v>88</v>
      </c>
      <c r="O1686" s="2">
        <v>14</v>
      </c>
      <c r="P1686" s="2">
        <v>14</v>
      </c>
      <c r="Q1686" s="4">
        <v>7450</v>
      </c>
      <c r="R1686" s="4">
        <v>7020</v>
      </c>
      <c r="S1686" s="4">
        <v>158</v>
      </c>
      <c r="T1686" s="19">
        <f>(ProductionData[[#This Row],[Rejected_Qty]])/ProductionData[[#This Row],[Produced_Qty]]</f>
        <v>2.2507122507122508E-2</v>
      </c>
      <c r="U1686" s="19">
        <f>ProductionData[[#This Row],[Produced_Qty]]/ProductionData[[#This Row],[Planned_Qty]]</f>
        <v>0.94228187919463091</v>
      </c>
      <c r="V1686" s="2" t="s">
        <v>75</v>
      </c>
      <c r="W1686" s="11">
        <v>28</v>
      </c>
      <c r="X1686" s="13">
        <f>W1686/60</f>
        <v>0.46666666666666667</v>
      </c>
      <c r="Y1686" s="2" t="s">
        <v>136</v>
      </c>
      <c r="Z1686" s="2">
        <v>38</v>
      </c>
      <c r="AA1686" s="2">
        <f>ProductionData[[#This Row],[Rejected_Qty]]*ProductionData[[#This Row],[Unit_Cost_INR]]</f>
        <v>6004</v>
      </c>
      <c r="AB1686" s="4">
        <v>47044</v>
      </c>
      <c r="AC1686" s="4">
        <v>6350</v>
      </c>
      <c r="AD1686" s="4">
        <v>6350</v>
      </c>
      <c r="AE1686" s="4">
        <v>47556</v>
      </c>
      <c r="AF1686" s="4">
        <v>13500</v>
      </c>
    </row>
    <row r="1687" spans="1:32">
      <c r="A1687" s="2" t="s">
        <v>3506</v>
      </c>
      <c r="B1687" s="3">
        <v>46287</v>
      </c>
      <c r="C1687" s="36" t="s">
        <v>64</v>
      </c>
      <c r="D1687" s="2">
        <f>MONTH(ProductionData[[#This Row],[Month]])</f>
        <v>9</v>
      </c>
      <c r="E1687" s="2" t="s">
        <v>92</v>
      </c>
      <c r="F1687" s="2" t="s">
        <v>93</v>
      </c>
      <c r="G1687" s="2" t="s">
        <v>81</v>
      </c>
      <c r="H1687" s="2" t="s">
        <v>82</v>
      </c>
      <c r="I1687" s="2" t="s">
        <v>83</v>
      </c>
      <c r="J1687" s="2" t="s">
        <v>84</v>
      </c>
      <c r="K1687" s="2" t="s">
        <v>85</v>
      </c>
      <c r="L1687" s="2" t="s">
        <v>3507</v>
      </c>
      <c r="M1687" s="2" t="s">
        <v>133</v>
      </c>
      <c r="N1687" s="2" t="s">
        <v>96</v>
      </c>
      <c r="O1687" s="2">
        <v>18</v>
      </c>
      <c r="P1687" s="2">
        <v>17</v>
      </c>
      <c r="Q1687" s="4">
        <v>8360</v>
      </c>
      <c r="R1687" s="4">
        <v>8040</v>
      </c>
      <c r="S1687" s="4">
        <v>182</v>
      </c>
      <c r="T1687" s="19">
        <f>(ProductionData[[#This Row],[Rejected_Qty]])/ProductionData[[#This Row],[Produced_Qty]]</f>
        <v>2.2636815920398009E-2</v>
      </c>
      <c r="U1687" s="19">
        <f>ProductionData[[#This Row],[Produced_Qty]]/ProductionData[[#This Row],[Planned_Qty]]</f>
        <v>0.96172248803827753</v>
      </c>
      <c r="V1687" s="2" t="s">
        <v>75</v>
      </c>
      <c r="W1687" s="11">
        <v>0</v>
      </c>
      <c r="X1687" s="13">
        <f>W1687/60</f>
        <v>0</v>
      </c>
      <c r="Y1687" s="2" t="s">
        <v>90</v>
      </c>
      <c r="Z1687" s="2">
        <v>18</v>
      </c>
      <c r="AA1687" s="2">
        <f>ProductionData[[#This Row],[Rejected_Qty]]*ProductionData[[#This Row],[Unit_Cost_INR]]</f>
        <v>3276</v>
      </c>
      <c r="AB1687" s="4">
        <v>46787</v>
      </c>
      <c r="AC1687" s="4">
        <v>7150</v>
      </c>
      <c r="AD1687" s="4">
        <v>7150</v>
      </c>
      <c r="AE1687" s="4">
        <v>47495</v>
      </c>
      <c r="AF1687" s="4">
        <v>15000</v>
      </c>
    </row>
    <row r="1688" spans="1:32">
      <c r="A1688" s="2" t="s">
        <v>3508</v>
      </c>
      <c r="B1688" s="3">
        <v>46292</v>
      </c>
      <c r="C1688" s="36" t="s">
        <v>64</v>
      </c>
      <c r="D1688" s="2">
        <f>MONTH(ProductionData[[#This Row],[Month]])</f>
        <v>9</v>
      </c>
      <c r="E1688" s="2" t="s">
        <v>186</v>
      </c>
      <c r="F1688" s="2" t="s">
        <v>66</v>
      </c>
      <c r="G1688" s="2" t="s">
        <v>195</v>
      </c>
      <c r="H1688" s="2" t="s">
        <v>196</v>
      </c>
      <c r="I1688" s="2" t="s">
        <v>197</v>
      </c>
      <c r="J1688" s="2" t="s">
        <v>198</v>
      </c>
      <c r="K1688" s="2" t="s">
        <v>199</v>
      </c>
      <c r="L1688" s="2" t="s">
        <v>3509</v>
      </c>
      <c r="M1688" s="2" t="s">
        <v>99</v>
      </c>
      <c r="N1688" s="2" t="s">
        <v>88</v>
      </c>
      <c r="O1688" s="2">
        <v>14</v>
      </c>
      <c r="P1688" s="2">
        <v>12</v>
      </c>
      <c r="Q1688" s="4">
        <v>5570</v>
      </c>
      <c r="R1688" s="4">
        <v>4870</v>
      </c>
      <c r="S1688" s="4">
        <v>136</v>
      </c>
      <c r="T1688" s="19">
        <f>(ProductionData[[#This Row],[Rejected_Qty]])/ProductionData[[#This Row],[Produced_Qty]]</f>
        <v>2.7926078028747435E-2</v>
      </c>
      <c r="U1688" s="19">
        <f>ProductionData[[#This Row],[Produced_Qty]]/ProductionData[[#This Row],[Planned_Qty]]</f>
        <v>0.87432675044883301</v>
      </c>
      <c r="V1688" s="2" t="s">
        <v>89</v>
      </c>
      <c r="W1688" s="11">
        <v>68</v>
      </c>
      <c r="X1688" s="13">
        <f>W1688/60</f>
        <v>1.1333333333333333</v>
      </c>
      <c r="Y1688" s="2" t="s">
        <v>110</v>
      </c>
      <c r="Z1688" s="2">
        <v>38</v>
      </c>
      <c r="AA1688" s="2">
        <f>ProductionData[[#This Row],[Rejected_Qty]]*ProductionData[[#This Row],[Unit_Cost_INR]]</f>
        <v>5168</v>
      </c>
      <c r="AB1688" s="4">
        <v>47556</v>
      </c>
      <c r="AC1688" s="4">
        <v>4990</v>
      </c>
      <c r="AD1688" s="4">
        <v>4990</v>
      </c>
      <c r="AE1688" s="4">
        <v>47300</v>
      </c>
      <c r="AF1688" s="4">
        <v>13500</v>
      </c>
    </row>
    <row r="1689" spans="1:32">
      <c r="A1689" s="2" t="s">
        <v>3510</v>
      </c>
      <c r="B1689" s="3">
        <v>46290</v>
      </c>
      <c r="C1689" s="36" t="s">
        <v>64</v>
      </c>
      <c r="D1689" s="2">
        <f>MONTH(ProductionData[[#This Row],[Month]])</f>
        <v>9</v>
      </c>
      <c r="E1689" s="2" t="s">
        <v>125</v>
      </c>
      <c r="F1689" s="2" t="s">
        <v>80</v>
      </c>
      <c r="G1689" s="2" t="s">
        <v>195</v>
      </c>
      <c r="H1689" s="2" t="s">
        <v>196</v>
      </c>
      <c r="I1689" s="2" t="s">
        <v>197</v>
      </c>
      <c r="J1689" s="2" t="s">
        <v>198</v>
      </c>
      <c r="K1689" s="2" t="s">
        <v>199</v>
      </c>
      <c r="L1689" s="2" t="s">
        <v>3511</v>
      </c>
      <c r="M1689" s="2" t="s">
        <v>102</v>
      </c>
      <c r="N1689" s="2" t="s">
        <v>96</v>
      </c>
      <c r="O1689" s="2">
        <v>14</v>
      </c>
      <c r="P1689" s="2">
        <v>13</v>
      </c>
      <c r="Q1689" s="4">
        <v>7650</v>
      </c>
      <c r="R1689" s="4">
        <v>7240</v>
      </c>
      <c r="S1689" s="4">
        <v>162</v>
      </c>
      <c r="T1689" s="19">
        <f>(ProductionData[[#This Row],[Rejected_Qty]])/ProductionData[[#This Row],[Produced_Qty]]</f>
        <v>2.2375690607734807E-2</v>
      </c>
      <c r="U1689" s="19">
        <f>ProductionData[[#This Row],[Produced_Qty]]/ProductionData[[#This Row],[Planned_Qty]]</f>
        <v>0.9464052287581699</v>
      </c>
      <c r="V1689" s="2" t="s">
        <v>109</v>
      </c>
      <c r="W1689" s="11">
        <v>41</v>
      </c>
      <c r="X1689" s="13">
        <f>W1689/60</f>
        <v>0.68333333333333335</v>
      </c>
      <c r="Y1689" s="2" t="s">
        <v>76</v>
      </c>
      <c r="Z1689" s="2">
        <v>38</v>
      </c>
      <c r="AA1689" s="2">
        <f>ProductionData[[#This Row],[Rejected_Qty]]*ProductionData[[#This Row],[Unit_Cost_INR]]</f>
        <v>6156</v>
      </c>
      <c r="AB1689" s="4">
        <v>46755</v>
      </c>
      <c r="AC1689" s="4">
        <v>6610</v>
      </c>
      <c r="AD1689" s="4">
        <v>6610</v>
      </c>
      <c r="AE1689" s="4">
        <v>47223</v>
      </c>
      <c r="AF1689" s="4">
        <v>13500</v>
      </c>
    </row>
    <row r="1690" spans="1:32">
      <c r="A1690" s="2" t="s">
        <v>3512</v>
      </c>
      <c r="B1690" s="3">
        <v>46280</v>
      </c>
      <c r="C1690" s="36" t="s">
        <v>64</v>
      </c>
      <c r="D1690" s="2">
        <f>MONTH(ProductionData[[#This Row],[Month]])</f>
        <v>9</v>
      </c>
      <c r="E1690" s="2" t="s">
        <v>92</v>
      </c>
      <c r="F1690" s="2" t="s">
        <v>80</v>
      </c>
      <c r="G1690" s="2" t="s">
        <v>195</v>
      </c>
      <c r="H1690" s="2" t="s">
        <v>196</v>
      </c>
      <c r="I1690" s="2" t="s">
        <v>197</v>
      </c>
      <c r="J1690" s="2" t="s">
        <v>198</v>
      </c>
      <c r="K1690" s="2" t="s">
        <v>199</v>
      </c>
      <c r="L1690" s="2" t="s">
        <v>3513</v>
      </c>
      <c r="M1690" s="2" t="s">
        <v>102</v>
      </c>
      <c r="N1690" s="2" t="s">
        <v>96</v>
      </c>
      <c r="O1690" s="2">
        <v>14</v>
      </c>
      <c r="P1690" s="2">
        <v>14</v>
      </c>
      <c r="Q1690" s="4">
        <v>8170</v>
      </c>
      <c r="R1690" s="4">
        <v>7750</v>
      </c>
      <c r="S1690" s="4">
        <v>85</v>
      </c>
      <c r="T1690" s="19">
        <f>(ProductionData[[#This Row],[Rejected_Qty]])/ProductionData[[#This Row],[Produced_Qty]]</f>
        <v>1.0967741935483871E-2</v>
      </c>
      <c r="U1690" s="19">
        <f>ProductionData[[#This Row],[Produced_Qty]]/ProductionData[[#This Row],[Planned_Qty]]</f>
        <v>0.94859241126070992</v>
      </c>
      <c r="V1690" s="2" t="s">
        <v>109</v>
      </c>
      <c r="W1690" s="11">
        <v>0</v>
      </c>
      <c r="X1690" s="13">
        <f>W1690/60</f>
        <v>0</v>
      </c>
      <c r="Y1690" s="2" t="s">
        <v>90</v>
      </c>
      <c r="Z1690" s="2">
        <v>38</v>
      </c>
      <c r="AA1690" s="2">
        <f>ProductionData[[#This Row],[Rejected_Qty]]*ProductionData[[#This Row],[Unit_Cost_INR]]</f>
        <v>3230</v>
      </c>
      <c r="AB1690" s="4">
        <v>46264</v>
      </c>
      <c r="AC1690" s="4">
        <v>6740</v>
      </c>
      <c r="AD1690" s="4">
        <v>6740</v>
      </c>
      <c r="AE1690" s="4">
        <v>47189</v>
      </c>
      <c r="AF1690" s="4">
        <v>13500</v>
      </c>
    </row>
    <row r="1691" spans="1:32">
      <c r="A1691" s="2" t="s">
        <v>3514</v>
      </c>
      <c r="B1691" s="3">
        <v>46283</v>
      </c>
      <c r="C1691" s="36" t="s">
        <v>64</v>
      </c>
      <c r="D1691" s="2">
        <f>MONTH(ProductionData[[#This Row],[Month]])</f>
        <v>9</v>
      </c>
      <c r="E1691" s="2" t="s">
        <v>125</v>
      </c>
      <c r="F1691" s="2" t="s">
        <v>80</v>
      </c>
      <c r="G1691" s="2" t="s">
        <v>195</v>
      </c>
      <c r="H1691" s="2" t="s">
        <v>196</v>
      </c>
      <c r="I1691" s="2" t="s">
        <v>197</v>
      </c>
      <c r="J1691" s="2" t="s">
        <v>198</v>
      </c>
      <c r="K1691" s="2" t="s">
        <v>199</v>
      </c>
      <c r="L1691" s="2" t="s">
        <v>3515</v>
      </c>
      <c r="M1691" s="2" t="s">
        <v>87</v>
      </c>
      <c r="N1691" s="2" t="s">
        <v>96</v>
      </c>
      <c r="O1691" s="2">
        <v>14</v>
      </c>
      <c r="P1691" s="2">
        <v>14</v>
      </c>
      <c r="Q1691" s="4">
        <v>7250</v>
      </c>
      <c r="R1691" s="4">
        <v>7090</v>
      </c>
      <c r="S1691" s="4">
        <v>157</v>
      </c>
      <c r="T1691" s="19">
        <f>(ProductionData[[#This Row],[Rejected_Qty]])/ProductionData[[#This Row],[Produced_Qty]]</f>
        <v>2.2143864598025389E-2</v>
      </c>
      <c r="U1691" s="19">
        <f>ProductionData[[#This Row],[Produced_Qty]]/ProductionData[[#This Row],[Planned_Qty]]</f>
        <v>0.97793103448275864</v>
      </c>
      <c r="V1691" s="2" t="s">
        <v>113</v>
      </c>
      <c r="W1691" s="11">
        <v>0</v>
      </c>
      <c r="X1691" s="13">
        <f>W1691/60</f>
        <v>0</v>
      </c>
      <c r="Y1691" s="2" t="s">
        <v>90</v>
      </c>
      <c r="Z1691" s="2">
        <v>38</v>
      </c>
      <c r="AA1691" s="2">
        <f>ProductionData[[#This Row],[Rejected_Qty]]*ProductionData[[#This Row],[Unit_Cost_INR]]</f>
        <v>5966</v>
      </c>
      <c r="AB1691" s="4">
        <v>47189</v>
      </c>
      <c r="AC1691" s="4">
        <v>6990</v>
      </c>
      <c r="AD1691" s="4">
        <v>6990</v>
      </c>
      <c r="AE1691" s="4">
        <v>47132</v>
      </c>
      <c r="AF1691" s="4">
        <v>13500</v>
      </c>
    </row>
    <row r="1692" spans="1:32">
      <c r="A1692" s="2" t="s">
        <v>3516</v>
      </c>
      <c r="B1692" s="3">
        <v>46290</v>
      </c>
      <c r="C1692" s="36" t="s">
        <v>64</v>
      </c>
      <c r="D1692" s="2">
        <f>MONTH(ProductionData[[#This Row],[Month]])</f>
        <v>9</v>
      </c>
      <c r="E1692" s="2" t="s">
        <v>125</v>
      </c>
      <c r="F1692" s="2" t="s">
        <v>93</v>
      </c>
      <c r="G1692" s="2" t="s">
        <v>195</v>
      </c>
      <c r="H1692" s="2" t="s">
        <v>196</v>
      </c>
      <c r="I1692" s="2" t="s">
        <v>197</v>
      </c>
      <c r="J1692" s="2" t="s">
        <v>198</v>
      </c>
      <c r="K1692" s="2" t="s">
        <v>199</v>
      </c>
      <c r="L1692" s="2" t="s">
        <v>3517</v>
      </c>
      <c r="M1692" s="2" t="s">
        <v>95</v>
      </c>
      <c r="N1692" s="2" t="s">
        <v>96</v>
      </c>
      <c r="O1692" s="2">
        <v>14</v>
      </c>
      <c r="P1692" s="2">
        <v>12</v>
      </c>
      <c r="Q1692" s="4">
        <v>7180</v>
      </c>
      <c r="R1692" s="4">
        <v>6340</v>
      </c>
      <c r="S1692" s="4">
        <v>159</v>
      </c>
      <c r="T1692" s="19">
        <f>(ProductionData[[#This Row],[Rejected_Qty]])/ProductionData[[#This Row],[Produced_Qty]]</f>
        <v>2.5078864353312302E-2</v>
      </c>
      <c r="U1692" s="19">
        <f>ProductionData[[#This Row],[Produced_Qty]]/ProductionData[[#This Row],[Planned_Qty]]</f>
        <v>0.88300835654596099</v>
      </c>
      <c r="V1692" s="2" t="s">
        <v>109</v>
      </c>
      <c r="W1692" s="11">
        <v>0</v>
      </c>
      <c r="X1692" s="13">
        <f>W1692/60</f>
        <v>0</v>
      </c>
      <c r="Y1692" s="2" t="s">
        <v>90</v>
      </c>
      <c r="Z1692" s="2">
        <v>38</v>
      </c>
      <c r="AA1692" s="2">
        <f>ProductionData[[#This Row],[Rejected_Qty]]*ProductionData[[#This Row],[Unit_Cost_INR]]</f>
        <v>6042</v>
      </c>
      <c r="AB1692" s="4">
        <v>47223</v>
      </c>
      <c r="AC1692" s="4">
        <v>6360</v>
      </c>
      <c r="AD1692" s="4">
        <v>6360</v>
      </c>
      <c r="AE1692" s="4">
        <v>47044</v>
      </c>
      <c r="AF1692" s="4">
        <v>13500</v>
      </c>
    </row>
    <row r="1693" spans="1:32">
      <c r="A1693" s="2" t="s">
        <v>3518</v>
      </c>
      <c r="B1693" s="3">
        <v>46285</v>
      </c>
      <c r="C1693" s="36" t="s">
        <v>64</v>
      </c>
      <c r="D1693" s="2">
        <f>MONTH(ProductionData[[#This Row],[Month]])</f>
        <v>9</v>
      </c>
      <c r="E1693" s="2" t="s">
        <v>186</v>
      </c>
      <c r="F1693" s="2" t="s">
        <v>66</v>
      </c>
      <c r="G1693" s="2" t="s">
        <v>195</v>
      </c>
      <c r="H1693" s="2" t="s">
        <v>196</v>
      </c>
      <c r="I1693" s="2" t="s">
        <v>197</v>
      </c>
      <c r="J1693" s="2" t="s">
        <v>198</v>
      </c>
      <c r="K1693" s="2" t="s">
        <v>199</v>
      </c>
      <c r="L1693" s="2" t="s">
        <v>3519</v>
      </c>
      <c r="M1693" s="2" t="s">
        <v>99</v>
      </c>
      <c r="N1693" s="2" t="s">
        <v>96</v>
      </c>
      <c r="O1693" s="2">
        <v>14</v>
      </c>
      <c r="P1693" s="2">
        <v>12</v>
      </c>
      <c r="Q1693" s="4">
        <v>5600</v>
      </c>
      <c r="R1693" s="4">
        <v>5290</v>
      </c>
      <c r="S1693" s="4">
        <v>140</v>
      </c>
      <c r="T1693" s="19">
        <f>(ProductionData[[#This Row],[Rejected_Qty]])/ProductionData[[#This Row],[Produced_Qty]]</f>
        <v>2.6465028355387523E-2</v>
      </c>
      <c r="U1693" s="19">
        <f>ProductionData[[#This Row],[Produced_Qty]]/ProductionData[[#This Row],[Planned_Qty]]</f>
        <v>0.94464285714285712</v>
      </c>
      <c r="V1693" s="2" t="s">
        <v>109</v>
      </c>
      <c r="W1693" s="11">
        <v>39</v>
      </c>
      <c r="X1693" s="13">
        <f>W1693/60</f>
        <v>0.65</v>
      </c>
      <c r="Y1693" s="2" t="s">
        <v>114</v>
      </c>
      <c r="Z1693" s="2">
        <v>38</v>
      </c>
      <c r="AA1693" s="2">
        <f>ProductionData[[#This Row],[Rejected_Qty]]*ProductionData[[#This Row],[Unit_Cost_INR]]</f>
        <v>5320</v>
      </c>
      <c r="AB1693" s="4">
        <v>46525</v>
      </c>
      <c r="AC1693" s="4">
        <v>4850</v>
      </c>
      <c r="AD1693" s="4">
        <v>4850</v>
      </c>
      <c r="AE1693" s="4">
        <v>46825</v>
      </c>
      <c r="AF1693" s="4">
        <v>13500</v>
      </c>
    </row>
    <row r="1694" spans="1:32">
      <c r="A1694" s="2" t="s">
        <v>3520</v>
      </c>
      <c r="B1694" s="3">
        <v>46286</v>
      </c>
      <c r="C1694" s="36" t="s">
        <v>64</v>
      </c>
      <c r="D1694" s="2">
        <f>MONTH(ProductionData[[#This Row],[Month]])</f>
        <v>9</v>
      </c>
      <c r="E1694" s="2" t="s">
        <v>116</v>
      </c>
      <c r="F1694" s="2" t="s">
        <v>93</v>
      </c>
      <c r="G1694" s="2" t="s">
        <v>81</v>
      </c>
      <c r="H1694" s="2" t="s">
        <v>82</v>
      </c>
      <c r="I1694" s="2" t="s">
        <v>83</v>
      </c>
      <c r="J1694" s="2" t="s">
        <v>84</v>
      </c>
      <c r="K1694" s="2" t="s">
        <v>85</v>
      </c>
      <c r="L1694" s="2" t="s">
        <v>3521</v>
      </c>
      <c r="M1694" s="2" t="s">
        <v>133</v>
      </c>
      <c r="N1694" s="2" t="s">
        <v>88</v>
      </c>
      <c r="O1694" s="2">
        <v>18</v>
      </c>
      <c r="P1694" s="2">
        <v>15</v>
      </c>
      <c r="Q1694" s="4">
        <v>8560</v>
      </c>
      <c r="R1694" s="4">
        <v>8190</v>
      </c>
      <c r="S1694" s="4">
        <v>132</v>
      </c>
      <c r="T1694" s="19">
        <f>(ProductionData[[#This Row],[Rejected_Qty]])/ProductionData[[#This Row],[Produced_Qty]]</f>
        <v>1.6117216117216119E-2</v>
      </c>
      <c r="U1694" s="19">
        <f>ProductionData[[#This Row],[Produced_Qty]]/ProductionData[[#This Row],[Planned_Qty]]</f>
        <v>0.95677570093457942</v>
      </c>
      <c r="V1694" s="2" t="s">
        <v>109</v>
      </c>
      <c r="W1694" s="11">
        <v>0</v>
      </c>
      <c r="X1694" s="13">
        <f>W1694/60</f>
        <v>0</v>
      </c>
      <c r="Y1694" s="2" t="s">
        <v>90</v>
      </c>
      <c r="Z1694" s="2">
        <v>18</v>
      </c>
      <c r="AA1694" s="2">
        <f>ProductionData[[#This Row],[Rejected_Qty]]*ProductionData[[#This Row],[Unit_Cost_INR]]</f>
        <v>2376</v>
      </c>
      <c r="AB1694" s="4">
        <v>46059</v>
      </c>
      <c r="AC1694" s="4">
        <v>7330</v>
      </c>
      <c r="AD1694" s="4">
        <v>7330</v>
      </c>
      <c r="AE1694" s="4">
        <v>46787</v>
      </c>
      <c r="AF1694" s="4">
        <v>15000</v>
      </c>
    </row>
    <row r="1695" spans="1:32">
      <c r="A1695" s="2" t="s">
        <v>3522</v>
      </c>
      <c r="B1695" s="3">
        <v>46290</v>
      </c>
      <c r="C1695" s="36" t="s">
        <v>64</v>
      </c>
      <c r="D1695" s="2">
        <f>MONTH(ProductionData[[#This Row],[Month]])</f>
        <v>9</v>
      </c>
      <c r="E1695" s="2" t="s">
        <v>125</v>
      </c>
      <c r="F1695" s="2" t="s">
        <v>66</v>
      </c>
      <c r="G1695" s="2" t="s">
        <v>195</v>
      </c>
      <c r="H1695" s="2" t="s">
        <v>196</v>
      </c>
      <c r="I1695" s="2" t="s">
        <v>197</v>
      </c>
      <c r="J1695" s="2" t="s">
        <v>198</v>
      </c>
      <c r="K1695" s="2" t="s">
        <v>199</v>
      </c>
      <c r="L1695" s="2" t="s">
        <v>3523</v>
      </c>
      <c r="M1695" s="2" t="s">
        <v>73</v>
      </c>
      <c r="N1695" s="2" t="s">
        <v>96</v>
      </c>
      <c r="O1695" s="2">
        <v>14</v>
      </c>
      <c r="P1695" s="2">
        <v>13</v>
      </c>
      <c r="Q1695" s="4">
        <v>7960</v>
      </c>
      <c r="R1695" s="4">
        <v>7520</v>
      </c>
      <c r="S1695" s="4">
        <v>198</v>
      </c>
      <c r="T1695" s="19">
        <f>(ProductionData[[#This Row],[Rejected_Qty]])/ProductionData[[#This Row],[Produced_Qty]]</f>
        <v>2.6329787234042553E-2</v>
      </c>
      <c r="U1695" s="19">
        <f>ProductionData[[#This Row],[Produced_Qty]]/ProductionData[[#This Row],[Planned_Qty]]</f>
        <v>0.94472361809045224</v>
      </c>
      <c r="V1695" s="2" t="s">
        <v>109</v>
      </c>
      <c r="W1695" s="11">
        <v>0</v>
      </c>
      <c r="X1695" s="13">
        <f>W1695/60</f>
        <v>0</v>
      </c>
      <c r="Y1695" s="2" t="s">
        <v>90</v>
      </c>
      <c r="Z1695" s="2">
        <v>38</v>
      </c>
      <c r="AA1695" s="2">
        <f>ProductionData[[#This Row],[Rejected_Qty]]*ProductionData[[#This Row],[Unit_Cost_INR]]</f>
        <v>7524</v>
      </c>
      <c r="AB1695" s="4">
        <v>46713</v>
      </c>
      <c r="AC1695" s="4">
        <v>7280</v>
      </c>
      <c r="AD1695" s="4">
        <v>7280</v>
      </c>
      <c r="AE1695" s="4">
        <v>46755</v>
      </c>
      <c r="AF1695" s="4">
        <v>13500</v>
      </c>
    </row>
    <row r="1696" spans="1:32">
      <c r="A1696" s="2" t="s">
        <v>3524</v>
      </c>
      <c r="B1696" s="3">
        <v>46288</v>
      </c>
      <c r="C1696" s="36" t="s">
        <v>64</v>
      </c>
      <c r="D1696" s="2">
        <f>MONTH(ProductionData[[#This Row],[Month]])</f>
        <v>9</v>
      </c>
      <c r="E1696" s="2" t="s">
        <v>79</v>
      </c>
      <c r="F1696" s="2" t="s">
        <v>66</v>
      </c>
      <c r="G1696" s="2" t="s">
        <v>195</v>
      </c>
      <c r="H1696" s="2" t="s">
        <v>196</v>
      </c>
      <c r="I1696" s="2" t="s">
        <v>197</v>
      </c>
      <c r="J1696" s="2" t="s">
        <v>198</v>
      </c>
      <c r="K1696" s="2" t="s">
        <v>199</v>
      </c>
      <c r="L1696" s="2" t="s">
        <v>3525</v>
      </c>
      <c r="M1696" s="2" t="s">
        <v>99</v>
      </c>
      <c r="N1696" s="2" t="s">
        <v>88</v>
      </c>
      <c r="O1696" s="2">
        <v>14</v>
      </c>
      <c r="P1696" s="2">
        <v>13</v>
      </c>
      <c r="Q1696" s="4">
        <v>7450</v>
      </c>
      <c r="R1696" s="4">
        <v>7030</v>
      </c>
      <c r="S1696" s="4">
        <v>102</v>
      </c>
      <c r="T1696" s="19">
        <f>(ProductionData[[#This Row],[Rejected_Qty]])/ProductionData[[#This Row],[Produced_Qty]]</f>
        <v>1.4509246088193456E-2</v>
      </c>
      <c r="U1696" s="19">
        <f>ProductionData[[#This Row],[Produced_Qty]]/ProductionData[[#This Row],[Planned_Qty]]</f>
        <v>0.94362416107382552</v>
      </c>
      <c r="V1696" s="2" t="s">
        <v>75</v>
      </c>
      <c r="W1696" s="11">
        <v>0</v>
      </c>
      <c r="X1696" s="13">
        <f>W1696/60</f>
        <v>0</v>
      </c>
      <c r="Y1696" s="2" t="s">
        <v>90</v>
      </c>
      <c r="Z1696" s="2">
        <v>38</v>
      </c>
      <c r="AA1696" s="2">
        <f>ProductionData[[#This Row],[Rejected_Qty]]*ProductionData[[#This Row],[Unit_Cost_INR]]</f>
        <v>3876</v>
      </c>
      <c r="AB1696" s="4">
        <v>46825</v>
      </c>
      <c r="AC1696" s="4">
        <v>7040</v>
      </c>
      <c r="AD1696" s="4">
        <v>7040</v>
      </c>
      <c r="AE1696" s="4">
        <v>46713</v>
      </c>
      <c r="AF1696" s="4">
        <v>13500</v>
      </c>
    </row>
    <row r="1697" spans="1:32">
      <c r="A1697" s="2" t="s">
        <v>3526</v>
      </c>
      <c r="B1697" s="3">
        <v>46284</v>
      </c>
      <c r="C1697" s="36" t="s">
        <v>64</v>
      </c>
      <c r="D1697" s="2">
        <f>MONTH(ProductionData[[#This Row],[Month]])</f>
        <v>9</v>
      </c>
      <c r="E1697" s="2" t="s">
        <v>65</v>
      </c>
      <c r="F1697" s="2" t="s">
        <v>80</v>
      </c>
      <c r="G1697" s="2" t="s">
        <v>195</v>
      </c>
      <c r="H1697" s="2" t="s">
        <v>196</v>
      </c>
      <c r="I1697" s="2" t="s">
        <v>197</v>
      </c>
      <c r="J1697" s="2" t="s">
        <v>198</v>
      </c>
      <c r="K1697" s="2" t="s">
        <v>199</v>
      </c>
      <c r="L1697" s="2" t="s">
        <v>3527</v>
      </c>
      <c r="M1697" s="2" t="s">
        <v>87</v>
      </c>
      <c r="N1697" s="2" t="s">
        <v>96</v>
      </c>
      <c r="O1697" s="2">
        <v>14</v>
      </c>
      <c r="P1697" s="2">
        <v>13</v>
      </c>
      <c r="Q1697" s="4">
        <v>8030</v>
      </c>
      <c r="R1697" s="4">
        <v>7380</v>
      </c>
      <c r="S1697" s="4">
        <v>217</v>
      </c>
      <c r="T1697" s="19">
        <f>(ProductionData[[#This Row],[Rejected_Qty]])/ProductionData[[#This Row],[Produced_Qty]]</f>
        <v>2.940379403794038E-2</v>
      </c>
      <c r="U1697" s="19">
        <f>ProductionData[[#This Row],[Produced_Qty]]/ProductionData[[#This Row],[Planned_Qty]]</f>
        <v>0.9190535491905355</v>
      </c>
      <c r="V1697" s="2" t="s">
        <v>89</v>
      </c>
      <c r="W1697" s="11">
        <v>28</v>
      </c>
      <c r="X1697" s="13">
        <f>W1697/60</f>
        <v>0.46666666666666667</v>
      </c>
      <c r="Y1697" s="2" t="s">
        <v>182</v>
      </c>
      <c r="Z1697" s="2">
        <v>38</v>
      </c>
      <c r="AA1697" s="2">
        <f>ProductionData[[#This Row],[Rejected_Qty]]*ProductionData[[#This Row],[Unit_Cost_INR]]</f>
        <v>8246</v>
      </c>
      <c r="AB1697" s="4">
        <v>47132</v>
      </c>
      <c r="AC1697" s="4">
        <v>7770</v>
      </c>
      <c r="AD1697" s="4">
        <v>7770</v>
      </c>
      <c r="AE1697" s="4">
        <v>46525</v>
      </c>
      <c r="AF1697" s="4">
        <v>13500</v>
      </c>
    </row>
    <row r="1698" spans="1:32">
      <c r="A1698" s="2" t="s">
        <v>3528</v>
      </c>
      <c r="B1698" s="3">
        <v>46277</v>
      </c>
      <c r="C1698" s="36" t="s">
        <v>64</v>
      </c>
      <c r="D1698" s="2">
        <f>MONTH(ProductionData[[#This Row],[Month]])</f>
        <v>9</v>
      </c>
      <c r="E1698" s="2" t="s">
        <v>65</v>
      </c>
      <c r="F1698" s="2" t="s">
        <v>80</v>
      </c>
      <c r="G1698" s="2" t="s">
        <v>195</v>
      </c>
      <c r="H1698" s="2" t="s">
        <v>196</v>
      </c>
      <c r="I1698" s="2" t="s">
        <v>197</v>
      </c>
      <c r="J1698" s="2" t="s">
        <v>198</v>
      </c>
      <c r="K1698" s="2" t="s">
        <v>199</v>
      </c>
      <c r="L1698" s="2" t="s">
        <v>3529</v>
      </c>
      <c r="M1698" s="2" t="s">
        <v>87</v>
      </c>
      <c r="N1698" s="2" t="s">
        <v>96</v>
      </c>
      <c r="O1698" s="2">
        <v>14</v>
      </c>
      <c r="P1698" s="2">
        <v>13</v>
      </c>
      <c r="Q1698" s="4">
        <v>7830</v>
      </c>
      <c r="R1698" s="4">
        <v>7410</v>
      </c>
      <c r="S1698" s="4">
        <v>152</v>
      </c>
      <c r="T1698" s="19">
        <f>(ProductionData[[#This Row],[Rejected_Qty]])/ProductionData[[#This Row],[Produced_Qty]]</f>
        <v>2.0512820512820513E-2</v>
      </c>
      <c r="U1698" s="19">
        <f>ProductionData[[#This Row],[Produced_Qty]]/ProductionData[[#This Row],[Planned_Qty]]</f>
        <v>0.94636015325670497</v>
      </c>
      <c r="V1698" s="2" t="s">
        <v>89</v>
      </c>
      <c r="W1698" s="11">
        <v>0</v>
      </c>
      <c r="X1698" s="13">
        <f>W1698/60</f>
        <v>0</v>
      </c>
      <c r="Y1698" s="2" t="s">
        <v>90</v>
      </c>
      <c r="Z1698" s="2">
        <v>38</v>
      </c>
      <c r="AA1698" s="2">
        <f>ProductionData[[#This Row],[Rejected_Qty]]*ProductionData[[#This Row],[Unit_Cost_INR]]</f>
        <v>5776</v>
      </c>
      <c r="AB1698" s="4">
        <v>45116</v>
      </c>
      <c r="AC1698" s="4">
        <v>6110</v>
      </c>
      <c r="AD1698" s="4">
        <v>6110</v>
      </c>
      <c r="AE1698" s="4">
        <v>46264</v>
      </c>
      <c r="AF1698" s="4">
        <v>13500</v>
      </c>
    </row>
    <row r="1699" spans="1:32">
      <c r="A1699" s="2" t="s">
        <v>3530</v>
      </c>
      <c r="B1699" s="3">
        <v>46286</v>
      </c>
      <c r="C1699" s="36" t="s">
        <v>64</v>
      </c>
      <c r="D1699" s="2">
        <f>MONTH(ProductionData[[#This Row],[Month]])</f>
        <v>9</v>
      </c>
      <c r="E1699" s="2" t="s">
        <v>116</v>
      </c>
      <c r="F1699" s="2" t="s">
        <v>66</v>
      </c>
      <c r="G1699" s="2" t="s">
        <v>81</v>
      </c>
      <c r="H1699" s="2" t="s">
        <v>82</v>
      </c>
      <c r="I1699" s="2" t="s">
        <v>83</v>
      </c>
      <c r="J1699" s="2" t="s">
        <v>84</v>
      </c>
      <c r="K1699" s="2" t="s">
        <v>85</v>
      </c>
      <c r="L1699" s="2" t="s">
        <v>3531</v>
      </c>
      <c r="M1699" s="2" t="s">
        <v>99</v>
      </c>
      <c r="N1699" s="2" t="s">
        <v>88</v>
      </c>
      <c r="O1699" s="2">
        <v>18</v>
      </c>
      <c r="P1699" s="2">
        <v>18</v>
      </c>
      <c r="Q1699" s="4">
        <v>10280</v>
      </c>
      <c r="R1699" s="4">
        <v>10520</v>
      </c>
      <c r="S1699" s="4">
        <v>289</v>
      </c>
      <c r="T1699" s="19">
        <f>(ProductionData[[#This Row],[Rejected_Qty]])/ProductionData[[#This Row],[Produced_Qty]]</f>
        <v>2.7471482889733841E-2</v>
      </c>
      <c r="U1699" s="19">
        <f>ProductionData[[#This Row],[Produced_Qty]]/ProductionData[[#This Row],[Planned_Qty]]</f>
        <v>1.0233463035019454</v>
      </c>
      <c r="V1699" s="2" t="s">
        <v>113</v>
      </c>
      <c r="W1699" s="11">
        <v>0</v>
      </c>
      <c r="X1699" s="13">
        <f>W1699/60</f>
        <v>0</v>
      </c>
      <c r="Y1699" s="2" t="s">
        <v>90</v>
      </c>
      <c r="Z1699" s="2">
        <v>18</v>
      </c>
      <c r="AA1699" s="2">
        <f>ProductionData[[#This Row],[Rejected_Qty]]*ProductionData[[#This Row],[Unit_Cost_INR]]</f>
        <v>5202</v>
      </c>
      <c r="AB1699" s="4">
        <v>44718</v>
      </c>
      <c r="AC1699" s="4">
        <v>8890</v>
      </c>
      <c r="AD1699" s="4">
        <v>8890</v>
      </c>
      <c r="AE1699" s="4">
        <v>46059</v>
      </c>
      <c r="AF1699" s="4">
        <v>15000</v>
      </c>
    </row>
    <row r="1700" spans="1:32">
      <c r="A1700" s="2" t="s">
        <v>3532</v>
      </c>
      <c r="B1700" s="3">
        <v>46276</v>
      </c>
      <c r="C1700" s="36" t="s">
        <v>64</v>
      </c>
      <c r="D1700" s="2">
        <f>MONTH(ProductionData[[#This Row],[Month]])</f>
        <v>9</v>
      </c>
      <c r="E1700" s="2" t="s">
        <v>125</v>
      </c>
      <c r="F1700" s="2" t="s">
        <v>93</v>
      </c>
      <c r="G1700" s="2" t="s">
        <v>195</v>
      </c>
      <c r="H1700" s="2" t="s">
        <v>196</v>
      </c>
      <c r="I1700" s="2" t="s">
        <v>197</v>
      </c>
      <c r="J1700" s="2" t="s">
        <v>198</v>
      </c>
      <c r="K1700" s="2" t="s">
        <v>199</v>
      </c>
      <c r="L1700" s="2" t="s">
        <v>3533</v>
      </c>
      <c r="M1700" s="2" t="s">
        <v>95</v>
      </c>
      <c r="N1700" s="2" t="s">
        <v>96</v>
      </c>
      <c r="O1700" s="2">
        <v>14</v>
      </c>
      <c r="P1700" s="2">
        <v>13</v>
      </c>
      <c r="Q1700" s="4">
        <v>7380</v>
      </c>
      <c r="R1700" s="4">
        <v>7060</v>
      </c>
      <c r="S1700" s="4">
        <v>161</v>
      </c>
      <c r="T1700" s="19">
        <f>(ProductionData[[#This Row],[Rejected_Qty]])/ProductionData[[#This Row],[Produced_Qty]]</f>
        <v>2.2804532577903682E-2</v>
      </c>
      <c r="U1700" s="19">
        <f>ProductionData[[#This Row],[Produced_Qty]]/ProductionData[[#This Row],[Planned_Qty]]</f>
        <v>0.95663956639566394</v>
      </c>
      <c r="V1700" s="2" t="s">
        <v>103</v>
      </c>
      <c r="W1700" s="11">
        <v>0</v>
      </c>
      <c r="X1700" s="13">
        <f>W1700/60</f>
        <v>0</v>
      </c>
      <c r="Y1700" s="2" t="s">
        <v>90</v>
      </c>
      <c r="Z1700" s="2">
        <v>38</v>
      </c>
      <c r="AA1700" s="2">
        <f>ProductionData[[#This Row],[Rejected_Qty]]*ProductionData[[#This Row],[Unit_Cost_INR]]</f>
        <v>6118</v>
      </c>
      <c r="AB1700" s="4">
        <v>44357</v>
      </c>
      <c r="AC1700" s="4">
        <v>6140</v>
      </c>
      <c r="AD1700" s="4">
        <v>6140</v>
      </c>
      <c r="AE1700" s="4">
        <v>45116</v>
      </c>
      <c r="AF1700" s="4">
        <v>13500</v>
      </c>
    </row>
    <row r="1701" spans="1:32">
      <c r="A1701" s="2" t="s">
        <v>3534</v>
      </c>
      <c r="B1701" s="3">
        <v>46273</v>
      </c>
      <c r="C1701" s="36" t="s">
        <v>64</v>
      </c>
      <c r="D1701" s="2">
        <f>MONTH(ProductionData[[#This Row],[Month]])</f>
        <v>9</v>
      </c>
      <c r="E1701" s="2" t="s">
        <v>92</v>
      </c>
      <c r="F1701" s="2" t="s">
        <v>93</v>
      </c>
      <c r="G1701" s="2" t="s">
        <v>81</v>
      </c>
      <c r="H1701" s="2" t="s">
        <v>82</v>
      </c>
      <c r="I1701" s="2" t="s">
        <v>83</v>
      </c>
      <c r="J1701" s="2" t="s">
        <v>84</v>
      </c>
      <c r="K1701" s="2" t="s">
        <v>85</v>
      </c>
      <c r="L1701" s="2" t="s">
        <v>3535</v>
      </c>
      <c r="M1701" s="2" t="s">
        <v>133</v>
      </c>
      <c r="N1701" s="2" t="s">
        <v>88</v>
      </c>
      <c r="O1701" s="2">
        <v>18</v>
      </c>
      <c r="P1701" s="2">
        <v>16</v>
      </c>
      <c r="Q1701" s="4">
        <v>10110</v>
      </c>
      <c r="R1701" s="4">
        <v>9640</v>
      </c>
      <c r="S1701" s="4">
        <v>225</v>
      </c>
      <c r="T1701" s="19">
        <f>(ProductionData[[#This Row],[Rejected_Qty]])/ProductionData[[#This Row],[Produced_Qty]]</f>
        <v>2.3340248962655602E-2</v>
      </c>
      <c r="U1701" s="19">
        <f>ProductionData[[#This Row],[Produced_Qty]]/ProductionData[[#This Row],[Planned_Qty]]</f>
        <v>0.95351137487636006</v>
      </c>
      <c r="V1701" s="2" t="s">
        <v>75</v>
      </c>
      <c r="W1701" s="11">
        <v>0</v>
      </c>
      <c r="X1701" s="13">
        <f>W1701/60</f>
        <v>0</v>
      </c>
      <c r="Y1701" s="2" t="s">
        <v>90</v>
      </c>
      <c r="Z1701" s="2">
        <v>18</v>
      </c>
      <c r="AA1701" s="2">
        <f>ProductionData[[#This Row],[Rejected_Qty]]*ProductionData[[#This Row],[Unit_Cost_INR]]</f>
        <v>4050</v>
      </c>
      <c r="AB1701" s="4">
        <v>44091</v>
      </c>
      <c r="AC1701" s="4">
        <v>8470</v>
      </c>
      <c r="AD1701" s="4">
        <v>8470</v>
      </c>
      <c r="AE1701" s="4">
        <v>45036</v>
      </c>
      <c r="AF1701" s="4">
        <v>15000</v>
      </c>
    </row>
    <row r="1702" spans="1:32">
      <c r="A1702" s="2" t="s">
        <v>3536</v>
      </c>
      <c r="B1702" s="3">
        <v>46277</v>
      </c>
      <c r="C1702" s="36" t="s">
        <v>64</v>
      </c>
      <c r="D1702" s="2">
        <f>MONTH(ProductionData[[#This Row],[Month]])</f>
        <v>9</v>
      </c>
      <c r="E1702" s="2" t="s">
        <v>65</v>
      </c>
      <c r="F1702" s="2" t="s">
        <v>80</v>
      </c>
      <c r="G1702" s="2" t="s">
        <v>81</v>
      </c>
      <c r="H1702" s="2" t="s">
        <v>82</v>
      </c>
      <c r="I1702" s="2" t="s">
        <v>83</v>
      </c>
      <c r="J1702" s="2" t="s">
        <v>84</v>
      </c>
      <c r="K1702" s="2" t="s">
        <v>85</v>
      </c>
      <c r="L1702" s="2" t="s">
        <v>3537</v>
      </c>
      <c r="M1702" s="2" t="s">
        <v>102</v>
      </c>
      <c r="N1702" s="2" t="s">
        <v>88</v>
      </c>
      <c r="O1702" s="2">
        <v>18</v>
      </c>
      <c r="P1702" s="2">
        <v>18</v>
      </c>
      <c r="Q1702" s="4">
        <v>10450</v>
      </c>
      <c r="R1702" s="4">
        <v>9780</v>
      </c>
      <c r="S1702" s="4">
        <v>274</v>
      </c>
      <c r="T1702" s="19">
        <f>(ProductionData[[#This Row],[Rejected_Qty]])/ProductionData[[#This Row],[Produced_Qty]]</f>
        <v>2.8016359918200409E-2</v>
      </c>
      <c r="U1702" s="19">
        <f>ProductionData[[#This Row],[Produced_Qty]]/ProductionData[[#This Row],[Planned_Qty]]</f>
        <v>0.93588516746411488</v>
      </c>
      <c r="V1702" s="2" t="s">
        <v>113</v>
      </c>
      <c r="W1702" s="11">
        <v>18</v>
      </c>
      <c r="X1702" s="13">
        <f>W1702/60</f>
        <v>0.3</v>
      </c>
      <c r="Y1702" s="2" t="s">
        <v>114</v>
      </c>
      <c r="Z1702" s="2">
        <v>18</v>
      </c>
      <c r="AA1702" s="2">
        <f>ProductionData[[#This Row],[Rejected_Qty]]*ProductionData[[#This Row],[Unit_Cost_INR]]</f>
        <v>4932</v>
      </c>
      <c r="AB1702" s="4">
        <v>44194</v>
      </c>
      <c r="AC1702" s="4">
        <v>8770</v>
      </c>
      <c r="AD1702" s="4">
        <v>8770</v>
      </c>
      <c r="AE1702" s="4">
        <v>44930</v>
      </c>
      <c r="AF1702" s="4">
        <v>15000</v>
      </c>
    </row>
    <row r="1703" spans="1:32">
      <c r="A1703" s="2" t="s">
        <v>3538</v>
      </c>
      <c r="B1703" s="3">
        <v>46275</v>
      </c>
      <c r="C1703" s="36" t="s">
        <v>64</v>
      </c>
      <c r="D1703" s="2">
        <f>MONTH(ProductionData[[#This Row],[Month]])</f>
        <v>9</v>
      </c>
      <c r="E1703" s="2" t="s">
        <v>107</v>
      </c>
      <c r="F1703" s="2" t="s">
        <v>93</v>
      </c>
      <c r="G1703" s="2" t="s">
        <v>81</v>
      </c>
      <c r="H1703" s="2" t="s">
        <v>82</v>
      </c>
      <c r="I1703" s="2" t="s">
        <v>83</v>
      </c>
      <c r="J1703" s="2" t="s">
        <v>84</v>
      </c>
      <c r="K1703" s="2" t="s">
        <v>85</v>
      </c>
      <c r="L1703" s="2" t="s">
        <v>3539</v>
      </c>
      <c r="M1703" s="2" t="s">
        <v>133</v>
      </c>
      <c r="N1703" s="2" t="s">
        <v>96</v>
      </c>
      <c r="O1703" s="2">
        <v>18</v>
      </c>
      <c r="P1703" s="2">
        <v>17</v>
      </c>
      <c r="Q1703" s="4">
        <v>9110</v>
      </c>
      <c r="R1703" s="4">
        <v>8480</v>
      </c>
      <c r="S1703" s="4">
        <v>111</v>
      </c>
      <c r="T1703" s="19">
        <f>(ProductionData[[#This Row],[Rejected_Qty]])/ProductionData[[#This Row],[Produced_Qty]]</f>
        <v>1.3089622641509435E-2</v>
      </c>
      <c r="U1703" s="19">
        <f>ProductionData[[#This Row],[Produced_Qty]]/ProductionData[[#This Row],[Planned_Qty]]</f>
        <v>0.93084522502744238</v>
      </c>
      <c r="V1703" s="2" t="s">
        <v>89</v>
      </c>
      <c r="W1703" s="11">
        <v>61</v>
      </c>
      <c r="X1703" s="13">
        <f>W1703/60</f>
        <v>1.0166666666666666</v>
      </c>
      <c r="Y1703" s="2" t="s">
        <v>136</v>
      </c>
      <c r="Z1703" s="2">
        <v>18</v>
      </c>
      <c r="AA1703" s="2">
        <f>ProductionData[[#This Row],[Rejected_Qty]]*ProductionData[[#This Row],[Unit_Cost_INR]]</f>
        <v>1998</v>
      </c>
      <c r="AB1703" s="4">
        <v>44856</v>
      </c>
      <c r="AC1703" s="4">
        <v>8360</v>
      </c>
      <c r="AD1703" s="4">
        <v>8360</v>
      </c>
      <c r="AE1703" s="4">
        <v>44865</v>
      </c>
      <c r="AF1703" s="4">
        <v>15000</v>
      </c>
    </row>
    <row r="1704" spans="1:32">
      <c r="A1704" s="2" t="s">
        <v>3540</v>
      </c>
      <c r="B1704" s="3">
        <v>46275</v>
      </c>
      <c r="C1704" s="36" t="s">
        <v>64</v>
      </c>
      <c r="D1704" s="2">
        <f>MONTH(ProductionData[[#This Row],[Month]])</f>
        <v>9</v>
      </c>
      <c r="E1704" s="2" t="s">
        <v>107</v>
      </c>
      <c r="F1704" s="2" t="s">
        <v>80</v>
      </c>
      <c r="G1704" s="2" t="s">
        <v>81</v>
      </c>
      <c r="H1704" s="2" t="s">
        <v>82</v>
      </c>
      <c r="I1704" s="2" t="s">
        <v>83</v>
      </c>
      <c r="J1704" s="2" t="s">
        <v>84</v>
      </c>
      <c r="K1704" s="2" t="s">
        <v>85</v>
      </c>
      <c r="L1704" s="2" t="s">
        <v>3541</v>
      </c>
      <c r="M1704" s="2" t="s">
        <v>87</v>
      </c>
      <c r="N1704" s="2" t="s">
        <v>96</v>
      </c>
      <c r="O1704" s="2">
        <v>18</v>
      </c>
      <c r="P1704" s="2">
        <v>18</v>
      </c>
      <c r="Q1704" s="4">
        <v>9300</v>
      </c>
      <c r="R1704" s="4">
        <v>9070</v>
      </c>
      <c r="S1704" s="4">
        <v>155</v>
      </c>
      <c r="T1704" s="19">
        <f>(ProductionData[[#This Row],[Rejected_Qty]])/ProductionData[[#This Row],[Produced_Qty]]</f>
        <v>1.7089305402425578E-2</v>
      </c>
      <c r="U1704" s="19">
        <f>ProductionData[[#This Row],[Produced_Qty]]/ProductionData[[#This Row],[Planned_Qty]]</f>
        <v>0.97526881720430103</v>
      </c>
      <c r="V1704" s="2" t="s">
        <v>109</v>
      </c>
      <c r="W1704" s="11">
        <v>20</v>
      </c>
      <c r="X1704" s="13">
        <f>W1704/60</f>
        <v>0.33333333333333331</v>
      </c>
      <c r="Y1704" s="2" t="s">
        <v>114</v>
      </c>
      <c r="Z1704" s="2">
        <v>18</v>
      </c>
      <c r="AA1704" s="2">
        <f>ProductionData[[#This Row],[Rejected_Qty]]*ProductionData[[#This Row],[Unit_Cost_INR]]</f>
        <v>2790</v>
      </c>
      <c r="AB1704" s="4">
        <v>44111</v>
      </c>
      <c r="AC1704" s="4">
        <v>8170</v>
      </c>
      <c r="AD1704" s="4">
        <v>8170</v>
      </c>
      <c r="AE1704" s="4">
        <v>44856</v>
      </c>
      <c r="AF1704" s="4">
        <v>15000</v>
      </c>
    </row>
    <row r="1705" spans="1:32">
      <c r="A1705" s="2" t="s">
        <v>3542</v>
      </c>
      <c r="B1705" s="3">
        <v>46267</v>
      </c>
      <c r="C1705" s="36" t="s">
        <v>64</v>
      </c>
      <c r="D1705" s="2">
        <f>MONTH(ProductionData[[#This Row],[Month]])</f>
        <v>9</v>
      </c>
      <c r="E1705" s="2" t="s">
        <v>79</v>
      </c>
      <c r="F1705" s="2" t="s">
        <v>80</v>
      </c>
      <c r="G1705" s="2" t="s">
        <v>195</v>
      </c>
      <c r="H1705" s="2" t="s">
        <v>196</v>
      </c>
      <c r="I1705" s="2" t="s">
        <v>197</v>
      </c>
      <c r="J1705" s="2" t="s">
        <v>198</v>
      </c>
      <c r="K1705" s="2" t="s">
        <v>199</v>
      </c>
      <c r="L1705" s="2" t="s">
        <v>3543</v>
      </c>
      <c r="M1705" s="2" t="s">
        <v>102</v>
      </c>
      <c r="N1705" s="2" t="s">
        <v>88</v>
      </c>
      <c r="O1705" s="2">
        <v>14</v>
      </c>
      <c r="P1705" s="2">
        <v>14</v>
      </c>
      <c r="Q1705" s="4">
        <v>7250</v>
      </c>
      <c r="R1705" s="4">
        <v>7070</v>
      </c>
      <c r="S1705" s="4">
        <v>179</v>
      </c>
      <c r="T1705" s="19">
        <f>(ProductionData[[#This Row],[Rejected_Qty]])/ProductionData[[#This Row],[Produced_Qty]]</f>
        <v>2.5318246110325317E-2</v>
      </c>
      <c r="U1705" s="19">
        <f>ProductionData[[#This Row],[Produced_Qty]]/ProductionData[[#This Row],[Planned_Qty]]</f>
        <v>0.97517241379310349</v>
      </c>
      <c r="V1705" s="2" t="s">
        <v>89</v>
      </c>
      <c r="W1705" s="11">
        <v>0</v>
      </c>
      <c r="X1705" s="13">
        <f>W1705/60</f>
        <v>0</v>
      </c>
      <c r="Y1705" s="2" t="s">
        <v>90</v>
      </c>
      <c r="Z1705" s="2">
        <v>38</v>
      </c>
      <c r="AA1705" s="2">
        <f>ProductionData[[#This Row],[Rejected_Qty]]*ProductionData[[#This Row],[Unit_Cost_INR]]</f>
        <v>6802</v>
      </c>
      <c r="AB1705" s="4">
        <v>44159</v>
      </c>
      <c r="AC1705" s="4">
        <v>6220</v>
      </c>
      <c r="AD1705" s="4">
        <v>6220</v>
      </c>
      <c r="AE1705" s="4">
        <v>44830</v>
      </c>
      <c r="AF1705" s="4">
        <v>13500</v>
      </c>
    </row>
    <row r="1706" spans="1:32">
      <c r="A1706" s="2" t="s">
        <v>3544</v>
      </c>
      <c r="B1706" s="3">
        <v>46282</v>
      </c>
      <c r="C1706" s="36" t="s">
        <v>64</v>
      </c>
      <c r="D1706" s="2">
        <f>MONTH(ProductionData[[#This Row],[Month]])</f>
        <v>9</v>
      </c>
      <c r="E1706" s="2" t="s">
        <v>107</v>
      </c>
      <c r="F1706" s="2" t="s">
        <v>80</v>
      </c>
      <c r="G1706" s="2" t="s">
        <v>81</v>
      </c>
      <c r="H1706" s="2" t="s">
        <v>82</v>
      </c>
      <c r="I1706" s="2" t="s">
        <v>83</v>
      </c>
      <c r="J1706" s="2" t="s">
        <v>84</v>
      </c>
      <c r="K1706" s="2" t="s">
        <v>85</v>
      </c>
      <c r="L1706" s="2" t="s">
        <v>3545</v>
      </c>
      <c r="M1706" s="2" t="s">
        <v>102</v>
      </c>
      <c r="N1706" s="2" t="s">
        <v>96</v>
      </c>
      <c r="O1706" s="2">
        <v>18</v>
      </c>
      <c r="P1706" s="2">
        <v>18</v>
      </c>
      <c r="Q1706" s="4">
        <v>10300</v>
      </c>
      <c r="R1706" s="4">
        <v>9990</v>
      </c>
      <c r="S1706" s="4">
        <v>246</v>
      </c>
      <c r="T1706" s="19">
        <f>(ProductionData[[#This Row],[Rejected_Qty]])/ProductionData[[#This Row],[Produced_Qty]]</f>
        <v>2.4624624624624624E-2</v>
      </c>
      <c r="U1706" s="19">
        <f>ProductionData[[#This Row],[Produced_Qty]]/ProductionData[[#This Row],[Planned_Qty]]</f>
        <v>0.96990291262135919</v>
      </c>
      <c r="V1706" s="2" t="s">
        <v>113</v>
      </c>
      <c r="W1706" s="11">
        <v>55</v>
      </c>
      <c r="X1706" s="13">
        <f>W1706/60</f>
        <v>0.91666666666666663</v>
      </c>
      <c r="Y1706" s="2" t="s">
        <v>110</v>
      </c>
      <c r="Z1706" s="2">
        <v>18</v>
      </c>
      <c r="AA1706" s="2">
        <f>ProductionData[[#This Row],[Rejected_Qty]]*ProductionData[[#This Row],[Unit_Cost_INR]]</f>
        <v>4428</v>
      </c>
      <c r="AB1706" s="4">
        <v>43934</v>
      </c>
      <c r="AC1706" s="4">
        <v>8960</v>
      </c>
      <c r="AD1706" s="4">
        <v>8960</v>
      </c>
      <c r="AE1706" s="4">
        <v>44718</v>
      </c>
      <c r="AF1706" s="4">
        <v>15000</v>
      </c>
    </row>
    <row r="1707" spans="1:32">
      <c r="A1707" s="2" t="s">
        <v>3546</v>
      </c>
      <c r="B1707" s="3">
        <v>46272</v>
      </c>
      <c r="C1707" s="36" t="s">
        <v>64</v>
      </c>
      <c r="D1707" s="2">
        <f>MONTH(ProductionData[[#This Row],[Month]])</f>
        <v>9</v>
      </c>
      <c r="E1707" s="2" t="s">
        <v>116</v>
      </c>
      <c r="F1707" s="2" t="s">
        <v>93</v>
      </c>
      <c r="G1707" s="2" t="s">
        <v>195</v>
      </c>
      <c r="H1707" s="2" t="s">
        <v>196</v>
      </c>
      <c r="I1707" s="2" t="s">
        <v>197</v>
      </c>
      <c r="J1707" s="2" t="s">
        <v>198</v>
      </c>
      <c r="K1707" s="2" t="s">
        <v>199</v>
      </c>
      <c r="L1707" s="2" t="s">
        <v>3547</v>
      </c>
      <c r="M1707" s="2" t="s">
        <v>133</v>
      </c>
      <c r="N1707" s="2" t="s">
        <v>88</v>
      </c>
      <c r="O1707" s="2">
        <v>14</v>
      </c>
      <c r="P1707" s="2">
        <v>12</v>
      </c>
      <c r="Q1707" s="4">
        <v>7140</v>
      </c>
      <c r="R1707" s="4">
        <v>6510</v>
      </c>
      <c r="S1707" s="4">
        <v>118</v>
      </c>
      <c r="T1707" s="19">
        <f>(ProductionData[[#This Row],[Rejected_Qty]])/ProductionData[[#This Row],[Produced_Qty]]</f>
        <v>1.8125960061443933E-2</v>
      </c>
      <c r="U1707" s="19">
        <f>ProductionData[[#This Row],[Produced_Qty]]/ProductionData[[#This Row],[Planned_Qty]]</f>
        <v>0.91176470588235292</v>
      </c>
      <c r="V1707" s="2" t="s">
        <v>113</v>
      </c>
      <c r="W1707" s="11">
        <v>44</v>
      </c>
      <c r="X1707" s="13">
        <f>W1707/60</f>
        <v>0.73333333333333328</v>
      </c>
      <c r="Y1707" s="2" t="s">
        <v>76</v>
      </c>
      <c r="Z1707" s="2">
        <v>38</v>
      </c>
      <c r="AA1707" s="2">
        <f>ProductionData[[#This Row],[Rejected_Qty]]*ProductionData[[#This Row],[Unit_Cost_INR]]</f>
        <v>4484</v>
      </c>
      <c r="AB1707" s="4">
        <v>44202</v>
      </c>
      <c r="AC1707" s="4">
        <v>5910</v>
      </c>
      <c r="AD1707" s="4">
        <v>5910</v>
      </c>
      <c r="AE1707" s="4">
        <v>44684</v>
      </c>
      <c r="AF1707" s="4">
        <v>13500</v>
      </c>
    </row>
    <row r="1708" spans="1:32">
      <c r="A1708" s="2" t="s">
        <v>3548</v>
      </c>
      <c r="B1708" s="3">
        <v>46274</v>
      </c>
      <c r="C1708" s="36" t="s">
        <v>64</v>
      </c>
      <c r="D1708" s="2">
        <f>MONTH(ProductionData[[#This Row],[Month]])</f>
        <v>9</v>
      </c>
      <c r="E1708" s="2" t="s">
        <v>79</v>
      </c>
      <c r="F1708" s="2" t="s">
        <v>80</v>
      </c>
      <c r="G1708" s="2" t="s">
        <v>81</v>
      </c>
      <c r="H1708" s="2" t="s">
        <v>82</v>
      </c>
      <c r="I1708" s="2" t="s">
        <v>83</v>
      </c>
      <c r="J1708" s="2" t="s">
        <v>84</v>
      </c>
      <c r="K1708" s="2" t="s">
        <v>85</v>
      </c>
      <c r="L1708" s="2" t="s">
        <v>3549</v>
      </c>
      <c r="M1708" s="2" t="s">
        <v>102</v>
      </c>
      <c r="N1708" s="2" t="s">
        <v>96</v>
      </c>
      <c r="O1708" s="2">
        <v>18</v>
      </c>
      <c r="P1708" s="2">
        <v>15</v>
      </c>
      <c r="Q1708" s="4">
        <v>8390</v>
      </c>
      <c r="R1708" s="4">
        <v>7490</v>
      </c>
      <c r="S1708" s="4">
        <v>93</v>
      </c>
      <c r="T1708" s="19">
        <f>(ProductionData[[#This Row],[Rejected_Qty]])/ProductionData[[#This Row],[Produced_Qty]]</f>
        <v>1.2416555407209613E-2</v>
      </c>
      <c r="U1708" s="19">
        <f>ProductionData[[#This Row],[Produced_Qty]]/ProductionData[[#This Row],[Planned_Qty]]</f>
        <v>0.89272943980929675</v>
      </c>
      <c r="V1708" s="2" t="s">
        <v>103</v>
      </c>
      <c r="W1708" s="11">
        <v>0</v>
      </c>
      <c r="X1708" s="13">
        <f>W1708/60</f>
        <v>0</v>
      </c>
      <c r="Y1708" s="2" t="s">
        <v>90</v>
      </c>
      <c r="Z1708" s="2">
        <v>18</v>
      </c>
      <c r="AA1708" s="2">
        <f>ProductionData[[#This Row],[Rejected_Qty]]*ProductionData[[#This Row],[Unit_Cost_INR]]</f>
        <v>1674</v>
      </c>
      <c r="AB1708" s="4">
        <v>45036</v>
      </c>
      <c r="AC1708" s="4">
        <v>7810</v>
      </c>
      <c r="AD1708" s="4">
        <v>7810</v>
      </c>
      <c r="AE1708" s="4">
        <v>44623</v>
      </c>
      <c r="AF1708" s="4">
        <v>15000</v>
      </c>
    </row>
    <row r="1709" spans="1:32">
      <c r="A1709" s="2" t="s">
        <v>3550</v>
      </c>
      <c r="B1709" s="3">
        <v>46275</v>
      </c>
      <c r="C1709" s="36" t="s">
        <v>64</v>
      </c>
      <c r="D1709" s="2">
        <f>MONTH(ProductionData[[#This Row],[Month]])</f>
        <v>9</v>
      </c>
      <c r="E1709" s="2" t="s">
        <v>107</v>
      </c>
      <c r="F1709" s="2" t="s">
        <v>93</v>
      </c>
      <c r="G1709" s="2" t="s">
        <v>195</v>
      </c>
      <c r="H1709" s="2" t="s">
        <v>196</v>
      </c>
      <c r="I1709" s="2" t="s">
        <v>197</v>
      </c>
      <c r="J1709" s="2" t="s">
        <v>198</v>
      </c>
      <c r="K1709" s="2" t="s">
        <v>199</v>
      </c>
      <c r="L1709" s="2" t="s">
        <v>3551</v>
      </c>
      <c r="M1709" s="2" t="s">
        <v>95</v>
      </c>
      <c r="N1709" s="2" t="s">
        <v>88</v>
      </c>
      <c r="O1709" s="2">
        <v>14</v>
      </c>
      <c r="P1709" s="2">
        <v>12</v>
      </c>
      <c r="Q1709" s="4">
        <v>6720</v>
      </c>
      <c r="R1709" s="4">
        <v>5970</v>
      </c>
      <c r="S1709" s="4">
        <v>115</v>
      </c>
      <c r="T1709" s="19">
        <f>(ProductionData[[#This Row],[Rejected_Qty]])/ProductionData[[#This Row],[Produced_Qty]]</f>
        <v>1.9262981574539362E-2</v>
      </c>
      <c r="U1709" s="19">
        <f>ProductionData[[#This Row],[Produced_Qty]]/ProductionData[[#This Row],[Planned_Qty]]</f>
        <v>0.8883928571428571</v>
      </c>
      <c r="V1709" s="2" t="s">
        <v>113</v>
      </c>
      <c r="W1709" s="11">
        <v>0</v>
      </c>
      <c r="X1709" s="13">
        <f>W1709/60</f>
        <v>0</v>
      </c>
      <c r="Y1709" s="2" t="s">
        <v>90</v>
      </c>
      <c r="Z1709" s="2">
        <v>38</v>
      </c>
      <c r="AA1709" s="2">
        <f>ProductionData[[#This Row],[Rejected_Qty]]*ProductionData[[#This Row],[Unit_Cost_INR]]</f>
        <v>4370</v>
      </c>
      <c r="AB1709" s="4">
        <v>44303</v>
      </c>
      <c r="AC1709" s="4">
        <v>5580</v>
      </c>
      <c r="AD1709" s="4">
        <v>5580</v>
      </c>
      <c r="AE1709" s="4">
        <v>44578</v>
      </c>
      <c r="AF1709" s="4">
        <v>13500</v>
      </c>
    </row>
    <row r="1710" spans="1:32">
      <c r="A1710" s="2" t="s">
        <v>3552</v>
      </c>
      <c r="B1710" s="3">
        <v>46273</v>
      </c>
      <c r="C1710" s="36" t="s">
        <v>64</v>
      </c>
      <c r="D1710" s="2">
        <f>MONTH(ProductionData[[#This Row],[Month]])</f>
        <v>9</v>
      </c>
      <c r="E1710" s="2" t="s">
        <v>92</v>
      </c>
      <c r="F1710" s="2" t="s">
        <v>80</v>
      </c>
      <c r="G1710" s="2" t="s">
        <v>195</v>
      </c>
      <c r="H1710" s="2" t="s">
        <v>196</v>
      </c>
      <c r="I1710" s="2" t="s">
        <v>197</v>
      </c>
      <c r="J1710" s="2" t="s">
        <v>198</v>
      </c>
      <c r="K1710" s="2" t="s">
        <v>199</v>
      </c>
      <c r="L1710" s="2" t="s">
        <v>3553</v>
      </c>
      <c r="M1710" s="2" t="s">
        <v>87</v>
      </c>
      <c r="N1710" s="2" t="s">
        <v>88</v>
      </c>
      <c r="O1710" s="2">
        <v>14</v>
      </c>
      <c r="P1710" s="2">
        <v>12</v>
      </c>
      <c r="Q1710" s="4">
        <v>7260</v>
      </c>
      <c r="R1710" s="4">
        <v>6530</v>
      </c>
      <c r="S1710" s="4">
        <v>161</v>
      </c>
      <c r="T1710" s="19">
        <f>(ProductionData[[#This Row],[Rejected_Qty]])/ProductionData[[#This Row],[Produced_Qty]]</f>
        <v>2.4655436447166921E-2</v>
      </c>
      <c r="U1710" s="19">
        <f>ProductionData[[#This Row],[Produced_Qty]]/ProductionData[[#This Row],[Planned_Qty]]</f>
        <v>0.89944903581267222</v>
      </c>
      <c r="V1710" s="2" t="s">
        <v>109</v>
      </c>
      <c r="W1710" s="11">
        <v>15</v>
      </c>
      <c r="X1710" s="13">
        <f>W1710/60</f>
        <v>0.25</v>
      </c>
      <c r="Y1710" s="2" t="s">
        <v>136</v>
      </c>
      <c r="Z1710" s="2">
        <v>38</v>
      </c>
      <c r="AA1710" s="2">
        <f>ProductionData[[#This Row],[Rejected_Qty]]*ProductionData[[#This Row],[Unit_Cost_INR]]</f>
        <v>6118</v>
      </c>
      <c r="AB1710" s="4">
        <v>44684</v>
      </c>
      <c r="AC1710" s="4">
        <v>6650</v>
      </c>
      <c r="AD1710" s="4">
        <v>6650</v>
      </c>
      <c r="AE1710" s="4">
        <v>44403</v>
      </c>
      <c r="AF1710" s="4">
        <v>13500</v>
      </c>
    </row>
    <row r="1711" spans="1:32">
      <c r="A1711" s="2" t="s">
        <v>3554</v>
      </c>
      <c r="B1711" s="3">
        <v>46276</v>
      </c>
      <c r="C1711" s="36" t="s">
        <v>64</v>
      </c>
      <c r="D1711" s="2">
        <f>MONTH(ProductionData[[#This Row],[Month]])</f>
        <v>9</v>
      </c>
      <c r="E1711" s="2" t="s">
        <v>125</v>
      </c>
      <c r="F1711" s="2" t="s">
        <v>80</v>
      </c>
      <c r="G1711" s="2" t="s">
        <v>195</v>
      </c>
      <c r="H1711" s="2" t="s">
        <v>196</v>
      </c>
      <c r="I1711" s="2" t="s">
        <v>197</v>
      </c>
      <c r="J1711" s="2" t="s">
        <v>198</v>
      </c>
      <c r="K1711" s="2" t="s">
        <v>199</v>
      </c>
      <c r="L1711" s="2" t="s">
        <v>3555</v>
      </c>
      <c r="M1711" s="2" t="s">
        <v>87</v>
      </c>
      <c r="N1711" s="2" t="s">
        <v>96</v>
      </c>
      <c r="O1711" s="2">
        <v>14</v>
      </c>
      <c r="P1711" s="2">
        <v>13</v>
      </c>
      <c r="Q1711" s="4">
        <v>7430</v>
      </c>
      <c r="R1711" s="4">
        <v>7060</v>
      </c>
      <c r="S1711" s="4">
        <v>126</v>
      </c>
      <c r="T1711" s="19">
        <f>(ProductionData[[#This Row],[Rejected_Qty]])/ProductionData[[#This Row],[Produced_Qty]]</f>
        <v>1.7847025495750707E-2</v>
      </c>
      <c r="U1711" s="19">
        <f>ProductionData[[#This Row],[Produced_Qty]]/ProductionData[[#This Row],[Planned_Qty]]</f>
        <v>0.95020188425302832</v>
      </c>
      <c r="V1711" s="2" t="s">
        <v>75</v>
      </c>
      <c r="W1711" s="11">
        <v>0</v>
      </c>
      <c r="X1711" s="13">
        <f>W1711/60</f>
        <v>0</v>
      </c>
      <c r="Y1711" s="2" t="s">
        <v>90</v>
      </c>
      <c r="Z1711" s="2">
        <v>38</v>
      </c>
      <c r="AA1711" s="2">
        <f>ProductionData[[#This Row],[Rejected_Qty]]*ProductionData[[#This Row],[Unit_Cost_INR]]</f>
        <v>4788</v>
      </c>
      <c r="AB1711" s="4">
        <v>44153</v>
      </c>
      <c r="AC1711" s="4">
        <v>6730</v>
      </c>
      <c r="AD1711" s="4">
        <v>6730</v>
      </c>
      <c r="AE1711" s="4">
        <v>44357</v>
      </c>
      <c r="AF1711" s="4">
        <v>13500</v>
      </c>
    </row>
    <row r="1712" spans="1:32">
      <c r="A1712" s="2" t="s">
        <v>3556</v>
      </c>
      <c r="B1712" s="3">
        <v>46273</v>
      </c>
      <c r="C1712" s="36" t="s">
        <v>64</v>
      </c>
      <c r="D1712" s="2">
        <f>MONTH(ProductionData[[#This Row],[Month]])</f>
        <v>9</v>
      </c>
      <c r="E1712" s="2" t="s">
        <v>92</v>
      </c>
      <c r="F1712" s="2" t="s">
        <v>93</v>
      </c>
      <c r="G1712" s="2" t="s">
        <v>195</v>
      </c>
      <c r="H1712" s="2" t="s">
        <v>196</v>
      </c>
      <c r="I1712" s="2" t="s">
        <v>197</v>
      </c>
      <c r="J1712" s="2" t="s">
        <v>198</v>
      </c>
      <c r="K1712" s="2" t="s">
        <v>199</v>
      </c>
      <c r="L1712" s="2" t="s">
        <v>3557</v>
      </c>
      <c r="M1712" s="2" t="s">
        <v>133</v>
      </c>
      <c r="N1712" s="2" t="s">
        <v>96</v>
      </c>
      <c r="O1712" s="2">
        <v>14</v>
      </c>
      <c r="P1712" s="2">
        <v>12</v>
      </c>
      <c r="Q1712" s="4">
        <v>7440</v>
      </c>
      <c r="R1712" s="4">
        <v>6890</v>
      </c>
      <c r="S1712" s="4">
        <v>90</v>
      </c>
      <c r="T1712" s="19">
        <f>(ProductionData[[#This Row],[Rejected_Qty]])/ProductionData[[#This Row],[Produced_Qty]]</f>
        <v>1.3062409288824383E-2</v>
      </c>
      <c r="U1712" s="19">
        <f>ProductionData[[#This Row],[Produced_Qty]]/ProductionData[[#This Row],[Planned_Qty]]</f>
        <v>0.92607526881720426</v>
      </c>
      <c r="V1712" s="2" t="s">
        <v>109</v>
      </c>
      <c r="W1712" s="11">
        <v>0</v>
      </c>
      <c r="X1712" s="13">
        <f>W1712/60</f>
        <v>0</v>
      </c>
      <c r="Y1712" s="2" t="s">
        <v>90</v>
      </c>
      <c r="Z1712" s="2">
        <v>38</v>
      </c>
      <c r="AA1712" s="2">
        <f>ProductionData[[#This Row],[Rejected_Qty]]*ProductionData[[#This Row],[Unit_Cost_INR]]</f>
        <v>3420</v>
      </c>
      <c r="AB1712" s="4">
        <v>44403</v>
      </c>
      <c r="AC1712" s="4">
        <v>6900</v>
      </c>
      <c r="AD1712" s="4">
        <v>6900</v>
      </c>
      <c r="AE1712" s="4">
        <v>44303</v>
      </c>
      <c r="AF1712" s="4">
        <v>13500</v>
      </c>
    </row>
    <row r="1713" spans="1:32">
      <c r="A1713" s="2" t="s">
        <v>3558</v>
      </c>
      <c r="B1713" s="3">
        <v>46268</v>
      </c>
      <c r="C1713" s="36" t="s">
        <v>64</v>
      </c>
      <c r="D1713" s="2">
        <f>MONTH(ProductionData[[#This Row],[Month]])</f>
        <v>9</v>
      </c>
      <c r="E1713" s="2" t="s">
        <v>107</v>
      </c>
      <c r="F1713" s="2" t="s">
        <v>93</v>
      </c>
      <c r="G1713" s="2" t="s">
        <v>195</v>
      </c>
      <c r="H1713" s="2" t="s">
        <v>196</v>
      </c>
      <c r="I1713" s="2" t="s">
        <v>197</v>
      </c>
      <c r="J1713" s="2" t="s">
        <v>198</v>
      </c>
      <c r="K1713" s="2" t="s">
        <v>199</v>
      </c>
      <c r="L1713" s="2" t="s">
        <v>3559</v>
      </c>
      <c r="M1713" s="2" t="s">
        <v>95</v>
      </c>
      <c r="N1713" s="2" t="s">
        <v>88</v>
      </c>
      <c r="O1713" s="2">
        <v>14</v>
      </c>
      <c r="P1713" s="2">
        <v>12</v>
      </c>
      <c r="Q1713" s="4">
        <v>6930</v>
      </c>
      <c r="R1713" s="4">
        <v>6340</v>
      </c>
      <c r="S1713" s="4">
        <v>123</v>
      </c>
      <c r="T1713" s="19">
        <f>(ProductionData[[#This Row],[Rejected_Qty]])/ProductionData[[#This Row],[Produced_Qty]]</f>
        <v>1.9400630914826498E-2</v>
      </c>
      <c r="U1713" s="19">
        <f>ProductionData[[#This Row],[Produced_Qty]]/ProductionData[[#This Row],[Planned_Qty]]</f>
        <v>0.91486291486291482</v>
      </c>
      <c r="V1713" s="2" t="s">
        <v>75</v>
      </c>
      <c r="W1713" s="11">
        <v>54</v>
      </c>
      <c r="X1713" s="13">
        <f>W1713/60</f>
        <v>0.9</v>
      </c>
      <c r="Y1713" s="2" t="s">
        <v>136</v>
      </c>
      <c r="Z1713" s="2">
        <v>38</v>
      </c>
      <c r="AA1713" s="2">
        <f>ProductionData[[#This Row],[Rejected_Qty]]*ProductionData[[#This Row],[Unit_Cost_INR]]</f>
        <v>4674</v>
      </c>
      <c r="AB1713" s="4">
        <v>44085</v>
      </c>
      <c r="AC1713" s="4">
        <v>6000</v>
      </c>
      <c r="AD1713" s="4">
        <v>6000</v>
      </c>
      <c r="AE1713" s="4">
        <v>44302</v>
      </c>
      <c r="AF1713" s="4">
        <v>13500</v>
      </c>
    </row>
    <row r="1714" spans="1:32">
      <c r="A1714" s="2" t="s">
        <v>3560</v>
      </c>
      <c r="B1714" s="3">
        <v>46272</v>
      </c>
      <c r="C1714" s="36" t="s">
        <v>64</v>
      </c>
      <c r="D1714" s="2">
        <f>MONTH(ProductionData[[#This Row],[Month]])</f>
        <v>9</v>
      </c>
      <c r="E1714" s="2" t="s">
        <v>116</v>
      </c>
      <c r="F1714" s="2" t="s">
        <v>80</v>
      </c>
      <c r="G1714" s="2" t="s">
        <v>195</v>
      </c>
      <c r="H1714" s="2" t="s">
        <v>196</v>
      </c>
      <c r="I1714" s="2" t="s">
        <v>197</v>
      </c>
      <c r="J1714" s="2" t="s">
        <v>198</v>
      </c>
      <c r="K1714" s="2" t="s">
        <v>199</v>
      </c>
      <c r="L1714" s="2" t="s">
        <v>3561</v>
      </c>
      <c r="M1714" s="2" t="s">
        <v>87</v>
      </c>
      <c r="N1714" s="2" t="s">
        <v>88</v>
      </c>
      <c r="O1714" s="2">
        <v>14</v>
      </c>
      <c r="P1714" s="2">
        <v>13</v>
      </c>
      <c r="Q1714" s="4">
        <v>7550</v>
      </c>
      <c r="R1714" s="4">
        <v>7100</v>
      </c>
      <c r="S1714" s="4">
        <v>107</v>
      </c>
      <c r="T1714" s="19">
        <f>(ProductionData[[#This Row],[Rejected_Qty]])/ProductionData[[#This Row],[Produced_Qty]]</f>
        <v>1.5070422535211268E-2</v>
      </c>
      <c r="U1714" s="19">
        <f>ProductionData[[#This Row],[Produced_Qty]]/ProductionData[[#This Row],[Planned_Qty]]</f>
        <v>0.94039735099337751</v>
      </c>
      <c r="V1714" s="2" t="s">
        <v>103</v>
      </c>
      <c r="W1714" s="11">
        <v>31</v>
      </c>
      <c r="X1714" s="13">
        <f>W1714/60</f>
        <v>0.51666666666666672</v>
      </c>
      <c r="Y1714" s="2" t="s">
        <v>76</v>
      </c>
      <c r="Z1714" s="2">
        <v>38</v>
      </c>
      <c r="AA1714" s="2">
        <f>ProductionData[[#This Row],[Rejected_Qty]]*ProductionData[[#This Row],[Unit_Cost_INR]]</f>
        <v>4066</v>
      </c>
      <c r="AB1714" s="4">
        <v>43969</v>
      </c>
      <c r="AC1714" s="4">
        <v>6760</v>
      </c>
      <c r="AD1714" s="4">
        <v>6760</v>
      </c>
      <c r="AE1714" s="4">
        <v>44202</v>
      </c>
      <c r="AF1714" s="4">
        <v>13500</v>
      </c>
    </row>
    <row r="1715" spans="1:32">
      <c r="A1715" s="2" t="s">
        <v>3562</v>
      </c>
      <c r="B1715" s="3">
        <v>46276</v>
      </c>
      <c r="C1715" s="36" t="s">
        <v>64</v>
      </c>
      <c r="D1715" s="2">
        <f>MONTH(ProductionData[[#This Row],[Month]])</f>
        <v>9</v>
      </c>
      <c r="E1715" s="2" t="s">
        <v>125</v>
      </c>
      <c r="F1715" s="2" t="s">
        <v>93</v>
      </c>
      <c r="G1715" s="2" t="s">
        <v>81</v>
      </c>
      <c r="H1715" s="2" t="s">
        <v>82</v>
      </c>
      <c r="I1715" s="2" t="s">
        <v>83</v>
      </c>
      <c r="J1715" s="2" t="s">
        <v>84</v>
      </c>
      <c r="K1715" s="2" t="s">
        <v>85</v>
      </c>
      <c r="L1715" s="2" t="s">
        <v>3563</v>
      </c>
      <c r="M1715" s="2" t="s">
        <v>95</v>
      </c>
      <c r="N1715" s="2" t="s">
        <v>88</v>
      </c>
      <c r="O1715" s="2">
        <v>18</v>
      </c>
      <c r="P1715" s="2">
        <v>17</v>
      </c>
      <c r="Q1715" s="4">
        <v>9090</v>
      </c>
      <c r="R1715" s="4">
        <v>8640</v>
      </c>
      <c r="S1715" s="4">
        <v>275</v>
      </c>
      <c r="T1715" s="19">
        <f>(ProductionData[[#This Row],[Rejected_Qty]])/ProductionData[[#This Row],[Produced_Qty]]</f>
        <v>3.1828703703703706E-2</v>
      </c>
      <c r="U1715" s="19">
        <f>ProductionData[[#This Row],[Produced_Qty]]/ProductionData[[#This Row],[Planned_Qty]]</f>
        <v>0.95049504950495045</v>
      </c>
      <c r="V1715" s="2" t="s">
        <v>89</v>
      </c>
      <c r="W1715" s="11">
        <v>0</v>
      </c>
      <c r="X1715" s="13">
        <f>W1715/60</f>
        <v>0</v>
      </c>
      <c r="Y1715" s="2" t="s">
        <v>90</v>
      </c>
      <c r="Z1715" s="2">
        <v>18</v>
      </c>
      <c r="AA1715" s="2">
        <f>ProductionData[[#This Row],[Rejected_Qty]]*ProductionData[[#This Row],[Unit_Cost_INR]]</f>
        <v>4950</v>
      </c>
      <c r="AB1715" s="4">
        <v>43939</v>
      </c>
      <c r="AC1715" s="4">
        <v>8110</v>
      </c>
      <c r="AD1715" s="4">
        <v>8110</v>
      </c>
      <c r="AE1715" s="4">
        <v>44194</v>
      </c>
      <c r="AF1715" s="4">
        <v>15000</v>
      </c>
    </row>
    <row r="1716" spans="1:32">
      <c r="A1716" s="2" t="s">
        <v>3564</v>
      </c>
      <c r="B1716" s="3">
        <v>46272</v>
      </c>
      <c r="C1716" s="36" t="s">
        <v>64</v>
      </c>
      <c r="D1716" s="2">
        <f>MONTH(ProductionData[[#This Row],[Month]])</f>
        <v>9</v>
      </c>
      <c r="E1716" s="2" t="s">
        <v>116</v>
      </c>
      <c r="F1716" s="2" t="s">
        <v>80</v>
      </c>
      <c r="G1716" s="2" t="s">
        <v>81</v>
      </c>
      <c r="H1716" s="2" t="s">
        <v>82</v>
      </c>
      <c r="I1716" s="2" t="s">
        <v>83</v>
      </c>
      <c r="J1716" s="2" t="s">
        <v>84</v>
      </c>
      <c r="K1716" s="2" t="s">
        <v>85</v>
      </c>
      <c r="L1716" s="2" t="s">
        <v>3565</v>
      </c>
      <c r="M1716" s="2" t="s">
        <v>102</v>
      </c>
      <c r="N1716" s="2" t="s">
        <v>88</v>
      </c>
      <c r="O1716" s="2">
        <v>18</v>
      </c>
      <c r="P1716" s="2">
        <v>16</v>
      </c>
      <c r="Q1716" s="4">
        <v>9230</v>
      </c>
      <c r="R1716" s="4">
        <v>8980</v>
      </c>
      <c r="S1716" s="4">
        <v>204</v>
      </c>
      <c r="T1716" s="19">
        <f>(ProductionData[[#This Row],[Rejected_Qty]])/ProductionData[[#This Row],[Produced_Qty]]</f>
        <v>2.2717149220489979E-2</v>
      </c>
      <c r="U1716" s="19">
        <f>ProductionData[[#This Row],[Produced_Qty]]/ProductionData[[#This Row],[Planned_Qty]]</f>
        <v>0.97291440953412789</v>
      </c>
      <c r="V1716" s="2" t="s">
        <v>113</v>
      </c>
      <c r="W1716" s="11">
        <v>0</v>
      </c>
      <c r="X1716" s="13">
        <f>W1716/60</f>
        <v>0</v>
      </c>
      <c r="Y1716" s="2" t="s">
        <v>90</v>
      </c>
      <c r="Z1716" s="2">
        <v>18</v>
      </c>
      <c r="AA1716" s="2">
        <f>ProductionData[[#This Row],[Rejected_Qty]]*ProductionData[[#This Row],[Unit_Cost_INR]]</f>
        <v>3672</v>
      </c>
      <c r="AB1716" s="4">
        <v>43226</v>
      </c>
      <c r="AC1716" s="4">
        <v>7820</v>
      </c>
      <c r="AD1716" s="4">
        <v>7820</v>
      </c>
      <c r="AE1716" s="4">
        <v>44182</v>
      </c>
      <c r="AF1716" s="4">
        <v>15000</v>
      </c>
    </row>
    <row r="1717" spans="1:32">
      <c r="A1717" s="2" t="s">
        <v>3566</v>
      </c>
      <c r="B1717" s="3">
        <v>46267</v>
      </c>
      <c r="C1717" s="36" t="s">
        <v>64</v>
      </c>
      <c r="D1717" s="2">
        <f>MONTH(ProductionData[[#This Row],[Month]])</f>
        <v>9</v>
      </c>
      <c r="E1717" s="2" t="s">
        <v>79</v>
      </c>
      <c r="F1717" s="2" t="s">
        <v>66</v>
      </c>
      <c r="G1717" s="2" t="s">
        <v>195</v>
      </c>
      <c r="H1717" s="2" t="s">
        <v>196</v>
      </c>
      <c r="I1717" s="2" t="s">
        <v>197</v>
      </c>
      <c r="J1717" s="2" t="s">
        <v>198</v>
      </c>
      <c r="K1717" s="2" t="s">
        <v>199</v>
      </c>
      <c r="L1717" s="2" t="s">
        <v>3567</v>
      </c>
      <c r="M1717" s="2" t="s">
        <v>99</v>
      </c>
      <c r="N1717" s="2" t="s">
        <v>96</v>
      </c>
      <c r="O1717" s="2">
        <v>14</v>
      </c>
      <c r="P1717" s="2">
        <v>14</v>
      </c>
      <c r="Q1717" s="4">
        <v>7700</v>
      </c>
      <c r="R1717" s="4">
        <v>7650</v>
      </c>
      <c r="S1717" s="4">
        <v>180</v>
      </c>
      <c r="T1717" s="19">
        <f>(ProductionData[[#This Row],[Rejected_Qty]])/ProductionData[[#This Row],[Produced_Qty]]</f>
        <v>2.3529411764705882E-2</v>
      </c>
      <c r="U1717" s="19">
        <f>ProductionData[[#This Row],[Produced_Qty]]/ProductionData[[#This Row],[Planned_Qty]]</f>
        <v>0.99350649350649356</v>
      </c>
      <c r="V1717" s="2" t="s">
        <v>75</v>
      </c>
      <c r="W1717" s="11">
        <v>0</v>
      </c>
      <c r="X1717" s="13">
        <f>W1717/60</f>
        <v>0</v>
      </c>
      <c r="Y1717" s="2" t="s">
        <v>90</v>
      </c>
      <c r="Z1717" s="2">
        <v>38</v>
      </c>
      <c r="AA1717" s="2">
        <f>ProductionData[[#This Row],[Rejected_Qty]]*ProductionData[[#This Row],[Unit_Cost_INR]]</f>
        <v>6840</v>
      </c>
      <c r="AB1717" s="4">
        <v>43259</v>
      </c>
      <c r="AC1717" s="4">
        <v>6570</v>
      </c>
      <c r="AD1717" s="4">
        <v>6570</v>
      </c>
      <c r="AE1717" s="4">
        <v>44159</v>
      </c>
      <c r="AF1717" s="4">
        <v>13500</v>
      </c>
    </row>
    <row r="1718" spans="1:32">
      <c r="A1718" s="2" t="s">
        <v>3568</v>
      </c>
      <c r="B1718" s="3">
        <v>46276</v>
      </c>
      <c r="C1718" s="36" t="s">
        <v>64</v>
      </c>
      <c r="D1718" s="2">
        <f>MONTH(ProductionData[[#This Row],[Month]])</f>
        <v>9</v>
      </c>
      <c r="E1718" s="2" t="s">
        <v>125</v>
      </c>
      <c r="F1718" s="2" t="s">
        <v>66</v>
      </c>
      <c r="G1718" s="2" t="s">
        <v>195</v>
      </c>
      <c r="H1718" s="2" t="s">
        <v>196</v>
      </c>
      <c r="I1718" s="2" t="s">
        <v>197</v>
      </c>
      <c r="J1718" s="2" t="s">
        <v>198</v>
      </c>
      <c r="K1718" s="2" t="s">
        <v>199</v>
      </c>
      <c r="L1718" s="2" t="s">
        <v>3569</v>
      </c>
      <c r="M1718" s="2" t="s">
        <v>73</v>
      </c>
      <c r="N1718" s="2" t="s">
        <v>96</v>
      </c>
      <c r="O1718" s="2">
        <v>14</v>
      </c>
      <c r="P1718" s="2">
        <v>13</v>
      </c>
      <c r="Q1718" s="4">
        <v>8230</v>
      </c>
      <c r="R1718" s="4">
        <v>7660</v>
      </c>
      <c r="S1718" s="4">
        <v>165</v>
      </c>
      <c r="T1718" s="19">
        <f>(ProductionData[[#This Row],[Rejected_Qty]])/ProductionData[[#This Row],[Produced_Qty]]</f>
        <v>2.1540469973890339E-2</v>
      </c>
      <c r="U1718" s="19">
        <f>ProductionData[[#This Row],[Produced_Qty]]/ProductionData[[#This Row],[Planned_Qty]]</f>
        <v>0.93074119076549211</v>
      </c>
      <c r="V1718" s="2" t="s">
        <v>109</v>
      </c>
      <c r="W1718" s="11">
        <v>0</v>
      </c>
      <c r="X1718" s="13">
        <f>W1718/60</f>
        <v>0</v>
      </c>
      <c r="Y1718" s="2" t="s">
        <v>90</v>
      </c>
      <c r="Z1718" s="2">
        <v>38</v>
      </c>
      <c r="AA1718" s="2">
        <f>ProductionData[[#This Row],[Rejected_Qty]]*ProductionData[[#This Row],[Unit_Cost_INR]]</f>
        <v>6270</v>
      </c>
      <c r="AB1718" s="4">
        <v>44578</v>
      </c>
      <c r="AC1718" s="4">
        <v>7920</v>
      </c>
      <c r="AD1718" s="4">
        <v>7920</v>
      </c>
      <c r="AE1718" s="4">
        <v>44153</v>
      </c>
      <c r="AF1718" s="4">
        <v>13500</v>
      </c>
    </row>
    <row r="1719" spans="1:32">
      <c r="A1719" s="2" t="s">
        <v>3570</v>
      </c>
      <c r="B1719" s="3">
        <v>46275</v>
      </c>
      <c r="C1719" s="36" t="s">
        <v>64</v>
      </c>
      <c r="D1719" s="2">
        <f>MONTH(ProductionData[[#This Row],[Month]])</f>
        <v>9</v>
      </c>
      <c r="E1719" s="2" t="s">
        <v>107</v>
      </c>
      <c r="F1719" s="2" t="s">
        <v>66</v>
      </c>
      <c r="G1719" s="2" t="s">
        <v>81</v>
      </c>
      <c r="H1719" s="2" t="s">
        <v>82</v>
      </c>
      <c r="I1719" s="2" t="s">
        <v>83</v>
      </c>
      <c r="J1719" s="2" t="s">
        <v>84</v>
      </c>
      <c r="K1719" s="2" t="s">
        <v>85</v>
      </c>
      <c r="L1719" s="2" t="s">
        <v>3571</v>
      </c>
      <c r="M1719" s="2" t="s">
        <v>99</v>
      </c>
      <c r="N1719" s="2" t="s">
        <v>96</v>
      </c>
      <c r="O1719" s="2">
        <v>18</v>
      </c>
      <c r="P1719" s="2">
        <v>17</v>
      </c>
      <c r="Q1719" s="4">
        <v>10630</v>
      </c>
      <c r="R1719" s="4">
        <v>10100</v>
      </c>
      <c r="S1719" s="4">
        <v>392</v>
      </c>
      <c r="T1719" s="19">
        <f>(ProductionData[[#This Row],[Rejected_Qty]])/ProductionData[[#This Row],[Produced_Qty]]</f>
        <v>3.8811881188118812E-2</v>
      </c>
      <c r="U1719" s="19">
        <f>ProductionData[[#This Row],[Produced_Qty]]/ProductionData[[#This Row],[Planned_Qty]]</f>
        <v>0.95014111006585134</v>
      </c>
      <c r="V1719" s="2" t="s">
        <v>89</v>
      </c>
      <c r="W1719" s="11">
        <v>65</v>
      </c>
      <c r="X1719" s="13">
        <f>W1719/60</f>
        <v>1.0833333333333333</v>
      </c>
      <c r="Y1719" s="2" t="s">
        <v>76</v>
      </c>
      <c r="Z1719" s="2">
        <v>18</v>
      </c>
      <c r="AA1719" s="2">
        <f>ProductionData[[#This Row],[Rejected_Qty]]*ProductionData[[#This Row],[Unit_Cost_INR]]</f>
        <v>7056</v>
      </c>
      <c r="AB1719" s="4">
        <v>44623</v>
      </c>
      <c r="AC1719" s="4">
        <v>10220</v>
      </c>
      <c r="AD1719" s="4">
        <v>10220</v>
      </c>
      <c r="AE1719" s="4">
        <v>44111</v>
      </c>
      <c r="AF1719" s="4">
        <v>15000</v>
      </c>
    </row>
    <row r="1720" spans="1:32">
      <c r="A1720" s="2" t="s">
        <v>3572</v>
      </c>
      <c r="B1720" s="3">
        <v>46272</v>
      </c>
      <c r="C1720" s="36" t="s">
        <v>64</v>
      </c>
      <c r="D1720" s="2">
        <f>MONTH(ProductionData[[#This Row],[Month]])</f>
        <v>9</v>
      </c>
      <c r="E1720" s="2" t="s">
        <v>116</v>
      </c>
      <c r="F1720" s="2" t="s">
        <v>93</v>
      </c>
      <c r="G1720" s="2" t="s">
        <v>81</v>
      </c>
      <c r="H1720" s="2" t="s">
        <v>82</v>
      </c>
      <c r="I1720" s="2" t="s">
        <v>83</v>
      </c>
      <c r="J1720" s="2" t="s">
        <v>84</v>
      </c>
      <c r="K1720" s="2" t="s">
        <v>85</v>
      </c>
      <c r="L1720" s="2" t="s">
        <v>3573</v>
      </c>
      <c r="M1720" s="2" t="s">
        <v>95</v>
      </c>
      <c r="N1720" s="2" t="s">
        <v>88</v>
      </c>
      <c r="O1720" s="2">
        <v>18</v>
      </c>
      <c r="P1720" s="2">
        <v>17</v>
      </c>
      <c r="Q1720" s="4">
        <v>9000</v>
      </c>
      <c r="R1720" s="4">
        <v>8460</v>
      </c>
      <c r="S1720" s="4">
        <v>261</v>
      </c>
      <c r="T1720" s="19">
        <f>(ProductionData[[#This Row],[Rejected_Qty]])/ProductionData[[#This Row],[Produced_Qty]]</f>
        <v>3.0851063829787233E-2</v>
      </c>
      <c r="U1720" s="19">
        <f>ProductionData[[#This Row],[Produced_Qty]]/ProductionData[[#This Row],[Planned_Qty]]</f>
        <v>0.94</v>
      </c>
      <c r="V1720" s="2" t="s">
        <v>113</v>
      </c>
      <c r="W1720" s="11">
        <v>58</v>
      </c>
      <c r="X1720" s="13">
        <f>W1720/60</f>
        <v>0.96666666666666667</v>
      </c>
      <c r="Y1720" s="2" t="s">
        <v>76</v>
      </c>
      <c r="Z1720" s="2">
        <v>18</v>
      </c>
      <c r="AA1720" s="2">
        <f>ProductionData[[#This Row],[Rejected_Qty]]*ProductionData[[#This Row],[Unit_Cost_INR]]</f>
        <v>4698</v>
      </c>
      <c r="AB1720" s="4">
        <v>44182</v>
      </c>
      <c r="AC1720" s="4">
        <v>8290</v>
      </c>
      <c r="AD1720" s="4">
        <v>8290</v>
      </c>
      <c r="AE1720" s="4">
        <v>44091</v>
      </c>
      <c r="AF1720" s="4">
        <v>15000</v>
      </c>
    </row>
    <row r="1721" spans="1:32">
      <c r="A1721" s="2" t="s">
        <v>3574</v>
      </c>
      <c r="B1721" s="3">
        <v>46268</v>
      </c>
      <c r="C1721" s="36" t="s">
        <v>64</v>
      </c>
      <c r="D1721" s="2">
        <f>MONTH(ProductionData[[#This Row],[Month]])</f>
        <v>9</v>
      </c>
      <c r="E1721" s="2" t="s">
        <v>107</v>
      </c>
      <c r="F1721" s="2" t="s">
        <v>80</v>
      </c>
      <c r="G1721" s="2" t="s">
        <v>195</v>
      </c>
      <c r="H1721" s="2" t="s">
        <v>196</v>
      </c>
      <c r="I1721" s="2" t="s">
        <v>197</v>
      </c>
      <c r="J1721" s="2" t="s">
        <v>198</v>
      </c>
      <c r="K1721" s="2" t="s">
        <v>199</v>
      </c>
      <c r="L1721" s="2" t="s">
        <v>3575</v>
      </c>
      <c r="M1721" s="2" t="s">
        <v>102</v>
      </c>
      <c r="N1721" s="2" t="s">
        <v>88</v>
      </c>
      <c r="O1721" s="2">
        <v>14</v>
      </c>
      <c r="P1721" s="2">
        <v>14</v>
      </c>
      <c r="Q1721" s="4">
        <v>7480</v>
      </c>
      <c r="R1721" s="4">
        <v>7250</v>
      </c>
      <c r="S1721" s="4">
        <v>171</v>
      </c>
      <c r="T1721" s="19">
        <f>(ProductionData[[#This Row],[Rejected_Qty]])/ProductionData[[#This Row],[Produced_Qty]]</f>
        <v>2.3586206896551724E-2</v>
      </c>
      <c r="U1721" s="19">
        <f>ProductionData[[#This Row],[Produced_Qty]]/ProductionData[[#This Row],[Planned_Qty]]</f>
        <v>0.96925133689839571</v>
      </c>
      <c r="V1721" s="2" t="s">
        <v>109</v>
      </c>
      <c r="W1721" s="11">
        <v>0</v>
      </c>
      <c r="X1721" s="13">
        <f>W1721/60</f>
        <v>0</v>
      </c>
      <c r="Y1721" s="2" t="s">
        <v>90</v>
      </c>
      <c r="Z1721" s="2">
        <v>38</v>
      </c>
      <c r="AA1721" s="2">
        <f>ProductionData[[#This Row],[Rejected_Qty]]*ProductionData[[#This Row],[Unit_Cost_INR]]</f>
        <v>6498</v>
      </c>
      <c r="AB1721" s="4">
        <v>44076</v>
      </c>
      <c r="AC1721" s="4">
        <v>7070</v>
      </c>
      <c r="AD1721" s="4">
        <v>7070</v>
      </c>
      <c r="AE1721" s="4">
        <v>44085</v>
      </c>
      <c r="AF1721" s="4">
        <v>13500</v>
      </c>
    </row>
    <row r="1722" spans="1:32">
      <c r="A1722" s="2" t="s">
        <v>3576</v>
      </c>
      <c r="B1722" s="3">
        <v>46267</v>
      </c>
      <c r="C1722" s="36" t="s">
        <v>64</v>
      </c>
      <c r="D1722" s="2">
        <f>MONTH(ProductionData[[#This Row],[Month]])</f>
        <v>9</v>
      </c>
      <c r="E1722" s="2" t="s">
        <v>79</v>
      </c>
      <c r="F1722" s="2" t="s">
        <v>93</v>
      </c>
      <c r="G1722" s="2" t="s">
        <v>195</v>
      </c>
      <c r="H1722" s="2" t="s">
        <v>196</v>
      </c>
      <c r="I1722" s="2" t="s">
        <v>197</v>
      </c>
      <c r="J1722" s="2" t="s">
        <v>198</v>
      </c>
      <c r="K1722" s="2" t="s">
        <v>199</v>
      </c>
      <c r="L1722" s="2" t="s">
        <v>3577</v>
      </c>
      <c r="M1722" s="2" t="s">
        <v>95</v>
      </c>
      <c r="N1722" s="2" t="s">
        <v>96</v>
      </c>
      <c r="O1722" s="2">
        <v>14</v>
      </c>
      <c r="P1722" s="2">
        <v>13</v>
      </c>
      <c r="Q1722" s="4">
        <v>6940</v>
      </c>
      <c r="R1722" s="4">
        <v>6370</v>
      </c>
      <c r="S1722" s="4">
        <v>204</v>
      </c>
      <c r="T1722" s="19">
        <f>(ProductionData[[#This Row],[Rejected_Qty]])/ProductionData[[#This Row],[Produced_Qty]]</f>
        <v>3.2025117739403454E-2</v>
      </c>
      <c r="U1722" s="19">
        <f>ProductionData[[#This Row],[Produced_Qty]]/ProductionData[[#This Row],[Planned_Qty]]</f>
        <v>0.91786743515850144</v>
      </c>
      <c r="V1722" s="2" t="s">
        <v>113</v>
      </c>
      <c r="W1722" s="11">
        <v>56</v>
      </c>
      <c r="X1722" s="13">
        <f>W1722/60</f>
        <v>0.93333333333333335</v>
      </c>
      <c r="Y1722" s="2" t="s">
        <v>110</v>
      </c>
      <c r="Z1722" s="2">
        <v>38</v>
      </c>
      <c r="AA1722" s="2">
        <f>ProductionData[[#This Row],[Rejected_Qty]]*ProductionData[[#This Row],[Unit_Cost_INR]]</f>
        <v>7752</v>
      </c>
      <c r="AB1722" s="4">
        <v>44830</v>
      </c>
      <c r="AC1722" s="4">
        <v>6920</v>
      </c>
      <c r="AD1722" s="4">
        <v>6920</v>
      </c>
      <c r="AE1722" s="4">
        <v>44076</v>
      </c>
      <c r="AF1722" s="4">
        <v>13500</v>
      </c>
    </row>
    <row r="1723" spans="1:32">
      <c r="A1723" s="2" t="s">
        <v>3578</v>
      </c>
      <c r="B1723" s="3">
        <v>46269</v>
      </c>
      <c r="C1723" s="36" t="s">
        <v>64</v>
      </c>
      <c r="D1723" s="2">
        <f>MONTH(ProductionData[[#This Row],[Month]])</f>
        <v>9</v>
      </c>
      <c r="E1723" s="2" t="s">
        <v>125</v>
      </c>
      <c r="F1723" s="2" t="s">
        <v>80</v>
      </c>
      <c r="G1723" s="2" t="s">
        <v>195</v>
      </c>
      <c r="H1723" s="2" t="s">
        <v>196</v>
      </c>
      <c r="I1723" s="2" t="s">
        <v>197</v>
      </c>
      <c r="J1723" s="2" t="s">
        <v>198</v>
      </c>
      <c r="K1723" s="2" t="s">
        <v>199</v>
      </c>
      <c r="L1723" s="2" t="s">
        <v>3579</v>
      </c>
      <c r="M1723" s="2" t="s">
        <v>102</v>
      </c>
      <c r="N1723" s="2" t="s">
        <v>96</v>
      </c>
      <c r="O1723" s="2">
        <v>14</v>
      </c>
      <c r="P1723" s="2">
        <v>12</v>
      </c>
      <c r="Q1723" s="4">
        <v>7400</v>
      </c>
      <c r="R1723" s="4">
        <v>6450</v>
      </c>
      <c r="S1723" s="4">
        <v>263</v>
      </c>
      <c r="T1723" s="19">
        <f>(ProductionData[[#This Row],[Rejected_Qty]])/ProductionData[[#This Row],[Produced_Qty]]</f>
        <v>4.0775193798449613E-2</v>
      </c>
      <c r="U1723" s="19">
        <f>ProductionData[[#This Row],[Produced_Qty]]/ProductionData[[#This Row],[Planned_Qty]]</f>
        <v>0.8716216216216216</v>
      </c>
      <c r="V1723" s="2" t="s">
        <v>109</v>
      </c>
      <c r="W1723" s="11">
        <v>39</v>
      </c>
      <c r="X1723" s="13">
        <f>W1723/60</f>
        <v>0.65</v>
      </c>
      <c r="Y1723" s="2" t="s">
        <v>110</v>
      </c>
      <c r="Z1723" s="2">
        <v>38</v>
      </c>
      <c r="AA1723" s="2">
        <f>ProductionData[[#This Row],[Rejected_Qty]]*ProductionData[[#This Row],[Unit_Cost_INR]]</f>
        <v>9994</v>
      </c>
      <c r="AB1723" s="4">
        <v>44302</v>
      </c>
      <c r="AC1723" s="4">
        <v>6520</v>
      </c>
      <c r="AD1723" s="4">
        <v>6520</v>
      </c>
      <c r="AE1723" s="4">
        <v>43969</v>
      </c>
      <c r="AF1723" s="4">
        <v>13500</v>
      </c>
    </row>
    <row r="1724" spans="1:32">
      <c r="A1724" s="2" t="s">
        <v>3580</v>
      </c>
      <c r="B1724" s="3">
        <v>46276</v>
      </c>
      <c r="C1724" s="36" t="s">
        <v>64</v>
      </c>
      <c r="D1724" s="2">
        <f>MONTH(ProductionData[[#This Row],[Month]])</f>
        <v>9</v>
      </c>
      <c r="E1724" s="2" t="s">
        <v>125</v>
      </c>
      <c r="F1724" s="2" t="s">
        <v>80</v>
      </c>
      <c r="G1724" s="2" t="s">
        <v>81</v>
      </c>
      <c r="H1724" s="2" t="s">
        <v>82</v>
      </c>
      <c r="I1724" s="2" t="s">
        <v>83</v>
      </c>
      <c r="J1724" s="2" t="s">
        <v>84</v>
      </c>
      <c r="K1724" s="2" t="s">
        <v>85</v>
      </c>
      <c r="L1724" s="2" t="s">
        <v>3581</v>
      </c>
      <c r="M1724" s="2" t="s">
        <v>102</v>
      </c>
      <c r="N1724" s="2" t="s">
        <v>96</v>
      </c>
      <c r="O1724" s="2">
        <v>18</v>
      </c>
      <c r="P1724" s="2">
        <v>18</v>
      </c>
      <c r="Q1724" s="4">
        <v>10720</v>
      </c>
      <c r="R1724" s="4">
        <v>10150</v>
      </c>
      <c r="S1724" s="4">
        <v>436</v>
      </c>
      <c r="T1724" s="19">
        <f>(ProductionData[[#This Row],[Rejected_Qty]])/ProductionData[[#This Row],[Produced_Qty]]</f>
        <v>4.2955665024630545E-2</v>
      </c>
      <c r="U1724" s="19">
        <f>ProductionData[[#This Row],[Produced_Qty]]/ProductionData[[#This Row],[Planned_Qty]]</f>
        <v>0.94682835820895528</v>
      </c>
      <c r="V1724" s="2" t="s">
        <v>75</v>
      </c>
      <c r="W1724" s="11">
        <v>0</v>
      </c>
      <c r="X1724" s="13">
        <f>W1724/60</f>
        <v>0</v>
      </c>
      <c r="Y1724" s="2" t="s">
        <v>90</v>
      </c>
      <c r="Z1724" s="2">
        <v>18</v>
      </c>
      <c r="AA1724" s="2">
        <f>ProductionData[[#This Row],[Rejected_Qty]]*ProductionData[[#This Row],[Unit_Cost_INR]]</f>
        <v>7848</v>
      </c>
      <c r="AB1724" s="4">
        <v>44865</v>
      </c>
      <c r="AC1724" s="4">
        <v>10640</v>
      </c>
      <c r="AD1724" s="4">
        <v>10640</v>
      </c>
      <c r="AE1724" s="4">
        <v>43939</v>
      </c>
      <c r="AF1724" s="4">
        <v>15000</v>
      </c>
    </row>
    <row r="1725" spans="1:32">
      <c r="A1725" s="2" t="s">
        <v>3582</v>
      </c>
      <c r="B1725" s="3">
        <v>46280</v>
      </c>
      <c r="C1725" s="36" t="s">
        <v>64</v>
      </c>
      <c r="D1725" s="2">
        <f>MONTH(ProductionData[[#This Row],[Month]])</f>
        <v>9</v>
      </c>
      <c r="E1725" s="2" t="s">
        <v>92</v>
      </c>
      <c r="F1725" s="2" t="s">
        <v>80</v>
      </c>
      <c r="G1725" s="2" t="s">
        <v>81</v>
      </c>
      <c r="H1725" s="2" t="s">
        <v>82</v>
      </c>
      <c r="I1725" s="2" t="s">
        <v>83</v>
      </c>
      <c r="J1725" s="2" t="s">
        <v>84</v>
      </c>
      <c r="K1725" s="2" t="s">
        <v>85</v>
      </c>
      <c r="L1725" s="2" t="s">
        <v>3583</v>
      </c>
      <c r="M1725" s="2" t="s">
        <v>87</v>
      </c>
      <c r="N1725" s="2" t="s">
        <v>96</v>
      </c>
      <c r="O1725" s="2">
        <v>18</v>
      </c>
      <c r="P1725" s="2">
        <v>17</v>
      </c>
      <c r="Q1725" s="4">
        <v>9820</v>
      </c>
      <c r="R1725" s="4">
        <v>8780</v>
      </c>
      <c r="S1725" s="4">
        <v>186</v>
      </c>
      <c r="T1725" s="19">
        <f>(ProductionData[[#This Row],[Rejected_Qty]])/ProductionData[[#This Row],[Produced_Qty]]</f>
        <v>2.1184510250569475E-2</v>
      </c>
      <c r="U1725" s="19">
        <f>ProductionData[[#This Row],[Produced_Qty]]/ProductionData[[#This Row],[Planned_Qty]]</f>
        <v>0.8940936863543788</v>
      </c>
      <c r="V1725" s="2" t="s">
        <v>109</v>
      </c>
      <c r="W1725" s="11">
        <v>0</v>
      </c>
      <c r="X1725" s="13">
        <f>W1725/60</f>
        <v>0</v>
      </c>
      <c r="Y1725" s="2" t="s">
        <v>90</v>
      </c>
      <c r="Z1725" s="2">
        <v>18</v>
      </c>
      <c r="AA1725" s="2">
        <f>ProductionData[[#This Row],[Rejected_Qty]]*ProductionData[[#This Row],[Unit_Cost_INR]]</f>
        <v>3348</v>
      </c>
      <c r="AB1725" s="4">
        <v>44930</v>
      </c>
      <c r="AC1725" s="4">
        <v>9590</v>
      </c>
      <c r="AD1725" s="4">
        <v>9590</v>
      </c>
      <c r="AE1725" s="4">
        <v>43934</v>
      </c>
      <c r="AF1725" s="4">
        <v>15000</v>
      </c>
    </row>
    <row r="1726" spans="1:32">
      <c r="A1726" s="2" t="s">
        <v>3584</v>
      </c>
      <c r="B1726" s="3">
        <v>46266</v>
      </c>
      <c r="C1726" s="36" t="s">
        <v>64</v>
      </c>
      <c r="D1726" s="2">
        <f>MONTH(ProductionData[[#This Row],[Month]])</f>
        <v>9</v>
      </c>
      <c r="E1726" s="2" t="s">
        <v>92</v>
      </c>
      <c r="F1726" s="2" t="s">
        <v>80</v>
      </c>
      <c r="G1726" s="2" t="s">
        <v>195</v>
      </c>
      <c r="H1726" s="2" t="s">
        <v>196</v>
      </c>
      <c r="I1726" s="2" t="s">
        <v>197</v>
      </c>
      <c r="J1726" s="2" t="s">
        <v>198</v>
      </c>
      <c r="K1726" s="2" t="s">
        <v>199</v>
      </c>
      <c r="L1726" s="2" t="s">
        <v>3585</v>
      </c>
      <c r="M1726" s="2" t="s">
        <v>87</v>
      </c>
      <c r="N1726" s="2" t="s">
        <v>96</v>
      </c>
      <c r="O1726" s="2">
        <v>14</v>
      </c>
      <c r="P1726" s="2">
        <v>14</v>
      </c>
      <c r="Q1726" s="4">
        <v>7890</v>
      </c>
      <c r="R1726" s="4">
        <v>7870</v>
      </c>
      <c r="S1726" s="4">
        <v>164</v>
      </c>
      <c r="T1726" s="19">
        <f>(ProductionData[[#This Row],[Rejected_Qty]])/ProductionData[[#This Row],[Produced_Qty]]</f>
        <v>2.0838627700127066E-2</v>
      </c>
      <c r="U1726" s="19">
        <f>ProductionData[[#This Row],[Produced_Qty]]/ProductionData[[#This Row],[Planned_Qty]]</f>
        <v>0.99746514575411915</v>
      </c>
      <c r="V1726" s="2" t="s">
        <v>113</v>
      </c>
      <c r="W1726" s="11">
        <v>27</v>
      </c>
      <c r="X1726" s="13">
        <f>W1726/60</f>
        <v>0.45</v>
      </c>
      <c r="Y1726" s="2" t="s">
        <v>110</v>
      </c>
      <c r="Z1726" s="2">
        <v>38</v>
      </c>
      <c r="AA1726" s="2">
        <f>ProductionData[[#This Row],[Rejected_Qty]]*ProductionData[[#This Row],[Unit_Cost_INR]]</f>
        <v>6232</v>
      </c>
      <c r="AB1726" s="4">
        <v>42983</v>
      </c>
      <c r="AC1726" s="4">
        <v>7430</v>
      </c>
      <c r="AD1726" s="4">
        <v>7430</v>
      </c>
      <c r="AE1726" s="4">
        <v>43259</v>
      </c>
      <c r="AF1726" s="4">
        <v>13500</v>
      </c>
    </row>
    <row r="1727" spans="1:32">
      <c r="A1727" s="2" t="s">
        <v>3586</v>
      </c>
      <c r="B1727" s="3">
        <v>46270</v>
      </c>
      <c r="C1727" s="36" t="s">
        <v>64</v>
      </c>
      <c r="D1727" s="2">
        <f>MONTH(ProductionData[[#This Row],[Month]])</f>
        <v>9</v>
      </c>
      <c r="E1727" s="2" t="s">
        <v>65</v>
      </c>
      <c r="F1727" s="2" t="s">
        <v>66</v>
      </c>
      <c r="G1727" s="2" t="s">
        <v>81</v>
      </c>
      <c r="H1727" s="2" t="s">
        <v>82</v>
      </c>
      <c r="I1727" s="2" t="s">
        <v>83</v>
      </c>
      <c r="J1727" s="2" t="s">
        <v>84</v>
      </c>
      <c r="K1727" s="2" t="s">
        <v>85</v>
      </c>
      <c r="L1727" s="2" t="s">
        <v>3587</v>
      </c>
      <c r="M1727" s="2" t="s">
        <v>73</v>
      </c>
      <c r="N1727" s="2" t="s">
        <v>88</v>
      </c>
      <c r="O1727" s="2">
        <v>18</v>
      </c>
      <c r="P1727" s="2">
        <v>18</v>
      </c>
      <c r="Q1727" s="4">
        <v>10090</v>
      </c>
      <c r="R1727" s="4">
        <v>10200</v>
      </c>
      <c r="S1727" s="4">
        <v>100</v>
      </c>
      <c r="T1727" s="19">
        <f>(ProductionData[[#This Row],[Rejected_Qty]])/ProductionData[[#This Row],[Produced_Qty]]</f>
        <v>9.8039215686274508E-3</v>
      </c>
      <c r="U1727" s="19">
        <f>ProductionData[[#This Row],[Produced_Qty]]/ProductionData[[#This Row],[Planned_Qty]]</f>
        <v>1.0109018830525272</v>
      </c>
      <c r="V1727" s="2" t="s">
        <v>89</v>
      </c>
      <c r="W1727" s="11">
        <v>0</v>
      </c>
      <c r="X1727" s="13">
        <f>W1727/60</f>
        <v>0</v>
      </c>
      <c r="Y1727" s="2" t="s">
        <v>90</v>
      </c>
      <c r="Z1727" s="2">
        <v>18</v>
      </c>
      <c r="AA1727" s="2">
        <f>ProductionData[[#This Row],[Rejected_Qty]]*ProductionData[[#This Row],[Unit_Cost_INR]]</f>
        <v>1800</v>
      </c>
      <c r="AB1727" s="4">
        <v>42576</v>
      </c>
      <c r="AC1727" s="4">
        <v>9450</v>
      </c>
      <c r="AD1727" s="4">
        <v>9450</v>
      </c>
      <c r="AE1727" s="4">
        <v>43226</v>
      </c>
      <c r="AF1727" s="4">
        <v>15000</v>
      </c>
    </row>
    <row r="1728" spans="1:32">
      <c r="A1728" s="2" t="s">
        <v>3588</v>
      </c>
      <c r="B1728" s="3">
        <v>46266</v>
      </c>
      <c r="C1728" s="36" t="s">
        <v>64</v>
      </c>
      <c r="D1728" s="2">
        <f>MONTH(ProductionData[[#This Row],[Month]])</f>
        <v>9</v>
      </c>
      <c r="E1728" s="2" t="s">
        <v>92</v>
      </c>
      <c r="F1728" s="2" t="s">
        <v>66</v>
      </c>
      <c r="G1728" s="2" t="s">
        <v>195</v>
      </c>
      <c r="H1728" s="2" t="s">
        <v>196</v>
      </c>
      <c r="I1728" s="2" t="s">
        <v>197</v>
      </c>
      <c r="J1728" s="2" t="s">
        <v>198</v>
      </c>
      <c r="K1728" s="2" t="s">
        <v>199</v>
      </c>
      <c r="L1728" s="2" t="s">
        <v>3589</v>
      </c>
      <c r="M1728" s="2" t="s">
        <v>99</v>
      </c>
      <c r="N1728" s="2" t="s">
        <v>96</v>
      </c>
      <c r="O1728" s="2">
        <v>14</v>
      </c>
      <c r="P1728" s="2">
        <v>14</v>
      </c>
      <c r="Q1728" s="4">
        <v>7890</v>
      </c>
      <c r="R1728" s="4">
        <v>7920</v>
      </c>
      <c r="S1728" s="4">
        <v>249</v>
      </c>
      <c r="T1728" s="19">
        <f>(ProductionData[[#This Row],[Rejected_Qty]])/ProductionData[[#This Row],[Produced_Qty]]</f>
        <v>3.1439393939393941E-2</v>
      </c>
      <c r="U1728" s="19">
        <f>ProductionData[[#This Row],[Produced_Qty]]/ProductionData[[#This Row],[Planned_Qty]]</f>
        <v>1.0038022813688212</v>
      </c>
      <c r="V1728" s="2" t="s">
        <v>89</v>
      </c>
      <c r="W1728" s="11">
        <v>41</v>
      </c>
      <c r="X1728" s="13">
        <f>W1728/60</f>
        <v>0.68333333333333335</v>
      </c>
      <c r="Y1728" s="2" t="s">
        <v>110</v>
      </c>
      <c r="Z1728" s="2">
        <v>38</v>
      </c>
      <c r="AA1728" s="2">
        <f>ProductionData[[#This Row],[Rejected_Qty]]*ProductionData[[#This Row],[Unit_Cost_INR]]</f>
        <v>9462</v>
      </c>
      <c r="AB1728" s="4">
        <v>41852</v>
      </c>
      <c r="AC1728" s="4">
        <v>6540</v>
      </c>
      <c r="AD1728" s="4">
        <v>6540</v>
      </c>
      <c r="AE1728" s="4">
        <v>42983</v>
      </c>
      <c r="AF1728" s="4">
        <v>13500</v>
      </c>
    </row>
    <row r="1729" spans="1:32">
      <c r="A1729" s="2" t="s">
        <v>3590</v>
      </c>
      <c r="B1729" s="3">
        <v>46269</v>
      </c>
      <c r="C1729" s="36" t="s">
        <v>64</v>
      </c>
      <c r="D1729" s="2">
        <f>MONTH(ProductionData[[#This Row],[Month]])</f>
        <v>9</v>
      </c>
      <c r="E1729" s="2" t="s">
        <v>125</v>
      </c>
      <c r="F1729" s="2" t="s">
        <v>66</v>
      </c>
      <c r="G1729" s="2" t="s">
        <v>81</v>
      </c>
      <c r="H1729" s="2" t="s">
        <v>82</v>
      </c>
      <c r="I1729" s="2" t="s">
        <v>83</v>
      </c>
      <c r="J1729" s="2" t="s">
        <v>84</v>
      </c>
      <c r="K1729" s="2" t="s">
        <v>85</v>
      </c>
      <c r="L1729" s="2" t="s">
        <v>3591</v>
      </c>
      <c r="M1729" s="2" t="s">
        <v>99</v>
      </c>
      <c r="N1729" s="2" t="s">
        <v>96</v>
      </c>
      <c r="O1729" s="2">
        <v>18</v>
      </c>
      <c r="P1729" s="2">
        <v>17</v>
      </c>
      <c r="Q1729" s="4">
        <v>10430</v>
      </c>
      <c r="R1729" s="4">
        <v>9710</v>
      </c>
      <c r="S1729" s="4">
        <v>294</v>
      </c>
      <c r="T1729" s="19">
        <f>(ProductionData[[#This Row],[Rejected_Qty]])/ProductionData[[#This Row],[Produced_Qty]]</f>
        <v>3.0278063851699278E-2</v>
      </c>
      <c r="U1729" s="19">
        <f>ProductionData[[#This Row],[Produced_Qty]]/ProductionData[[#This Row],[Planned_Qty]]</f>
        <v>0.9309683604985618</v>
      </c>
      <c r="V1729" s="2" t="s">
        <v>113</v>
      </c>
      <c r="W1729" s="11">
        <v>0</v>
      </c>
      <c r="X1729" s="13">
        <f>W1729/60</f>
        <v>0</v>
      </c>
      <c r="Y1729" s="2" t="s">
        <v>90</v>
      </c>
      <c r="Z1729" s="2">
        <v>18</v>
      </c>
      <c r="AA1729" s="2">
        <f>ProductionData[[#This Row],[Rejected_Qty]]*ProductionData[[#This Row],[Unit_Cost_INR]]</f>
        <v>5292</v>
      </c>
      <c r="AB1729" s="4">
        <v>41934</v>
      </c>
      <c r="AC1729" s="4">
        <v>8530</v>
      </c>
      <c r="AD1729" s="4">
        <v>8530</v>
      </c>
      <c r="AE1729" s="4">
        <v>42820</v>
      </c>
      <c r="AF1729" s="4">
        <v>15000</v>
      </c>
    </row>
    <row r="1730" spans="1:32">
      <c r="A1730" s="2" t="s">
        <v>3592</v>
      </c>
      <c r="B1730" s="3">
        <v>46269</v>
      </c>
      <c r="C1730" s="36" t="s">
        <v>64</v>
      </c>
      <c r="D1730" s="2">
        <f>MONTH(ProductionData[[#This Row],[Month]])</f>
        <v>9</v>
      </c>
      <c r="E1730" s="2" t="s">
        <v>125</v>
      </c>
      <c r="F1730" s="2" t="s">
        <v>93</v>
      </c>
      <c r="G1730" s="2" t="s">
        <v>81</v>
      </c>
      <c r="H1730" s="2" t="s">
        <v>82</v>
      </c>
      <c r="I1730" s="2" t="s">
        <v>83</v>
      </c>
      <c r="J1730" s="2" t="s">
        <v>84</v>
      </c>
      <c r="K1730" s="2" t="s">
        <v>85</v>
      </c>
      <c r="L1730" s="2" t="s">
        <v>3593</v>
      </c>
      <c r="M1730" s="2" t="s">
        <v>95</v>
      </c>
      <c r="N1730" s="2" t="s">
        <v>96</v>
      </c>
      <c r="O1730" s="2">
        <v>18</v>
      </c>
      <c r="P1730" s="2">
        <v>16</v>
      </c>
      <c r="Q1730" s="4">
        <v>10140</v>
      </c>
      <c r="R1730" s="4">
        <v>8960</v>
      </c>
      <c r="S1730" s="4">
        <v>154</v>
      </c>
      <c r="T1730" s="19">
        <f>(ProductionData[[#This Row],[Rejected_Qty]])/ProductionData[[#This Row],[Produced_Qty]]</f>
        <v>1.7187500000000001E-2</v>
      </c>
      <c r="U1730" s="19">
        <f>ProductionData[[#This Row],[Produced_Qty]]/ProductionData[[#This Row],[Planned_Qty]]</f>
        <v>0.88362919132149897</v>
      </c>
      <c r="V1730" s="2" t="s">
        <v>103</v>
      </c>
      <c r="W1730" s="11">
        <v>0</v>
      </c>
      <c r="X1730" s="13">
        <f>W1730/60</f>
        <v>0</v>
      </c>
      <c r="Y1730" s="2" t="s">
        <v>90</v>
      </c>
      <c r="Z1730" s="2">
        <v>18</v>
      </c>
      <c r="AA1730" s="2">
        <f>ProductionData[[#This Row],[Rejected_Qty]]*ProductionData[[#This Row],[Unit_Cost_INR]]</f>
        <v>2772</v>
      </c>
      <c r="AB1730" s="4">
        <v>42820</v>
      </c>
      <c r="AC1730" s="4">
        <v>9050</v>
      </c>
      <c r="AD1730" s="4">
        <v>9050</v>
      </c>
      <c r="AE1730" s="4">
        <v>42576</v>
      </c>
      <c r="AF1730" s="4">
        <v>15000</v>
      </c>
    </row>
    <row r="1731" spans="1:32">
      <c r="A1731" s="2" t="s">
        <v>3594</v>
      </c>
      <c r="B1731" s="3">
        <v>46266</v>
      </c>
      <c r="C1731" s="36" t="s">
        <v>64</v>
      </c>
      <c r="D1731" s="2">
        <f>MONTH(ProductionData[[#This Row],[Month]])</f>
        <v>9</v>
      </c>
      <c r="E1731" s="2" t="s">
        <v>92</v>
      </c>
      <c r="F1731" s="2" t="s">
        <v>66</v>
      </c>
      <c r="G1731" s="2" t="s">
        <v>81</v>
      </c>
      <c r="H1731" s="2" t="s">
        <v>82</v>
      </c>
      <c r="I1731" s="2" t="s">
        <v>83</v>
      </c>
      <c r="J1731" s="2" t="s">
        <v>84</v>
      </c>
      <c r="K1731" s="2" t="s">
        <v>85</v>
      </c>
      <c r="L1731" s="2" t="s">
        <v>3595</v>
      </c>
      <c r="M1731" s="2" t="s">
        <v>99</v>
      </c>
      <c r="N1731" s="2" t="s">
        <v>88</v>
      </c>
      <c r="O1731" s="2">
        <v>18</v>
      </c>
      <c r="P1731" s="2">
        <v>18</v>
      </c>
      <c r="Q1731" s="4">
        <v>9970</v>
      </c>
      <c r="R1731" s="4">
        <v>9710</v>
      </c>
      <c r="S1731" s="4">
        <v>250</v>
      </c>
      <c r="T1731" s="19">
        <f>(ProductionData[[#This Row],[Rejected_Qty]])/ProductionData[[#This Row],[Produced_Qty]]</f>
        <v>2.5746652935118436E-2</v>
      </c>
      <c r="U1731" s="19">
        <f>ProductionData[[#This Row],[Produced_Qty]]/ProductionData[[#This Row],[Planned_Qty]]</f>
        <v>0.9739217652958877</v>
      </c>
      <c r="V1731" s="2" t="s">
        <v>103</v>
      </c>
      <c r="W1731" s="11">
        <v>64</v>
      </c>
      <c r="X1731" s="13">
        <f>W1731/60</f>
        <v>1.0666666666666667</v>
      </c>
      <c r="Y1731" s="2" t="s">
        <v>110</v>
      </c>
      <c r="Z1731" s="2">
        <v>18</v>
      </c>
      <c r="AA1731" s="2">
        <f>ProductionData[[#This Row],[Rejected_Qty]]*ProductionData[[#This Row],[Unit_Cost_INR]]</f>
        <v>4500</v>
      </c>
      <c r="AB1731" s="4">
        <v>41174</v>
      </c>
      <c r="AC1731" s="4">
        <v>8700</v>
      </c>
      <c r="AD1731" s="4">
        <v>8700</v>
      </c>
      <c r="AE1731" s="4">
        <v>41934</v>
      </c>
      <c r="AF1731" s="4">
        <v>15000</v>
      </c>
    </row>
    <row r="1732" spans="1:32">
      <c r="A1732" s="2" t="s">
        <v>3596</v>
      </c>
      <c r="B1732" s="3">
        <v>46295</v>
      </c>
      <c r="C1732" s="36" t="s">
        <v>64</v>
      </c>
      <c r="D1732" s="2">
        <f>MONTH(ProductionData[[#This Row],[Month]])</f>
        <v>9</v>
      </c>
      <c r="E1732" s="2" t="s">
        <v>79</v>
      </c>
      <c r="F1732" s="2" t="s">
        <v>93</v>
      </c>
      <c r="G1732" s="2" t="s">
        <v>174</v>
      </c>
      <c r="H1732" s="2" t="s">
        <v>175</v>
      </c>
      <c r="I1732" s="2" t="s">
        <v>176</v>
      </c>
      <c r="J1732" s="2" t="s">
        <v>443</v>
      </c>
      <c r="K1732" s="2" t="s">
        <v>444</v>
      </c>
      <c r="L1732" s="2" t="s">
        <v>3597</v>
      </c>
      <c r="M1732" s="2" t="s">
        <v>133</v>
      </c>
      <c r="N1732" s="2" t="s">
        <v>96</v>
      </c>
      <c r="O1732" s="2">
        <v>10</v>
      </c>
      <c r="P1732" s="2">
        <v>10</v>
      </c>
      <c r="Q1732" s="4">
        <v>5580</v>
      </c>
      <c r="R1732" s="4">
        <v>5600</v>
      </c>
      <c r="S1732" s="4">
        <v>200</v>
      </c>
      <c r="T1732" s="19">
        <f>(ProductionData[[#This Row],[Rejected_Qty]])/ProductionData[[#This Row],[Produced_Qty]]</f>
        <v>3.5714285714285712E-2</v>
      </c>
      <c r="U1732" s="19">
        <f>ProductionData[[#This Row],[Produced_Qty]]/ProductionData[[#This Row],[Planned_Qty]]</f>
        <v>1.0035842293906809</v>
      </c>
      <c r="V1732" s="2" t="s">
        <v>109</v>
      </c>
      <c r="W1732" s="11">
        <v>0</v>
      </c>
      <c r="X1732" s="13">
        <f>W1732/60</f>
        <v>0</v>
      </c>
      <c r="Y1732" s="2" t="s">
        <v>90</v>
      </c>
      <c r="Z1732" s="2">
        <v>33</v>
      </c>
      <c r="AA1732" s="2">
        <f>ProductionData[[#This Row],[Rejected_Qty]]*ProductionData[[#This Row],[Unit_Cost_INR]]</f>
        <v>6600</v>
      </c>
      <c r="AB1732" s="4">
        <v>39983</v>
      </c>
      <c r="AC1732" s="4">
        <v>4890</v>
      </c>
      <c r="AD1732" s="4">
        <v>4890</v>
      </c>
      <c r="AE1732" s="4">
        <v>40493</v>
      </c>
      <c r="AF1732" s="4">
        <v>9750</v>
      </c>
    </row>
    <row r="1733" spans="1:32">
      <c r="A1733" s="2" t="s">
        <v>3598</v>
      </c>
      <c r="B1733" s="3">
        <v>46294</v>
      </c>
      <c r="C1733" s="36" t="s">
        <v>64</v>
      </c>
      <c r="D1733" s="2">
        <f>MONTH(ProductionData[[#This Row],[Month]])</f>
        <v>9</v>
      </c>
      <c r="E1733" s="2" t="s">
        <v>92</v>
      </c>
      <c r="F1733" s="2" t="s">
        <v>93</v>
      </c>
      <c r="G1733" s="2" t="s">
        <v>174</v>
      </c>
      <c r="H1733" s="2" t="s">
        <v>175</v>
      </c>
      <c r="I1733" s="2" t="s">
        <v>176</v>
      </c>
      <c r="J1733" s="2" t="s">
        <v>443</v>
      </c>
      <c r="K1733" s="2" t="s">
        <v>444</v>
      </c>
      <c r="L1733" s="2" t="s">
        <v>3599</v>
      </c>
      <c r="M1733" s="2" t="s">
        <v>95</v>
      </c>
      <c r="N1733" s="2" t="s">
        <v>88</v>
      </c>
      <c r="O1733" s="2">
        <v>10</v>
      </c>
      <c r="P1733" s="2">
        <v>9</v>
      </c>
      <c r="Q1733" s="4">
        <v>5040</v>
      </c>
      <c r="R1733" s="4">
        <v>4830</v>
      </c>
      <c r="S1733" s="4">
        <v>106</v>
      </c>
      <c r="T1733" s="19">
        <f>(ProductionData[[#This Row],[Rejected_Qty]])/ProductionData[[#This Row],[Produced_Qty]]</f>
        <v>2.1946169772256729E-2</v>
      </c>
      <c r="U1733" s="19">
        <f>ProductionData[[#This Row],[Produced_Qty]]/ProductionData[[#This Row],[Planned_Qty]]</f>
        <v>0.95833333333333337</v>
      </c>
      <c r="V1733" s="2" t="s">
        <v>75</v>
      </c>
      <c r="W1733" s="11">
        <v>0</v>
      </c>
      <c r="X1733" s="13">
        <f>W1733/60</f>
        <v>0</v>
      </c>
      <c r="Y1733" s="2" t="s">
        <v>90</v>
      </c>
      <c r="Z1733" s="2">
        <v>33</v>
      </c>
      <c r="AA1733" s="2">
        <f>ProductionData[[#This Row],[Rejected_Qty]]*ProductionData[[#This Row],[Unit_Cost_INR]]</f>
        <v>3498</v>
      </c>
      <c r="AB1733" s="4">
        <v>39559</v>
      </c>
      <c r="AC1733" s="4">
        <v>4300</v>
      </c>
      <c r="AD1733" s="4">
        <v>4300</v>
      </c>
      <c r="AE1733" s="4">
        <v>39983</v>
      </c>
      <c r="AF1733" s="4">
        <v>9750</v>
      </c>
    </row>
    <row r="1734" spans="1:32">
      <c r="A1734" s="2" t="s">
        <v>3600</v>
      </c>
      <c r="B1734" s="3">
        <v>46284</v>
      </c>
      <c r="C1734" s="36" t="s">
        <v>64</v>
      </c>
      <c r="D1734" s="2">
        <f>MONTH(ProductionData[[#This Row],[Month]])</f>
        <v>9</v>
      </c>
      <c r="E1734" s="2" t="s">
        <v>65</v>
      </c>
      <c r="F1734" s="2" t="s">
        <v>80</v>
      </c>
      <c r="G1734" s="2" t="s">
        <v>174</v>
      </c>
      <c r="H1734" s="2" t="s">
        <v>175</v>
      </c>
      <c r="I1734" s="2" t="s">
        <v>176</v>
      </c>
      <c r="J1734" s="2" t="s">
        <v>443</v>
      </c>
      <c r="K1734" s="2" t="s">
        <v>444</v>
      </c>
      <c r="L1734" s="2" t="s">
        <v>3601</v>
      </c>
      <c r="M1734" s="2" t="s">
        <v>102</v>
      </c>
      <c r="N1734" s="2" t="s">
        <v>96</v>
      </c>
      <c r="O1734" s="2">
        <v>10</v>
      </c>
      <c r="P1734" s="2">
        <v>10</v>
      </c>
      <c r="Q1734" s="4">
        <v>5500</v>
      </c>
      <c r="R1734" s="4">
        <v>5380</v>
      </c>
      <c r="S1734" s="4">
        <v>124</v>
      </c>
      <c r="T1734" s="19">
        <f>(ProductionData[[#This Row],[Rejected_Qty]])/ProductionData[[#This Row],[Produced_Qty]]</f>
        <v>2.3048327137546468E-2</v>
      </c>
      <c r="U1734" s="19">
        <f>ProductionData[[#This Row],[Produced_Qty]]/ProductionData[[#This Row],[Planned_Qty]]</f>
        <v>0.97818181818181815</v>
      </c>
      <c r="V1734" s="2" t="s">
        <v>113</v>
      </c>
      <c r="W1734" s="11">
        <v>0</v>
      </c>
      <c r="X1734" s="13">
        <f>W1734/60</f>
        <v>0</v>
      </c>
      <c r="Y1734" s="2" t="s">
        <v>90</v>
      </c>
      <c r="Z1734" s="2">
        <v>33</v>
      </c>
      <c r="AA1734" s="2">
        <f>ProductionData[[#This Row],[Rejected_Qty]]*ProductionData[[#This Row],[Unit_Cost_INR]]</f>
        <v>4092</v>
      </c>
      <c r="AB1734" s="4">
        <v>39469</v>
      </c>
      <c r="AC1734" s="4">
        <v>5030</v>
      </c>
      <c r="AD1734" s="4">
        <v>5030</v>
      </c>
      <c r="AE1734" s="4">
        <v>39695</v>
      </c>
      <c r="AF1734" s="4">
        <v>9750</v>
      </c>
    </row>
    <row r="1735" spans="1:32">
      <c r="A1735" s="2" t="s">
        <v>3602</v>
      </c>
      <c r="B1735" s="3">
        <v>46294</v>
      </c>
      <c r="C1735" s="36" t="s">
        <v>64</v>
      </c>
      <c r="D1735" s="2">
        <f>MONTH(ProductionData[[#This Row],[Month]])</f>
        <v>9</v>
      </c>
      <c r="E1735" s="2" t="s">
        <v>92</v>
      </c>
      <c r="F1735" s="2" t="s">
        <v>80</v>
      </c>
      <c r="G1735" s="2" t="s">
        <v>174</v>
      </c>
      <c r="H1735" s="2" t="s">
        <v>175</v>
      </c>
      <c r="I1735" s="2" t="s">
        <v>176</v>
      </c>
      <c r="J1735" s="2" t="s">
        <v>443</v>
      </c>
      <c r="K1735" s="2" t="s">
        <v>444</v>
      </c>
      <c r="L1735" s="2" t="s">
        <v>3603</v>
      </c>
      <c r="M1735" s="2" t="s">
        <v>102</v>
      </c>
      <c r="N1735" s="2" t="s">
        <v>88</v>
      </c>
      <c r="O1735" s="2">
        <v>10</v>
      </c>
      <c r="P1735" s="2">
        <v>10</v>
      </c>
      <c r="Q1735" s="4">
        <v>5800</v>
      </c>
      <c r="R1735" s="4">
        <v>5580</v>
      </c>
      <c r="S1735" s="4">
        <v>109</v>
      </c>
      <c r="T1735" s="19">
        <f>(ProductionData[[#This Row],[Rejected_Qty]])/ProductionData[[#This Row],[Produced_Qty]]</f>
        <v>1.9534050179211469E-2</v>
      </c>
      <c r="U1735" s="19">
        <f>ProductionData[[#This Row],[Produced_Qty]]/ProductionData[[#This Row],[Planned_Qty]]</f>
        <v>0.96206896551724141</v>
      </c>
      <c r="V1735" s="2" t="s">
        <v>75</v>
      </c>
      <c r="W1735" s="11">
        <v>36</v>
      </c>
      <c r="X1735" s="13">
        <f>W1735/60</f>
        <v>0.6</v>
      </c>
      <c r="Y1735" s="2" t="s">
        <v>110</v>
      </c>
      <c r="Z1735" s="2">
        <v>33</v>
      </c>
      <c r="AA1735" s="2">
        <f>ProductionData[[#This Row],[Rejected_Qty]]*ProductionData[[#This Row],[Unit_Cost_INR]]</f>
        <v>3597</v>
      </c>
      <c r="AB1735" s="4">
        <v>39278</v>
      </c>
      <c r="AC1735" s="4">
        <v>5190</v>
      </c>
      <c r="AD1735" s="4">
        <v>5190</v>
      </c>
      <c r="AE1735" s="4">
        <v>39559</v>
      </c>
      <c r="AF1735" s="4">
        <v>9750</v>
      </c>
    </row>
    <row r="1736" spans="1:32">
      <c r="A1736" s="2" t="s">
        <v>3604</v>
      </c>
      <c r="B1736" s="3">
        <v>46281</v>
      </c>
      <c r="C1736" s="36" t="s">
        <v>64</v>
      </c>
      <c r="D1736" s="2">
        <f>MONTH(ProductionData[[#This Row],[Month]])</f>
        <v>9</v>
      </c>
      <c r="E1736" s="2" t="s">
        <v>79</v>
      </c>
      <c r="F1736" s="2" t="s">
        <v>66</v>
      </c>
      <c r="G1736" s="2" t="s">
        <v>174</v>
      </c>
      <c r="H1736" s="2" t="s">
        <v>175</v>
      </c>
      <c r="I1736" s="2" t="s">
        <v>176</v>
      </c>
      <c r="J1736" s="2" t="s">
        <v>443</v>
      </c>
      <c r="K1736" s="2" t="s">
        <v>444</v>
      </c>
      <c r="L1736" s="2" t="s">
        <v>3605</v>
      </c>
      <c r="M1736" s="2" t="s">
        <v>99</v>
      </c>
      <c r="N1736" s="2" t="s">
        <v>96</v>
      </c>
      <c r="O1736" s="2">
        <v>10</v>
      </c>
      <c r="P1736" s="2">
        <v>10</v>
      </c>
      <c r="Q1736" s="4">
        <v>5180</v>
      </c>
      <c r="R1736" s="4">
        <v>4880</v>
      </c>
      <c r="S1736" s="4">
        <v>109</v>
      </c>
      <c r="T1736" s="19">
        <f>(ProductionData[[#This Row],[Rejected_Qty]])/ProductionData[[#This Row],[Produced_Qty]]</f>
        <v>2.2336065573770492E-2</v>
      </c>
      <c r="U1736" s="19">
        <f>ProductionData[[#This Row],[Produced_Qty]]/ProductionData[[#This Row],[Planned_Qty]]</f>
        <v>0.94208494208494209</v>
      </c>
      <c r="V1736" s="2" t="s">
        <v>113</v>
      </c>
      <c r="W1736" s="11">
        <v>0</v>
      </c>
      <c r="X1736" s="13">
        <f>W1736/60</f>
        <v>0</v>
      </c>
      <c r="Y1736" s="2" t="s">
        <v>90</v>
      </c>
      <c r="Z1736" s="2">
        <v>33</v>
      </c>
      <c r="AA1736" s="2">
        <f>ProductionData[[#This Row],[Rejected_Qty]]*ProductionData[[#This Row],[Unit_Cost_INR]]</f>
        <v>3597</v>
      </c>
      <c r="AB1736" s="4">
        <v>39120</v>
      </c>
      <c r="AC1736" s="4">
        <v>4390</v>
      </c>
      <c r="AD1736" s="4">
        <v>4390</v>
      </c>
      <c r="AE1736" s="4">
        <v>39501</v>
      </c>
      <c r="AF1736" s="4">
        <v>9750</v>
      </c>
    </row>
    <row r="1737" spans="1:32">
      <c r="A1737" s="2" t="s">
        <v>3606</v>
      </c>
      <c r="B1737" s="3">
        <v>46291</v>
      </c>
      <c r="C1737" s="36" t="s">
        <v>64</v>
      </c>
      <c r="D1737" s="2">
        <f>MONTH(ProductionData[[#This Row],[Month]])</f>
        <v>9</v>
      </c>
      <c r="E1737" s="2" t="s">
        <v>65</v>
      </c>
      <c r="F1737" s="2" t="s">
        <v>80</v>
      </c>
      <c r="G1737" s="2" t="s">
        <v>174</v>
      </c>
      <c r="H1737" s="2" t="s">
        <v>175</v>
      </c>
      <c r="I1737" s="2" t="s">
        <v>176</v>
      </c>
      <c r="J1737" s="2" t="s">
        <v>443</v>
      </c>
      <c r="K1737" s="2" t="s">
        <v>444</v>
      </c>
      <c r="L1737" s="2" t="s">
        <v>3607</v>
      </c>
      <c r="M1737" s="2" t="s">
        <v>87</v>
      </c>
      <c r="N1737" s="2" t="s">
        <v>96</v>
      </c>
      <c r="O1737" s="2">
        <v>10</v>
      </c>
      <c r="P1737" s="2">
        <v>10</v>
      </c>
      <c r="Q1737" s="4">
        <v>5720</v>
      </c>
      <c r="R1737" s="4">
        <v>5760</v>
      </c>
      <c r="S1737" s="4">
        <v>109</v>
      </c>
      <c r="T1737" s="19">
        <f>(ProductionData[[#This Row],[Rejected_Qty]])/ProductionData[[#This Row],[Produced_Qty]]</f>
        <v>1.892361111111111E-2</v>
      </c>
      <c r="U1737" s="19">
        <f>ProductionData[[#This Row],[Produced_Qty]]/ProductionData[[#This Row],[Planned_Qty]]</f>
        <v>1.0069930069930071</v>
      </c>
      <c r="V1737" s="2" t="s">
        <v>113</v>
      </c>
      <c r="W1737" s="11">
        <v>0</v>
      </c>
      <c r="X1737" s="13">
        <f>W1737/60</f>
        <v>0</v>
      </c>
      <c r="Y1737" s="2" t="s">
        <v>90</v>
      </c>
      <c r="Z1737" s="2">
        <v>33</v>
      </c>
      <c r="AA1737" s="2">
        <f>ProductionData[[#This Row],[Rejected_Qty]]*ProductionData[[#This Row],[Unit_Cost_INR]]</f>
        <v>3597</v>
      </c>
      <c r="AB1737" s="4">
        <v>39022</v>
      </c>
      <c r="AC1737" s="4">
        <v>5190</v>
      </c>
      <c r="AD1737" s="4">
        <v>5190</v>
      </c>
      <c r="AE1737" s="4">
        <v>39483</v>
      </c>
      <c r="AF1737" s="4">
        <v>9750</v>
      </c>
    </row>
    <row r="1738" spans="1:32">
      <c r="A1738" s="2" t="s">
        <v>3608</v>
      </c>
      <c r="B1738" s="3">
        <v>46284</v>
      </c>
      <c r="C1738" s="36" t="s">
        <v>64</v>
      </c>
      <c r="D1738" s="2">
        <f>MONTH(ProductionData[[#This Row],[Month]])</f>
        <v>9</v>
      </c>
      <c r="E1738" s="2" t="s">
        <v>65</v>
      </c>
      <c r="F1738" s="2" t="s">
        <v>66</v>
      </c>
      <c r="G1738" s="2" t="s">
        <v>174</v>
      </c>
      <c r="H1738" s="2" t="s">
        <v>175</v>
      </c>
      <c r="I1738" s="2" t="s">
        <v>176</v>
      </c>
      <c r="J1738" s="2" t="s">
        <v>443</v>
      </c>
      <c r="K1738" s="2" t="s">
        <v>444</v>
      </c>
      <c r="L1738" s="2" t="s">
        <v>3609</v>
      </c>
      <c r="M1738" s="2" t="s">
        <v>99</v>
      </c>
      <c r="N1738" s="2" t="s">
        <v>96</v>
      </c>
      <c r="O1738" s="2">
        <v>10</v>
      </c>
      <c r="P1738" s="2">
        <v>10</v>
      </c>
      <c r="Q1738" s="4">
        <v>5840</v>
      </c>
      <c r="R1738" s="4">
        <v>5730</v>
      </c>
      <c r="S1738" s="4">
        <v>152</v>
      </c>
      <c r="T1738" s="19">
        <f>(ProductionData[[#This Row],[Rejected_Qty]])/ProductionData[[#This Row],[Produced_Qty]]</f>
        <v>2.6527050610820245E-2</v>
      </c>
      <c r="U1738" s="19">
        <f>ProductionData[[#This Row],[Produced_Qty]]/ProductionData[[#This Row],[Planned_Qty]]</f>
        <v>0.98116438356164382</v>
      </c>
      <c r="V1738" s="2" t="s">
        <v>103</v>
      </c>
      <c r="W1738" s="11">
        <v>50</v>
      </c>
      <c r="X1738" s="13">
        <f>W1738/60</f>
        <v>0.83333333333333337</v>
      </c>
      <c r="Y1738" s="2" t="s">
        <v>136</v>
      </c>
      <c r="Z1738" s="2">
        <v>33</v>
      </c>
      <c r="AA1738" s="2">
        <f>ProductionData[[#This Row],[Rejected_Qty]]*ProductionData[[#This Row],[Unit_Cost_INR]]</f>
        <v>5016</v>
      </c>
      <c r="AB1738" s="4">
        <v>39121</v>
      </c>
      <c r="AC1738" s="4">
        <v>5230</v>
      </c>
      <c r="AD1738" s="4">
        <v>5230</v>
      </c>
      <c r="AE1738" s="4">
        <v>39469</v>
      </c>
      <c r="AF1738" s="4">
        <v>9750</v>
      </c>
    </row>
    <row r="1739" spans="1:32">
      <c r="A1739" s="2" t="s">
        <v>3610</v>
      </c>
      <c r="B1739" s="3">
        <v>46286</v>
      </c>
      <c r="C1739" s="36" t="s">
        <v>64</v>
      </c>
      <c r="D1739" s="2">
        <f>MONTH(ProductionData[[#This Row],[Month]])</f>
        <v>9</v>
      </c>
      <c r="E1739" s="2" t="s">
        <v>116</v>
      </c>
      <c r="F1739" s="2" t="s">
        <v>80</v>
      </c>
      <c r="G1739" s="2" t="s">
        <v>174</v>
      </c>
      <c r="H1739" s="2" t="s">
        <v>175</v>
      </c>
      <c r="I1739" s="2" t="s">
        <v>176</v>
      </c>
      <c r="J1739" s="2" t="s">
        <v>443</v>
      </c>
      <c r="K1739" s="2" t="s">
        <v>444</v>
      </c>
      <c r="L1739" s="2" t="s">
        <v>3611</v>
      </c>
      <c r="M1739" s="2" t="s">
        <v>102</v>
      </c>
      <c r="N1739" s="2" t="s">
        <v>96</v>
      </c>
      <c r="O1739" s="2">
        <v>10</v>
      </c>
      <c r="P1739" s="2">
        <v>10</v>
      </c>
      <c r="Q1739" s="4">
        <v>5860</v>
      </c>
      <c r="R1739" s="4">
        <v>5400</v>
      </c>
      <c r="S1739" s="4">
        <v>122</v>
      </c>
      <c r="T1739" s="19">
        <f>(ProductionData[[#This Row],[Rejected_Qty]])/ProductionData[[#This Row],[Produced_Qty]]</f>
        <v>2.2592592592592591E-2</v>
      </c>
      <c r="U1739" s="19">
        <f>ProductionData[[#This Row],[Produced_Qty]]/ProductionData[[#This Row],[Planned_Qty]]</f>
        <v>0.92150170648464169</v>
      </c>
      <c r="V1739" s="2" t="s">
        <v>75</v>
      </c>
      <c r="W1739" s="11">
        <v>0</v>
      </c>
      <c r="X1739" s="13">
        <f>W1739/60</f>
        <v>0</v>
      </c>
      <c r="Y1739" s="2" t="s">
        <v>90</v>
      </c>
      <c r="Z1739" s="2">
        <v>33</v>
      </c>
      <c r="AA1739" s="2">
        <f>ProductionData[[#This Row],[Rejected_Qty]]*ProductionData[[#This Row],[Unit_Cost_INR]]</f>
        <v>4026</v>
      </c>
      <c r="AB1739" s="4">
        <v>39350</v>
      </c>
      <c r="AC1739" s="4">
        <v>5250</v>
      </c>
      <c r="AD1739" s="4">
        <v>5250</v>
      </c>
      <c r="AE1739" s="4">
        <v>39378</v>
      </c>
      <c r="AF1739" s="4">
        <v>9750</v>
      </c>
    </row>
    <row r="1740" spans="1:32">
      <c r="A1740" s="2" t="s">
        <v>3612</v>
      </c>
      <c r="B1740" s="3">
        <v>46286</v>
      </c>
      <c r="C1740" s="36" t="s">
        <v>64</v>
      </c>
      <c r="D1740" s="2">
        <f>MONTH(ProductionData[[#This Row],[Month]])</f>
        <v>9</v>
      </c>
      <c r="E1740" s="2" t="s">
        <v>116</v>
      </c>
      <c r="F1740" s="2" t="s">
        <v>66</v>
      </c>
      <c r="G1740" s="2" t="s">
        <v>174</v>
      </c>
      <c r="H1740" s="2" t="s">
        <v>175</v>
      </c>
      <c r="I1740" s="2" t="s">
        <v>176</v>
      </c>
      <c r="J1740" s="2" t="s">
        <v>443</v>
      </c>
      <c r="K1740" s="2" t="s">
        <v>444</v>
      </c>
      <c r="L1740" s="2" t="s">
        <v>3613</v>
      </c>
      <c r="M1740" s="2" t="s">
        <v>99</v>
      </c>
      <c r="N1740" s="2" t="s">
        <v>88</v>
      </c>
      <c r="O1740" s="2">
        <v>10</v>
      </c>
      <c r="P1740" s="2">
        <v>10</v>
      </c>
      <c r="Q1740" s="4">
        <v>5760</v>
      </c>
      <c r="R1740" s="4">
        <v>5590</v>
      </c>
      <c r="S1740" s="4">
        <v>165</v>
      </c>
      <c r="T1740" s="19">
        <f>(ProductionData[[#This Row],[Rejected_Qty]])/ProductionData[[#This Row],[Produced_Qty]]</f>
        <v>2.9516994633273702E-2</v>
      </c>
      <c r="U1740" s="19">
        <f>ProductionData[[#This Row],[Produced_Qty]]/ProductionData[[#This Row],[Planned_Qty]]</f>
        <v>0.97048611111111116</v>
      </c>
      <c r="V1740" s="2" t="s">
        <v>89</v>
      </c>
      <c r="W1740" s="11">
        <v>51</v>
      </c>
      <c r="X1740" s="13">
        <f>W1740/60</f>
        <v>0.85</v>
      </c>
      <c r="Y1740" s="2" t="s">
        <v>110</v>
      </c>
      <c r="Z1740" s="2">
        <v>33</v>
      </c>
      <c r="AA1740" s="2">
        <f>ProductionData[[#This Row],[Rejected_Qty]]*ProductionData[[#This Row],[Unit_Cost_INR]]</f>
        <v>5445</v>
      </c>
      <c r="AB1740" s="4">
        <v>39695</v>
      </c>
      <c r="AC1740" s="4">
        <v>5770</v>
      </c>
      <c r="AD1740" s="4">
        <v>5770</v>
      </c>
      <c r="AE1740" s="4">
        <v>39350</v>
      </c>
      <c r="AF1740" s="4">
        <v>9750</v>
      </c>
    </row>
    <row r="1741" spans="1:32">
      <c r="A1741" s="2" t="s">
        <v>3614</v>
      </c>
      <c r="B1741" s="3">
        <v>46292</v>
      </c>
      <c r="C1741" s="36" t="s">
        <v>64</v>
      </c>
      <c r="D1741" s="2">
        <f>MONTH(ProductionData[[#This Row],[Month]])</f>
        <v>9</v>
      </c>
      <c r="E1741" s="2" t="s">
        <v>186</v>
      </c>
      <c r="F1741" s="2" t="s">
        <v>80</v>
      </c>
      <c r="G1741" s="2" t="s">
        <v>174</v>
      </c>
      <c r="H1741" s="2" t="s">
        <v>175</v>
      </c>
      <c r="I1741" s="2" t="s">
        <v>176</v>
      </c>
      <c r="J1741" s="2" t="s">
        <v>443</v>
      </c>
      <c r="K1741" s="2" t="s">
        <v>444</v>
      </c>
      <c r="L1741" s="2" t="s">
        <v>3615</v>
      </c>
      <c r="M1741" s="2" t="s">
        <v>87</v>
      </c>
      <c r="N1741" s="2" t="s">
        <v>88</v>
      </c>
      <c r="O1741" s="2">
        <v>10</v>
      </c>
      <c r="P1741" s="2">
        <v>10</v>
      </c>
      <c r="Q1741" s="4">
        <v>3650</v>
      </c>
      <c r="R1741" s="4">
        <v>3380</v>
      </c>
      <c r="S1741" s="4">
        <v>46</v>
      </c>
      <c r="T1741" s="19">
        <f>(ProductionData[[#This Row],[Rejected_Qty]])/ProductionData[[#This Row],[Produced_Qty]]</f>
        <v>1.3609467455621301E-2</v>
      </c>
      <c r="U1741" s="19">
        <f>ProductionData[[#This Row],[Produced_Qty]]/ProductionData[[#This Row],[Planned_Qty]]</f>
        <v>0.92602739726027394</v>
      </c>
      <c r="V1741" s="2" t="s">
        <v>75</v>
      </c>
      <c r="W1741" s="11">
        <v>0</v>
      </c>
      <c r="X1741" s="13">
        <f>W1741/60</f>
        <v>0</v>
      </c>
      <c r="Y1741" s="2" t="s">
        <v>90</v>
      </c>
      <c r="Z1741" s="2">
        <v>33</v>
      </c>
      <c r="AA1741" s="2">
        <f>ProductionData[[#This Row],[Rejected_Qty]]*ProductionData[[#This Row],[Unit_Cost_INR]]</f>
        <v>1518</v>
      </c>
      <c r="AB1741" s="4">
        <v>39483</v>
      </c>
      <c r="AC1741" s="4">
        <v>3520</v>
      </c>
      <c r="AD1741" s="4">
        <v>3520</v>
      </c>
      <c r="AE1741" s="4">
        <v>39297</v>
      </c>
      <c r="AF1741" s="4">
        <v>9750</v>
      </c>
    </row>
    <row r="1742" spans="1:32">
      <c r="A1742" s="2" t="s">
        <v>3616</v>
      </c>
      <c r="B1742" s="3">
        <v>46293</v>
      </c>
      <c r="C1742" s="36" t="s">
        <v>64</v>
      </c>
      <c r="D1742" s="2">
        <f>MONTH(ProductionData[[#This Row],[Month]])</f>
        <v>9</v>
      </c>
      <c r="E1742" s="2" t="s">
        <v>116</v>
      </c>
      <c r="F1742" s="2" t="s">
        <v>66</v>
      </c>
      <c r="G1742" s="2" t="s">
        <v>174</v>
      </c>
      <c r="H1742" s="2" t="s">
        <v>175</v>
      </c>
      <c r="I1742" s="2" t="s">
        <v>176</v>
      </c>
      <c r="J1742" s="2" t="s">
        <v>443</v>
      </c>
      <c r="K1742" s="2" t="s">
        <v>444</v>
      </c>
      <c r="L1742" s="2" t="s">
        <v>3617</v>
      </c>
      <c r="M1742" s="2" t="s">
        <v>99</v>
      </c>
      <c r="N1742" s="2" t="s">
        <v>88</v>
      </c>
      <c r="O1742" s="2">
        <v>10</v>
      </c>
      <c r="P1742" s="2">
        <v>9</v>
      </c>
      <c r="Q1742" s="4">
        <v>5940</v>
      </c>
      <c r="R1742" s="4">
        <v>5610</v>
      </c>
      <c r="S1742" s="4">
        <v>119</v>
      </c>
      <c r="T1742" s="19">
        <f>(ProductionData[[#This Row],[Rejected_Qty]])/ProductionData[[#This Row],[Produced_Qty]]</f>
        <v>2.1212121212121213E-2</v>
      </c>
      <c r="U1742" s="19">
        <f>ProductionData[[#This Row],[Produced_Qty]]/ProductionData[[#This Row],[Planned_Qty]]</f>
        <v>0.94444444444444442</v>
      </c>
      <c r="V1742" s="2" t="s">
        <v>109</v>
      </c>
      <c r="W1742" s="11">
        <v>0</v>
      </c>
      <c r="X1742" s="13">
        <f>W1742/60</f>
        <v>0</v>
      </c>
      <c r="Y1742" s="2" t="s">
        <v>90</v>
      </c>
      <c r="Z1742" s="2">
        <v>33</v>
      </c>
      <c r="AA1742" s="2">
        <f>ProductionData[[#This Row],[Rejected_Qty]]*ProductionData[[#This Row],[Unit_Cost_INR]]</f>
        <v>3927</v>
      </c>
      <c r="AB1742" s="4">
        <v>39297</v>
      </c>
      <c r="AC1742" s="4">
        <v>5510</v>
      </c>
      <c r="AD1742" s="4">
        <v>5510</v>
      </c>
      <c r="AE1742" s="4">
        <v>39278</v>
      </c>
      <c r="AF1742" s="4">
        <v>9750</v>
      </c>
    </row>
    <row r="1743" spans="1:32">
      <c r="A1743" s="2" t="s">
        <v>3618</v>
      </c>
      <c r="B1743" s="3">
        <v>46282</v>
      </c>
      <c r="C1743" s="36" t="s">
        <v>64</v>
      </c>
      <c r="D1743" s="2">
        <f>MONTH(ProductionData[[#This Row],[Month]])</f>
        <v>9</v>
      </c>
      <c r="E1743" s="2" t="s">
        <v>107</v>
      </c>
      <c r="F1743" s="2" t="s">
        <v>66</v>
      </c>
      <c r="G1743" s="2" t="s">
        <v>174</v>
      </c>
      <c r="H1743" s="2" t="s">
        <v>175</v>
      </c>
      <c r="I1743" s="2" t="s">
        <v>176</v>
      </c>
      <c r="J1743" s="2" t="s">
        <v>443</v>
      </c>
      <c r="K1743" s="2" t="s">
        <v>444</v>
      </c>
      <c r="L1743" s="2" t="s">
        <v>3619</v>
      </c>
      <c r="M1743" s="2" t="s">
        <v>73</v>
      </c>
      <c r="N1743" s="2" t="s">
        <v>96</v>
      </c>
      <c r="O1743" s="2">
        <v>10</v>
      </c>
      <c r="P1743" s="2">
        <v>10</v>
      </c>
      <c r="Q1743" s="4">
        <v>5870</v>
      </c>
      <c r="R1743" s="4">
        <v>5610</v>
      </c>
      <c r="S1743" s="4">
        <v>190</v>
      </c>
      <c r="T1743" s="19">
        <f>(ProductionData[[#This Row],[Rejected_Qty]])/ProductionData[[#This Row],[Produced_Qty]]</f>
        <v>3.3868092691622102E-2</v>
      </c>
      <c r="U1743" s="19">
        <f>ProductionData[[#This Row],[Produced_Qty]]/ProductionData[[#This Row],[Planned_Qty]]</f>
        <v>0.95570698466780235</v>
      </c>
      <c r="V1743" s="2" t="s">
        <v>113</v>
      </c>
      <c r="W1743" s="11">
        <v>0</v>
      </c>
      <c r="X1743" s="13">
        <f>W1743/60</f>
        <v>0</v>
      </c>
      <c r="Y1743" s="2" t="s">
        <v>90</v>
      </c>
      <c r="Z1743" s="2">
        <v>33</v>
      </c>
      <c r="AA1743" s="2">
        <f>ProductionData[[#This Row],[Rejected_Qty]]*ProductionData[[#This Row],[Unit_Cost_INR]]</f>
        <v>6270</v>
      </c>
      <c r="AB1743" s="4">
        <v>39235</v>
      </c>
      <c r="AC1743" s="4">
        <v>5400</v>
      </c>
      <c r="AD1743" s="4">
        <v>5400</v>
      </c>
      <c r="AE1743" s="4">
        <v>39255</v>
      </c>
      <c r="AF1743" s="4">
        <v>9750</v>
      </c>
    </row>
    <row r="1744" spans="1:32">
      <c r="A1744" s="2" t="s">
        <v>3620</v>
      </c>
      <c r="B1744" s="3">
        <v>46281</v>
      </c>
      <c r="C1744" s="36" t="s">
        <v>64</v>
      </c>
      <c r="D1744" s="2">
        <f>MONTH(ProductionData[[#This Row],[Month]])</f>
        <v>9</v>
      </c>
      <c r="E1744" s="2" t="s">
        <v>79</v>
      </c>
      <c r="F1744" s="2" t="s">
        <v>80</v>
      </c>
      <c r="G1744" s="2" t="s">
        <v>174</v>
      </c>
      <c r="H1744" s="2" t="s">
        <v>175</v>
      </c>
      <c r="I1744" s="2" t="s">
        <v>176</v>
      </c>
      <c r="J1744" s="2" t="s">
        <v>443</v>
      </c>
      <c r="K1744" s="2" t="s">
        <v>444</v>
      </c>
      <c r="L1744" s="2" t="s">
        <v>3621</v>
      </c>
      <c r="M1744" s="2" t="s">
        <v>87</v>
      </c>
      <c r="N1744" s="2" t="s">
        <v>96</v>
      </c>
      <c r="O1744" s="2">
        <v>10</v>
      </c>
      <c r="P1744" s="2">
        <v>10</v>
      </c>
      <c r="Q1744" s="4">
        <v>5690</v>
      </c>
      <c r="R1744" s="4">
        <v>5400</v>
      </c>
      <c r="S1744" s="4">
        <v>96</v>
      </c>
      <c r="T1744" s="19">
        <f>(ProductionData[[#This Row],[Rejected_Qty]])/ProductionData[[#This Row],[Produced_Qty]]</f>
        <v>1.7777777777777778E-2</v>
      </c>
      <c r="U1744" s="19">
        <f>ProductionData[[#This Row],[Produced_Qty]]/ProductionData[[#This Row],[Planned_Qty]]</f>
        <v>0.94903339191564151</v>
      </c>
      <c r="V1744" s="2" t="s">
        <v>113</v>
      </c>
      <c r="W1744" s="11">
        <v>11</v>
      </c>
      <c r="X1744" s="13">
        <f>W1744/60</f>
        <v>0.18333333333333332</v>
      </c>
      <c r="Y1744" s="2" t="s">
        <v>182</v>
      </c>
      <c r="Z1744" s="2">
        <v>33</v>
      </c>
      <c r="AA1744" s="2">
        <f>ProductionData[[#This Row],[Rejected_Qty]]*ProductionData[[#This Row],[Unit_Cost_INR]]</f>
        <v>3168</v>
      </c>
      <c r="AB1744" s="4">
        <v>39501</v>
      </c>
      <c r="AC1744" s="4">
        <v>5570</v>
      </c>
      <c r="AD1744" s="4">
        <v>5570</v>
      </c>
      <c r="AE1744" s="4">
        <v>39235</v>
      </c>
      <c r="AF1744" s="4">
        <v>9750</v>
      </c>
    </row>
    <row r="1745" spans="1:32">
      <c r="A1745" s="2" t="s">
        <v>3622</v>
      </c>
      <c r="B1745" s="3">
        <v>46283</v>
      </c>
      <c r="C1745" s="36" t="s">
        <v>64</v>
      </c>
      <c r="D1745" s="2">
        <f>MONTH(ProductionData[[#This Row],[Month]])</f>
        <v>9</v>
      </c>
      <c r="E1745" s="2" t="s">
        <v>125</v>
      </c>
      <c r="F1745" s="2" t="s">
        <v>66</v>
      </c>
      <c r="G1745" s="2" t="s">
        <v>174</v>
      </c>
      <c r="H1745" s="2" t="s">
        <v>175</v>
      </c>
      <c r="I1745" s="2" t="s">
        <v>176</v>
      </c>
      <c r="J1745" s="2" t="s">
        <v>443</v>
      </c>
      <c r="K1745" s="2" t="s">
        <v>444</v>
      </c>
      <c r="L1745" s="2" t="s">
        <v>3623</v>
      </c>
      <c r="M1745" s="2" t="s">
        <v>99</v>
      </c>
      <c r="N1745" s="2" t="s">
        <v>96</v>
      </c>
      <c r="O1745" s="2">
        <v>10</v>
      </c>
      <c r="P1745" s="2">
        <v>9</v>
      </c>
      <c r="Q1745" s="4">
        <v>5650</v>
      </c>
      <c r="R1745" s="4">
        <v>5030</v>
      </c>
      <c r="S1745" s="4">
        <v>124</v>
      </c>
      <c r="T1745" s="19">
        <f>(ProductionData[[#This Row],[Rejected_Qty]])/ProductionData[[#This Row],[Produced_Qty]]</f>
        <v>2.4652087475149104E-2</v>
      </c>
      <c r="U1745" s="19">
        <f>ProductionData[[#This Row],[Produced_Qty]]/ProductionData[[#This Row],[Planned_Qty]]</f>
        <v>0.89026548672566375</v>
      </c>
      <c r="V1745" s="2" t="s">
        <v>103</v>
      </c>
      <c r="W1745" s="11">
        <v>41</v>
      </c>
      <c r="X1745" s="13">
        <f>W1745/60</f>
        <v>0.68333333333333335</v>
      </c>
      <c r="Y1745" s="2" t="s">
        <v>182</v>
      </c>
      <c r="Z1745" s="2">
        <v>33</v>
      </c>
      <c r="AA1745" s="2">
        <f>ProductionData[[#This Row],[Rejected_Qty]]*ProductionData[[#This Row],[Unit_Cost_INR]]</f>
        <v>4092</v>
      </c>
      <c r="AB1745" s="4">
        <v>39255</v>
      </c>
      <c r="AC1745" s="4">
        <v>5040</v>
      </c>
      <c r="AD1745" s="4">
        <v>5040</v>
      </c>
      <c r="AE1745" s="4">
        <v>39121</v>
      </c>
      <c r="AF1745" s="4">
        <v>9750</v>
      </c>
    </row>
    <row r="1746" spans="1:32">
      <c r="A1746" s="2" t="s">
        <v>3624</v>
      </c>
      <c r="B1746" s="3">
        <v>46279</v>
      </c>
      <c r="C1746" s="36" t="s">
        <v>64</v>
      </c>
      <c r="D1746" s="2">
        <f>MONTH(ProductionData[[#This Row],[Month]])</f>
        <v>9</v>
      </c>
      <c r="E1746" s="2" t="s">
        <v>116</v>
      </c>
      <c r="F1746" s="2" t="s">
        <v>93</v>
      </c>
      <c r="G1746" s="2" t="s">
        <v>174</v>
      </c>
      <c r="H1746" s="2" t="s">
        <v>175</v>
      </c>
      <c r="I1746" s="2" t="s">
        <v>176</v>
      </c>
      <c r="J1746" s="2" t="s">
        <v>443</v>
      </c>
      <c r="K1746" s="2" t="s">
        <v>444</v>
      </c>
      <c r="L1746" s="2" t="s">
        <v>3625</v>
      </c>
      <c r="M1746" s="2" t="s">
        <v>95</v>
      </c>
      <c r="N1746" s="2" t="s">
        <v>96</v>
      </c>
      <c r="O1746" s="2">
        <v>10</v>
      </c>
      <c r="P1746" s="2">
        <v>10</v>
      </c>
      <c r="Q1746" s="4">
        <v>5000</v>
      </c>
      <c r="R1746" s="4">
        <v>4760</v>
      </c>
      <c r="S1746" s="4">
        <v>129</v>
      </c>
      <c r="T1746" s="19">
        <f>(ProductionData[[#This Row],[Rejected_Qty]])/ProductionData[[#This Row],[Produced_Qty]]</f>
        <v>2.7100840336134455E-2</v>
      </c>
      <c r="U1746" s="19">
        <f>ProductionData[[#This Row],[Produced_Qty]]/ProductionData[[#This Row],[Planned_Qty]]</f>
        <v>0.95199999999999996</v>
      </c>
      <c r="V1746" s="2" t="s">
        <v>109</v>
      </c>
      <c r="W1746" s="11">
        <v>59</v>
      </c>
      <c r="X1746" s="13">
        <f>W1746/60</f>
        <v>0.98333333333333328</v>
      </c>
      <c r="Y1746" s="2" t="s">
        <v>76</v>
      </c>
      <c r="Z1746" s="2">
        <v>33</v>
      </c>
      <c r="AA1746" s="2">
        <f>ProductionData[[#This Row],[Rejected_Qty]]*ProductionData[[#This Row],[Unit_Cost_INR]]</f>
        <v>4257</v>
      </c>
      <c r="AB1746" s="4">
        <v>38919</v>
      </c>
      <c r="AC1746" s="4">
        <v>4430</v>
      </c>
      <c r="AD1746" s="4">
        <v>4430</v>
      </c>
      <c r="AE1746" s="4">
        <v>39120</v>
      </c>
      <c r="AF1746" s="4">
        <v>9750</v>
      </c>
    </row>
    <row r="1747" spans="1:32">
      <c r="A1747" s="2" t="s">
        <v>3626</v>
      </c>
      <c r="B1747" s="3">
        <v>46289</v>
      </c>
      <c r="C1747" s="36" t="s">
        <v>64</v>
      </c>
      <c r="D1747" s="2">
        <f>MONTH(ProductionData[[#This Row],[Month]])</f>
        <v>9</v>
      </c>
      <c r="E1747" s="2" t="s">
        <v>107</v>
      </c>
      <c r="F1747" s="2" t="s">
        <v>80</v>
      </c>
      <c r="G1747" s="2" t="s">
        <v>174</v>
      </c>
      <c r="H1747" s="2" t="s">
        <v>175</v>
      </c>
      <c r="I1747" s="2" t="s">
        <v>176</v>
      </c>
      <c r="J1747" s="2" t="s">
        <v>443</v>
      </c>
      <c r="K1747" s="2" t="s">
        <v>444</v>
      </c>
      <c r="L1747" s="2" t="s">
        <v>3627</v>
      </c>
      <c r="M1747" s="2" t="s">
        <v>87</v>
      </c>
      <c r="N1747" s="2" t="s">
        <v>96</v>
      </c>
      <c r="O1747" s="2">
        <v>10</v>
      </c>
      <c r="P1747" s="2">
        <v>7</v>
      </c>
      <c r="Q1747" s="4">
        <v>5360</v>
      </c>
      <c r="R1747" s="4">
        <v>4710</v>
      </c>
      <c r="S1747" s="4">
        <v>145</v>
      </c>
      <c r="T1747" s="19">
        <f>(ProductionData[[#This Row],[Rejected_Qty]])/ProductionData[[#This Row],[Produced_Qty]]</f>
        <v>3.0785562632696391E-2</v>
      </c>
      <c r="U1747" s="19">
        <f>ProductionData[[#This Row],[Produced_Qty]]/ProductionData[[#This Row],[Planned_Qty]]</f>
        <v>0.87873134328358204</v>
      </c>
      <c r="V1747" s="2" t="s">
        <v>109</v>
      </c>
      <c r="W1747" s="11">
        <v>0</v>
      </c>
      <c r="X1747" s="13">
        <f>W1747/60</f>
        <v>0</v>
      </c>
      <c r="Y1747" s="2" t="s">
        <v>90</v>
      </c>
      <c r="Z1747" s="2">
        <v>33</v>
      </c>
      <c r="AA1747" s="2">
        <f>ProductionData[[#This Row],[Rejected_Qty]]*ProductionData[[#This Row],[Unit_Cost_INR]]</f>
        <v>4785</v>
      </c>
      <c r="AB1747" s="4">
        <v>38547</v>
      </c>
      <c r="AC1747" s="4">
        <v>4090</v>
      </c>
      <c r="AD1747" s="4">
        <v>4090</v>
      </c>
      <c r="AE1747" s="4">
        <v>39022</v>
      </c>
      <c r="AF1747" s="4">
        <v>9750</v>
      </c>
    </row>
    <row r="1748" spans="1:32">
      <c r="A1748" s="2" t="s">
        <v>3628</v>
      </c>
      <c r="B1748" s="3">
        <v>46286</v>
      </c>
      <c r="C1748" s="36" t="s">
        <v>64</v>
      </c>
      <c r="D1748" s="2">
        <f>MONTH(ProductionData[[#This Row],[Month]])</f>
        <v>9</v>
      </c>
      <c r="E1748" s="2" t="s">
        <v>116</v>
      </c>
      <c r="F1748" s="2" t="s">
        <v>93</v>
      </c>
      <c r="G1748" s="2" t="s">
        <v>174</v>
      </c>
      <c r="H1748" s="2" t="s">
        <v>175</v>
      </c>
      <c r="I1748" s="2" t="s">
        <v>176</v>
      </c>
      <c r="J1748" s="2" t="s">
        <v>443</v>
      </c>
      <c r="K1748" s="2" t="s">
        <v>444</v>
      </c>
      <c r="L1748" s="2" t="s">
        <v>3629</v>
      </c>
      <c r="M1748" s="2" t="s">
        <v>95</v>
      </c>
      <c r="N1748" s="2" t="s">
        <v>96</v>
      </c>
      <c r="O1748" s="2">
        <v>10</v>
      </c>
      <c r="P1748" s="2">
        <v>7</v>
      </c>
      <c r="Q1748" s="4">
        <v>4950</v>
      </c>
      <c r="R1748" s="4">
        <v>4300</v>
      </c>
      <c r="S1748" s="4">
        <v>148</v>
      </c>
      <c r="T1748" s="19">
        <f>(ProductionData[[#This Row],[Rejected_Qty]])/ProductionData[[#This Row],[Produced_Qty]]</f>
        <v>3.4418604651162789E-2</v>
      </c>
      <c r="U1748" s="19">
        <f>ProductionData[[#This Row],[Produced_Qty]]/ProductionData[[#This Row],[Planned_Qty]]</f>
        <v>0.86868686868686873</v>
      </c>
      <c r="V1748" s="2" t="s">
        <v>103</v>
      </c>
      <c r="W1748" s="11">
        <v>0</v>
      </c>
      <c r="X1748" s="13">
        <f>W1748/60</f>
        <v>0</v>
      </c>
      <c r="Y1748" s="2" t="s">
        <v>90</v>
      </c>
      <c r="Z1748" s="2">
        <v>33</v>
      </c>
      <c r="AA1748" s="2">
        <f>ProductionData[[#This Row],[Rejected_Qty]]*ProductionData[[#This Row],[Unit_Cost_INR]]</f>
        <v>4884</v>
      </c>
      <c r="AB1748" s="4">
        <v>39378</v>
      </c>
      <c r="AC1748" s="4">
        <v>4550</v>
      </c>
      <c r="AD1748" s="4">
        <v>4550</v>
      </c>
      <c r="AE1748" s="4">
        <v>38980</v>
      </c>
      <c r="AF1748" s="4">
        <v>9750</v>
      </c>
    </row>
    <row r="1749" spans="1:32">
      <c r="A1749" s="2" t="s">
        <v>3630</v>
      </c>
      <c r="B1749" s="3">
        <v>46279</v>
      </c>
      <c r="C1749" s="36" t="s">
        <v>64</v>
      </c>
      <c r="D1749" s="2">
        <f>MONTH(ProductionData[[#This Row],[Month]])</f>
        <v>9</v>
      </c>
      <c r="E1749" s="2" t="s">
        <v>116</v>
      </c>
      <c r="F1749" s="2" t="s">
        <v>80</v>
      </c>
      <c r="G1749" s="2" t="s">
        <v>174</v>
      </c>
      <c r="H1749" s="2" t="s">
        <v>175</v>
      </c>
      <c r="I1749" s="2" t="s">
        <v>176</v>
      </c>
      <c r="J1749" s="2" t="s">
        <v>443</v>
      </c>
      <c r="K1749" s="2" t="s">
        <v>444</v>
      </c>
      <c r="L1749" s="2" t="s">
        <v>3631</v>
      </c>
      <c r="M1749" s="2" t="s">
        <v>87</v>
      </c>
      <c r="N1749" s="2" t="s">
        <v>96</v>
      </c>
      <c r="O1749" s="2">
        <v>10</v>
      </c>
      <c r="P1749" s="2">
        <v>10</v>
      </c>
      <c r="Q1749" s="4">
        <v>5630</v>
      </c>
      <c r="R1749" s="4">
        <v>5810</v>
      </c>
      <c r="S1749" s="4">
        <v>239</v>
      </c>
      <c r="T1749" s="19">
        <f>(ProductionData[[#This Row],[Rejected_Qty]])/ProductionData[[#This Row],[Produced_Qty]]</f>
        <v>4.1135972461273665E-2</v>
      </c>
      <c r="U1749" s="19">
        <f>ProductionData[[#This Row],[Produced_Qty]]/ProductionData[[#This Row],[Planned_Qty]]</f>
        <v>1.0319715808170515</v>
      </c>
      <c r="V1749" s="2" t="s">
        <v>113</v>
      </c>
      <c r="W1749" s="11">
        <v>0</v>
      </c>
      <c r="X1749" s="13">
        <f>W1749/60</f>
        <v>0</v>
      </c>
      <c r="Y1749" s="2" t="s">
        <v>90</v>
      </c>
      <c r="Z1749" s="2">
        <v>33</v>
      </c>
      <c r="AA1749" s="2">
        <f>ProductionData[[#This Row],[Rejected_Qty]]*ProductionData[[#This Row],[Unit_Cost_INR]]</f>
        <v>7887</v>
      </c>
      <c r="AB1749" s="4">
        <v>38628</v>
      </c>
      <c r="AC1749" s="4">
        <v>5280</v>
      </c>
      <c r="AD1749" s="4">
        <v>5280</v>
      </c>
      <c r="AE1749" s="4">
        <v>38919</v>
      </c>
      <c r="AF1749" s="4">
        <v>9750</v>
      </c>
    </row>
    <row r="1750" spans="1:32">
      <c r="A1750" s="2" t="s">
        <v>3632</v>
      </c>
      <c r="B1750" s="3">
        <v>46279</v>
      </c>
      <c r="C1750" s="36" t="s">
        <v>64</v>
      </c>
      <c r="D1750" s="2">
        <f>MONTH(ProductionData[[#This Row],[Month]])</f>
        <v>9</v>
      </c>
      <c r="E1750" s="2" t="s">
        <v>116</v>
      </c>
      <c r="F1750" s="2" t="s">
        <v>66</v>
      </c>
      <c r="G1750" s="2" t="s">
        <v>174</v>
      </c>
      <c r="H1750" s="2" t="s">
        <v>175</v>
      </c>
      <c r="I1750" s="2" t="s">
        <v>176</v>
      </c>
      <c r="J1750" s="2" t="s">
        <v>443</v>
      </c>
      <c r="K1750" s="2" t="s">
        <v>444</v>
      </c>
      <c r="L1750" s="2" t="s">
        <v>3633</v>
      </c>
      <c r="M1750" s="2" t="s">
        <v>99</v>
      </c>
      <c r="N1750" s="2" t="s">
        <v>96</v>
      </c>
      <c r="O1750" s="2">
        <v>10</v>
      </c>
      <c r="P1750" s="2">
        <v>10</v>
      </c>
      <c r="Q1750" s="4">
        <v>5480</v>
      </c>
      <c r="R1750" s="4">
        <v>5270</v>
      </c>
      <c r="S1750" s="4">
        <v>104</v>
      </c>
      <c r="T1750" s="19">
        <f>(ProductionData[[#This Row],[Rejected_Qty]])/ProductionData[[#This Row],[Produced_Qty]]</f>
        <v>1.9734345351043642E-2</v>
      </c>
      <c r="U1750" s="19">
        <f>ProductionData[[#This Row],[Produced_Qty]]/ProductionData[[#This Row],[Planned_Qty]]</f>
        <v>0.96167883211678828</v>
      </c>
      <c r="V1750" s="2" t="s">
        <v>75</v>
      </c>
      <c r="W1750" s="11">
        <v>0</v>
      </c>
      <c r="X1750" s="13">
        <f>W1750/60</f>
        <v>0</v>
      </c>
      <c r="Y1750" s="2" t="s">
        <v>90</v>
      </c>
      <c r="Z1750" s="2">
        <v>33</v>
      </c>
      <c r="AA1750" s="2">
        <f>ProductionData[[#This Row],[Rejected_Qty]]*ProductionData[[#This Row],[Unit_Cost_INR]]</f>
        <v>3432</v>
      </c>
      <c r="AB1750" s="4">
        <v>38562</v>
      </c>
      <c r="AC1750" s="4">
        <v>5100</v>
      </c>
      <c r="AD1750" s="4">
        <v>5100</v>
      </c>
      <c r="AE1750" s="4">
        <v>38628</v>
      </c>
      <c r="AF1750" s="4">
        <v>9750</v>
      </c>
    </row>
    <row r="1751" spans="1:32">
      <c r="A1751" s="2" t="s">
        <v>3634</v>
      </c>
      <c r="B1751" s="3">
        <v>46277</v>
      </c>
      <c r="C1751" s="36" t="s">
        <v>64</v>
      </c>
      <c r="D1751" s="2">
        <f>MONTH(ProductionData[[#This Row],[Month]])</f>
        <v>9</v>
      </c>
      <c r="E1751" s="2" t="s">
        <v>65</v>
      </c>
      <c r="F1751" s="2" t="s">
        <v>80</v>
      </c>
      <c r="G1751" s="2" t="s">
        <v>174</v>
      </c>
      <c r="H1751" s="2" t="s">
        <v>175</v>
      </c>
      <c r="I1751" s="2" t="s">
        <v>176</v>
      </c>
      <c r="J1751" s="2" t="s">
        <v>443</v>
      </c>
      <c r="K1751" s="2" t="s">
        <v>444</v>
      </c>
      <c r="L1751" s="2" t="s">
        <v>3635</v>
      </c>
      <c r="M1751" s="2" t="s">
        <v>87</v>
      </c>
      <c r="N1751" s="2" t="s">
        <v>88</v>
      </c>
      <c r="O1751" s="2">
        <v>10</v>
      </c>
      <c r="P1751" s="2">
        <v>10</v>
      </c>
      <c r="Q1751" s="4">
        <v>5710</v>
      </c>
      <c r="R1751" s="4">
        <v>5460</v>
      </c>
      <c r="S1751" s="4">
        <v>127</v>
      </c>
      <c r="T1751" s="19">
        <f>(ProductionData[[#This Row],[Rejected_Qty]])/ProductionData[[#This Row],[Produced_Qty]]</f>
        <v>2.3260073260073261E-2</v>
      </c>
      <c r="U1751" s="19">
        <f>ProductionData[[#This Row],[Produced_Qty]]/ProductionData[[#This Row],[Planned_Qty]]</f>
        <v>0.95621716287215408</v>
      </c>
      <c r="V1751" s="2" t="s">
        <v>89</v>
      </c>
      <c r="W1751" s="11">
        <v>0</v>
      </c>
      <c r="X1751" s="13">
        <f>W1751/60</f>
        <v>0</v>
      </c>
      <c r="Y1751" s="2" t="s">
        <v>90</v>
      </c>
      <c r="Z1751" s="2">
        <v>33</v>
      </c>
      <c r="AA1751" s="2">
        <f>ProductionData[[#This Row],[Rejected_Qty]]*ProductionData[[#This Row],[Unit_Cost_INR]]</f>
        <v>4191</v>
      </c>
      <c r="AB1751" s="4">
        <v>37929</v>
      </c>
      <c r="AC1751" s="4">
        <v>4700</v>
      </c>
      <c r="AD1751" s="4">
        <v>4700</v>
      </c>
      <c r="AE1751" s="4">
        <v>38562</v>
      </c>
      <c r="AF1751" s="4">
        <v>9750</v>
      </c>
    </row>
    <row r="1752" spans="1:32">
      <c r="A1752" s="2" t="s">
        <v>3636</v>
      </c>
      <c r="B1752" s="3">
        <v>46288</v>
      </c>
      <c r="C1752" s="36" t="s">
        <v>64</v>
      </c>
      <c r="D1752" s="2">
        <f>MONTH(ProductionData[[#This Row],[Month]])</f>
        <v>9</v>
      </c>
      <c r="E1752" s="2" t="s">
        <v>79</v>
      </c>
      <c r="F1752" s="2" t="s">
        <v>66</v>
      </c>
      <c r="G1752" s="2" t="s">
        <v>174</v>
      </c>
      <c r="H1752" s="2" t="s">
        <v>175</v>
      </c>
      <c r="I1752" s="2" t="s">
        <v>176</v>
      </c>
      <c r="J1752" s="2" t="s">
        <v>443</v>
      </c>
      <c r="K1752" s="2" t="s">
        <v>444</v>
      </c>
      <c r="L1752" s="2" t="s">
        <v>3637</v>
      </c>
      <c r="M1752" s="2" t="s">
        <v>99</v>
      </c>
      <c r="N1752" s="2" t="s">
        <v>88</v>
      </c>
      <c r="O1752" s="2">
        <v>10</v>
      </c>
      <c r="P1752" s="2">
        <v>9</v>
      </c>
      <c r="Q1752" s="4">
        <v>5460</v>
      </c>
      <c r="R1752" s="4">
        <v>4890</v>
      </c>
      <c r="S1752" s="4">
        <v>103</v>
      </c>
      <c r="T1752" s="19">
        <f>(ProductionData[[#This Row],[Rejected_Qty]])/ProductionData[[#This Row],[Produced_Qty]]</f>
        <v>2.1063394683026586E-2</v>
      </c>
      <c r="U1752" s="19">
        <f>ProductionData[[#This Row],[Produced_Qty]]/ProductionData[[#This Row],[Planned_Qty]]</f>
        <v>0.89560439560439564</v>
      </c>
      <c r="V1752" s="2" t="s">
        <v>75</v>
      </c>
      <c r="W1752" s="11">
        <v>0</v>
      </c>
      <c r="X1752" s="13">
        <f>W1752/60</f>
        <v>0</v>
      </c>
      <c r="Y1752" s="2" t="s">
        <v>90</v>
      </c>
      <c r="Z1752" s="2">
        <v>33</v>
      </c>
      <c r="AA1752" s="2">
        <f>ProductionData[[#This Row],[Rejected_Qty]]*ProductionData[[#This Row],[Unit_Cost_INR]]</f>
        <v>3399</v>
      </c>
      <c r="AB1752" s="4">
        <v>38980</v>
      </c>
      <c r="AC1752" s="4">
        <v>5220</v>
      </c>
      <c r="AD1752" s="4">
        <v>5220</v>
      </c>
      <c r="AE1752" s="4">
        <v>38547</v>
      </c>
      <c r="AF1752" s="4">
        <v>9750</v>
      </c>
    </row>
    <row r="1753" spans="1:32">
      <c r="A1753" s="2" t="s">
        <v>3638</v>
      </c>
      <c r="B1753" s="3">
        <v>46267</v>
      </c>
      <c r="C1753" s="36" t="s">
        <v>64</v>
      </c>
      <c r="D1753" s="2">
        <f>MONTH(ProductionData[[#This Row],[Month]])</f>
        <v>9</v>
      </c>
      <c r="E1753" s="2" t="s">
        <v>79</v>
      </c>
      <c r="F1753" s="2" t="s">
        <v>66</v>
      </c>
      <c r="G1753" s="2" t="s">
        <v>174</v>
      </c>
      <c r="H1753" s="2" t="s">
        <v>175</v>
      </c>
      <c r="I1753" s="2" t="s">
        <v>176</v>
      </c>
      <c r="J1753" s="2" t="s">
        <v>443</v>
      </c>
      <c r="K1753" s="2" t="s">
        <v>444</v>
      </c>
      <c r="L1753" s="2" t="s">
        <v>3639</v>
      </c>
      <c r="M1753" s="2" t="s">
        <v>73</v>
      </c>
      <c r="N1753" s="2" t="s">
        <v>88</v>
      </c>
      <c r="O1753" s="2">
        <v>10</v>
      </c>
      <c r="P1753" s="2">
        <v>10</v>
      </c>
      <c r="Q1753" s="4">
        <v>5180</v>
      </c>
      <c r="R1753" s="4">
        <v>4910</v>
      </c>
      <c r="S1753" s="4">
        <v>158</v>
      </c>
      <c r="T1753" s="19">
        <f>(ProductionData[[#This Row],[Rejected_Qty]])/ProductionData[[#This Row],[Produced_Qty]]</f>
        <v>3.2179226069246433E-2</v>
      </c>
      <c r="U1753" s="19">
        <f>ProductionData[[#This Row],[Produced_Qty]]/ProductionData[[#This Row],[Planned_Qty]]</f>
        <v>0.94787644787644787</v>
      </c>
      <c r="V1753" s="2" t="s">
        <v>109</v>
      </c>
      <c r="W1753" s="11">
        <v>65</v>
      </c>
      <c r="X1753" s="13">
        <f>W1753/60</f>
        <v>1.0833333333333333</v>
      </c>
      <c r="Y1753" s="2" t="s">
        <v>76</v>
      </c>
      <c r="Z1753" s="2">
        <v>33</v>
      </c>
      <c r="AA1753" s="2">
        <f>ProductionData[[#This Row],[Rejected_Qty]]*ProductionData[[#This Row],[Unit_Cost_INR]]</f>
        <v>5214</v>
      </c>
      <c r="AB1753" s="4">
        <v>37806</v>
      </c>
      <c r="AC1753" s="4">
        <v>4330</v>
      </c>
      <c r="AD1753" s="4">
        <v>4330</v>
      </c>
      <c r="AE1753" s="4">
        <v>38228</v>
      </c>
      <c r="AF1753" s="4">
        <v>9750</v>
      </c>
    </row>
    <row r="1754" spans="1:32">
      <c r="A1754" s="2" t="s">
        <v>3640</v>
      </c>
      <c r="B1754" s="3">
        <v>46268</v>
      </c>
      <c r="C1754" s="36" t="s">
        <v>64</v>
      </c>
      <c r="D1754" s="2">
        <f>MONTH(ProductionData[[#This Row],[Month]])</f>
        <v>9</v>
      </c>
      <c r="E1754" s="2" t="s">
        <v>107</v>
      </c>
      <c r="F1754" s="2" t="s">
        <v>80</v>
      </c>
      <c r="G1754" s="2" t="s">
        <v>174</v>
      </c>
      <c r="H1754" s="2" t="s">
        <v>175</v>
      </c>
      <c r="I1754" s="2" t="s">
        <v>176</v>
      </c>
      <c r="J1754" s="2" t="s">
        <v>443</v>
      </c>
      <c r="K1754" s="2" t="s">
        <v>444</v>
      </c>
      <c r="L1754" s="2" t="s">
        <v>3641</v>
      </c>
      <c r="M1754" s="2" t="s">
        <v>102</v>
      </c>
      <c r="N1754" s="2" t="s">
        <v>88</v>
      </c>
      <c r="O1754" s="2">
        <v>10</v>
      </c>
      <c r="P1754" s="2">
        <v>10</v>
      </c>
      <c r="Q1754" s="4">
        <v>5080</v>
      </c>
      <c r="R1754" s="4">
        <v>4780</v>
      </c>
      <c r="S1754" s="4">
        <v>93</v>
      </c>
      <c r="T1754" s="19">
        <f>(ProductionData[[#This Row],[Rejected_Qty]])/ProductionData[[#This Row],[Produced_Qty]]</f>
        <v>1.9456066945606695E-2</v>
      </c>
      <c r="U1754" s="19">
        <f>ProductionData[[#This Row],[Produced_Qty]]/ProductionData[[#This Row],[Planned_Qty]]</f>
        <v>0.94094488188976377</v>
      </c>
      <c r="V1754" s="2" t="s">
        <v>103</v>
      </c>
      <c r="W1754" s="11">
        <v>25</v>
      </c>
      <c r="X1754" s="13">
        <f>W1754/60</f>
        <v>0.41666666666666669</v>
      </c>
      <c r="Y1754" s="2" t="s">
        <v>110</v>
      </c>
      <c r="Z1754" s="2">
        <v>33</v>
      </c>
      <c r="AA1754" s="2">
        <f>ProductionData[[#This Row],[Rejected_Qty]]*ProductionData[[#This Row],[Unit_Cost_INR]]</f>
        <v>3069</v>
      </c>
      <c r="AB1754" s="4">
        <v>37810</v>
      </c>
      <c r="AC1754" s="4">
        <v>4410</v>
      </c>
      <c r="AD1754" s="4">
        <v>4410</v>
      </c>
      <c r="AE1754" s="4">
        <v>38087</v>
      </c>
      <c r="AF1754" s="4">
        <v>9750</v>
      </c>
    </row>
    <row r="1755" spans="1:32">
      <c r="A1755" s="2" t="s">
        <v>3642</v>
      </c>
      <c r="B1755" s="3">
        <v>46277</v>
      </c>
      <c r="C1755" s="36" t="s">
        <v>64</v>
      </c>
      <c r="D1755" s="2">
        <f>MONTH(ProductionData[[#This Row],[Month]])</f>
        <v>9</v>
      </c>
      <c r="E1755" s="2" t="s">
        <v>65</v>
      </c>
      <c r="F1755" s="2" t="s">
        <v>66</v>
      </c>
      <c r="G1755" s="2" t="s">
        <v>174</v>
      </c>
      <c r="H1755" s="2" t="s">
        <v>175</v>
      </c>
      <c r="I1755" s="2" t="s">
        <v>176</v>
      </c>
      <c r="J1755" s="2" t="s">
        <v>443</v>
      </c>
      <c r="K1755" s="2" t="s">
        <v>444</v>
      </c>
      <c r="L1755" s="2" t="s">
        <v>3643</v>
      </c>
      <c r="M1755" s="2" t="s">
        <v>99</v>
      </c>
      <c r="N1755" s="2" t="s">
        <v>88</v>
      </c>
      <c r="O1755" s="2">
        <v>10</v>
      </c>
      <c r="P1755" s="2">
        <v>9</v>
      </c>
      <c r="Q1755" s="4">
        <v>5440</v>
      </c>
      <c r="R1755" s="4">
        <v>5020</v>
      </c>
      <c r="S1755" s="4">
        <v>96</v>
      </c>
      <c r="T1755" s="19">
        <f>(ProductionData[[#This Row],[Rejected_Qty]])/ProductionData[[#This Row],[Produced_Qty]]</f>
        <v>1.9123505976095617E-2</v>
      </c>
      <c r="U1755" s="19">
        <f>ProductionData[[#This Row],[Produced_Qty]]/ProductionData[[#This Row],[Planned_Qty]]</f>
        <v>0.92279411764705888</v>
      </c>
      <c r="V1755" s="2" t="s">
        <v>109</v>
      </c>
      <c r="W1755" s="11">
        <v>42</v>
      </c>
      <c r="X1755" s="13">
        <f>W1755/60</f>
        <v>0.7</v>
      </c>
      <c r="Y1755" s="2" t="s">
        <v>76</v>
      </c>
      <c r="Z1755" s="2">
        <v>33</v>
      </c>
      <c r="AA1755" s="2">
        <f>ProductionData[[#This Row],[Rejected_Qty]]*ProductionData[[#This Row],[Unit_Cost_INR]]</f>
        <v>3168</v>
      </c>
      <c r="AB1755" s="4">
        <v>37605</v>
      </c>
      <c r="AC1755" s="4">
        <v>4600</v>
      </c>
      <c r="AD1755" s="4">
        <v>4600</v>
      </c>
      <c r="AE1755" s="4">
        <v>37929</v>
      </c>
      <c r="AF1755" s="4">
        <v>9750</v>
      </c>
    </row>
    <row r="1756" spans="1:32">
      <c r="A1756" s="2" t="s">
        <v>3644</v>
      </c>
      <c r="B1756" s="3">
        <v>46268</v>
      </c>
      <c r="C1756" s="36" t="s">
        <v>64</v>
      </c>
      <c r="D1756" s="2">
        <f>MONTH(ProductionData[[#This Row],[Month]])</f>
        <v>9</v>
      </c>
      <c r="E1756" s="2" t="s">
        <v>107</v>
      </c>
      <c r="F1756" s="2" t="s">
        <v>93</v>
      </c>
      <c r="G1756" s="2" t="s">
        <v>174</v>
      </c>
      <c r="H1756" s="2" t="s">
        <v>175</v>
      </c>
      <c r="I1756" s="2" t="s">
        <v>176</v>
      </c>
      <c r="J1756" s="2" t="s">
        <v>443</v>
      </c>
      <c r="K1756" s="2" t="s">
        <v>444</v>
      </c>
      <c r="L1756" s="2" t="s">
        <v>3645</v>
      </c>
      <c r="M1756" s="2" t="s">
        <v>95</v>
      </c>
      <c r="N1756" s="2" t="s">
        <v>96</v>
      </c>
      <c r="O1756" s="2">
        <v>10</v>
      </c>
      <c r="P1756" s="2">
        <v>7</v>
      </c>
      <c r="Q1756" s="4">
        <v>5420</v>
      </c>
      <c r="R1756" s="4">
        <v>4740</v>
      </c>
      <c r="S1756" s="4">
        <v>143</v>
      </c>
      <c r="T1756" s="19">
        <f>(ProductionData[[#This Row],[Rejected_Qty]])/ProductionData[[#This Row],[Produced_Qty]]</f>
        <v>3.0168776371308017E-2</v>
      </c>
      <c r="U1756" s="19">
        <f>ProductionData[[#This Row],[Produced_Qty]]/ProductionData[[#This Row],[Planned_Qty]]</f>
        <v>0.87453874538745391</v>
      </c>
      <c r="V1756" s="2" t="s">
        <v>89</v>
      </c>
      <c r="W1756" s="11">
        <v>0</v>
      </c>
      <c r="X1756" s="13">
        <f>W1756/60</f>
        <v>0</v>
      </c>
      <c r="Y1756" s="2" t="s">
        <v>90</v>
      </c>
      <c r="Z1756" s="2">
        <v>33</v>
      </c>
      <c r="AA1756" s="2">
        <f>ProductionData[[#This Row],[Rejected_Qty]]*ProductionData[[#This Row],[Unit_Cost_INR]]</f>
        <v>4719</v>
      </c>
      <c r="AB1756" s="4">
        <v>38087</v>
      </c>
      <c r="AC1756" s="4">
        <v>4820</v>
      </c>
      <c r="AD1756" s="4">
        <v>4820</v>
      </c>
      <c r="AE1756" s="4">
        <v>37864</v>
      </c>
      <c r="AF1756" s="4">
        <v>9750</v>
      </c>
    </row>
    <row r="1757" spans="1:32">
      <c r="A1757" s="2" t="s">
        <v>3646</v>
      </c>
      <c r="B1757" s="3">
        <v>46267</v>
      </c>
      <c r="C1757" s="36" t="s">
        <v>64</v>
      </c>
      <c r="D1757" s="2">
        <f>MONTH(ProductionData[[#This Row],[Month]])</f>
        <v>9</v>
      </c>
      <c r="E1757" s="2" t="s">
        <v>79</v>
      </c>
      <c r="F1757" s="2" t="s">
        <v>93</v>
      </c>
      <c r="G1757" s="2" t="s">
        <v>174</v>
      </c>
      <c r="H1757" s="2" t="s">
        <v>175</v>
      </c>
      <c r="I1757" s="2" t="s">
        <v>176</v>
      </c>
      <c r="J1757" s="2" t="s">
        <v>443</v>
      </c>
      <c r="K1757" s="2" t="s">
        <v>444</v>
      </c>
      <c r="L1757" s="2" t="s">
        <v>3647</v>
      </c>
      <c r="M1757" s="2" t="s">
        <v>95</v>
      </c>
      <c r="N1757" s="2" t="s">
        <v>88</v>
      </c>
      <c r="O1757" s="2">
        <v>10</v>
      </c>
      <c r="P1757" s="2">
        <v>7</v>
      </c>
      <c r="Q1757" s="4">
        <v>5470</v>
      </c>
      <c r="R1757" s="4">
        <v>4360</v>
      </c>
      <c r="S1757" s="4">
        <v>98</v>
      </c>
      <c r="T1757" s="19">
        <f>(ProductionData[[#This Row],[Rejected_Qty]])/ProductionData[[#This Row],[Produced_Qty]]</f>
        <v>2.2477064220183487E-2</v>
      </c>
      <c r="U1757" s="19">
        <f>ProductionData[[#This Row],[Produced_Qty]]/ProductionData[[#This Row],[Planned_Qty]]</f>
        <v>0.79707495429616093</v>
      </c>
      <c r="V1757" s="2" t="s">
        <v>75</v>
      </c>
      <c r="W1757" s="11">
        <v>56</v>
      </c>
      <c r="X1757" s="13">
        <f>W1757/60</f>
        <v>0.93333333333333335</v>
      </c>
      <c r="Y1757" s="2" t="s">
        <v>76</v>
      </c>
      <c r="Z1757" s="2">
        <v>33</v>
      </c>
      <c r="AA1757" s="2">
        <f>ProductionData[[#This Row],[Rejected_Qty]]*ProductionData[[#This Row],[Unit_Cost_INR]]</f>
        <v>3234</v>
      </c>
      <c r="AB1757" s="4">
        <v>38228</v>
      </c>
      <c r="AC1757" s="4">
        <v>4680</v>
      </c>
      <c r="AD1757" s="4">
        <v>4680</v>
      </c>
      <c r="AE1757" s="4">
        <v>37810</v>
      </c>
      <c r="AF1757" s="4">
        <v>9750</v>
      </c>
    </row>
    <row r="1758" spans="1:32">
      <c r="A1758" s="2" t="s">
        <v>3648</v>
      </c>
      <c r="B1758" s="3">
        <v>46266</v>
      </c>
      <c r="C1758" s="36" t="s">
        <v>64</v>
      </c>
      <c r="D1758" s="2">
        <f>MONTH(ProductionData[[#This Row],[Month]])</f>
        <v>9</v>
      </c>
      <c r="E1758" s="2" t="s">
        <v>92</v>
      </c>
      <c r="F1758" s="2" t="s">
        <v>80</v>
      </c>
      <c r="G1758" s="2" t="s">
        <v>174</v>
      </c>
      <c r="H1758" s="2" t="s">
        <v>175</v>
      </c>
      <c r="I1758" s="2" t="s">
        <v>176</v>
      </c>
      <c r="J1758" s="2" t="s">
        <v>443</v>
      </c>
      <c r="K1758" s="2" t="s">
        <v>444</v>
      </c>
      <c r="L1758" s="2" t="s">
        <v>3649</v>
      </c>
      <c r="M1758" s="2" t="s">
        <v>87</v>
      </c>
      <c r="N1758" s="2" t="s">
        <v>88</v>
      </c>
      <c r="O1758" s="2">
        <v>10</v>
      </c>
      <c r="P1758" s="2">
        <v>9</v>
      </c>
      <c r="Q1758" s="4">
        <v>5310</v>
      </c>
      <c r="R1758" s="4">
        <v>4960</v>
      </c>
      <c r="S1758" s="4">
        <v>121</v>
      </c>
      <c r="T1758" s="19">
        <f>(ProductionData[[#This Row],[Rejected_Qty]])/ProductionData[[#This Row],[Produced_Qty]]</f>
        <v>2.439516129032258E-2</v>
      </c>
      <c r="U1758" s="19">
        <f>ProductionData[[#This Row],[Produced_Qty]]/ProductionData[[#This Row],[Planned_Qty]]</f>
        <v>0.93408662900188322</v>
      </c>
      <c r="V1758" s="2" t="s">
        <v>89</v>
      </c>
      <c r="W1758" s="11">
        <v>19</v>
      </c>
      <c r="X1758" s="13">
        <f>W1758/60</f>
        <v>0.31666666666666665</v>
      </c>
      <c r="Y1758" s="2" t="s">
        <v>76</v>
      </c>
      <c r="Z1758" s="2">
        <v>33</v>
      </c>
      <c r="AA1758" s="2">
        <f>ProductionData[[#This Row],[Rejected_Qty]]*ProductionData[[#This Row],[Unit_Cost_INR]]</f>
        <v>3993</v>
      </c>
      <c r="AB1758" s="4">
        <v>37777</v>
      </c>
      <c r="AC1758" s="4">
        <v>4810</v>
      </c>
      <c r="AD1758" s="4">
        <v>4810</v>
      </c>
      <c r="AE1758" s="4">
        <v>37806</v>
      </c>
      <c r="AF1758" s="4">
        <v>9750</v>
      </c>
    </row>
    <row r="1759" spans="1:32">
      <c r="A1759" s="2" t="s">
        <v>3650</v>
      </c>
      <c r="B1759" s="3">
        <v>46269</v>
      </c>
      <c r="C1759" s="36" t="s">
        <v>64</v>
      </c>
      <c r="D1759" s="2">
        <f>MONTH(ProductionData[[#This Row],[Month]])</f>
        <v>9</v>
      </c>
      <c r="E1759" s="2" t="s">
        <v>125</v>
      </c>
      <c r="F1759" s="2" t="s">
        <v>80</v>
      </c>
      <c r="G1759" s="2" t="s">
        <v>174</v>
      </c>
      <c r="H1759" s="2" t="s">
        <v>175</v>
      </c>
      <c r="I1759" s="2" t="s">
        <v>176</v>
      </c>
      <c r="J1759" s="2" t="s">
        <v>443</v>
      </c>
      <c r="K1759" s="2" t="s">
        <v>444</v>
      </c>
      <c r="L1759" s="2" t="s">
        <v>3651</v>
      </c>
      <c r="M1759" s="2" t="s">
        <v>102</v>
      </c>
      <c r="N1759" s="2" t="s">
        <v>96</v>
      </c>
      <c r="O1759" s="2">
        <v>10</v>
      </c>
      <c r="P1759" s="2">
        <v>9</v>
      </c>
      <c r="Q1759" s="4">
        <v>5580</v>
      </c>
      <c r="R1759" s="4">
        <v>5150</v>
      </c>
      <c r="S1759" s="4">
        <v>159</v>
      </c>
      <c r="T1759" s="19">
        <f>(ProductionData[[#This Row],[Rejected_Qty]])/ProductionData[[#This Row],[Produced_Qty]]</f>
        <v>3.0873786407766991E-2</v>
      </c>
      <c r="U1759" s="19">
        <f>ProductionData[[#This Row],[Produced_Qty]]/ProductionData[[#This Row],[Planned_Qty]]</f>
        <v>0.92293906810035842</v>
      </c>
      <c r="V1759" s="2" t="s">
        <v>113</v>
      </c>
      <c r="W1759" s="11">
        <v>37</v>
      </c>
      <c r="X1759" s="13">
        <f>W1759/60</f>
        <v>0.6166666666666667</v>
      </c>
      <c r="Y1759" s="2" t="s">
        <v>114</v>
      </c>
      <c r="Z1759" s="2">
        <v>33</v>
      </c>
      <c r="AA1759" s="2">
        <f>ProductionData[[#This Row],[Rejected_Qty]]*ProductionData[[#This Row],[Unit_Cost_INR]]</f>
        <v>5247</v>
      </c>
      <c r="AB1759" s="4">
        <v>37864</v>
      </c>
      <c r="AC1759" s="4">
        <v>5080</v>
      </c>
      <c r="AD1759" s="4">
        <v>5080</v>
      </c>
      <c r="AE1759" s="4">
        <v>37775</v>
      </c>
      <c r="AF1759" s="4">
        <v>9750</v>
      </c>
    </row>
    <row r="1760" spans="1:32">
      <c r="A1760" s="2" t="s">
        <v>3652</v>
      </c>
      <c r="B1760" s="3">
        <v>46276</v>
      </c>
      <c r="C1760" s="36" t="s">
        <v>64</v>
      </c>
      <c r="D1760" s="2">
        <f>MONTH(ProductionData[[#This Row],[Month]])</f>
        <v>9</v>
      </c>
      <c r="E1760" s="2" t="s">
        <v>125</v>
      </c>
      <c r="F1760" s="2" t="s">
        <v>66</v>
      </c>
      <c r="G1760" s="2" t="s">
        <v>174</v>
      </c>
      <c r="H1760" s="2" t="s">
        <v>175</v>
      </c>
      <c r="I1760" s="2" t="s">
        <v>176</v>
      </c>
      <c r="J1760" s="2" t="s">
        <v>443</v>
      </c>
      <c r="K1760" s="2" t="s">
        <v>444</v>
      </c>
      <c r="L1760" s="2" t="s">
        <v>3653</v>
      </c>
      <c r="M1760" s="2" t="s">
        <v>99</v>
      </c>
      <c r="N1760" s="2" t="s">
        <v>96</v>
      </c>
      <c r="O1760" s="2">
        <v>10</v>
      </c>
      <c r="P1760" s="2">
        <v>10</v>
      </c>
      <c r="Q1760" s="4">
        <v>5700</v>
      </c>
      <c r="R1760" s="4">
        <v>5470</v>
      </c>
      <c r="S1760" s="4">
        <v>246</v>
      </c>
      <c r="T1760" s="19">
        <f>(ProductionData[[#This Row],[Rejected_Qty]])/ProductionData[[#This Row],[Produced_Qty]]</f>
        <v>4.497257769652651E-2</v>
      </c>
      <c r="U1760" s="19">
        <f>ProductionData[[#This Row],[Produced_Qty]]/ProductionData[[#This Row],[Planned_Qty]]</f>
        <v>0.95964912280701753</v>
      </c>
      <c r="V1760" s="2" t="s">
        <v>75</v>
      </c>
      <c r="W1760" s="11">
        <v>0</v>
      </c>
      <c r="X1760" s="13">
        <f>W1760/60</f>
        <v>0</v>
      </c>
      <c r="Y1760" s="2" t="s">
        <v>90</v>
      </c>
      <c r="Z1760" s="2">
        <v>33</v>
      </c>
      <c r="AA1760" s="2">
        <f>ProductionData[[#This Row],[Rejected_Qty]]*ProductionData[[#This Row],[Unit_Cost_INR]]</f>
        <v>8118</v>
      </c>
      <c r="AB1760" s="4">
        <v>37571</v>
      </c>
      <c r="AC1760" s="4">
        <v>5190</v>
      </c>
      <c r="AD1760" s="4">
        <v>5190</v>
      </c>
      <c r="AE1760" s="4">
        <v>37605</v>
      </c>
      <c r="AF1760" s="4">
        <v>9750</v>
      </c>
    </row>
    <row r="1761" spans="1:32">
      <c r="A1761" s="2" t="s">
        <v>3654</v>
      </c>
      <c r="B1761" s="3">
        <v>46272</v>
      </c>
      <c r="C1761" s="36" t="s">
        <v>64</v>
      </c>
      <c r="D1761" s="2">
        <f>MONTH(ProductionData[[#This Row],[Month]])</f>
        <v>9</v>
      </c>
      <c r="E1761" s="2" t="s">
        <v>116</v>
      </c>
      <c r="F1761" s="2" t="s">
        <v>80</v>
      </c>
      <c r="G1761" s="2" t="s">
        <v>174</v>
      </c>
      <c r="H1761" s="2" t="s">
        <v>175</v>
      </c>
      <c r="I1761" s="2" t="s">
        <v>176</v>
      </c>
      <c r="J1761" s="2" t="s">
        <v>443</v>
      </c>
      <c r="K1761" s="2" t="s">
        <v>444</v>
      </c>
      <c r="L1761" s="2" t="s">
        <v>3655</v>
      </c>
      <c r="M1761" s="2" t="s">
        <v>87</v>
      </c>
      <c r="N1761" s="2" t="s">
        <v>88</v>
      </c>
      <c r="O1761" s="2">
        <v>10</v>
      </c>
      <c r="P1761" s="2">
        <v>10</v>
      </c>
      <c r="Q1761" s="4">
        <v>5410</v>
      </c>
      <c r="R1761" s="4">
        <v>5180</v>
      </c>
      <c r="S1761" s="4">
        <v>140</v>
      </c>
      <c r="T1761" s="19">
        <f>(ProductionData[[#This Row],[Rejected_Qty]])/ProductionData[[#This Row],[Produced_Qty]]</f>
        <v>2.7027027027027029E-2</v>
      </c>
      <c r="U1761" s="19">
        <f>ProductionData[[#This Row],[Produced_Qty]]/ProductionData[[#This Row],[Planned_Qty]]</f>
        <v>0.95748613678373384</v>
      </c>
      <c r="V1761" s="2" t="s">
        <v>75</v>
      </c>
      <c r="W1761" s="11">
        <v>0</v>
      </c>
      <c r="X1761" s="13">
        <f>W1761/60</f>
        <v>0</v>
      </c>
      <c r="Y1761" s="2" t="s">
        <v>90</v>
      </c>
      <c r="Z1761" s="2">
        <v>33</v>
      </c>
      <c r="AA1761" s="2">
        <f>ProductionData[[#This Row],[Rejected_Qty]]*ProductionData[[#This Row],[Unit_Cost_INR]]</f>
        <v>4620</v>
      </c>
      <c r="AB1761" s="4">
        <v>37221</v>
      </c>
      <c r="AC1761" s="4">
        <v>4690</v>
      </c>
      <c r="AD1761" s="4">
        <v>4690</v>
      </c>
      <c r="AE1761" s="4">
        <v>37571</v>
      </c>
      <c r="AF1761" s="4">
        <v>9750</v>
      </c>
    </row>
    <row r="1762" spans="1:32">
      <c r="A1762" s="2" t="s">
        <v>3656</v>
      </c>
      <c r="B1762" s="3">
        <v>46270</v>
      </c>
      <c r="C1762" s="36" t="s">
        <v>64</v>
      </c>
      <c r="D1762" s="2">
        <f>MONTH(ProductionData[[#This Row],[Month]])</f>
        <v>9</v>
      </c>
      <c r="E1762" s="2" t="s">
        <v>65</v>
      </c>
      <c r="F1762" s="2" t="s">
        <v>80</v>
      </c>
      <c r="G1762" s="2" t="s">
        <v>174</v>
      </c>
      <c r="H1762" s="2" t="s">
        <v>175</v>
      </c>
      <c r="I1762" s="2" t="s">
        <v>176</v>
      </c>
      <c r="J1762" s="2" t="s">
        <v>443</v>
      </c>
      <c r="K1762" s="2" t="s">
        <v>444</v>
      </c>
      <c r="L1762" s="2" t="s">
        <v>3657</v>
      </c>
      <c r="M1762" s="2" t="s">
        <v>102</v>
      </c>
      <c r="N1762" s="2" t="s">
        <v>88</v>
      </c>
      <c r="O1762" s="2">
        <v>10</v>
      </c>
      <c r="P1762" s="2">
        <v>10</v>
      </c>
      <c r="Q1762" s="4">
        <v>5870</v>
      </c>
      <c r="R1762" s="4">
        <v>5270</v>
      </c>
      <c r="S1762" s="4">
        <v>114</v>
      </c>
      <c r="T1762" s="19">
        <f>(ProductionData[[#This Row],[Rejected_Qty]])/ProductionData[[#This Row],[Produced_Qty]]</f>
        <v>2.1631878557874764E-2</v>
      </c>
      <c r="U1762" s="19">
        <f>ProductionData[[#This Row],[Produced_Qty]]/ProductionData[[#This Row],[Planned_Qty]]</f>
        <v>0.89778534923339015</v>
      </c>
      <c r="V1762" s="2" t="s">
        <v>109</v>
      </c>
      <c r="W1762" s="11">
        <v>49</v>
      </c>
      <c r="X1762" s="13">
        <f>W1762/60</f>
        <v>0.81666666666666665</v>
      </c>
      <c r="Y1762" s="2" t="s">
        <v>114</v>
      </c>
      <c r="Z1762" s="2">
        <v>33</v>
      </c>
      <c r="AA1762" s="2">
        <f>ProductionData[[#This Row],[Rejected_Qty]]*ProductionData[[#This Row],[Unit_Cost_INR]]</f>
        <v>3762</v>
      </c>
      <c r="AB1762" s="4">
        <v>37775</v>
      </c>
      <c r="AC1762" s="4">
        <v>5710</v>
      </c>
      <c r="AD1762" s="4">
        <v>5710</v>
      </c>
      <c r="AE1762" s="4">
        <v>37221</v>
      </c>
      <c r="AF1762" s="4">
        <v>9750</v>
      </c>
    </row>
    <row r="1763" spans="1:32">
      <c r="A1763" s="2" t="s">
        <v>3658</v>
      </c>
      <c r="B1763" s="3">
        <v>46295</v>
      </c>
      <c r="C1763" s="36" t="s">
        <v>64</v>
      </c>
      <c r="D1763" s="2">
        <f>MONTH(ProductionData[[#This Row],[Month]])</f>
        <v>9</v>
      </c>
      <c r="E1763" s="2" t="s">
        <v>79</v>
      </c>
      <c r="F1763" s="2" t="s">
        <v>80</v>
      </c>
      <c r="G1763" s="2" t="s">
        <v>195</v>
      </c>
      <c r="H1763" s="2" t="s">
        <v>196</v>
      </c>
      <c r="I1763" s="2" t="s">
        <v>197</v>
      </c>
      <c r="J1763" s="2" t="s">
        <v>269</v>
      </c>
      <c r="K1763" s="2" t="s">
        <v>270</v>
      </c>
      <c r="L1763" s="2" t="s">
        <v>3659</v>
      </c>
      <c r="M1763" s="2" t="s">
        <v>102</v>
      </c>
      <c r="N1763" s="2" t="s">
        <v>88</v>
      </c>
      <c r="O1763" s="2">
        <v>14</v>
      </c>
      <c r="P1763" s="2">
        <v>14</v>
      </c>
      <c r="Q1763" s="4">
        <v>7840</v>
      </c>
      <c r="R1763" s="4">
        <v>7660</v>
      </c>
      <c r="S1763" s="4">
        <v>244</v>
      </c>
      <c r="T1763" s="19">
        <f>(ProductionData[[#This Row],[Rejected_Qty]])/ProductionData[[#This Row],[Produced_Qty]]</f>
        <v>3.1853785900783291E-2</v>
      </c>
      <c r="U1763" s="19">
        <f>ProductionData[[#This Row],[Produced_Qty]]/ProductionData[[#This Row],[Planned_Qty]]</f>
        <v>0.97704081632653061</v>
      </c>
      <c r="V1763" s="2" t="s">
        <v>103</v>
      </c>
      <c r="W1763" s="11">
        <v>0</v>
      </c>
      <c r="X1763" s="13">
        <f>W1763/60</f>
        <v>0</v>
      </c>
      <c r="Y1763" s="2" t="s">
        <v>90</v>
      </c>
      <c r="Z1763" s="2">
        <v>42</v>
      </c>
      <c r="AA1763" s="2">
        <f>ProductionData[[#This Row],[Rejected_Qty]]*ProductionData[[#This Row],[Unit_Cost_INR]]</f>
        <v>10248</v>
      </c>
      <c r="AB1763" s="4">
        <v>35687</v>
      </c>
      <c r="AC1763" s="4">
        <v>7120</v>
      </c>
      <c r="AD1763" s="4">
        <v>7120</v>
      </c>
      <c r="AE1763" s="4">
        <v>35983</v>
      </c>
      <c r="AF1763" s="4">
        <v>12000</v>
      </c>
    </row>
    <row r="1764" spans="1:32">
      <c r="A1764" s="2" t="s">
        <v>3660</v>
      </c>
      <c r="B1764" s="3">
        <v>46295</v>
      </c>
      <c r="C1764" s="36" t="s">
        <v>64</v>
      </c>
      <c r="D1764" s="2">
        <f>MONTH(ProductionData[[#This Row],[Month]])</f>
        <v>9</v>
      </c>
      <c r="E1764" s="2" t="s">
        <v>79</v>
      </c>
      <c r="F1764" s="2" t="s">
        <v>66</v>
      </c>
      <c r="G1764" s="2" t="s">
        <v>195</v>
      </c>
      <c r="H1764" s="2" t="s">
        <v>196</v>
      </c>
      <c r="I1764" s="2" t="s">
        <v>197</v>
      </c>
      <c r="J1764" s="2" t="s">
        <v>269</v>
      </c>
      <c r="K1764" s="2" t="s">
        <v>270</v>
      </c>
      <c r="L1764" s="2" t="s">
        <v>3661</v>
      </c>
      <c r="M1764" s="2" t="s">
        <v>73</v>
      </c>
      <c r="N1764" s="2" t="s">
        <v>96</v>
      </c>
      <c r="O1764" s="2">
        <v>14</v>
      </c>
      <c r="P1764" s="2">
        <v>12</v>
      </c>
      <c r="Q1764" s="4">
        <v>8150</v>
      </c>
      <c r="R1764" s="4">
        <v>7750</v>
      </c>
      <c r="S1764" s="4">
        <v>319</v>
      </c>
      <c r="T1764" s="19">
        <f>(ProductionData[[#This Row],[Rejected_Qty]])/ProductionData[[#This Row],[Produced_Qty]]</f>
        <v>4.1161290322580646E-2</v>
      </c>
      <c r="U1764" s="19">
        <f>ProductionData[[#This Row],[Produced_Qty]]/ProductionData[[#This Row],[Planned_Qty]]</f>
        <v>0.95092024539877296</v>
      </c>
      <c r="V1764" s="2" t="s">
        <v>75</v>
      </c>
      <c r="W1764" s="11">
        <v>54</v>
      </c>
      <c r="X1764" s="13">
        <f>W1764/60</f>
        <v>0.9</v>
      </c>
      <c r="Y1764" s="2" t="s">
        <v>110</v>
      </c>
      <c r="Z1764" s="2">
        <v>42</v>
      </c>
      <c r="AA1764" s="2">
        <f>ProductionData[[#This Row],[Rejected_Qty]]*ProductionData[[#This Row],[Unit_Cost_INR]]</f>
        <v>13398</v>
      </c>
      <c r="AB1764" s="4">
        <v>35466</v>
      </c>
      <c r="AC1764" s="4">
        <v>7210</v>
      </c>
      <c r="AD1764" s="4">
        <v>7210</v>
      </c>
      <c r="AE1764" s="4">
        <v>35687</v>
      </c>
      <c r="AF1764" s="4">
        <v>12000</v>
      </c>
    </row>
    <row r="1765" spans="1:32">
      <c r="A1765" s="2" t="s">
        <v>3662</v>
      </c>
      <c r="B1765" s="3">
        <v>46293</v>
      </c>
      <c r="C1765" s="36" t="s">
        <v>64</v>
      </c>
      <c r="D1765" s="2">
        <f>MONTH(ProductionData[[#This Row],[Month]])</f>
        <v>9</v>
      </c>
      <c r="E1765" s="2" t="s">
        <v>116</v>
      </c>
      <c r="F1765" s="2" t="s">
        <v>80</v>
      </c>
      <c r="G1765" s="2" t="s">
        <v>195</v>
      </c>
      <c r="H1765" s="2" t="s">
        <v>196</v>
      </c>
      <c r="I1765" s="2" t="s">
        <v>197</v>
      </c>
      <c r="J1765" s="2" t="s">
        <v>269</v>
      </c>
      <c r="K1765" s="2" t="s">
        <v>270</v>
      </c>
      <c r="L1765" s="2" t="s">
        <v>3663</v>
      </c>
      <c r="M1765" s="2" t="s">
        <v>87</v>
      </c>
      <c r="N1765" s="2" t="s">
        <v>96</v>
      </c>
      <c r="O1765" s="2">
        <v>14</v>
      </c>
      <c r="P1765" s="2">
        <v>14</v>
      </c>
      <c r="Q1765" s="4">
        <v>7550</v>
      </c>
      <c r="R1765" s="4">
        <v>7570</v>
      </c>
      <c r="S1765" s="4">
        <v>119</v>
      </c>
      <c r="T1765" s="19">
        <f>(ProductionData[[#This Row],[Rejected_Qty]])/ProductionData[[#This Row],[Produced_Qty]]</f>
        <v>1.5719947159841478E-2</v>
      </c>
      <c r="U1765" s="19">
        <f>ProductionData[[#This Row],[Produced_Qty]]/ProductionData[[#This Row],[Planned_Qty]]</f>
        <v>1.0026490066225167</v>
      </c>
      <c r="V1765" s="2" t="s">
        <v>75</v>
      </c>
      <c r="W1765" s="11">
        <v>0</v>
      </c>
      <c r="X1765" s="13">
        <f>W1765/60</f>
        <v>0</v>
      </c>
      <c r="Y1765" s="2" t="s">
        <v>90</v>
      </c>
      <c r="Z1765" s="2">
        <v>42</v>
      </c>
      <c r="AA1765" s="2">
        <f>ProductionData[[#This Row],[Rejected_Qty]]*ProductionData[[#This Row],[Unit_Cost_INR]]</f>
        <v>4998</v>
      </c>
      <c r="AB1765" s="4">
        <v>34472</v>
      </c>
      <c r="AC1765" s="4">
        <v>6340</v>
      </c>
      <c r="AD1765" s="4">
        <v>6340</v>
      </c>
      <c r="AE1765" s="4">
        <v>35583</v>
      </c>
      <c r="AF1765" s="4">
        <v>12000</v>
      </c>
    </row>
    <row r="1766" spans="1:32">
      <c r="A1766" s="2" t="s">
        <v>3664</v>
      </c>
      <c r="B1766" s="3">
        <v>46294</v>
      </c>
      <c r="C1766" s="36" t="s">
        <v>64</v>
      </c>
      <c r="D1766" s="2">
        <f>MONTH(ProductionData[[#This Row],[Month]])</f>
        <v>9</v>
      </c>
      <c r="E1766" s="2" t="s">
        <v>92</v>
      </c>
      <c r="F1766" s="2" t="s">
        <v>93</v>
      </c>
      <c r="G1766" s="2" t="s">
        <v>195</v>
      </c>
      <c r="H1766" s="2" t="s">
        <v>196</v>
      </c>
      <c r="I1766" s="2" t="s">
        <v>197</v>
      </c>
      <c r="J1766" s="2" t="s">
        <v>269</v>
      </c>
      <c r="K1766" s="2" t="s">
        <v>270</v>
      </c>
      <c r="L1766" s="2" t="s">
        <v>3665</v>
      </c>
      <c r="M1766" s="2" t="s">
        <v>133</v>
      </c>
      <c r="N1766" s="2" t="s">
        <v>88</v>
      </c>
      <c r="O1766" s="2">
        <v>14</v>
      </c>
      <c r="P1766" s="2">
        <v>13</v>
      </c>
      <c r="Q1766" s="4">
        <v>8100</v>
      </c>
      <c r="R1766" s="4">
        <v>7610</v>
      </c>
      <c r="S1766" s="4">
        <v>167</v>
      </c>
      <c r="T1766" s="19">
        <f>(ProductionData[[#This Row],[Rejected_Qty]])/ProductionData[[#This Row],[Produced_Qty]]</f>
        <v>2.1944809461235216E-2</v>
      </c>
      <c r="U1766" s="19">
        <f>ProductionData[[#This Row],[Produced_Qty]]/ProductionData[[#This Row],[Planned_Qty]]</f>
        <v>0.93950617283950622</v>
      </c>
      <c r="V1766" s="2" t="s">
        <v>113</v>
      </c>
      <c r="W1766" s="11">
        <v>0</v>
      </c>
      <c r="X1766" s="13">
        <f>W1766/60</f>
        <v>0</v>
      </c>
      <c r="Y1766" s="2" t="s">
        <v>90</v>
      </c>
      <c r="Z1766" s="2">
        <v>42</v>
      </c>
      <c r="AA1766" s="2">
        <f>ProductionData[[#This Row],[Rejected_Qty]]*ProductionData[[#This Row],[Unit_Cost_INR]]</f>
        <v>7014</v>
      </c>
      <c r="AB1766" s="4">
        <v>35583</v>
      </c>
      <c r="AC1766" s="4">
        <v>7560</v>
      </c>
      <c r="AD1766" s="4">
        <v>7560</v>
      </c>
      <c r="AE1766" s="4">
        <v>35466</v>
      </c>
      <c r="AF1766" s="4">
        <v>12000</v>
      </c>
    </row>
    <row r="1767" spans="1:32">
      <c r="A1767" s="2" t="s">
        <v>3666</v>
      </c>
      <c r="B1767" s="3">
        <v>46295</v>
      </c>
      <c r="C1767" s="36" t="s">
        <v>64</v>
      </c>
      <c r="D1767" s="2">
        <f>MONTH(ProductionData[[#This Row],[Month]])</f>
        <v>9</v>
      </c>
      <c r="E1767" s="2" t="s">
        <v>79</v>
      </c>
      <c r="F1767" s="2" t="s">
        <v>66</v>
      </c>
      <c r="G1767" s="2" t="s">
        <v>174</v>
      </c>
      <c r="H1767" s="2" t="s">
        <v>175</v>
      </c>
      <c r="I1767" s="2" t="s">
        <v>176</v>
      </c>
      <c r="J1767" s="2" t="s">
        <v>177</v>
      </c>
      <c r="K1767" s="2" t="s">
        <v>178</v>
      </c>
      <c r="L1767" s="2" t="s">
        <v>3667</v>
      </c>
      <c r="M1767" s="2" t="s">
        <v>99</v>
      </c>
      <c r="N1767" s="2" t="s">
        <v>88</v>
      </c>
      <c r="O1767" s="2">
        <v>10</v>
      </c>
      <c r="P1767" s="2">
        <v>9</v>
      </c>
      <c r="Q1767" s="4">
        <v>8130</v>
      </c>
      <c r="R1767" s="4">
        <v>7910</v>
      </c>
      <c r="S1767" s="4">
        <v>199</v>
      </c>
      <c r="T1767" s="19">
        <f>(ProductionData[[#This Row],[Rejected_Qty]])/ProductionData[[#This Row],[Produced_Qty]]</f>
        <v>2.515802781289507E-2</v>
      </c>
      <c r="U1767" s="19">
        <f>ProductionData[[#This Row],[Produced_Qty]]/ProductionData[[#This Row],[Planned_Qty]]</f>
        <v>0.97293972939729401</v>
      </c>
      <c r="V1767" s="2" t="s">
        <v>75</v>
      </c>
      <c r="W1767" s="11">
        <v>0</v>
      </c>
      <c r="X1767" s="13">
        <f>W1767/60</f>
        <v>0</v>
      </c>
      <c r="Y1767" s="2" t="s">
        <v>90</v>
      </c>
      <c r="Z1767" s="2">
        <v>24</v>
      </c>
      <c r="AA1767" s="2">
        <f>ProductionData[[#This Row],[Rejected_Qty]]*ProductionData[[#This Row],[Unit_Cost_INR]]</f>
        <v>4776</v>
      </c>
      <c r="AB1767" s="4">
        <v>34220</v>
      </c>
      <c r="AC1767" s="4">
        <v>7220</v>
      </c>
      <c r="AD1767" s="4">
        <v>7220</v>
      </c>
      <c r="AE1767" s="4">
        <v>34711</v>
      </c>
      <c r="AF1767" s="4">
        <v>12000</v>
      </c>
    </row>
    <row r="1768" spans="1:32">
      <c r="A1768" s="2" t="s">
        <v>3668</v>
      </c>
      <c r="B1768" s="3">
        <v>46270</v>
      </c>
      <c r="C1768" s="36" t="s">
        <v>64</v>
      </c>
      <c r="D1768" s="2">
        <f>MONTH(ProductionData[[#This Row],[Month]])</f>
        <v>9</v>
      </c>
      <c r="E1768" s="2" t="s">
        <v>65</v>
      </c>
      <c r="F1768" s="2" t="s">
        <v>80</v>
      </c>
      <c r="G1768" s="2" t="s">
        <v>195</v>
      </c>
      <c r="H1768" s="2" t="s">
        <v>196</v>
      </c>
      <c r="I1768" s="2" t="s">
        <v>197</v>
      </c>
      <c r="J1768" s="2" t="s">
        <v>269</v>
      </c>
      <c r="K1768" s="2" t="s">
        <v>270</v>
      </c>
      <c r="L1768" s="2" t="s">
        <v>3669</v>
      </c>
      <c r="M1768" s="2" t="s">
        <v>102</v>
      </c>
      <c r="N1768" s="2" t="s">
        <v>96</v>
      </c>
      <c r="O1768" s="2">
        <v>14</v>
      </c>
      <c r="P1768" s="2">
        <v>13</v>
      </c>
      <c r="Q1768" s="4">
        <v>8450</v>
      </c>
      <c r="R1768" s="4">
        <v>8190</v>
      </c>
      <c r="S1768" s="4">
        <v>190</v>
      </c>
      <c r="T1768" s="19">
        <f>(ProductionData[[#This Row],[Rejected_Qty]])/ProductionData[[#This Row],[Produced_Qty]]</f>
        <v>2.31990231990232E-2</v>
      </c>
      <c r="U1768" s="19">
        <f>ProductionData[[#This Row],[Produced_Qty]]/ProductionData[[#This Row],[Planned_Qty]]</f>
        <v>0.96923076923076923</v>
      </c>
      <c r="V1768" s="2" t="s">
        <v>75</v>
      </c>
      <c r="W1768" s="11">
        <v>0</v>
      </c>
      <c r="X1768" s="13">
        <f>W1768/60</f>
        <v>0</v>
      </c>
      <c r="Y1768" s="2" t="s">
        <v>90</v>
      </c>
      <c r="Z1768" s="2">
        <v>42</v>
      </c>
      <c r="AA1768" s="2">
        <f>ProductionData[[#This Row],[Rejected_Qty]]*ProductionData[[#This Row],[Unit_Cost_INR]]</f>
        <v>7980</v>
      </c>
      <c r="AB1768" s="4">
        <v>34424</v>
      </c>
      <c r="AC1768" s="4">
        <v>7750</v>
      </c>
      <c r="AD1768" s="4">
        <v>7750</v>
      </c>
      <c r="AE1768" s="4">
        <v>34674</v>
      </c>
      <c r="AF1768" s="4">
        <v>12000</v>
      </c>
    </row>
    <row r="1769" spans="1:32">
      <c r="A1769" s="2" t="s">
        <v>3670</v>
      </c>
      <c r="B1769" s="3">
        <v>46266</v>
      </c>
      <c r="C1769" s="36" t="s">
        <v>64</v>
      </c>
      <c r="D1769" s="2">
        <f>MONTH(ProductionData[[#This Row],[Month]])</f>
        <v>9</v>
      </c>
      <c r="E1769" s="2" t="s">
        <v>92</v>
      </c>
      <c r="F1769" s="2" t="s">
        <v>93</v>
      </c>
      <c r="G1769" s="2" t="s">
        <v>195</v>
      </c>
      <c r="H1769" s="2" t="s">
        <v>196</v>
      </c>
      <c r="I1769" s="2" t="s">
        <v>197</v>
      </c>
      <c r="J1769" s="2" t="s">
        <v>269</v>
      </c>
      <c r="K1769" s="2" t="s">
        <v>270</v>
      </c>
      <c r="L1769" s="2" t="s">
        <v>3671</v>
      </c>
      <c r="M1769" s="2" t="s">
        <v>95</v>
      </c>
      <c r="N1769" s="2" t="s">
        <v>88</v>
      </c>
      <c r="O1769" s="2">
        <v>14</v>
      </c>
      <c r="P1769" s="2">
        <v>13</v>
      </c>
      <c r="Q1769" s="4">
        <v>7080</v>
      </c>
      <c r="R1769" s="4">
        <v>6410</v>
      </c>
      <c r="S1769" s="4">
        <v>176</v>
      </c>
      <c r="T1769" s="19">
        <f>(ProductionData[[#This Row],[Rejected_Qty]])/ProductionData[[#This Row],[Produced_Qty]]</f>
        <v>2.7457098283931357E-2</v>
      </c>
      <c r="U1769" s="19">
        <f>ProductionData[[#This Row],[Produced_Qty]]/ProductionData[[#This Row],[Planned_Qty]]</f>
        <v>0.90536723163841804</v>
      </c>
      <c r="V1769" s="2" t="s">
        <v>75</v>
      </c>
      <c r="W1769" s="11">
        <v>0</v>
      </c>
      <c r="X1769" s="13">
        <f>W1769/60</f>
        <v>0</v>
      </c>
      <c r="Y1769" s="2" t="s">
        <v>90</v>
      </c>
      <c r="Z1769" s="2">
        <v>42</v>
      </c>
      <c r="AA1769" s="2">
        <f>ProductionData[[#This Row],[Rejected_Qty]]*ProductionData[[#This Row],[Unit_Cost_INR]]</f>
        <v>7392</v>
      </c>
      <c r="AB1769" s="4">
        <v>34234</v>
      </c>
      <c r="AC1769" s="4">
        <v>5990</v>
      </c>
      <c r="AD1769" s="4">
        <v>5990</v>
      </c>
      <c r="AE1769" s="4">
        <v>34478</v>
      </c>
      <c r="AF1769" s="4">
        <v>12000</v>
      </c>
    </row>
    <row r="1770" spans="1:32">
      <c r="A1770" s="2" t="s">
        <v>3672</v>
      </c>
      <c r="B1770" s="3">
        <v>46291</v>
      </c>
      <c r="C1770" s="36" t="s">
        <v>64</v>
      </c>
      <c r="D1770" s="2">
        <f>MONTH(ProductionData[[#This Row],[Month]])</f>
        <v>9</v>
      </c>
      <c r="E1770" s="2" t="s">
        <v>65</v>
      </c>
      <c r="F1770" s="2" t="s">
        <v>93</v>
      </c>
      <c r="G1770" s="2" t="s">
        <v>195</v>
      </c>
      <c r="H1770" s="2" t="s">
        <v>196</v>
      </c>
      <c r="I1770" s="2" t="s">
        <v>197</v>
      </c>
      <c r="J1770" s="2" t="s">
        <v>269</v>
      </c>
      <c r="K1770" s="2" t="s">
        <v>270</v>
      </c>
      <c r="L1770" s="2" t="s">
        <v>3673</v>
      </c>
      <c r="M1770" s="2" t="s">
        <v>133</v>
      </c>
      <c r="N1770" s="2" t="s">
        <v>88</v>
      </c>
      <c r="O1770" s="2">
        <v>14</v>
      </c>
      <c r="P1770" s="2">
        <v>14</v>
      </c>
      <c r="Q1770" s="4">
        <v>7990</v>
      </c>
      <c r="R1770" s="4">
        <v>7980</v>
      </c>
      <c r="S1770" s="4">
        <v>194</v>
      </c>
      <c r="T1770" s="19">
        <f>(ProductionData[[#This Row],[Rejected_Qty]])/ProductionData[[#This Row],[Produced_Qty]]</f>
        <v>2.431077694235589E-2</v>
      </c>
      <c r="U1770" s="19">
        <f>ProductionData[[#This Row],[Produced_Qty]]/ProductionData[[#This Row],[Planned_Qty]]</f>
        <v>0.99874843554443049</v>
      </c>
      <c r="V1770" s="2" t="s">
        <v>89</v>
      </c>
      <c r="W1770" s="11">
        <v>13</v>
      </c>
      <c r="X1770" s="13">
        <f>W1770/60</f>
        <v>0.21666666666666667</v>
      </c>
      <c r="Y1770" s="2" t="s">
        <v>76</v>
      </c>
      <c r="Z1770" s="2">
        <v>42</v>
      </c>
      <c r="AA1770" s="2">
        <f>ProductionData[[#This Row],[Rejected_Qty]]*ProductionData[[#This Row],[Unit_Cost_INR]]</f>
        <v>8148</v>
      </c>
      <c r="AB1770" s="4">
        <v>33336</v>
      </c>
      <c r="AC1770" s="4">
        <v>6650</v>
      </c>
      <c r="AD1770" s="4">
        <v>6650</v>
      </c>
      <c r="AE1770" s="4">
        <v>34472</v>
      </c>
      <c r="AF1770" s="4">
        <v>12000</v>
      </c>
    </row>
    <row r="1771" spans="1:32">
      <c r="A1771" s="2" t="s">
        <v>3674</v>
      </c>
      <c r="B1771" s="3">
        <v>46288</v>
      </c>
      <c r="C1771" s="36" t="s">
        <v>64</v>
      </c>
      <c r="D1771" s="2">
        <f>MONTH(ProductionData[[#This Row],[Month]])</f>
        <v>9</v>
      </c>
      <c r="E1771" s="2" t="s">
        <v>79</v>
      </c>
      <c r="F1771" s="2" t="s">
        <v>80</v>
      </c>
      <c r="G1771" s="2" t="s">
        <v>195</v>
      </c>
      <c r="H1771" s="2" t="s">
        <v>196</v>
      </c>
      <c r="I1771" s="2" t="s">
        <v>197</v>
      </c>
      <c r="J1771" s="2" t="s">
        <v>269</v>
      </c>
      <c r="K1771" s="2" t="s">
        <v>270</v>
      </c>
      <c r="L1771" s="2" t="s">
        <v>3675</v>
      </c>
      <c r="M1771" s="2" t="s">
        <v>102</v>
      </c>
      <c r="N1771" s="2" t="s">
        <v>96</v>
      </c>
      <c r="O1771" s="2">
        <v>14</v>
      </c>
      <c r="P1771" s="2">
        <v>13</v>
      </c>
      <c r="Q1771" s="4">
        <v>8090</v>
      </c>
      <c r="R1771" s="4">
        <v>7730</v>
      </c>
      <c r="S1771" s="4">
        <v>144</v>
      </c>
      <c r="T1771" s="19">
        <f>(ProductionData[[#This Row],[Rejected_Qty]])/ProductionData[[#This Row],[Produced_Qty]]</f>
        <v>1.8628719275549807E-2</v>
      </c>
      <c r="U1771" s="19">
        <f>ProductionData[[#This Row],[Produced_Qty]]/ProductionData[[#This Row],[Planned_Qty]]</f>
        <v>0.95550061804697162</v>
      </c>
      <c r="V1771" s="2" t="s">
        <v>89</v>
      </c>
      <c r="W1771" s="11">
        <v>0</v>
      </c>
      <c r="X1771" s="13">
        <f>W1771/60</f>
        <v>0</v>
      </c>
      <c r="Y1771" s="2" t="s">
        <v>90</v>
      </c>
      <c r="Z1771" s="2">
        <v>42</v>
      </c>
      <c r="AA1771" s="2">
        <f>ProductionData[[#This Row],[Rejected_Qty]]*ProductionData[[#This Row],[Unit_Cost_INR]]</f>
        <v>6048</v>
      </c>
      <c r="AB1771" s="4">
        <v>33992</v>
      </c>
      <c r="AC1771" s="4">
        <v>7150</v>
      </c>
      <c r="AD1771" s="4">
        <v>7150</v>
      </c>
      <c r="AE1771" s="4">
        <v>34428</v>
      </c>
      <c r="AF1771" s="4">
        <v>12000</v>
      </c>
    </row>
    <row r="1772" spans="1:32">
      <c r="A1772" s="2" t="s">
        <v>3676</v>
      </c>
      <c r="B1772" s="3">
        <v>46270</v>
      </c>
      <c r="C1772" s="36" t="s">
        <v>64</v>
      </c>
      <c r="D1772" s="2">
        <f>MONTH(ProductionData[[#This Row],[Month]])</f>
        <v>9</v>
      </c>
      <c r="E1772" s="2" t="s">
        <v>65</v>
      </c>
      <c r="F1772" s="2" t="s">
        <v>66</v>
      </c>
      <c r="G1772" s="2" t="s">
        <v>195</v>
      </c>
      <c r="H1772" s="2" t="s">
        <v>196</v>
      </c>
      <c r="I1772" s="2" t="s">
        <v>197</v>
      </c>
      <c r="J1772" s="2" t="s">
        <v>269</v>
      </c>
      <c r="K1772" s="2" t="s">
        <v>270</v>
      </c>
      <c r="L1772" s="2" t="s">
        <v>3677</v>
      </c>
      <c r="M1772" s="2" t="s">
        <v>73</v>
      </c>
      <c r="N1772" s="2" t="s">
        <v>88</v>
      </c>
      <c r="O1772" s="2">
        <v>14</v>
      </c>
      <c r="P1772" s="2">
        <v>14</v>
      </c>
      <c r="Q1772" s="4">
        <v>8140</v>
      </c>
      <c r="R1772" s="4">
        <v>7490</v>
      </c>
      <c r="S1772" s="4">
        <v>174</v>
      </c>
      <c r="T1772" s="19">
        <f>(ProductionData[[#This Row],[Rejected_Qty]])/ProductionData[[#This Row],[Produced_Qty]]</f>
        <v>2.3230974632843793E-2</v>
      </c>
      <c r="U1772" s="19">
        <f>ProductionData[[#This Row],[Produced_Qty]]/ProductionData[[#This Row],[Planned_Qty]]</f>
        <v>0.92014742014742013</v>
      </c>
      <c r="V1772" s="2" t="s">
        <v>113</v>
      </c>
      <c r="W1772" s="11">
        <v>12</v>
      </c>
      <c r="X1772" s="13">
        <f>W1772/60</f>
        <v>0.2</v>
      </c>
      <c r="Y1772" s="2" t="s">
        <v>114</v>
      </c>
      <c r="Z1772" s="2">
        <v>42</v>
      </c>
      <c r="AA1772" s="2">
        <f>ProductionData[[#This Row],[Rejected_Qty]]*ProductionData[[#This Row],[Unit_Cost_INR]]</f>
        <v>7308</v>
      </c>
      <c r="AB1772" s="4">
        <v>34478</v>
      </c>
      <c r="AC1772" s="4">
        <v>7370</v>
      </c>
      <c r="AD1772" s="4">
        <v>7370</v>
      </c>
      <c r="AE1772" s="4">
        <v>34424</v>
      </c>
      <c r="AF1772" s="4">
        <v>12000</v>
      </c>
    </row>
    <row r="1773" spans="1:32">
      <c r="A1773" s="2" t="s">
        <v>3678</v>
      </c>
      <c r="B1773" s="3">
        <v>46293</v>
      </c>
      <c r="C1773" s="36" t="s">
        <v>64</v>
      </c>
      <c r="D1773" s="2">
        <f>MONTH(ProductionData[[#This Row],[Month]])</f>
        <v>9</v>
      </c>
      <c r="E1773" s="2" t="s">
        <v>116</v>
      </c>
      <c r="F1773" s="2" t="s">
        <v>93</v>
      </c>
      <c r="G1773" s="2" t="s">
        <v>174</v>
      </c>
      <c r="H1773" s="2" t="s">
        <v>175</v>
      </c>
      <c r="I1773" s="2" t="s">
        <v>176</v>
      </c>
      <c r="J1773" s="2" t="s">
        <v>177</v>
      </c>
      <c r="K1773" s="2" t="s">
        <v>178</v>
      </c>
      <c r="L1773" s="2" t="s">
        <v>3679</v>
      </c>
      <c r="M1773" s="2" t="s">
        <v>95</v>
      </c>
      <c r="N1773" s="2" t="s">
        <v>96</v>
      </c>
      <c r="O1773" s="2">
        <v>10</v>
      </c>
      <c r="P1773" s="2">
        <v>9</v>
      </c>
      <c r="Q1773" s="4">
        <v>7970</v>
      </c>
      <c r="R1773" s="4">
        <v>7730</v>
      </c>
      <c r="S1773" s="4">
        <v>239</v>
      </c>
      <c r="T1773" s="19">
        <f>(ProductionData[[#This Row],[Rejected_Qty]])/ProductionData[[#This Row],[Produced_Qty]]</f>
        <v>3.0918499353169468E-2</v>
      </c>
      <c r="U1773" s="19">
        <f>ProductionData[[#This Row],[Produced_Qty]]/ProductionData[[#This Row],[Planned_Qty]]</f>
        <v>0.96988707653701378</v>
      </c>
      <c r="V1773" s="2" t="s">
        <v>75</v>
      </c>
      <c r="W1773" s="11">
        <v>0</v>
      </c>
      <c r="X1773" s="13">
        <f>W1773/60</f>
        <v>0</v>
      </c>
      <c r="Y1773" s="2" t="s">
        <v>90</v>
      </c>
      <c r="Z1773" s="2">
        <v>24</v>
      </c>
      <c r="AA1773" s="2">
        <f>ProductionData[[#This Row],[Rejected_Qty]]*ProductionData[[#This Row],[Unit_Cost_INR]]</f>
        <v>5736</v>
      </c>
      <c r="AB1773" s="4">
        <v>33293</v>
      </c>
      <c r="AC1773" s="4">
        <v>6460</v>
      </c>
      <c r="AD1773" s="4">
        <v>6460</v>
      </c>
      <c r="AE1773" s="4">
        <v>34324</v>
      </c>
      <c r="AF1773" s="4">
        <v>12000</v>
      </c>
    </row>
    <row r="1774" spans="1:32">
      <c r="A1774" s="2" t="s">
        <v>3680</v>
      </c>
      <c r="B1774" s="3">
        <v>46288</v>
      </c>
      <c r="C1774" s="36" t="s">
        <v>64</v>
      </c>
      <c r="D1774" s="2">
        <f>MONTH(ProductionData[[#This Row],[Month]])</f>
        <v>9</v>
      </c>
      <c r="E1774" s="2" t="s">
        <v>79</v>
      </c>
      <c r="F1774" s="2" t="s">
        <v>93</v>
      </c>
      <c r="G1774" s="2" t="s">
        <v>195</v>
      </c>
      <c r="H1774" s="2" t="s">
        <v>196</v>
      </c>
      <c r="I1774" s="2" t="s">
        <v>197</v>
      </c>
      <c r="J1774" s="2" t="s">
        <v>269</v>
      </c>
      <c r="K1774" s="2" t="s">
        <v>270</v>
      </c>
      <c r="L1774" s="2" t="s">
        <v>3681</v>
      </c>
      <c r="M1774" s="2" t="s">
        <v>95</v>
      </c>
      <c r="N1774" s="2" t="s">
        <v>96</v>
      </c>
      <c r="O1774" s="2">
        <v>14</v>
      </c>
      <c r="P1774" s="2">
        <v>13</v>
      </c>
      <c r="Q1774" s="4">
        <v>7140</v>
      </c>
      <c r="R1774" s="4">
        <v>6820</v>
      </c>
      <c r="S1774" s="4">
        <v>168</v>
      </c>
      <c r="T1774" s="19">
        <f>(ProductionData[[#This Row],[Rejected_Qty]])/ProductionData[[#This Row],[Produced_Qty]]</f>
        <v>2.463343108504399E-2</v>
      </c>
      <c r="U1774" s="19">
        <f>ProductionData[[#This Row],[Produced_Qty]]/ProductionData[[#This Row],[Planned_Qty]]</f>
        <v>0.9551820728291317</v>
      </c>
      <c r="V1774" s="2" t="s">
        <v>75</v>
      </c>
      <c r="W1774" s="11">
        <v>57</v>
      </c>
      <c r="X1774" s="13">
        <f>W1774/60</f>
        <v>0.95</v>
      </c>
      <c r="Y1774" s="2" t="s">
        <v>76</v>
      </c>
      <c r="Z1774" s="2">
        <v>42</v>
      </c>
      <c r="AA1774" s="2">
        <f>ProductionData[[#This Row],[Rejected_Qty]]*ProductionData[[#This Row],[Unit_Cost_INR]]</f>
        <v>7056</v>
      </c>
      <c r="AB1774" s="4">
        <v>34428</v>
      </c>
      <c r="AC1774" s="4">
        <v>6770</v>
      </c>
      <c r="AD1774" s="4">
        <v>6770</v>
      </c>
      <c r="AE1774" s="4">
        <v>34310</v>
      </c>
      <c r="AF1774" s="4">
        <v>12000</v>
      </c>
    </row>
    <row r="1775" spans="1:32">
      <c r="A1775" s="2" t="s">
        <v>3682</v>
      </c>
      <c r="B1775" s="3">
        <v>46295</v>
      </c>
      <c r="C1775" s="36" t="s">
        <v>64</v>
      </c>
      <c r="D1775" s="2">
        <f>MONTH(ProductionData[[#This Row],[Month]])</f>
        <v>9</v>
      </c>
      <c r="E1775" s="2" t="s">
        <v>79</v>
      </c>
      <c r="F1775" s="2" t="s">
        <v>80</v>
      </c>
      <c r="G1775" s="2" t="s">
        <v>174</v>
      </c>
      <c r="H1775" s="2" t="s">
        <v>175</v>
      </c>
      <c r="I1775" s="2" t="s">
        <v>176</v>
      </c>
      <c r="J1775" s="2" t="s">
        <v>177</v>
      </c>
      <c r="K1775" s="2" t="s">
        <v>178</v>
      </c>
      <c r="L1775" s="2" t="s">
        <v>3683</v>
      </c>
      <c r="M1775" s="2" t="s">
        <v>102</v>
      </c>
      <c r="N1775" s="2" t="s">
        <v>96</v>
      </c>
      <c r="O1775" s="2">
        <v>10</v>
      </c>
      <c r="P1775" s="2">
        <v>10</v>
      </c>
      <c r="Q1775" s="4">
        <v>7630</v>
      </c>
      <c r="R1775" s="4">
        <v>7420</v>
      </c>
      <c r="S1775" s="4">
        <v>202</v>
      </c>
      <c r="T1775" s="19">
        <f>(ProductionData[[#This Row],[Rejected_Qty]])/ProductionData[[#This Row],[Produced_Qty]]</f>
        <v>2.7223719676549865E-2</v>
      </c>
      <c r="U1775" s="19">
        <f>ProductionData[[#This Row],[Produced_Qty]]/ProductionData[[#This Row],[Planned_Qty]]</f>
        <v>0.97247706422018354</v>
      </c>
      <c r="V1775" s="2" t="s">
        <v>113</v>
      </c>
      <c r="W1775" s="11">
        <v>0</v>
      </c>
      <c r="X1775" s="13">
        <f>W1775/60</f>
        <v>0</v>
      </c>
      <c r="Y1775" s="2" t="s">
        <v>90</v>
      </c>
      <c r="Z1775" s="2">
        <v>24</v>
      </c>
      <c r="AA1775" s="2">
        <f>ProductionData[[#This Row],[Rejected_Qty]]*ProductionData[[#This Row],[Unit_Cost_INR]]</f>
        <v>4848</v>
      </c>
      <c r="AB1775" s="4">
        <v>34711</v>
      </c>
      <c r="AC1775" s="4">
        <v>7680</v>
      </c>
      <c r="AD1775" s="4">
        <v>7680</v>
      </c>
      <c r="AE1775" s="4">
        <v>34249</v>
      </c>
      <c r="AF1775" s="4">
        <v>12000</v>
      </c>
    </row>
    <row r="1776" spans="1:32">
      <c r="A1776" s="2" t="s">
        <v>3684</v>
      </c>
      <c r="B1776" s="3">
        <v>46270</v>
      </c>
      <c r="C1776" s="36" t="s">
        <v>64</v>
      </c>
      <c r="D1776" s="2">
        <f>MONTH(ProductionData[[#This Row],[Month]])</f>
        <v>9</v>
      </c>
      <c r="E1776" s="2" t="s">
        <v>65</v>
      </c>
      <c r="F1776" s="2" t="s">
        <v>93</v>
      </c>
      <c r="G1776" s="2" t="s">
        <v>195</v>
      </c>
      <c r="H1776" s="2" t="s">
        <v>196</v>
      </c>
      <c r="I1776" s="2" t="s">
        <v>197</v>
      </c>
      <c r="J1776" s="2" t="s">
        <v>269</v>
      </c>
      <c r="K1776" s="2" t="s">
        <v>270</v>
      </c>
      <c r="L1776" s="2" t="s">
        <v>3685</v>
      </c>
      <c r="M1776" s="2" t="s">
        <v>95</v>
      </c>
      <c r="N1776" s="2" t="s">
        <v>88</v>
      </c>
      <c r="O1776" s="2">
        <v>14</v>
      </c>
      <c r="P1776" s="2">
        <v>14</v>
      </c>
      <c r="Q1776" s="4">
        <v>7290</v>
      </c>
      <c r="R1776" s="4">
        <v>7140</v>
      </c>
      <c r="S1776" s="4">
        <v>187</v>
      </c>
      <c r="T1776" s="19">
        <f>(ProductionData[[#This Row],[Rejected_Qty]])/ProductionData[[#This Row],[Produced_Qty]]</f>
        <v>2.6190476190476191E-2</v>
      </c>
      <c r="U1776" s="19">
        <f>ProductionData[[#This Row],[Produced_Qty]]/ProductionData[[#This Row],[Planned_Qty]]</f>
        <v>0.97942386831275718</v>
      </c>
      <c r="V1776" s="2" t="s">
        <v>75</v>
      </c>
      <c r="W1776" s="11">
        <v>36</v>
      </c>
      <c r="X1776" s="13">
        <f>W1776/60</f>
        <v>0.6</v>
      </c>
      <c r="Y1776" s="2" t="s">
        <v>136</v>
      </c>
      <c r="Z1776" s="2">
        <v>42</v>
      </c>
      <c r="AA1776" s="2">
        <f>ProductionData[[#This Row],[Rejected_Qty]]*ProductionData[[#This Row],[Unit_Cost_INR]]</f>
        <v>7854</v>
      </c>
      <c r="AB1776" s="4">
        <v>34674</v>
      </c>
      <c r="AC1776" s="4">
        <v>7380</v>
      </c>
      <c r="AD1776" s="4">
        <v>7380</v>
      </c>
      <c r="AE1776" s="4">
        <v>34247</v>
      </c>
      <c r="AF1776" s="4">
        <v>12000</v>
      </c>
    </row>
    <row r="1777" spans="1:32">
      <c r="A1777" s="2" t="s">
        <v>3686</v>
      </c>
      <c r="B1777" s="3">
        <v>46294</v>
      </c>
      <c r="C1777" s="36" t="s">
        <v>64</v>
      </c>
      <c r="D1777" s="2">
        <f>MONTH(ProductionData[[#This Row],[Month]])</f>
        <v>9</v>
      </c>
      <c r="E1777" s="2" t="s">
        <v>92</v>
      </c>
      <c r="F1777" s="2" t="s">
        <v>66</v>
      </c>
      <c r="G1777" s="2" t="s">
        <v>174</v>
      </c>
      <c r="H1777" s="2" t="s">
        <v>175</v>
      </c>
      <c r="I1777" s="2" t="s">
        <v>176</v>
      </c>
      <c r="J1777" s="2" t="s">
        <v>177</v>
      </c>
      <c r="K1777" s="2" t="s">
        <v>178</v>
      </c>
      <c r="L1777" s="2" t="s">
        <v>3687</v>
      </c>
      <c r="M1777" s="2" t="s">
        <v>99</v>
      </c>
      <c r="N1777" s="2" t="s">
        <v>88</v>
      </c>
      <c r="O1777" s="2">
        <v>10</v>
      </c>
      <c r="P1777" s="2">
        <v>9</v>
      </c>
      <c r="Q1777" s="4">
        <v>8190</v>
      </c>
      <c r="R1777" s="4">
        <v>7570</v>
      </c>
      <c r="S1777" s="4">
        <v>154</v>
      </c>
      <c r="T1777" s="19">
        <f>(ProductionData[[#This Row],[Rejected_Qty]])/ProductionData[[#This Row],[Produced_Qty]]</f>
        <v>2.0343461030383092E-2</v>
      </c>
      <c r="U1777" s="19">
        <f>ProductionData[[#This Row],[Produced_Qty]]/ProductionData[[#This Row],[Planned_Qty]]</f>
        <v>0.92429792429792434</v>
      </c>
      <c r="V1777" s="2" t="s">
        <v>109</v>
      </c>
      <c r="W1777" s="11">
        <v>0</v>
      </c>
      <c r="X1777" s="13">
        <f>W1777/60</f>
        <v>0</v>
      </c>
      <c r="Y1777" s="2" t="s">
        <v>90</v>
      </c>
      <c r="Z1777" s="2">
        <v>24</v>
      </c>
      <c r="AA1777" s="2">
        <f>ProductionData[[#This Row],[Rejected_Qty]]*ProductionData[[#This Row],[Unit_Cost_INR]]</f>
        <v>3696</v>
      </c>
      <c r="AB1777" s="4">
        <v>34324</v>
      </c>
      <c r="AC1777" s="4">
        <v>7520</v>
      </c>
      <c r="AD1777" s="4">
        <v>7520</v>
      </c>
      <c r="AE1777" s="4">
        <v>34220</v>
      </c>
      <c r="AF1777" s="4">
        <v>12000</v>
      </c>
    </row>
    <row r="1778" spans="1:32">
      <c r="A1778" s="2" t="s">
        <v>3688</v>
      </c>
      <c r="B1778" s="3">
        <v>46287</v>
      </c>
      <c r="C1778" s="36" t="s">
        <v>64</v>
      </c>
      <c r="D1778" s="2">
        <f>MONTH(ProductionData[[#This Row],[Month]])</f>
        <v>9</v>
      </c>
      <c r="E1778" s="2" t="s">
        <v>92</v>
      </c>
      <c r="F1778" s="2" t="s">
        <v>80</v>
      </c>
      <c r="G1778" s="2" t="s">
        <v>195</v>
      </c>
      <c r="H1778" s="2" t="s">
        <v>196</v>
      </c>
      <c r="I1778" s="2" t="s">
        <v>197</v>
      </c>
      <c r="J1778" s="2" t="s">
        <v>269</v>
      </c>
      <c r="K1778" s="2" t="s">
        <v>270</v>
      </c>
      <c r="L1778" s="2" t="s">
        <v>3689</v>
      </c>
      <c r="M1778" s="2" t="s">
        <v>102</v>
      </c>
      <c r="N1778" s="2" t="s">
        <v>88</v>
      </c>
      <c r="O1778" s="2">
        <v>14</v>
      </c>
      <c r="P1778" s="2">
        <v>14</v>
      </c>
      <c r="Q1778" s="4">
        <v>7410</v>
      </c>
      <c r="R1778" s="4">
        <v>7380</v>
      </c>
      <c r="S1778" s="4">
        <v>191</v>
      </c>
      <c r="T1778" s="19">
        <f>(ProductionData[[#This Row],[Rejected_Qty]])/ProductionData[[#This Row],[Produced_Qty]]</f>
        <v>2.5880758807588077E-2</v>
      </c>
      <c r="U1778" s="19">
        <f>ProductionData[[#This Row],[Produced_Qty]]/ProductionData[[#This Row],[Planned_Qty]]</f>
        <v>0.99595141700404854</v>
      </c>
      <c r="V1778" s="2" t="s">
        <v>103</v>
      </c>
      <c r="W1778" s="11">
        <v>0</v>
      </c>
      <c r="X1778" s="13">
        <f>W1778/60</f>
        <v>0</v>
      </c>
      <c r="Y1778" s="2" t="s">
        <v>90</v>
      </c>
      <c r="Z1778" s="2">
        <v>42</v>
      </c>
      <c r="AA1778" s="2">
        <f>ProductionData[[#This Row],[Rejected_Qty]]*ProductionData[[#This Row],[Unit_Cost_INR]]</f>
        <v>8022</v>
      </c>
      <c r="AB1778" s="4">
        <v>33916</v>
      </c>
      <c r="AC1778" s="4">
        <v>6910</v>
      </c>
      <c r="AD1778" s="4">
        <v>6910</v>
      </c>
      <c r="AE1778" s="4">
        <v>34195</v>
      </c>
      <c r="AF1778" s="4">
        <v>12000</v>
      </c>
    </row>
    <row r="1779" spans="1:32">
      <c r="A1779" s="2" t="s">
        <v>3690</v>
      </c>
      <c r="B1779" s="3">
        <v>46287</v>
      </c>
      <c r="C1779" s="36" t="s">
        <v>64</v>
      </c>
      <c r="D1779" s="2">
        <f>MONTH(ProductionData[[#This Row],[Month]])</f>
        <v>9</v>
      </c>
      <c r="E1779" s="2" t="s">
        <v>92</v>
      </c>
      <c r="F1779" s="2" t="s">
        <v>93</v>
      </c>
      <c r="G1779" s="2" t="s">
        <v>195</v>
      </c>
      <c r="H1779" s="2" t="s">
        <v>196</v>
      </c>
      <c r="I1779" s="2" t="s">
        <v>197</v>
      </c>
      <c r="J1779" s="2" t="s">
        <v>269</v>
      </c>
      <c r="K1779" s="2" t="s">
        <v>270</v>
      </c>
      <c r="L1779" s="2" t="s">
        <v>3691</v>
      </c>
      <c r="M1779" s="2" t="s">
        <v>95</v>
      </c>
      <c r="N1779" s="2" t="s">
        <v>88</v>
      </c>
      <c r="O1779" s="2">
        <v>14</v>
      </c>
      <c r="P1779" s="2">
        <v>13</v>
      </c>
      <c r="Q1779" s="4">
        <v>7470</v>
      </c>
      <c r="R1779" s="4">
        <v>6650</v>
      </c>
      <c r="S1779" s="4">
        <v>113</v>
      </c>
      <c r="T1779" s="19">
        <f>(ProductionData[[#This Row],[Rejected_Qty]])/ProductionData[[#This Row],[Produced_Qty]]</f>
        <v>1.6992481203007517E-2</v>
      </c>
      <c r="U1779" s="19">
        <f>ProductionData[[#This Row],[Produced_Qty]]/ProductionData[[#This Row],[Planned_Qty]]</f>
        <v>0.89022757697456489</v>
      </c>
      <c r="V1779" s="2" t="s">
        <v>75</v>
      </c>
      <c r="W1779" s="11">
        <v>63</v>
      </c>
      <c r="X1779" s="13">
        <f>W1779/60</f>
        <v>1.05</v>
      </c>
      <c r="Y1779" s="2" t="s">
        <v>110</v>
      </c>
      <c r="Z1779" s="2">
        <v>42</v>
      </c>
      <c r="AA1779" s="2">
        <f>ProductionData[[#This Row],[Rejected_Qty]]*ProductionData[[#This Row],[Unit_Cost_INR]]</f>
        <v>4746</v>
      </c>
      <c r="AB1779" s="4">
        <v>34195</v>
      </c>
      <c r="AC1779" s="4">
        <v>6740</v>
      </c>
      <c r="AD1779" s="4">
        <v>6740</v>
      </c>
      <c r="AE1779" s="4">
        <v>33992</v>
      </c>
      <c r="AF1779" s="4">
        <v>12000</v>
      </c>
    </row>
    <row r="1780" spans="1:32">
      <c r="A1780" s="2" t="s">
        <v>3692</v>
      </c>
      <c r="B1780" s="3">
        <v>46286</v>
      </c>
      <c r="C1780" s="36" t="s">
        <v>64</v>
      </c>
      <c r="D1780" s="2">
        <f>MONTH(ProductionData[[#This Row],[Month]])</f>
        <v>9</v>
      </c>
      <c r="E1780" s="2" t="s">
        <v>116</v>
      </c>
      <c r="F1780" s="2" t="s">
        <v>93</v>
      </c>
      <c r="G1780" s="2" t="s">
        <v>195</v>
      </c>
      <c r="H1780" s="2" t="s">
        <v>196</v>
      </c>
      <c r="I1780" s="2" t="s">
        <v>197</v>
      </c>
      <c r="J1780" s="2" t="s">
        <v>269</v>
      </c>
      <c r="K1780" s="2" t="s">
        <v>270</v>
      </c>
      <c r="L1780" s="2" t="s">
        <v>3693</v>
      </c>
      <c r="M1780" s="2" t="s">
        <v>95</v>
      </c>
      <c r="N1780" s="2" t="s">
        <v>96</v>
      </c>
      <c r="O1780" s="2">
        <v>14</v>
      </c>
      <c r="P1780" s="2">
        <v>13</v>
      </c>
      <c r="Q1780" s="4">
        <v>7550</v>
      </c>
      <c r="R1780" s="4">
        <v>6930</v>
      </c>
      <c r="S1780" s="4">
        <v>237</v>
      </c>
      <c r="T1780" s="19">
        <f>(ProductionData[[#This Row],[Rejected_Qty]])/ProductionData[[#This Row],[Produced_Qty]]</f>
        <v>3.4199134199134201E-2</v>
      </c>
      <c r="U1780" s="19">
        <f>ProductionData[[#This Row],[Produced_Qty]]/ProductionData[[#This Row],[Planned_Qty]]</f>
        <v>0.9178807947019868</v>
      </c>
      <c r="V1780" s="2" t="s">
        <v>103</v>
      </c>
      <c r="W1780" s="11">
        <v>47</v>
      </c>
      <c r="X1780" s="13">
        <f>W1780/60</f>
        <v>0.78333333333333333</v>
      </c>
      <c r="Y1780" s="2" t="s">
        <v>110</v>
      </c>
      <c r="Z1780" s="2">
        <v>42</v>
      </c>
      <c r="AA1780" s="2">
        <f>ProductionData[[#This Row],[Rejected_Qty]]*ProductionData[[#This Row],[Unit_Cost_INR]]</f>
        <v>9954</v>
      </c>
      <c r="AB1780" s="4">
        <v>33913</v>
      </c>
      <c r="AC1780" s="4">
        <v>6690</v>
      </c>
      <c r="AD1780" s="4">
        <v>6690</v>
      </c>
      <c r="AE1780" s="4">
        <v>33916</v>
      </c>
      <c r="AF1780" s="4">
        <v>12000</v>
      </c>
    </row>
    <row r="1781" spans="1:32">
      <c r="A1781" s="2" t="s">
        <v>3694</v>
      </c>
      <c r="B1781" s="3">
        <v>46286</v>
      </c>
      <c r="C1781" s="36" t="s">
        <v>64</v>
      </c>
      <c r="D1781" s="2">
        <f>MONTH(ProductionData[[#This Row],[Month]])</f>
        <v>9</v>
      </c>
      <c r="E1781" s="2" t="s">
        <v>116</v>
      </c>
      <c r="F1781" s="2" t="s">
        <v>80</v>
      </c>
      <c r="G1781" s="2" t="s">
        <v>195</v>
      </c>
      <c r="H1781" s="2" t="s">
        <v>196</v>
      </c>
      <c r="I1781" s="2" t="s">
        <v>197</v>
      </c>
      <c r="J1781" s="2" t="s">
        <v>269</v>
      </c>
      <c r="K1781" s="2" t="s">
        <v>270</v>
      </c>
      <c r="L1781" s="2" t="s">
        <v>3695</v>
      </c>
      <c r="M1781" s="2" t="s">
        <v>87</v>
      </c>
      <c r="N1781" s="2" t="s">
        <v>96</v>
      </c>
      <c r="O1781" s="2">
        <v>14</v>
      </c>
      <c r="P1781" s="2">
        <v>13</v>
      </c>
      <c r="Q1781" s="4">
        <v>8630</v>
      </c>
      <c r="R1781" s="4">
        <v>7910</v>
      </c>
      <c r="S1781" s="4">
        <v>231</v>
      </c>
      <c r="T1781" s="19">
        <f>(ProductionData[[#This Row],[Rejected_Qty]])/ProductionData[[#This Row],[Produced_Qty]]</f>
        <v>2.9203539823008849E-2</v>
      </c>
      <c r="U1781" s="19">
        <f>ProductionData[[#This Row],[Produced_Qty]]/ProductionData[[#This Row],[Planned_Qty]]</f>
        <v>0.91657010428736962</v>
      </c>
      <c r="V1781" s="2" t="s">
        <v>103</v>
      </c>
      <c r="W1781" s="11">
        <v>0</v>
      </c>
      <c r="X1781" s="13">
        <f>W1781/60</f>
        <v>0</v>
      </c>
      <c r="Y1781" s="2" t="s">
        <v>90</v>
      </c>
      <c r="Z1781" s="2">
        <v>42</v>
      </c>
      <c r="AA1781" s="2">
        <f>ProductionData[[#This Row],[Rejected_Qty]]*ProductionData[[#This Row],[Unit_Cost_INR]]</f>
        <v>9702</v>
      </c>
      <c r="AB1781" s="4">
        <v>33334</v>
      </c>
      <c r="AC1781" s="4">
        <v>7100</v>
      </c>
      <c r="AD1781" s="4">
        <v>7100</v>
      </c>
      <c r="AE1781" s="4">
        <v>33913</v>
      </c>
      <c r="AF1781" s="4">
        <v>12000</v>
      </c>
    </row>
    <row r="1782" spans="1:32">
      <c r="A1782" s="2" t="s">
        <v>3696</v>
      </c>
      <c r="B1782" s="3">
        <v>46279</v>
      </c>
      <c r="C1782" s="36" t="s">
        <v>64</v>
      </c>
      <c r="D1782" s="2">
        <f>MONTH(ProductionData[[#This Row],[Month]])</f>
        <v>9</v>
      </c>
      <c r="E1782" s="2" t="s">
        <v>116</v>
      </c>
      <c r="F1782" s="2" t="s">
        <v>66</v>
      </c>
      <c r="G1782" s="2" t="s">
        <v>195</v>
      </c>
      <c r="H1782" s="2" t="s">
        <v>196</v>
      </c>
      <c r="I1782" s="2" t="s">
        <v>197</v>
      </c>
      <c r="J1782" s="2" t="s">
        <v>269</v>
      </c>
      <c r="K1782" s="2" t="s">
        <v>270</v>
      </c>
      <c r="L1782" s="2" t="s">
        <v>3697</v>
      </c>
      <c r="M1782" s="2" t="s">
        <v>99</v>
      </c>
      <c r="N1782" s="2" t="s">
        <v>96</v>
      </c>
      <c r="O1782" s="2">
        <v>14</v>
      </c>
      <c r="P1782" s="2">
        <v>12</v>
      </c>
      <c r="Q1782" s="4">
        <v>7490</v>
      </c>
      <c r="R1782" s="4">
        <v>7030</v>
      </c>
      <c r="S1782" s="4">
        <v>226</v>
      </c>
      <c r="T1782" s="19">
        <f>(ProductionData[[#This Row],[Rejected_Qty]])/ProductionData[[#This Row],[Produced_Qty]]</f>
        <v>3.2147937411095305E-2</v>
      </c>
      <c r="U1782" s="19">
        <f>ProductionData[[#This Row],[Produced_Qty]]/ProductionData[[#This Row],[Planned_Qty]]</f>
        <v>0.93858477970627507</v>
      </c>
      <c r="V1782" s="2" t="s">
        <v>109</v>
      </c>
      <c r="W1782" s="11">
        <v>0</v>
      </c>
      <c r="X1782" s="13">
        <f>W1782/60</f>
        <v>0</v>
      </c>
      <c r="Y1782" s="2" t="s">
        <v>90</v>
      </c>
      <c r="Z1782" s="2">
        <v>42</v>
      </c>
      <c r="AA1782" s="2">
        <f>ProductionData[[#This Row],[Rejected_Qty]]*ProductionData[[#This Row],[Unit_Cost_INR]]</f>
        <v>9492</v>
      </c>
      <c r="AB1782" s="4">
        <v>33580</v>
      </c>
      <c r="AC1782" s="4">
        <v>6520</v>
      </c>
      <c r="AD1782" s="4">
        <v>6520</v>
      </c>
      <c r="AE1782" s="4">
        <v>33864</v>
      </c>
      <c r="AF1782" s="4">
        <v>12000</v>
      </c>
    </row>
    <row r="1783" spans="1:32">
      <c r="A1783" s="2" t="s">
        <v>3698</v>
      </c>
      <c r="B1783" s="3">
        <v>46274</v>
      </c>
      <c r="C1783" s="36" t="s">
        <v>64</v>
      </c>
      <c r="D1783" s="2">
        <f>MONTH(ProductionData[[#This Row],[Month]])</f>
        <v>9</v>
      </c>
      <c r="E1783" s="2" t="s">
        <v>79</v>
      </c>
      <c r="F1783" s="2" t="s">
        <v>80</v>
      </c>
      <c r="G1783" s="2" t="s">
        <v>195</v>
      </c>
      <c r="H1783" s="2" t="s">
        <v>196</v>
      </c>
      <c r="I1783" s="2" t="s">
        <v>197</v>
      </c>
      <c r="J1783" s="2" t="s">
        <v>269</v>
      </c>
      <c r="K1783" s="2" t="s">
        <v>270</v>
      </c>
      <c r="L1783" s="2" t="s">
        <v>3699</v>
      </c>
      <c r="M1783" s="2" t="s">
        <v>87</v>
      </c>
      <c r="N1783" s="2" t="s">
        <v>88</v>
      </c>
      <c r="O1783" s="2">
        <v>14</v>
      </c>
      <c r="P1783" s="2">
        <v>14</v>
      </c>
      <c r="Q1783" s="4">
        <v>8210</v>
      </c>
      <c r="R1783" s="4">
        <v>8050</v>
      </c>
      <c r="S1783" s="4">
        <v>262</v>
      </c>
      <c r="T1783" s="19">
        <f>(ProductionData[[#This Row],[Rejected_Qty]])/ProductionData[[#This Row],[Produced_Qty]]</f>
        <v>3.2546583850931676E-2</v>
      </c>
      <c r="U1783" s="19">
        <f>ProductionData[[#This Row],[Produced_Qty]]/ProductionData[[#This Row],[Planned_Qty]]</f>
        <v>0.98051157125456756</v>
      </c>
      <c r="V1783" s="2" t="s">
        <v>89</v>
      </c>
      <c r="W1783" s="11">
        <v>30</v>
      </c>
      <c r="X1783" s="13">
        <f>W1783/60</f>
        <v>0.5</v>
      </c>
      <c r="Y1783" s="2" t="s">
        <v>76</v>
      </c>
      <c r="Z1783" s="2">
        <v>42</v>
      </c>
      <c r="AA1783" s="2">
        <f>ProductionData[[#This Row],[Rejected_Qty]]*ProductionData[[#This Row],[Unit_Cost_INR]]</f>
        <v>11004</v>
      </c>
      <c r="AB1783" s="4">
        <v>33511</v>
      </c>
      <c r="AC1783" s="4">
        <v>7460</v>
      </c>
      <c r="AD1783" s="4">
        <v>7460</v>
      </c>
      <c r="AE1783" s="4">
        <v>33839</v>
      </c>
      <c r="AF1783" s="4">
        <v>12000</v>
      </c>
    </row>
    <row r="1784" spans="1:32">
      <c r="A1784" s="2" t="s">
        <v>3700</v>
      </c>
      <c r="B1784" s="3">
        <v>46279</v>
      </c>
      <c r="C1784" s="36" t="s">
        <v>64</v>
      </c>
      <c r="D1784" s="2">
        <f>MONTH(ProductionData[[#This Row],[Month]])</f>
        <v>9</v>
      </c>
      <c r="E1784" s="2" t="s">
        <v>116</v>
      </c>
      <c r="F1784" s="2" t="s">
        <v>93</v>
      </c>
      <c r="G1784" s="2" t="s">
        <v>195</v>
      </c>
      <c r="H1784" s="2" t="s">
        <v>196</v>
      </c>
      <c r="I1784" s="2" t="s">
        <v>197</v>
      </c>
      <c r="J1784" s="2" t="s">
        <v>269</v>
      </c>
      <c r="K1784" s="2" t="s">
        <v>270</v>
      </c>
      <c r="L1784" s="2" t="s">
        <v>3701</v>
      </c>
      <c r="M1784" s="2" t="s">
        <v>95</v>
      </c>
      <c r="N1784" s="2" t="s">
        <v>88</v>
      </c>
      <c r="O1784" s="2">
        <v>14</v>
      </c>
      <c r="P1784" s="2">
        <v>13</v>
      </c>
      <c r="Q1784" s="4">
        <v>7910</v>
      </c>
      <c r="R1784" s="4">
        <v>7550</v>
      </c>
      <c r="S1784" s="4">
        <v>146</v>
      </c>
      <c r="T1784" s="19">
        <f>(ProductionData[[#This Row],[Rejected_Qty]])/ProductionData[[#This Row],[Produced_Qty]]</f>
        <v>1.933774834437086E-2</v>
      </c>
      <c r="U1784" s="19">
        <f>ProductionData[[#This Row],[Produced_Qty]]/ProductionData[[#This Row],[Planned_Qty]]</f>
        <v>0.95448798988621997</v>
      </c>
      <c r="V1784" s="2" t="s">
        <v>113</v>
      </c>
      <c r="W1784" s="11">
        <v>18</v>
      </c>
      <c r="X1784" s="13">
        <f>W1784/60</f>
        <v>0.3</v>
      </c>
      <c r="Y1784" s="2" t="s">
        <v>76</v>
      </c>
      <c r="Z1784" s="2">
        <v>42</v>
      </c>
      <c r="AA1784" s="2">
        <f>ProductionData[[#This Row],[Rejected_Qty]]*ProductionData[[#This Row],[Unit_Cost_INR]]</f>
        <v>6132</v>
      </c>
      <c r="AB1784" s="4">
        <v>33864</v>
      </c>
      <c r="AC1784" s="4">
        <v>7640</v>
      </c>
      <c r="AD1784" s="4">
        <v>7640</v>
      </c>
      <c r="AE1784" s="4">
        <v>33628</v>
      </c>
      <c r="AF1784" s="4">
        <v>12000</v>
      </c>
    </row>
    <row r="1785" spans="1:32">
      <c r="A1785" s="2" t="s">
        <v>3702</v>
      </c>
      <c r="B1785" s="3">
        <v>46289</v>
      </c>
      <c r="C1785" s="36" t="s">
        <v>64</v>
      </c>
      <c r="D1785" s="2">
        <f>MONTH(ProductionData[[#This Row],[Month]])</f>
        <v>9</v>
      </c>
      <c r="E1785" s="2" t="s">
        <v>107</v>
      </c>
      <c r="F1785" s="2" t="s">
        <v>80</v>
      </c>
      <c r="G1785" s="2" t="s">
        <v>195</v>
      </c>
      <c r="H1785" s="2" t="s">
        <v>196</v>
      </c>
      <c r="I1785" s="2" t="s">
        <v>197</v>
      </c>
      <c r="J1785" s="2" t="s">
        <v>269</v>
      </c>
      <c r="K1785" s="2" t="s">
        <v>270</v>
      </c>
      <c r="L1785" s="2" t="s">
        <v>3703</v>
      </c>
      <c r="M1785" s="2" t="s">
        <v>87</v>
      </c>
      <c r="N1785" s="2" t="s">
        <v>88</v>
      </c>
      <c r="O1785" s="2">
        <v>14</v>
      </c>
      <c r="P1785" s="2">
        <v>10</v>
      </c>
      <c r="Q1785" s="4">
        <v>7770</v>
      </c>
      <c r="R1785" s="4">
        <v>6220</v>
      </c>
      <c r="S1785" s="4">
        <v>89</v>
      </c>
      <c r="T1785" s="19">
        <f>(ProductionData[[#This Row],[Rejected_Qty]])/ProductionData[[#This Row],[Produced_Qty]]</f>
        <v>1.4308681672025723E-2</v>
      </c>
      <c r="U1785" s="19">
        <f>ProductionData[[#This Row],[Produced_Qty]]/ProductionData[[#This Row],[Planned_Qty]]</f>
        <v>0.80051480051480051</v>
      </c>
      <c r="V1785" s="2" t="s">
        <v>89</v>
      </c>
      <c r="W1785" s="11">
        <v>46</v>
      </c>
      <c r="X1785" s="13">
        <f>W1785/60</f>
        <v>0.76666666666666672</v>
      </c>
      <c r="Y1785" s="2" t="s">
        <v>259</v>
      </c>
      <c r="Z1785" s="2">
        <v>42</v>
      </c>
      <c r="AA1785" s="2">
        <f>ProductionData[[#This Row],[Rejected_Qty]]*ProductionData[[#This Row],[Unit_Cost_INR]]</f>
        <v>3738</v>
      </c>
      <c r="AB1785" s="4">
        <v>34310</v>
      </c>
      <c r="AC1785" s="4">
        <v>6840</v>
      </c>
      <c r="AD1785" s="4">
        <v>6840</v>
      </c>
      <c r="AE1785" s="4">
        <v>33601</v>
      </c>
      <c r="AF1785" s="4">
        <v>12000</v>
      </c>
    </row>
    <row r="1786" spans="1:32">
      <c r="A1786" s="2" t="s">
        <v>3704</v>
      </c>
      <c r="B1786" s="3">
        <v>46278</v>
      </c>
      <c r="C1786" s="36" t="s">
        <v>64</v>
      </c>
      <c r="D1786" s="2">
        <f>MONTH(ProductionData[[#This Row],[Month]])</f>
        <v>9</v>
      </c>
      <c r="E1786" s="2" t="s">
        <v>186</v>
      </c>
      <c r="F1786" s="2" t="s">
        <v>80</v>
      </c>
      <c r="G1786" s="2" t="s">
        <v>195</v>
      </c>
      <c r="H1786" s="2" t="s">
        <v>196</v>
      </c>
      <c r="I1786" s="2" t="s">
        <v>197</v>
      </c>
      <c r="J1786" s="2" t="s">
        <v>269</v>
      </c>
      <c r="K1786" s="2" t="s">
        <v>270</v>
      </c>
      <c r="L1786" s="2" t="s">
        <v>3705</v>
      </c>
      <c r="M1786" s="2" t="s">
        <v>87</v>
      </c>
      <c r="N1786" s="2" t="s">
        <v>88</v>
      </c>
      <c r="O1786" s="2">
        <v>14</v>
      </c>
      <c r="P1786" s="2">
        <v>14</v>
      </c>
      <c r="Q1786" s="4">
        <v>5630</v>
      </c>
      <c r="R1786" s="4">
        <v>5360</v>
      </c>
      <c r="S1786" s="4">
        <v>148</v>
      </c>
      <c r="T1786" s="19">
        <f>(ProductionData[[#This Row],[Rejected_Qty]])/ProductionData[[#This Row],[Produced_Qty]]</f>
        <v>2.7611940298507463E-2</v>
      </c>
      <c r="U1786" s="19">
        <f>ProductionData[[#This Row],[Produced_Qty]]/ProductionData[[#This Row],[Planned_Qty]]</f>
        <v>0.95204262877442269</v>
      </c>
      <c r="V1786" s="2" t="s">
        <v>103</v>
      </c>
      <c r="W1786" s="11">
        <v>49</v>
      </c>
      <c r="X1786" s="13">
        <f>W1786/60</f>
        <v>0.81666666666666665</v>
      </c>
      <c r="Y1786" s="2" t="s">
        <v>110</v>
      </c>
      <c r="Z1786" s="2">
        <v>42</v>
      </c>
      <c r="AA1786" s="2">
        <f>ProductionData[[#This Row],[Rejected_Qty]]*ProductionData[[#This Row],[Unit_Cost_INR]]</f>
        <v>6216</v>
      </c>
      <c r="AB1786" s="4">
        <v>33368</v>
      </c>
      <c r="AC1786" s="4">
        <v>5000</v>
      </c>
      <c r="AD1786" s="4">
        <v>5000</v>
      </c>
      <c r="AE1786" s="4">
        <v>33580</v>
      </c>
      <c r="AF1786" s="4">
        <v>12000</v>
      </c>
    </row>
    <row r="1787" spans="1:32">
      <c r="A1787" s="2" t="s">
        <v>3706</v>
      </c>
      <c r="B1787" s="3">
        <v>46274</v>
      </c>
      <c r="C1787" s="36" t="s">
        <v>64</v>
      </c>
      <c r="D1787" s="2">
        <f>MONTH(ProductionData[[#This Row],[Month]])</f>
        <v>9</v>
      </c>
      <c r="E1787" s="2" t="s">
        <v>79</v>
      </c>
      <c r="F1787" s="2" t="s">
        <v>66</v>
      </c>
      <c r="G1787" s="2" t="s">
        <v>195</v>
      </c>
      <c r="H1787" s="2" t="s">
        <v>196</v>
      </c>
      <c r="I1787" s="2" t="s">
        <v>197</v>
      </c>
      <c r="J1787" s="2" t="s">
        <v>269</v>
      </c>
      <c r="K1787" s="2" t="s">
        <v>270</v>
      </c>
      <c r="L1787" s="2" t="s">
        <v>3707</v>
      </c>
      <c r="M1787" s="2" t="s">
        <v>73</v>
      </c>
      <c r="N1787" s="2" t="s">
        <v>96</v>
      </c>
      <c r="O1787" s="2">
        <v>14</v>
      </c>
      <c r="P1787" s="2">
        <v>14</v>
      </c>
      <c r="Q1787" s="4">
        <v>7840</v>
      </c>
      <c r="R1787" s="4">
        <v>7570</v>
      </c>
      <c r="S1787" s="4">
        <v>92</v>
      </c>
      <c r="T1787" s="19">
        <f>(ProductionData[[#This Row],[Rejected_Qty]])/ProductionData[[#This Row],[Produced_Qty]]</f>
        <v>1.2153236459709379E-2</v>
      </c>
      <c r="U1787" s="19">
        <f>ProductionData[[#This Row],[Produced_Qty]]/ProductionData[[#This Row],[Planned_Qty]]</f>
        <v>0.96556122448979587</v>
      </c>
      <c r="V1787" s="2" t="s">
        <v>103</v>
      </c>
      <c r="W1787" s="11">
        <v>58</v>
      </c>
      <c r="X1787" s="13">
        <f>W1787/60</f>
        <v>0.96666666666666667</v>
      </c>
      <c r="Y1787" s="2" t="s">
        <v>114</v>
      </c>
      <c r="Z1787" s="2">
        <v>42</v>
      </c>
      <c r="AA1787" s="2">
        <f>ProductionData[[#This Row],[Rejected_Qty]]*ProductionData[[#This Row],[Unit_Cost_INR]]</f>
        <v>3864</v>
      </c>
      <c r="AB1787" s="4">
        <v>33143</v>
      </c>
      <c r="AC1787" s="4">
        <v>7110</v>
      </c>
      <c r="AD1787" s="4">
        <v>7110</v>
      </c>
      <c r="AE1787" s="4">
        <v>33511</v>
      </c>
      <c r="AF1787" s="4">
        <v>12000</v>
      </c>
    </row>
    <row r="1788" spans="1:32">
      <c r="A1788" s="2" t="s">
        <v>3708</v>
      </c>
      <c r="B1788" s="3">
        <v>46291</v>
      </c>
      <c r="C1788" s="36" t="s">
        <v>64</v>
      </c>
      <c r="D1788" s="2">
        <f>MONTH(ProductionData[[#This Row],[Month]])</f>
        <v>9</v>
      </c>
      <c r="E1788" s="2" t="s">
        <v>65</v>
      </c>
      <c r="F1788" s="2" t="s">
        <v>66</v>
      </c>
      <c r="G1788" s="2" t="s">
        <v>174</v>
      </c>
      <c r="H1788" s="2" t="s">
        <v>175</v>
      </c>
      <c r="I1788" s="2" t="s">
        <v>176</v>
      </c>
      <c r="J1788" s="2" t="s">
        <v>177</v>
      </c>
      <c r="K1788" s="2" t="s">
        <v>178</v>
      </c>
      <c r="L1788" s="2" t="s">
        <v>3709</v>
      </c>
      <c r="M1788" s="2" t="s">
        <v>99</v>
      </c>
      <c r="N1788" s="2" t="s">
        <v>96</v>
      </c>
      <c r="O1788" s="2">
        <v>10</v>
      </c>
      <c r="P1788" s="2">
        <v>10</v>
      </c>
      <c r="Q1788" s="4">
        <v>7690</v>
      </c>
      <c r="R1788" s="4">
        <v>7330</v>
      </c>
      <c r="S1788" s="4">
        <v>204</v>
      </c>
      <c r="T1788" s="19">
        <f>(ProductionData[[#This Row],[Rejected_Qty]])/ProductionData[[#This Row],[Produced_Qty]]</f>
        <v>2.7830832196452934E-2</v>
      </c>
      <c r="U1788" s="19">
        <f>ProductionData[[#This Row],[Produced_Qty]]/ProductionData[[#This Row],[Planned_Qty]]</f>
        <v>0.95318595578673604</v>
      </c>
      <c r="V1788" s="2" t="s">
        <v>89</v>
      </c>
      <c r="W1788" s="11">
        <v>49</v>
      </c>
      <c r="X1788" s="13">
        <f>W1788/60</f>
        <v>0.81666666666666665</v>
      </c>
      <c r="Y1788" s="2" t="s">
        <v>110</v>
      </c>
      <c r="Z1788" s="2">
        <v>24</v>
      </c>
      <c r="AA1788" s="2">
        <f>ProductionData[[#This Row],[Rejected_Qty]]*ProductionData[[#This Row],[Unit_Cost_INR]]</f>
        <v>4896</v>
      </c>
      <c r="AB1788" s="4">
        <v>32863</v>
      </c>
      <c r="AC1788" s="4">
        <v>6490</v>
      </c>
      <c r="AD1788" s="4">
        <v>6490</v>
      </c>
      <c r="AE1788" s="4">
        <v>33499</v>
      </c>
      <c r="AF1788" s="4">
        <v>12000</v>
      </c>
    </row>
    <row r="1789" spans="1:32">
      <c r="A1789" s="2" t="s">
        <v>3710</v>
      </c>
      <c r="B1789" s="3">
        <v>46281</v>
      </c>
      <c r="C1789" s="36" t="s">
        <v>64</v>
      </c>
      <c r="D1789" s="2">
        <f>MONTH(ProductionData[[#This Row],[Month]])</f>
        <v>9</v>
      </c>
      <c r="E1789" s="2" t="s">
        <v>79</v>
      </c>
      <c r="F1789" s="2" t="s">
        <v>66</v>
      </c>
      <c r="G1789" s="2" t="s">
        <v>195</v>
      </c>
      <c r="H1789" s="2" t="s">
        <v>196</v>
      </c>
      <c r="I1789" s="2" t="s">
        <v>197</v>
      </c>
      <c r="J1789" s="2" t="s">
        <v>269</v>
      </c>
      <c r="K1789" s="2" t="s">
        <v>270</v>
      </c>
      <c r="L1789" s="2" t="s">
        <v>3711</v>
      </c>
      <c r="M1789" s="2" t="s">
        <v>99</v>
      </c>
      <c r="N1789" s="2" t="s">
        <v>88</v>
      </c>
      <c r="O1789" s="2">
        <v>14</v>
      </c>
      <c r="P1789" s="2">
        <v>13</v>
      </c>
      <c r="Q1789" s="4">
        <v>7910</v>
      </c>
      <c r="R1789" s="4">
        <v>7630</v>
      </c>
      <c r="S1789" s="4">
        <v>194</v>
      </c>
      <c r="T1789" s="19">
        <f>(ProductionData[[#This Row],[Rejected_Qty]])/ProductionData[[#This Row],[Produced_Qty]]</f>
        <v>2.5425950196592398E-2</v>
      </c>
      <c r="U1789" s="19">
        <f>ProductionData[[#This Row],[Produced_Qty]]/ProductionData[[#This Row],[Planned_Qty]]</f>
        <v>0.96460176991150437</v>
      </c>
      <c r="V1789" s="2" t="s">
        <v>109</v>
      </c>
      <c r="W1789" s="11">
        <v>60</v>
      </c>
      <c r="X1789" s="13">
        <f>W1789/60</f>
        <v>1</v>
      </c>
      <c r="Y1789" s="2" t="s">
        <v>182</v>
      </c>
      <c r="Z1789" s="2">
        <v>42</v>
      </c>
      <c r="AA1789" s="2">
        <f>ProductionData[[#This Row],[Rejected_Qty]]*ProductionData[[#This Row],[Unit_Cost_INR]]</f>
        <v>8148</v>
      </c>
      <c r="AB1789" s="4">
        <v>33628</v>
      </c>
      <c r="AC1789" s="4">
        <v>7570</v>
      </c>
      <c r="AD1789" s="4">
        <v>7570</v>
      </c>
      <c r="AE1789" s="4">
        <v>33494</v>
      </c>
      <c r="AF1789" s="4">
        <v>12000</v>
      </c>
    </row>
    <row r="1790" spans="1:32">
      <c r="A1790" s="2" t="s">
        <v>3712</v>
      </c>
      <c r="B1790" s="3">
        <v>46277</v>
      </c>
      <c r="C1790" s="36" t="s">
        <v>64</v>
      </c>
      <c r="D1790" s="2">
        <f>MONTH(ProductionData[[#This Row],[Month]])</f>
        <v>9</v>
      </c>
      <c r="E1790" s="2" t="s">
        <v>65</v>
      </c>
      <c r="F1790" s="2" t="s">
        <v>66</v>
      </c>
      <c r="G1790" s="2" t="s">
        <v>195</v>
      </c>
      <c r="H1790" s="2" t="s">
        <v>196</v>
      </c>
      <c r="I1790" s="2" t="s">
        <v>197</v>
      </c>
      <c r="J1790" s="2" t="s">
        <v>269</v>
      </c>
      <c r="K1790" s="2" t="s">
        <v>270</v>
      </c>
      <c r="L1790" s="2" t="s">
        <v>3713</v>
      </c>
      <c r="M1790" s="2" t="s">
        <v>99</v>
      </c>
      <c r="N1790" s="2" t="s">
        <v>88</v>
      </c>
      <c r="O1790" s="2">
        <v>14</v>
      </c>
      <c r="P1790" s="2">
        <v>13</v>
      </c>
      <c r="Q1790" s="4">
        <v>7600</v>
      </c>
      <c r="R1790" s="4">
        <v>7120</v>
      </c>
      <c r="S1790" s="4">
        <v>121</v>
      </c>
      <c r="T1790" s="19">
        <f>(ProductionData[[#This Row],[Rejected_Qty]])/ProductionData[[#This Row],[Produced_Qty]]</f>
        <v>1.6994382022471909E-2</v>
      </c>
      <c r="U1790" s="19">
        <f>ProductionData[[#This Row],[Produced_Qty]]/ProductionData[[#This Row],[Planned_Qty]]</f>
        <v>0.93684210526315792</v>
      </c>
      <c r="V1790" s="2" t="s">
        <v>109</v>
      </c>
      <c r="W1790" s="11">
        <v>24</v>
      </c>
      <c r="X1790" s="13">
        <f>W1790/60</f>
        <v>0.4</v>
      </c>
      <c r="Y1790" s="2" t="s">
        <v>110</v>
      </c>
      <c r="Z1790" s="2">
        <v>42</v>
      </c>
      <c r="AA1790" s="2">
        <f>ProductionData[[#This Row],[Rejected_Qty]]*ProductionData[[#This Row],[Unit_Cost_INR]]</f>
        <v>5082</v>
      </c>
      <c r="AB1790" s="4">
        <v>33839</v>
      </c>
      <c r="AC1790" s="4">
        <v>7470</v>
      </c>
      <c r="AD1790" s="4">
        <v>7470</v>
      </c>
      <c r="AE1790" s="4">
        <v>33368</v>
      </c>
      <c r="AF1790" s="4">
        <v>12000</v>
      </c>
    </row>
    <row r="1791" spans="1:32">
      <c r="A1791" s="2" t="s">
        <v>3714</v>
      </c>
      <c r="B1791" s="3">
        <v>46291</v>
      </c>
      <c r="C1791" s="36" t="s">
        <v>64</v>
      </c>
      <c r="D1791" s="2">
        <f>MONTH(ProductionData[[#This Row],[Month]])</f>
        <v>9</v>
      </c>
      <c r="E1791" s="2" t="s">
        <v>65</v>
      </c>
      <c r="F1791" s="2" t="s">
        <v>66</v>
      </c>
      <c r="G1791" s="2" t="s">
        <v>195</v>
      </c>
      <c r="H1791" s="2" t="s">
        <v>196</v>
      </c>
      <c r="I1791" s="2" t="s">
        <v>197</v>
      </c>
      <c r="J1791" s="2" t="s">
        <v>269</v>
      </c>
      <c r="K1791" s="2" t="s">
        <v>270</v>
      </c>
      <c r="L1791" s="2" t="s">
        <v>3715</v>
      </c>
      <c r="M1791" s="2" t="s">
        <v>99</v>
      </c>
      <c r="N1791" s="2" t="s">
        <v>96</v>
      </c>
      <c r="O1791" s="2">
        <v>14</v>
      </c>
      <c r="P1791" s="2">
        <v>14</v>
      </c>
      <c r="Q1791" s="4">
        <v>8530</v>
      </c>
      <c r="R1791" s="4">
        <v>7740</v>
      </c>
      <c r="S1791" s="4">
        <v>175</v>
      </c>
      <c r="T1791" s="19">
        <f>(ProductionData[[#This Row],[Rejected_Qty]])/ProductionData[[#This Row],[Produced_Qty]]</f>
        <v>2.2609819121447029E-2</v>
      </c>
      <c r="U1791" s="19">
        <f>ProductionData[[#This Row],[Produced_Qty]]/ProductionData[[#This Row],[Planned_Qty]]</f>
        <v>0.90738569753810083</v>
      </c>
      <c r="V1791" s="2" t="s">
        <v>103</v>
      </c>
      <c r="W1791" s="11">
        <v>0</v>
      </c>
      <c r="X1791" s="13">
        <f>W1791/60</f>
        <v>0</v>
      </c>
      <c r="Y1791" s="2" t="s">
        <v>90</v>
      </c>
      <c r="Z1791" s="2">
        <v>42</v>
      </c>
      <c r="AA1791" s="2">
        <f>ProductionData[[#This Row],[Rejected_Qty]]*ProductionData[[#This Row],[Unit_Cost_INR]]</f>
        <v>7350</v>
      </c>
      <c r="AB1791" s="4">
        <v>33601</v>
      </c>
      <c r="AC1791" s="4">
        <v>7830</v>
      </c>
      <c r="AD1791" s="4">
        <v>7830</v>
      </c>
      <c r="AE1791" s="4">
        <v>33336</v>
      </c>
      <c r="AF1791" s="4">
        <v>12000</v>
      </c>
    </row>
    <row r="1792" spans="1:32">
      <c r="A1792" s="2" t="s">
        <v>3716</v>
      </c>
      <c r="B1792" s="3">
        <v>46284</v>
      </c>
      <c r="C1792" s="36" t="s">
        <v>64</v>
      </c>
      <c r="D1792" s="2">
        <f>MONTH(ProductionData[[#This Row],[Month]])</f>
        <v>9</v>
      </c>
      <c r="E1792" s="2" t="s">
        <v>65</v>
      </c>
      <c r="F1792" s="2" t="s">
        <v>93</v>
      </c>
      <c r="G1792" s="2" t="s">
        <v>195</v>
      </c>
      <c r="H1792" s="2" t="s">
        <v>196</v>
      </c>
      <c r="I1792" s="2" t="s">
        <v>197</v>
      </c>
      <c r="J1792" s="2" t="s">
        <v>269</v>
      </c>
      <c r="K1792" s="2" t="s">
        <v>270</v>
      </c>
      <c r="L1792" s="2" t="s">
        <v>3717</v>
      </c>
      <c r="M1792" s="2" t="s">
        <v>133</v>
      </c>
      <c r="N1792" s="2" t="s">
        <v>88</v>
      </c>
      <c r="O1792" s="2">
        <v>14</v>
      </c>
      <c r="P1792" s="2">
        <v>14</v>
      </c>
      <c r="Q1792" s="4">
        <v>7460</v>
      </c>
      <c r="R1792" s="4">
        <v>7560</v>
      </c>
      <c r="S1792" s="4">
        <v>210</v>
      </c>
      <c r="T1792" s="19">
        <f>(ProductionData[[#This Row],[Rejected_Qty]])/ProductionData[[#This Row],[Produced_Qty]]</f>
        <v>2.7777777777777776E-2</v>
      </c>
      <c r="U1792" s="19">
        <f>ProductionData[[#This Row],[Produced_Qty]]/ProductionData[[#This Row],[Planned_Qty]]</f>
        <v>1.0134048257372654</v>
      </c>
      <c r="V1792" s="2" t="s">
        <v>113</v>
      </c>
      <c r="W1792" s="11">
        <v>0</v>
      </c>
      <c r="X1792" s="13">
        <f>W1792/60</f>
        <v>0</v>
      </c>
      <c r="Y1792" s="2" t="s">
        <v>90</v>
      </c>
      <c r="Z1792" s="2">
        <v>42</v>
      </c>
      <c r="AA1792" s="2">
        <f>ProductionData[[#This Row],[Rejected_Qty]]*ProductionData[[#This Row],[Unit_Cost_INR]]</f>
        <v>8820</v>
      </c>
      <c r="AB1792" s="4">
        <v>32114</v>
      </c>
      <c r="AC1792" s="4">
        <v>6130</v>
      </c>
      <c r="AD1792" s="4">
        <v>6130</v>
      </c>
      <c r="AE1792" s="4">
        <v>33334</v>
      </c>
      <c r="AF1792" s="4">
        <v>12000</v>
      </c>
    </row>
    <row r="1793" spans="1:32">
      <c r="A1793" s="2" t="s">
        <v>3718</v>
      </c>
      <c r="B1793" s="3">
        <v>46292</v>
      </c>
      <c r="C1793" s="36" t="s">
        <v>64</v>
      </c>
      <c r="D1793" s="2">
        <f>MONTH(ProductionData[[#This Row],[Month]])</f>
        <v>9</v>
      </c>
      <c r="E1793" s="2" t="s">
        <v>186</v>
      </c>
      <c r="F1793" s="2" t="s">
        <v>66</v>
      </c>
      <c r="G1793" s="2" t="s">
        <v>174</v>
      </c>
      <c r="H1793" s="2" t="s">
        <v>175</v>
      </c>
      <c r="I1793" s="2" t="s">
        <v>176</v>
      </c>
      <c r="J1793" s="2" t="s">
        <v>177</v>
      </c>
      <c r="K1793" s="2" t="s">
        <v>178</v>
      </c>
      <c r="L1793" s="2" t="s">
        <v>3719</v>
      </c>
      <c r="M1793" s="2" t="s">
        <v>73</v>
      </c>
      <c r="N1793" s="2" t="s">
        <v>88</v>
      </c>
      <c r="O1793" s="2">
        <v>10</v>
      </c>
      <c r="P1793" s="2">
        <v>7</v>
      </c>
      <c r="Q1793" s="4">
        <v>5610</v>
      </c>
      <c r="R1793" s="4">
        <v>5080</v>
      </c>
      <c r="S1793" s="4">
        <v>136</v>
      </c>
      <c r="T1793" s="19">
        <f>(ProductionData[[#This Row],[Rejected_Qty]])/ProductionData[[#This Row],[Produced_Qty]]</f>
        <v>2.6771653543307086E-2</v>
      </c>
      <c r="U1793" s="19">
        <f>ProductionData[[#This Row],[Produced_Qty]]/ProductionData[[#This Row],[Planned_Qty]]</f>
        <v>0.90552584670231728</v>
      </c>
      <c r="V1793" s="2" t="s">
        <v>113</v>
      </c>
      <c r="W1793" s="11">
        <v>30</v>
      </c>
      <c r="X1793" s="13">
        <f>W1793/60</f>
        <v>0.5</v>
      </c>
      <c r="Y1793" s="2" t="s">
        <v>110</v>
      </c>
      <c r="Z1793" s="2">
        <v>24</v>
      </c>
      <c r="AA1793" s="2">
        <f>ProductionData[[#This Row],[Rejected_Qty]]*ProductionData[[#This Row],[Unit_Cost_INR]]</f>
        <v>3264</v>
      </c>
      <c r="AB1793" s="4">
        <v>33499</v>
      </c>
      <c r="AC1793" s="4">
        <v>5150</v>
      </c>
      <c r="AD1793" s="4">
        <v>5150</v>
      </c>
      <c r="AE1793" s="4">
        <v>33293</v>
      </c>
      <c r="AF1793" s="4">
        <v>12000</v>
      </c>
    </row>
    <row r="1794" spans="1:32">
      <c r="A1794" s="2" t="s">
        <v>3720</v>
      </c>
      <c r="B1794" s="3">
        <v>46285</v>
      </c>
      <c r="C1794" s="36" t="s">
        <v>64</v>
      </c>
      <c r="D1794" s="2">
        <f>MONTH(ProductionData[[#This Row],[Month]])</f>
        <v>9</v>
      </c>
      <c r="E1794" s="2" t="s">
        <v>186</v>
      </c>
      <c r="F1794" s="2" t="s">
        <v>80</v>
      </c>
      <c r="G1794" s="2" t="s">
        <v>174</v>
      </c>
      <c r="H1794" s="2" t="s">
        <v>175</v>
      </c>
      <c r="I1794" s="2" t="s">
        <v>176</v>
      </c>
      <c r="J1794" s="2" t="s">
        <v>177</v>
      </c>
      <c r="K1794" s="2" t="s">
        <v>178</v>
      </c>
      <c r="L1794" s="2" t="s">
        <v>3721</v>
      </c>
      <c r="M1794" s="2" t="s">
        <v>87</v>
      </c>
      <c r="N1794" s="2" t="s">
        <v>96</v>
      </c>
      <c r="O1794" s="2">
        <v>10</v>
      </c>
      <c r="P1794" s="2">
        <v>9</v>
      </c>
      <c r="Q1794" s="4">
        <v>5520</v>
      </c>
      <c r="R1794" s="4">
        <v>4970</v>
      </c>
      <c r="S1794" s="4">
        <v>139</v>
      </c>
      <c r="T1794" s="19">
        <f>(ProductionData[[#This Row],[Rejected_Qty]])/ProductionData[[#This Row],[Produced_Qty]]</f>
        <v>2.7967806841046279E-2</v>
      </c>
      <c r="U1794" s="19">
        <f>ProductionData[[#This Row],[Produced_Qty]]/ProductionData[[#This Row],[Planned_Qty]]</f>
        <v>0.90036231884057971</v>
      </c>
      <c r="V1794" s="2" t="s">
        <v>113</v>
      </c>
      <c r="W1794" s="11">
        <v>51</v>
      </c>
      <c r="X1794" s="13">
        <f>W1794/60</f>
        <v>0.85</v>
      </c>
      <c r="Y1794" s="2" t="s">
        <v>136</v>
      </c>
      <c r="Z1794" s="2">
        <v>24</v>
      </c>
      <c r="AA1794" s="2">
        <f>ProductionData[[#This Row],[Rejected_Qty]]*ProductionData[[#This Row],[Unit_Cost_INR]]</f>
        <v>3336</v>
      </c>
      <c r="AB1794" s="4">
        <v>33126</v>
      </c>
      <c r="AC1794" s="4">
        <v>4720</v>
      </c>
      <c r="AD1794" s="4">
        <v>4720</v>
      </c>
      <c r="AE1794" s="4">
        <v>33237</v>
      </c>
      <c r="AF1794" s="4">
        <v>12000</v>
      </c>
    </row>
    <row r="1795" spans="1:32">
      <c r="A1795" s="2" t="s">
        <v>3722</v>
      </c>
      <c r="B1795" s="3">
        <v>46272</v>
      </c>
      <c r="C1795" s="36" t="s">
        <v>64</v>
      </c>
      <c r="D1795" s="2">
        <f>MONTH(ProductionData[[#This Row],[Month]])</f>
        <v>9</v>
      </c>
      <c r="E1795" s="2" t="s">
        <v>116</v>
      </c>
      <c r="F1795" s="2" t="s">
        <v>66</v>
      </c>
      <c r="G1795" s="2" t="s">
        <v>195</v>
      </c>
      <c r="H1795" s="2" t="s">
        <v>196</v>
      </c>
      <c r="I1795" s="2" t="s">
        <v>197</v>
      </c>
      <c r="J1795" s="2" t="s">
        <v>269</v>
      </c>
      <c r="K1795" s="2" t="s">
        <v>270</v>
      </c>
      <c r="L1795" s="2" t="s">
        <v>3723</v>
      </c>
      <c r="M1795" s="2" t="s">
        <v>99</v>
      </c>
      <c r="N1795" s="2" t="s">
        <v>96</v>
      </c>
      <c r="O1795" s="2">
        <v>14</v>
      </c>
      <c r="P1795" s="2">
        <v>11</v>
      </c>
      <c r="Q1795" s="4">
        <v>7520</v>
      </c>
      <c r="R1795" s="4">
        <v>6320</v>
      </c>
      <c r="S1795" s="4">
        <v>174</v>
      </c>
      <c r="T1795" s="19">
        <f>(ProductionData[[#This Row],[Rejected_Qty]])/ProductionData[[#This Row],[Produced_Qty]]</f>
        <v>2.7531645569620254E-2</v>
      </c>
      <c r="U1795" s="19">
        <f>ProductionData[[#This Row],[Produced_Qty]]/ProductionData[[#This Row],[Planned_Qty]]</f>
        <v>0.84042553191489366</v>
      </c>
      <c r="V1795" s="2" t="s">
        <v>75</v>
      </c>
      <c r="W1795" s="11">
        <v>0</v>
      </c>
      <c r="X1795" s="13">
        <f>W1795/60</f>
        <v>0</v>
      </c>
      <c r="Y1795" s="2" t="s">
        <v>90</v>
      </c>
      <c r="Z1795" s="2">
        <v>42</v>
      </c>
      <c r="AA1795" s="2">
        <f>ProductionData[[#This Row],[Rejected_Qty]]*ProductionData[[#This Row],[Unit_Cost_INR]]</f>
        <v>7308</v>
      </c>
      <c r="AB1795" s="4">
        <v>34247</v>
      </c>
      <c r="AC1795" s="4">
        <v>7250</v>
      </c>
      <c r="AD1795" s="4">
        <v>7250</v>
      </c>
      <c r="AE1795" s="4">
        <v>33143</v>
      </c>
      <c r="AF1795" s="4">
        <v>12000</v>
      </c>
    </row>
    <row r="1796" spans="1:32">
      <c r="A1796" s="2" t="s">
        <v>3724</v>
      </c>
      <c r="B1796" s="3">
        <v>46285</v>
      </c>
      <c r="C1796" s="36" t="s">
        <v>64</v>
      </c>
      <c r="D1796" s="2">
        <f>MONTH(ProductionData[[#This Row],[Month]])</f>
        <v>9</v>
      </c>
      <c r="E1796" s="2" t="s">
        <v>186</v>
      </c>
      <c r="F1796" s="2" t="s">
        <v>66</v>
      </c>
      <c r="G1796" s="2" t="s">
        <v>174</v>
      </c>
      <c r="H1796" s="2" t="s">
        <v>175</v>
      </c>
      <c r="I1796" s="2" t="s">
        <v>176</v>
      </c>
      <c r="J1796" s="2" t="s">
        <v>177</v>
      </c>
      <c r="K1796" s="2" t="s">
        <v>178</v>
      </c>
      <c r="L1796" s="2" t="s">
        <v>3725</v>
      </c>
      <c r="M1796" s="2" t="s">
        <v>73</v>
      </c>
      <c r="N1796" s="2" t="s">
        <v>96</v>
      </c>
      <c r="O1796" s="2">
        <v>10</v>
      </c>
      <c r="P1796" s="2">
        <v>9</v>
      </c>
      <c r="Q1796" s="4">
        <v>5170</v>
      </c>
      <c r="R1796" s="4">
        <v>5240</v>
      </c>
      <c r="S1796" s="4">
        <v>149</v>
      </c>
      <c r="T1796" s="19">
        <f>(ProductionData[[#This Row],[Rejected_Qty]])/ProductionData[[#This Row],[Produced_Qty]]</f>
        <v>2.8435114503816795E-2</v>
      </c>
      <c r="U1796" s="19">
        <f>ProductionData[[#This Row],[Produced_Qty]]/ProductionData[[#This Row],[Planned_Qty]]</f>
        <v>1.0135396518375241</v>
      </c>
      <c r="V1796" s="2" t="s">
        <v>113</v>
      </c>
      <c r="W1796" s="11">
        <v>0</v>
      </c>
      <c r="X1796" s="13">
        <f>W1796/60</f>
        <v>0</v>
      </c>
      <c r="Y1796" s="2" t="s">
        <v>90</v>
      </c>
      <c r="Z1796" s="2">
        <v>24</v>
      </c>
      <c r="AA1796" s="2">
        <f>ProductionData[[#This Row],[Rejected_Qty]]*ProductionData[[#This Row],[Unit_Cost_INR]]</f>
        <v>3576</v>
      </c>
      <c r="AB1796" s="4">
        <v>32225</v>
      </c>
      <c r="AC1796" s="4">
        <v>4190</v>
      </c>
      <c r="AD1796" s="4">
        <v>4190</v>
      </c>
      <c r="AE1796" s="4">
        <v>33126</v>
      </c>
      <c r="AF1796" s="4">
        <v>12000</v>
      </c>
    </row>
    <row r="1797" spans="1:32">
      <c r="A1797" s="2" t="s">
        <v>3726</v>
      </c>
      <c r="B1797" s="3">
        <v>46281</v>
      </c>
      <c r="C1797" s="36" t="s">
        <v>64</v>
      </c>
      <c r="D1797" s="2">
        <f>MONTH(ProductionData[[#This Row],[Month]])</f>
        <v>9</v>
      </c>
      <c r="E1797" s="2" t="s">
        <v>79</v>
      </c>
      <c r="F1797" s="2" t="s">
        <v>93</v>
      </c>
      <c r="G1797" s="2" t="s">
        <v>195</v>
      </c>
      <c r="H1797" s="2" t="s">
        <v>196</v>
      </c>
      <c r="I1797" s="2" t="s">
        <v>197</v>
      </c>
      <c r="J1797" s="2" t="s">
        <v>269</v>
      </c>
      <c r="K1797" s="2" t="s">
        <v>270</v>
      </c>
      <c r="L1797" s="2" t="s">
        <v>3727</v>
      </c>
      <c r="M1797" s="2" t="s">
        <v>133</v>
      </c>
      <c r="N1797" s="2" t="s">
        <v>88</v>
      </c>
      <c r="O1797" s="2">
        <v>14</v>
      </c>
      <c r="P1797" s="2">
        <v>12</v>
      </c>
      <c r="Q1797" s="4">
        <v>7360</v>
      </c>
      <c r="R1797" s="4">
        <v>6950</v>
      </c>
      <c r="S1797" s="4">
        <v>94</v>
      </c>
      <c r="T1797" s="19">
        <f>(ProductionData[[#This Row],[Rejected_Qty]])/ProductionData[[#This Row],[Produced_Qty]]</f>
        <v>1.3525179856115108E-2</v>
      </c>
      <c r="U1797" s="19">
        <f>ProductionData[[#This Row],[Produced_Qty]]/ProductionData[[#This Row],[Planned_Qty]]</f>
        <v>0.94429347826086951</v>
      </c>
      <c r="V1797" s="2" t="s">
        <v>103</v>
      </c>
      <c r="W1797" s="11">
        <v>0</v>
      </c>
      <c r="X1797" s="13">
        <f>W1797/60</f>
        <v>0</v>
      </c>
      <c r="Y1797" s="2" t="s">
        <v>90</v>
      </c>
      <c r="Z1797" s="2">
        <v>42</v>
      </c>
      <c r="AA1797" s="2">
        <f>ProductionData[[#This Row],[Rejected_Qty]]*ProductionData[[#This Row],[Unit_Cost_INR]]</f>
        <v>3948</v>
      </c>
      <c r="AB1797" s="4">
        <v>33494</v>
      </c>
      <c r="AC1797" s="4">
        <v>7430</v>
      </c>
      <c r="AD1797" s="4">
        <v>7430</v>
      </c>
      <c r="AE1797" s="4">
        <v>32920</v>
      </c>
      <c r="AF1797" s="4">
        <v>12000</v>
      </c>
    </row>
    <row r="1798" spans="1:32">
      <c r="A1798" s="2" t="s">
        <v>3728</v>
      </c>
      <c r="B1798" s="3">
        <v>46287</v>
      </c>
      <c r="C1798" s="36" t="s">
        <v>64</v>
      </c>
      <c r="D1798" s="2">
        <f>MONTH(ProductionData[[#This Row],[Month]])</f>
        <v>9</v>
      </c>
      <c r="E1798" s="2" t="s">
        <v>92</v>
      </c>
      <c r="F1798" s="2" t="s">
        <v>66</v>
      </c>
      <c r="G1798" s="2" t="s">
        <v>174</v>
      </c>
      <c r="H1798" s="2" t="s">
        <v>175</v>
      </c>
      <c r="I1798" s="2" t="s">
        <v>176</v>
      </c>
      <c r="J1798" s="2" t="s">
        <v>177</v>
      </c>
      <c r="K1798" s="2" t="s">
        <v>178</v>
      </c>
      <c r="L1798" s="2" t="s">
        <v>3729</v>
      </c>
      <c r="M1798" s="2" t="s">
        <v>73</v>
      </c>
      <c r="N1798" s="2" t="s">
        <v>88</v>
      </c>
      <c r="O1798" s="2">
        <v>10</v>
      </c>
      <c r="P1798" s="2">
        <v>9</v>
      </c>
      <c r="Q1798" s="4">
        <v>7710</v>
      </c>
      <c r="R1798" s="4">
        <v>7130</v>
      </c>
      <c r="S1798" s="4">
        <v>154</v>
      </c>
      <c r="T1798" s="19">
        <f>(ProductionData[[#This Row],[Rejected_Qty]])/ProductionData[[#This Row],[Produced_Qty]]</f>
        <v>2.1598877980364656E-2</v>
      </c>
      <c r="U1798" s="19">
        <f>ProductionData[[#This Row],[Produced_Qty]]/ProductionData[[#This Row],[Planned_Qty]]</f>
        <v>0.92477302204928669</v>
      </c>
      <c r="V1798" s="2" t="s">
        <v>113</v>
      </c>
      <c r="W1798" s="11">
        <v>16</v>
      </c>
      <c r="X1798" s="13">
        <f>W1798/60</f>
        <v>0.26666666666666666</v>
      </c>
      <c r="Y1798" s="2" t="s">
        <v>114</v>
      </c>
      <c r="Z1798" s="2">
        <v>24</v>
      </c>
      <c r="AA1798" s="2">
        <f>ProductionData[[#This Row],[Rejected_Qty]]*ProductionData[[#This Row],[Unit_Cost_INR]]</f>
        <v>3696</v>
      </c>
      <c r="AB1798" s="4">
        <v>33237</v>
      </c>
      <c r="AC1798" s="4">
        <v>7350</v>
      </c>
      <c r="AD1798" s="4">
        <v>7350</v>
      </c>
      <c r="AE1798" s="4">
        <v>32863</v>
      </c>
      <c r="AF1798" s="4">
        <v>12000</v>
      </c>
    </row>
    <row r="1799" spans="1:32">
      <c r="A1799" s="2" t="s">
        <v>3730</v>
      </c>
      <c r="B1799" s="3">
        <v>46294</v>
      </c>
      <c r="C1799" s="36" t="s">
        <v>64</v>
      </c>
      <c r="D1799" s="2">
        <f>MONTH(ProductionData[[#This Row],[Month]])</f>
        <v>9</v>
      </c>
      <c r="E1799" s="2" t="s">
        <v>92</v>
      </c>
      <c r="F1799" s="2" t="s">
        <v>66</v>
      </c>
      <c r="G1799" s="2" t="s">
        <v>81</v>
      </c>
      <c r="H1799" s="2" t="s">
        <v>82</v>
      </c>
      <c r="I1799" s="2" t="s">
        <v>83</v>
      </c>
      <c r="J1799" s="2" t="s">
        <v>166</v>
      </c>
      <c r="K1799" s="2" t="s">
        <v>167</v>
      </c>
      <c r="L1799" s="2" t="s">
        <v>3731</v>
      </c>
      <c r="M1799" s="2" t="s">
        <v>99</v>
      </c>
      <c r="N1799" s="2" t="s">
        <v>96</v>
      </c>
      <c r="O1799" s="2">
        <v>18</v>
      </c>
      <c r="P1799" s="2">
        <v>15</v>
      </c>
      <c r="Q1799" s="4">
        <v>9320</v>
      </c>
      <c r="R1799" s="4">
        <v>8120</v>
      </c>
      <c r="S1799" s="4">
        <v>208</v>
      </c>
      <c r="T1799" s="19">
        <f>(ProductionData[[#This Row],[Rejected_Qty]])/ProductionData[[#This Row],[Produced_Qty]]</f>
        <v>2.561576354679803E-2</v>
      </c>
      <c r="U1799" s="19">
        <f>ProductionData[[#This Row],[Produced_Qty]]/ProductionData[[#This Row],[Planned_Qty]]</f>
        <v>0.871244635193133</v>
      </c>
      <c r="V1799" s="2" t="s">
        <v>103</v>
      </c>
      <c r="W1799" s="11">
        <v>41</v>
      </c>
      <c r="X1799" s="13">
        <f>W1799/60</f>
        <v>0.68333333333333335</v>
      </c>
      <c r="Y1799" s="2" t="s">
        <v>114</v>
      </c>
      <c r="Z1799" s="2">
        <v>17</v>
      </c>
      <c r="AA1799" s="2">
        <f>ProductionData[[#This Row],[Rejected_Qty]]*ProductionData[[#This Row],[Unit_Cost_INR]]</f>
        <v>3536</v>
      </c>
      <c r="AB1799" s="4">
        <v>32179</v>
      </c>
      <c r="AC1799" s="4">
        <v>7830</v>
      </c>
      <c r="AD1799" s="4">
        <v>7830</v>
      </c>
      <c r="AE1799" s="4">
        <v>32261</v>
      </c>
      <c r="AF1799" s="4">
        <v>13500</v>
      </c>
    </row>
    <row r="1800" spans="1:32">
      <c r="A1800" s="2" t="s">
        <v>3732</v>
      </c>
      <c r="B1800" s="3">
        <v>46295</v>
      </c>
      <c r="C1800" s="36" t="s">
        <v>64</v>
      </c>
      <c r="D1800" s="2">
        <f>MONTH(ProductionData[[#This Row],[Month]])</f>
        <v>9</v>
      </c>
      <c r="E1800" s="2" t="s">
        <v>79</v>
      </c>
      <c r="F1800" s="2" t="s">
        <v>66</v>
      </c>
      <c r="G1800" s="2" t="s">
        <v>81</v>
      </c>
      <c r="H1800" s="2" t="s">
        <v>82</v>
      </c>
      <c r="I1800" s="2" t="s">
        <v>83</v>
      </c>
      <c r="J1800" s="2" t="s">
        <v>166</v>
      </c>
      <c r="K1800" s="2" t="s">
        <v>167</v>
      </c>
      <c r="L1800" s="2" t="s">
        <v>3733</v>
      </c>
      <c r="M1800" s="2" t="s">
        <v>73</v>
      </c>
      <c r="N1800" s="2" t="s">
        <v>96</v>
      </c>
      <c r="O1800" s="2">
        <v>18</v>
      </c>
      <c r="P1800" s="2">
        <v>18</v>
      </c>
      <c r="Q1800" s="4">
        <v>9620</v>
      </c>
      <c r="R1800" s="4">
        <v>9040</v>
      </c>
      <c r="S1800" s="4">
        <v>156</v>
      </c>
      <c r="T1800" s="19">
        <f>(ProductionData[[#This Row],[Rejected_Qty]])/ProductionData[[#This Row],[Produced_Qty]]</f>
        <v>1.7256637168141593E-2</v>
      </c>
      <c r="U1800" s="19">
        <f>ProductionData[[#This Row],[Produced_Qty]]/ProductionData[[#This Row],[Planned_Qty]]</f>
        <v>0.93970893970893976</v>
      </c>
      <c r="V1800" s="2" t="s">
        <v>75</v>
      </c>
      <c r="W1800" s="11">
        <v>0</v>
      </c>
      <c r="X1800" s="13">
        <f>W1800/60</f>
        <v>0</v>
      </c>
      <c r="Y1800" s="2" t="s">
        <v>90</v>
      </c>
      <c r="Z1800" s="2">
        <v>17</v>
      </c>
      <c r="AA1800" s="2">
        <f>ProductionData[[#This Row],[Rejected_Qty]]*ProductionData[[#This Row],[Unit_Cost_INR]]</f>
        <v>2652</v>
      </c>
      <c r="AB1800" s="4">
        <v>32261</v>
      </c>
      <c r="AC1800" s="4">
        <v>8900</v>
      </c>
      <c r="AD1800" s="4">
        <v>8900</v>
      </c>
      <c r="AE1800" s="4">
        <v>32245</v>
      </c>
      <c r="AF1800" s="4">
        <v>13500</v>
      </c>
    </row>
    <row r="1801" spans="1:32">
      <c r="A1801" s="2" t="s">
        <v>3734</v>
      </c>
      <c r="B1801" s="3">
        <v>46283</v>
      </c>
      <c r="C1801" s="36" t="s">
        <v>64</v>
      </c>
      <c r="D1801" s="2">
        <f>MONTH(ProductionData[[#This Row],[Month]])</f>
        <v>9</v>
      </c>
      <c r="E1801" s="2" t="s">
        <v>125</v>
      </c>
      <c r="F1801" s="2" t="s">
        <v>93</v>
      </c>
      <c r="G1801" s="2" t="s">
        <v>174</v>
      </c>
      <c r="H1801" s="2" t="s">
        <v>175</v>
      </c>
      <c r="I1801" s="2" t="s">
        <v>176</v>
      </c>
      <c r="J1801" s="2" t="s">
        <v>177</v>
      </c>
      <c r="K1801" s="2" t="s">
        <v>178</v>
      </c>
      <c r="L1801" s="2" t="s">
        <v>3735</v>
      </c>
      <c r="M1801" s="2" t="s">
        <v>95</v>
      </c>
      <c r="N1801" s="2" t="s">
        <v>96</v>
      </c>
      <c r="O1801" s="2">
        <v>10</v>
      </c>
      <c r="P1801" s="2">
        <v>8</v>
      </c>
      <c r="Q1801" s="4">
        <v>7400</v>
      </c>
      <c r="R1801" s="4">
        <v>6580</v>
      </c>
      <c r="S1801" s="4">
        <v>164</v>
      </c>
      <c r="T1801" s="19">
        <f>(ProductionData[[#This Row],[Rejected_Qty]])/ProductionData[[#This Row],[Produced_Qty]]</f>
        <v>2.4924012158054711E-2</v>
      </c>
      <c r="U1801" s="19">
        <f>ProductionData[[#This Row],[Produced_Qty]]/ProductionData[[#This Row],[Planned_Qty]]</f>
        <v>0.88918918918918921</v>
      </c>
      <c r="V1801" s="2" t="s">
        <v>89</v>
      </c>
      <c r="W1801" s="11">
        <v>0</v>
      </c>
      <c r="X1801" s="13">
        <f>W1801/60</f>
        <v>0</v>
      </c>
      <c r="Y1801" s="2" t="s">
        <v>90</v>
      </c>
      <c r="Z1801" s="2">
        <v>24</v>
      </c>
      <c r="AA1801" s="2">
        <f>ProductionData[[#This Row],[Rejected_Qty]]*ProductionData[[#This Row],[Unit_Cost_INR]]</f>
        <v>3936</v>
      </c>
      <c r="AB1801" s="4">
        <v>31959</v>
      </c>
      <c r="AC1801" s="4">
        <v>6150</v>
      </c>
      <c r="AD1801" s="4">
        <v>6150</v>
      </c>
      <c r="AE1801" s="4">
        <v>32225</v>
      </c>
      <c r="AF1801" s="4">
        <v>12000</v>
      </c>
    </row>
    <row r="1802" spans="1:32">
      <c r="A1802" s="2" t="s">
        <v>3736</v>
      </c>
      <c r="B1802" s="3">
        <v>46290</v>
      </c>
      <c r="C1802" s="36" t="s">
        <v>64</v>
      </c>
      <c r="D1802" s="2">
        <f>MONTH(ProductionData[[#This Row],[Month]])</f>
        <v>9</v>
      </c>
      <c r="E1802" s="2" t="s">
        <v>125</v>
      </c>
      <c r="F1802" s="2" t="s">
        <v>66</v>
      </c>
      <c r="G1802" s="2" t="s">
        <v>81</v>
      </c>
      <c r="H1802" s="2" t="s">
        <v>82</v>
      </c>
      <c r="I1802" s="2" t="s">
        <v>83</v>
      </c>
      <c r="J1802" s="2" t="s">
        <v>166</v>
      </c>
      <c r="K1802" s="2" t="s">
        <v>167</v>
      </c>
      <c r="L1802" s="2" t="s">
        <v>3737</v>
      </c>
      <c r="M1802" s="2" t="s">
        <v>73</v>
      </c>
      <c r="N1802" s="2" t="s">
        <v>88</v>
      </c>
      <c r="O1802" s="2">
        <v>18</v>
      </c>
      <c r="P1802" s="2">
        <v>18</v>
      </c>
      <c r="Q1802" s="4">
        <v>9420</v>
      </c>
      <c r="R1802" s="4">
        <v>9200</v>
      </c>
      <c r="S1802" s="4">
        <v>173</v>
      </c>
      <c r="T1802" s="19">
        <f>(ProductionData[[#This Row],[Rejected_Qty]])/ProductionData[[#This Row],[Produced_Qty]]</f>
        <v>1.8804347826086955E-2</v>
      </c>
      <c r="U1802" s="19">
        <f>ProductionData[[#This Row],[Produced_Qty]]/ProductionData[[#This Row],[Planned_Qty]]</f>
        <v>0.97664543524416136</v>
      </c>
      <c r="V1802" s="2" t="s">
        <v>113</v>
      </c>
      <c r="W1802" s="11">
        <v>0</v>
      </c>
      <c r="X1802" s="13">
        <f>W1802/60</f>
        <v>0</v>
      </c>
      <c r="Y1802" s="2" t="s">
        <v>90</v>
      </c>
      <c r="Z1802" s="2">
        <v>17</v>
      </c>
      <c r="AA1802" s="2">
        <f>ProductionData[[#This Row],[Rejected_Qty]]*ProductionData[[#This Row],[Unit_Cost_INR]]</f>
        <v>2941</v>
      </c>
      <c r="AB1802" s="4">
        <v>31032</v>
      </c>
      <c r="AC1802" s="4">
        <v>7880</v>
      </c>
      <c r="AD1802" s="4">
        <v>7880</v>
      </c>
      <c r="AE1802" s="4">
        <v>32179</v>
      </c>
      <c r="AF1802" s="4">
        <v>13500</v>
      </c>
    </row>
    <row r="1803" spans="1:32">
      <c r="A1803" s="2" t="s">
        <v>3738</v>
      </c>
      <c r="B1803" s="3">
        <v>46282</v>
      </c>
      <c r="C1803" s="36" t="s">
        <v>64</v>
      </c>
      <c r="D1803" s="2">
        <f>MONTH(ProductionData[[#This Row],[Month]])</f>
        <v>9</v>
      </c>
      <c r="E1803" s="2" t="s">
        <v>107</v>
      </c>
      <c r="F1803" s="2" t="s">
        <v>80</v>
      </c>
      <c r="G1803" s="2" t="s">
        <v>195</v>
      </c>
      <c r="H1803" s="2" t="s">
        <v>196</v>
      </c>
      <c r="I1803" s="2" t="s">
        <v>197</v>
      </c>
      <c r="J1803" s="2" t="s">
        <v>269</v>
      </c>
      <c r="K1803" s="2" t="s">
        <v>270</v>
      </c>
      <c r="L1803" s="2" t="s">
        <v>3739</v>
      </c>
      <c r="M1803" s="2" t="s">
        <v>102</v>
      </c>
      <c r="N1803" s="2" t="s">
        <v>88</v>
      </c>
      <c r="O1803" s="2">
        <v>14</v>
      </c>
      <c r="P1803" s="2">
        <v>11</v>
      </c>
      <c r="Q1803" s="4">
        <v>8320</v>
      </c>
      <c r="R1803" s="4">
        <v>7210</v>
      </c>
      <c r="S1803" s="4">
        <v>206</v>
      </c>
      <c r="T1803" s="19">
        <f>(ProductionData[[#This Row],[Rejected_Qty]])/ProductionData[[#This Row],[Produced_Qty]]</f>
        <v>2.8571428571428571E-2</v>
      </c>
      <c r="U1803" s="19">
        <f>ProductionData[[#This Row],[Produced_Qty]]/ProductionData[[#This Row],[Planned_Qty]]</f>
        <v>0.86658653846153844</v>
      </c>
      <c r="V1803" s="2" t="s">
        <v>103</v>
      </c>
      <c r="W1803" s="11">
        <v>24</v>
      </c>
      <c r="X1803" s="13">
        <f>W1803/60</f>
        <v>0.4</v>
      </c>
      <c r="Y1803" s="2" t="s">
        <v>182</v>
      </c>
      <c r="Z1803" s="2">
        <v>42</v>
      </c>
      <c r="AA1803" s="2">
        <f>ProductionData[[#This Row],[Rejected_Qty]]*ProductionData[[#This Row],[Unit_Cost_INR]]</f>
        <v>8652</v>
      </c>
      <c r="AB1803" s="4">
        <v>32920</v>
      </c>
      <c r="AC1803" s="4">
        <v>7810</v>
      </c>
      <c r="AD1803" s="4">
        <v>7810</v>
      </c>
      <c r="AE1803" s="4">
        <v>32114</v>
      </c>
      <c r="AF1803" s="4">
        <v>12000</v>
      </c>
    </row>
    <row r="1804" spans="1:32">
      <c r="A1804" s="2" t="s">
        <v>3740</v>
      </c>
      <c r="B1804" s="3">
        <v>46282</v>
      </c>
      <c r="C1804" s="36" t="s">
        <v>64</v>
      </c>
      <c r="D1804" s="2">
        <f>MONTH(ProductionData[[#This Row],[Month]])</f>
        <v>9</v>
      </c>
      <c r="E1804" s="2" t="s">
        <v>107</v>
      </c>
      <c r="F1804" s="2" t="s">
        <v>93</v>
      </c>
      <c r="G1804" s="2" t="s">
        <v>174</v>
      </c>
      <c r="H1804" s="2" t="s">
        <v>175</v>
      </c>
      <c r="I1804" s="2" t="s">
        <v>176</v>
      </c>
      <c r="J1804" s="2" t="s">
        <v>177</v>
      </c>
      <c r="K1804" s="2" t="s">
        <v>178</v>
      </c>
      <c r="L1804" s="2" t="s">
        <v>3741</v>
      </c>
      <c r="M1804" s="2" t="s">
        <v>133</v>
      </c>
      <c r="N1804" s="2" t="s">
        <v>88</v>
      </c>
      <c r="O1804" s="2">
        <v>10</v>
      </c>
      <c r="P1804" s="2">
        <v>9</v>
      </c>
      <c r="Q1804" s="4">
        <v>7010</v>
      </c>
      <c r="R1804" s="4">
        <v>6290</v>
      </c>
      <c r="S1804" s="4">
        <v>142</v>
      </c>
      <c r="T1804" s="19">
        <f>(ProductionData[[#This Row],[Rejected_Qty]])/ProductionData[[#This Row],[Produced_Qty]]</f>
        <v>2.2575516693163752E-2</v>
      </c>
      <c r="U1804" s="19">
        <f>ProductionData[[#This Row],[Produced_Qty]]/ProductionData[[#This Row],[Planned_Qty]]</f>
        <v>0.89728958630527822</v>
      </c>
      <c r="V1804" s="2" t="s">
        <v>89</v>
      </c>
      <c r="W1804" s="11">
        <v>19</v>
      </c>
      <c r="X1804" s="13">
        <f>W1804/60</f>
        <v>0.31666666666666665</v>
      </c>
      <c r="Y1804" s="2" t="s">
        <v>76</v>
      </c>
      <c r="Z1804" s="2">
        <v>24</v>
      </c>
      <c r="AA1804" s="2">
        <f>ProductionData[[#This Row],[Rejected_Qty]]*ProductionData[[#This Row],[Unit_Cost_INR]]</f>
        <v>3408</v>
      </c>
      <c r="AB1804" s="4">
        <v>31301</v>
      </c>
      <c r="AC1804" s="4">
        <v>5490</v>
      </c>
      <c r="AD1804" s="4">
        <v>5490</v>
      </c>
      <c r="AE1804" s="4">
        <v>31959</v>
      </c>
      <c r="AF1804" s="4">
        <v>12000</v>
      </c>
    </row>
    <row r="1805" spans="1:32">
      <c r="A1805" s="2" t="s">
        <v>3742</v>
      </c>
      <c r="B1805" s="3">
        <v>46282</v>
      </c>
      <c r="C1805" s="36" t="s">
        <v>64</v>
      </c>
      <c r="D1805" s="2">
        <f>MONTH(ProductionData[[#This Row],[Month]])</f>
        <v>9</v>
      </c>
      <c r="E1805" s="2" t="s">
        <v>107</v>
      </c>
      <c r="F1805" s="2" t="s">
        <v>80</v>
      </c>
      <c r="G1805" s="2" t="s">
        <v>174</v>
      </c>
      <c r="H1805" s="2" t="s">
        <v>175</v>
      </c>
      <c r="I1805" s="2" t="s">
        <v>176</v>
      </c>
      <c r="J1805" s="2" t="s">
        <v>177</v>
      </c>
      <c r="K1805" s="2" t="s">
        <v>178</v>
      </c>
      <c r="L1805" s="2" t="s">
        <v>3743</v>
      </c>
      <c r="M1805" s="2" t="s">
        <v>102</v>
      </c>
      <c r="N1805" s="2" t="s">
        <v>88</v>
      </c>
      <c r="O1805" s="2">
        <v>10</v>
      </c>
      <c r="P1805" s="2">
        <v>9</v>
      </c>
      <c r="Q1805" s="4">
        <v>8210</v>
      </c>
      <c r="R1805" s="4">
        <v>7330</v>
      </c>
      <c r="S1805" s="4">
        <v>286</v>
      </c>
      <c r="T1805" s="19">
        <f>(ProductionData[[#This Row],[Rejected_Qty]])/ProductionData[[#This Row],[Produced_Qty]]</f>
        <v>3.901773533424284E-2</v>
      </c>
      <c r="U1805" s="19">
        <f>ProductionData[[#This Row],[Produced_Qty]]/ProductionData[[#This Row],[Planned_Qty]]</f>
        <v>0.8928136419001218</v>
      </c>
      <c r="V1805" s="2" t="s">
        <v>109</v>
      </c>
      <c r="W1805" s="11">
        <v>54</v>
      </c>
      <c r="X1805" s="13">
        <f>W1805/60</f>
        <v>0.9</v>
      </c>
      <c r="Y1805" s="2" t="s">
        <v>76</v>
      </c>
      <c r="Z1805" s="2">
        <v>24</v>
      </c>
      <c r="AA1805" s="2">
        <f>ProductionData[[#This Row],[Rejected_Qty]]*ProductionData[[#This Row],[Unit_Cost_INR]]</f>
        <v>6864</v>
      </c>
      <c r="AB1805" s="4">
        <v>30977</v>
      </c>
      <c r="AC1805" s="4">
        <v>6720</v>
      </c>
      <c r="AD1805" s="4">
        <v>6720</v>
      </c>
      <c r="AE1805" s="4">
        <v>31301</v>
      </c>
      <c r="AF1805" s="4">
        <v>12000</v>
      </c>
    </row>
    <row r="1806" spans="1:32">
      <c r="A1806" s="2" t="s">
        <v>3744</v>
      </c>
      <c r="B1806" s="3">
        <v>46269</v>
      </c>
      <c r="C1806" s="36" t="s">
        <v>64</v>
      </c>
      <c r="D1806" s="2">
        <f>MONTH(ProductionData[[#This Row],[Month]])</f>
        <v>9</v>
      </c>
      <c r="E1806" s="2" t="s">
        <v>125</v>
      </c>
      <c r="F1806" s="2" t="s">
        <v>66</v>
      </c>
      <c r="G1806" s="2" t="s">
        <v>174</v>
      </c>
      <c r="H1806" s="2" t="s">
        <v>175</v>
      </c>
      <c r="I1806" s="2" t="s">
        <v>176</v>
      </c>
      <c r="J1806" s="2" t="s">
        <v>177</v>
      </c>
      <c r="K1806" s="2" t="s">
        <v>178</v>
      </c>
      <c r="L1806" s="2" t="s">
        <v>3745</v>
      </c>
      <c r="M1806" s="2" t="s">
        <v>99</v>
      </c>
      <c r="N1806" s="2" t="s">
        <v>88</v>
      </c>
      <c r="O1806" s="2">
        <v>10</v>
      </c>
      <c r="P1806" s="2">
        <v>10</v>
      </c>
      <c r="Q1806" s="4">
        <v>8590</v>
      </c>
      <c r="R1806" s="4">
        <v>7980</v>
      </c>
      <c r="S1806" s="4">
        <v>262</v>
      </c>
      <c r="T1806" s="19">
        <f>(ProductionData[[#This Row],[Rejected_Qty]])/ProductionData[[#This Row],[Produced_Qty]]</f>
        <v>3.2832080200501254E-2</v>
      </c>
      <c r="U1806" s="19">
        <f>ProductionData[[#This Row],[Produced_Qty]]/ProductionData[[#This Row],[Planned_Qty]]</f>
        <v>0.92898719441210709</v>
      </c>
      <c r="V1806" s="2" t="s">
        <v>75</v>
      </c>
      <c r="W1806" s="11">
        <v>0</v>
      </c>
      <c r="X1806" s="13">
        <f>W1806/60</f>
        <v>0</v>
      </c>
      <c r="Y1806" s="2" t="s">
        <v>90</v>
      </c>
      <c r="Z1806" s="2">
        <v>24</v>
      </c>
      <c r="AA1806" s="2">
        <f>ProductionData[[#This Row],[Rejected_Qty]]*ProductionData[[#This Row],[Unit_Cost_INR]]</f>
        <v>6288</v>
      </c>
      <c r="AB1806" s="4">
        <v>31012</v>
      </c>
      <c r="AC1806" s="4">
        <v>7540</v>
      </c>
      <c r="AD1806" s="4">
        <v>7540</v>
      </c>
      <c r="AE1806" s="4">
        <v>31190</v>
      </c>
      <c r="AF1806" s="4">
        <v>12000</v>
      </c>
    </row>
    <row r="1807" spans="1:32">
      <c r="A1807" s="2" t="s">
        <v>3746</v>
      </c>
      <c r="B1807" s="3">
        <v>46289</v>
      </c>
      <c r="C1807" s="36" t="s">
        <v>64</v>
      </c>
      <c r="D1807" s="2">
        <f>MONTH(ProductionData[[#This Row],[Month]])</f>
        <v>9</v>
      </c>
      <c r="E1807" s="2" t="s">
        <v>107</v>
      </c>
      <c r="F1807" s="2" t="s">
        <v>93</v>
      </c>
      <c r="G1807" s="2" t="s">
        <v>81</v>
      </c>
      <c r="H1807" s="2" t="s">
        <v>82</v>
      </c>
      <c r="I1807" s="2" t="s">
        <v>83</v>
      </c>
      <c r="J1807" s="2" t="s">
        <v>166</v>
      </c>
      <c r="K1807" s="2" t="s">
        <v>167</v>
      </c>
      <c r="L1807" s="2" t="s">
        <v>3747</v>
      </c>
      <c r="M1807" s="2" t="s">
        <v>95</v>
      </c>
      <c r="N1807" s="2" t="s">
        <v>88</v>
      </c>
      <c r="O1807" s="2">
        <v>18</v>
      </c>
      <c r="P1807" s="2">
        <v>18</v>
      </c>
      <c r="Q1807" s="4">
        <v>9050</v>
      </c>
      <c r="R1807" s="4">
        <v>8640</v>
      </c>
      <c r="S1807" s="4">
        <v>185</v>
      </c>
      <c r="T1807" s="19">
        <f>(ProductionData[[#This Row],[Rejected_Qty]])/ProductionData[[#This Row],[Produced_Qty]]</f>
        <v>2.1412037037037038E-2</v>
      </c>
      <c r="U1807" s="19">
        <f>ProductionData[[#This Row],[Produced_Qty]]/ProductionData[[#This Row],[Planned_Qty]]</f>
        <v>0.95469613259668507</v>
      </c>
      <c r="V1807" s="2" t="s">
        <v>103</v>
      </c>
      <c r="W1807" s="11">
        <v>20</v>
      </c>
      <c r="X1807" s="13">
        <f>W1807/60</f>
        <v>0.33333333333333331</v>
      </c>
      <c r="Y1807" s="2" t="s">
        <v>76</v>
      </c>
      <c r="Z1807" s="2">
        <v>17</v>
      </c>
      <c r="AA1807" s="2">
        <f>ProductionData[[#This Row],[Rejected_Qty]]*ProductionData[[#This Row],[Unit_Cost_INR]]</f>
        <v>3145</v>
      </c>
      <c r="AB1807" s="4">
        <v>30127</v>
      </c>
      <c r="AC1807" s="4">
        <v>7550</v>
      </c>
      <c r="AD1807" s="4">
        <v>7550</v>
      </c>
      <c r="AE1807" s="4">
        <v>31032</v>
      </c>
      <c r="AF1807" s="4">
        <v>13500</v>
      </c>
    </row>
    <row r="1808" spans="1:32">
      <c r="A1808" s="2" t="s">
        <v>3748</v>
      </c>
      <c r="B1808" s="3">
        <v>46268</v>
      </c>
      <c r="C1808" s="36" t="s">
        <v>64</v>
      </c>
      <c r="D1808" s="2">
        <f>MONTH(ProductionData[[#This Row],[Month]])</f>
        <v>9</v>
      </c>
      <c r="E1808" s="2" t="s">
        <v>107</v>
      </c>
      <c r="F1808" s="2" t="s">
        <v>66</v>
      </c>
      <c r="G1808" s="2" t="s">
        <v>174</v>
      </c>
      <c r="H1808" s="2" t="s">
        <v>175</v>
      </c>
      <c r="I1808" s="2" t="s">
        <v>176</v>
      </c>
      <c r="J1808" s="2" t="s">
        <v>177</v>
      </c>
      <c r="K1808" s="2" t="s">
        <v>178</v>
      </c>
      <c r="L1808" s="2" t="s">
        <v>3749</v>
      </c>
      <c r="M1808" s="2" t="s">
        <v>99</v>
      </c>
      <c r="N1808" s="2" t="s">
        <v>88</v>
      </c>
      <c r="O1808" s="2">
        <v>10</v>
      </c>
      <c r="P1808" s="2">
        <v>10</v>
      </c>
      <c r="Q1808" s="4">
        <v>7730</v>
      </c>
      <c r="R1808" s="4">
        <v>7300</v>
      </c>
      <c r="S1808" s="4">
        <v>82</v>
      </c>
      <c r="T1808" s="19">
        <f>(ProductionData[[#This Row],[Rejected_Qty]])/ProductionData[[#This Row],[Produced_Qty]]</f>
        <v>1.1232876712328766E-2</v>
      </c>
      <c r="U1808" s="19">
        <f>ProductionData[[#This Row],[Produced_Qty]]/ProductionData[[#This Row],[Planned_Qty]]</f>
        <v>0.94437257438551103</v>
      </c>
      <c r="V1808" s="2" t="s">
        <v>103</v>
      </c>
      <c r="W1808" s="11">
        <v>0</v>
      </c>
      <c r="X1808" s="13">
        <f>W1808/60</f>
        <v>0</v>
      </c>
      <c r="Y1808" s="2" t="s">
        <v>90</v>
      </c>
      <c r="Z1808" s="2">
        <v>24</v>
      </c>
      <c r="AA1808" s="2">
        <f>ProductionData[[#This Row],[Rejected_Qty]]*ProductionData[[#This Row],[Unit_Cost_INR]]</f>
        <v>1968</v>
      </c>
      <c r="AB1808" s="4">
        <v>30524</v>
      </c>
      <c r="AC1808" s="4">
        <v>6730</v>
      </c>
      <c r="AD1808" s="4">
        <v>6730</v>
      </c>
      <c r="AE1808" s="4">
        <v>31012</v>
      </c>
      <c r="AF1808" s="4">
        <v>12000</v>
      </c>
    </row>
    <row r="1809" spans="1:32">
      <c r="A1809" s="2" t="s">
        <v>3750</v>
      </c>
      <c r="B1809" s="3">
        <v>46281</v>
      </c>
      <c r="C1809" s="36" t="s">
        <v>64</v>
      </c>
      <c r="D1809" s="2">
        <f>MONTH(ProductionData[[#This Row],[Month]])</f>
        <v>9</v>
      </c>
      <c r="E1809" s="2" t="s">
        <v>79</v>
      </c>
      <c r="F1809" s="2" t="s">
        <v>93</v>
      </c>
      <c r="G1809" s="2" t="s">
        <v>174</v>
      </c>
      <c r="H1809" s="2" t="s">
        <v>175</v>
      </c>
      <c r="I1809" s="2" t="s">
        <v>176</v>
      </c>
      <c r="J1809" s="2" t="s">
        <v>177</v>
      </c>
      <c r="K1809" s="2" t="s">
        <v>178</v>
      </c>
      <c r="L1809" s="2" t="s">
        <v>3751</v>
      </c>
      <c r="M1809" s="2" t="s">
        <v>95</v>
      </c>
      <c r="N1809" s="2" t="s">
        <v>88</v>
      </c>
      <c r="O1809" s="2">
        <v>10</v>
      </c>
      <c r="P1809" s="2">
        <v>10</v>
      </c>
      <c r="Q1809" s="4">
        <v>7810</v>
      </c>
      <c r="R1809" s="4">
        <v>7460</v>
      </c>
      <c r="S1809" s="4">
        <v>279</v>
      </c>
      <c r="T1809" s="19">
        <f>(ProductionData[[#This Row],[Rejected_Qty]])/ProductionData[[#This Row],[Produced_Qty]]</f>
        <v>3.7399463806970512E-2</v>
      </c>
      <c r="U1809" s="19">
        <f>ProductionData[[#This Row],[Produced_Qty]]/ProductionData[[#This Row],[Planned_Qty]]</f>
        <v>0.95518565941101152</v>
      </c>
      <c r="V1809" s="2" t="s">
        <v>103</v>
      </c>
      <c r="W1809" s="11">
        <v>0</v>
      </c>
      <c r="X1809" s="13">
        <f>W1809/60</f>
        <v>0</v>
      </c>
      <c r="Y1809" s="2" t="s">
        <v>90</v>
      </c>
      <c r="Z1809" s="2">
        <v>24</v>
      </c>
      <c r="AA1809" s="2">
        <f>ProductionData[[#This Row],[Rejected_Qty]]*ProductionData[[#This Row],[Unit_Cost_INR]]</f>
        <v>6696</v>
      </c>
      <c r="AB1809" s="4">
        <v>30616</v>
      </c>
      <c r="AC1809" s="4">
        <v>6820</v>
      </c>
      <c r="AD1809" s="4">
        <v>6820</v>
      </c>
      <c r="AE1809" s="4">
        <v>30977</v>
      </c>
      <c r="AF1809" s="4">
        <v>12000</v>
      </c>
    </row>
    <row r="1810" spans="1:32">
      <c r="A1810" s="2" t="s">
        <v>3752</v>
      </c>
      <c r="B1810" s="3">
        <v>46269</v>
      </c>
      <c r="C1810" s="36" t="s">
        <v>64</v>
      </c>
      <c r="D1810" s="2">
        <f>MONTH(ProductionData[[#This Row],[Month]])</f>
        <v>9</v>
      </c>
      <c r="E1810" s="2" t="s">
        <v>125</v>
      </c>
      <c r="F1810" s="2" t="s">
        <v>93</v>
      </c>
      <c r="G1810" s="2" t="s">
        <v>174</v>
      </c>
      <c r="H1810" s="2" t="s">
        <v>175</v>
      </c>
      <c r="I1810" s="2" t="s">
        <v>176</v>
      </c>
      <c r="J1810" s="2" t="s">
        <v>177</v>
      </c>
      <c r="K1810" s="2" t="s">
        <v>178</v>
      </c>
      <c r="L1810" s="2" t="s">
        <v>3753</v>
      </c>
      <c r="M1810" s="2" t="s">
        <v>95</v>
      </c>
      <c r="N1810" s="2" t="s">
        <v>88</v>
      </c>
      <c r="O1810" s="2">
        <v>10</v>
      </c>
      <c r="P1810" s="2">
        <v>9</v>
      </c>
      <c r="Q1810" s="4">
        <v>7660</v>
      </c>
      <c r="R1810" s="4">
        <v>6960</v>
      </c>
      <c r="S1810" s="4">
        <v>179</v>
      </c>
      <c r="T1810" s="19">
        <f>(ProductionData[[#This Row],[Rejected_Qty]])/ProductionData[[#This Row],[Produced_Qty]]</f>
        <v>2.5718390804597702E-2</v>
      </c>
      <c r="U1810" s="19">
        <f>ProductionData[[#This Row],[Produced_Qty]]/ProductionData[[#This Row],[Planned_Qty]]</f>
        <v>0.90861618798955612</v>
      </c>
      <c r="V1810" s="2" t="s">
        <v>109</v>
      </c>
      <c r="W1810" s="11">
        <v>27</v>
      </c>
      <c r="X1810" s="13">
        <f>W1810/60</f>
        <v>0.45</v>
      </c>
      <c r="Y1810" s="2" t="s">
        <v>182</v>
      </c>
      <c r="Z1810" s="2">
        <v>24</v>
      </c>
      <c r="AA1810" s="2">
        <f>ProductionData[[#This Row],[Rejected_Qty]]*ProductionData[[#This Row],[Unit_Cost_INR]]</f>
        <v>4296</v>
      </c>
      <c r="AB1810" s="4">
        <v>31190</v>
      </c>
      <c r="AC1810" s="4">
        <v>7010</v>
      </c>
      <c r="AD1810" s="4">
        <v>7010</v>
      </c>
      <c r="AE1810" s="4">
        <v>30961</v>
      </c>
      <c r="AF1810" s="4">
        <v>12000</v>
      </c>
    </row>
    <row r="1811" spans="1:32">
      <c r="A1811" s="2" t="s">
        <v>3754</v>
      </c>
      <c r="B1811" s="3">
        <v>46278</v>
      </c>
      <c r="C1811" s="36" t="s">
        <v>64</v>
      </c>
      <c r="D1811" s="2">
        <f>MONTH(ProductionData[[#This Row],[Month]])</f>
        <v>9</v>
      </c>
      <c r="E1811" s="2" t="s">
        <v>186</v>
      </c>
      <c r="F1811" s="2" t="s">
        <v>66</v>
      </c>
      <c r="G1811" s="2" t="s">
        <v>174</v>
      </c>
      <c r="H1811" s="2" t="s">
        <v>175</v>
      </c>
      <c r="I1811" s="2" t="s">
        <v>176</v>
      </c>
      <c r="J1811" s="2" t="s">
        <v>177</v>
      </c>
      <c r="K1811" s="2" t="s">
        <v>178</v>
      </c>
      <c r="L1811" s="2" t="s">
        <v>3755</v>
      </c>
      <c r="M1811" s="2" t="s">
        <v>99</v>
      </c>
      <c r="N1811" s="2" t="s">
        <v>96</v>
      </c>
      <c r="O1811" s="2">
        <v>10</v>
      </c>
      <c r="P1811" s="2">
        <v>10</v>
      </c>
      <c r="Q1811" s="4">
        <v>5890</v>
      </c>
      <c r="R1811" s="4">
        <v>5510</v>
      </c>
      <c r="S1811" s="4">
        <v>177</v>
      </c>
      <c r="T1811" s="19">
        <f>(ProductionData[[#This Row],[Rejected_Qty]])/ProductionData[[#This Row],[Produced_Qty]]</f>
        <v>3.2123411978221418E-2</v>
      </c>
      <c r="U1811" s="19">
        <f>ProductionData[[#This Row],[Produced_Qty]]/ProductionData[[#This Row],[Planned_Qty]]</f>
        <v>0.93548387096774188</v>
      </c>
      <c r="V1811" s="2" t="s">
        <v>103</v>
      </c>
      <c r="W1811" s="11">
        <v>0</v>
      </c>
      <c r="X1811" s="13">
        <f>W1811/60</f>
        <v>0</v>
      </c>
      <c r="Y1811" s="2" t="s">
        <v>90</v>
      </c>
      <c r="Z1811" s="2">
        <v>24</v>
      </c>
      <c r="AA1811" s="2">
        <f>ProductionData[[#This Row],[Rejected_Qty]]*ProductionData[[#This Row],[Unit_Cost_INR]]</f>
        <v>4248</v>
      </c>
      <c r="AB1811" s="4">
        <v>30520</v>
      </c>
      <c r="AC1811" s="4">
        <v>4960</v>
      </c>
      <c r="AD1811" s="4">
        <v>4960</v>
      </c>
      <c r="AE1811" s="4">
        <v>30893</v>
      </c>
      <c r="AF1811" s="4">
        <v>12000</v>
      </c>
    </row>
    <row r="1812" spans="1:32">
      <c r="A1812" s="2" t="s">
        <v>3756</v>
      </c>
      <c r="B1812" s="3">
        <v>46280</v>
      </c>
      <c r="C1812" s="36" t="s">
        <v>64</v>
      </c>
      <c r="D1812" s="2">
        <f>MONTH(ProductionData[[#This Row],[Month]])</f>
        <v>9</v>
      </c>
      <c r="E1812" s="2" t="s">
        <v>92</v>
      </c>
      <c r="F1812" s="2" t="s">
        <v>80</v>
      </c>
      <c r="G1812" s="2" t="s">
        <v>174</v>
      </c>
      <c r="H1812" s="2" t="s">
        <v>175</v>
      </c>
      <c r="I1812" s="2" t="s">
        <v>176</v>
      </c>
      <c r="J1812" s="2" t="s">
        <v>177</v>
      </c>
      <c r="K1812" s="2" t="s">
        <v>178</v>
      </c>
      <c r="L1812" s="2" t="s">
        <v>3757</v>
      </c>
      <c r="M1812" s="2" t="s">
        <v>87</v>
      </c>
      <c r="N1812" s="2" t="s">
        <v>96</v>
      </c>
      <c r="O1812" s="2">
        <v>10</v>
      </c>
      <c r="P1812" s="2">
        <v>9</v>
      </c>
      <c r="Q1812" s="4">
        <v>8440</v>
      </c>
      <c r="R1812" s="4">
        <v>7880</v>
      </c>
      <c r="S1812" s="4">
        <v>277</v>
      </c>
      <c r="T1812" s="19">
        <f>(ProductionData[[#This Row],[Rejected_Qty]])/ProductionData[[#This Row],[Produced_Qty]]</f>
        <v>3.5152284263959388E-2</v>
      </c>
      <c r="U1812" s="19">
        <f>ProductionData[[#This Row],[Produced_Qty]]/ProductionData[[#This Row],[Planned_Qty]]</f>
        <v>0.93364928909952605</v>
      </c>
      <c r="V1812" s="2" t="s">
        <v>75</v>
      </c>
      <c r="W1812" s="11">
        <v>0</v>
      </c>
      <c r="X1812" s="13">
        <f>W1812/60</f>
        <v>0</v>
      </c>
      <c r="Y1812" s="2" t="s">
        <v>90</v>
      </c>
      <c r="Z1812" s="2">
        <v>24</v>
      </c>
      <c r="AA1812" s="2">
        <f>ProductionData[[#This Row],[Rejected_Qty]]*ProductionData[[#This Row],[Unit_Cost_INR]]</f>
        <v>6648</v>
      </c>
      <c r="AB1812" s="4">
        <v>30893</v>
      </c>
      <c r="AC1812" s="4">
        <v>7880</v>
      </c>
      <c r="AD1812" s="4">
        <v>7880</v>
      </c>
      <c r="AE1812" s="4">
        <v>30616</v>
      </c>
      <c r="AF1812" s="4">
        <v>12000</v>
      </c>
    </row>
    <row r="1813" spans="1:32">
      <c r="A1813" s="2" t="s">
        <v>3758</v>
      </c>
      <c r="B1813" s="3">
        <v>46267</v>
      </c>
      <c r="C1813" s="36" t="s">
        <v>64</v>
      </c>
      <c r="D1813" s="2">
        <f>MONTH(ProductionData[[#This Row],[Month]])</f>
        <v>9</v>
      </c>
      <c r="E1813" s="2" t="s">
        <v>79</v>
      </c>
      <c r="F1813" s="2" t="s">
        <v>80</v>
      </c>
      <c r="G1813" s="2" t="s">
        <v>174</v>
      </c>
      <c r="H1813" s="2" t="s">
        <v>175</v>
      </c>
      <c r="I1813" s="2" t="s">
        <v>176</v>
      </c>
      <c r="J1813" s="2" t="s">
        <v>177</v>
      </c>
      <c r="K1813" s="2" t="s">
        <v>178</v>
      </c>
      <c r="L1813" s="2" t="s">
        <v>3759</v>
      </c>
      <c r="M1813" s="2" t="s">
        <v>87</v>
      </c>
      <c r="N1813" s="2" t="s">
        <v>88</v>
      </c>
      <c r="O1813" s="2">
        <v>10</v>
      </c>
      <c r="P1813" s="2">
        <v>10</v>
      </c>
      <c r="Q1813" s="4">
        <v>7750</v>
      </c>
      <c r="R1813" s="4">
        <v>7780</v>
      </c>
      <c r="S1813" s="4">
        <v>70</v>
      </c>
      <c r="T1813" s="19">
        <f>(ProductionData[[#This Row],[Rejected_Qty]])/ProductionData[[#This Row],[Produced_Qty]]</f>
        <v>8.9974293059125968E-3</v>
      </c>
      <c r="U1813" s="19">
        <f>ProductionData[[#This Row],[Produced_Qty]]/ProductionData[[#This Row],[Planned_Qty]]</f>
        <v>1.0038709677419355</v>
      </c>
      <c r="V1813" s="2" t="s">
        <v>89</v>
      </c>
      <c r="W1813" s="11">
        <v>0</v>
      </c>
      <c r="X1813" s="13">
        <f>W1813/60</f>
        <v>0</v>
      </c>
      <c r="Y1813" s="2" t="s">
        <v>90</v>
      </c>
      <c r="Z1813" s="2">
        <v>24</v>
      </c>
      <c r="AA1813" s="2">
        <f>ProductionData[[#This Row],[Rejected_Qty]]*ProductionData[[#This Row],[Unit_Cost_INR]]</f>
        <v>1680</v>
      </c>
      <c r="AB1813" s="4">
        <v>28954</v>
      </c>
      <c r="AC1813" s="4">
        <v>6140</v>
      </c>
      <c r="AD1813" s="4">
        <v>6140</v>
      </c>
      <c r="AE1813" s="4">
        <v>30524</v>
      </c>
      <c r="AF1813" s="4">
        <v>12000</v>
      </c>
    </row>
    <row r="1814" spans="1:32">
      <c r="A1814" s="2" t="s">
        <v>3760</v>
      </c>
      <c r="B1814" s="3">
        <v>46275</v>
      </c>
      <c r="C1814" s="36" t="s">
        <v>64</v>
      </c>
      <c r="D1814" s="2">
        <f>MONTH(ProductionData[[#This Row],[Month]])</f>
        <v>9</v>
      </c>
      <c r="E1814" s="2" t="s">
        <v>107</v>
      </c>
      <c r="F1814" s="2" t="s">
        <v>93</v>
      </c>
      <c r="G1814" s="2" t="s">
        <v>174</v>
      </c>
      <c r="H1814" s="2" t="s">
        <v>175</v>
      </c>
      <c r="I1814" s="2" t="s">
        <v>176</v>
      </c>
      <c r="J1814" s="2" t="s">
        <v>177</v>
      </c>
      <c r="K1814" s="2" t="s">
        <v>178</v>
      </c>
      <c r="L1814" s="2" t="s">
        <v>3761</v>
      </c>
      <c r="M1814" s="2" t="s">
        <v>133</v>
      </c>
      <c r="N1814" s="2" t="s">
        <v>88</v>
      </c>
      <c r="O1814" s="2">
        <v>10</v>
      </c>
      <c r="P1814" s="2">
        <v>10</v>
      </c>
      <c r="Q1814" s="4">
        <v>7660</v>
      </c>
      <c r="R1814" s="4">
        <v>7720</v>
      </c>
      <c r="S1814" s="4">
        <v>148</v>
      </c>
      <c r="T1814" s="19">
        <f>(ProductionData[[#This Row],[Rejected_Qty]])/ProductionData[[#This Row],[Produced_Qty]]</f>
        <v>1.9170984455958551E-2</v>
      </c>
      <c r="U1814" s="19">
        <f>ProductionData[[#This Row],[Produced_Qty]]/ProductionData[[#This Row],[Planned_Qty]]</f>
        <v>1.0078328981723237</v>
      </c>
      <c r="V1814" s="2" t="s">
        <v>103</v>
      </c>
      <c r="W1814" s="11">
        <v>0</v>
      </c>
      <c r="X1814" s="13">
        <f>W1814/60</f>
        <v>0</v>
      </c>
      <c r="Y1814" s="2" t="s">
        <v>90</v>
      </c>
      <c r="Z1814" s="2">
        <v>24</v>
      </c>
      <c r="AA1814" s="2">
        <f>ProductionData[[#This Row],[Rejected_Qty]]*ProductionData[[#This Row],[Unit_Cost_INR]]</f>
        <v>3552</v>
      </c>
      <c r="AB1814" s="4">
        <v>29678</v>
      </c>
      <c r="AC1814" s="4">
        <v>6730</v>
      </c>
      <c r="AD1814" s="4">
        <v>6730</v>
      </c>
      <c r="AE1814" s="4">
        <v>30520</v>
      </c>
      <c r="AF1814" s="4">
        <v>12000</v>
      </c>
    </row>
    <row r="1815" spans="1:32">
      <c r="A1815" s="2" t="s">
        <v>3762</v>
      </c>
      <c r="B1815" s="3">
        <v>46270</v>
      </c>
      <c r="C1815" s="36" t="s">
        <v>64</v>
      </c>
      <c r="D1815" s="2">
        <f>MONTH(ProductionData[[#This Row],[Month]])</f>
        <v>9</v>
      </c>
      <c r="E1815" s="2" t="s">
        <v>65</v>
      </c>
      <c r="F1815" s="2" t="s">
        <v>93</v>
      </c>
      <c r="G1815" s="2" t="s">
        <v>174</v>
      </c>
      <c r="H1815" s="2" t="s">
        <v>175</v>
      </c>
      <c r="I1815" s="2" t="s">
        <v>176</v>
      </c>
      <c r="J1815" s="2" t="s">
        <v>177</v>
      </c>
      <c r="K1815" s="2" t="s">
        <v>178</v>
      </c>
      <c r="L1815" s="2" t="s">
        <v>3763</v>
      </c>
      <c r="M1815" s="2" t="s">
        <v>95</v>
      </c>
      <c r="N1815" s="2" t="s">
        <v>96</v>
      </c>
      <c r="O1815" s="2">
        <v>10</v>
      </c>
      <c r="P1815" s="2">
        <v>8</v>
      </c>
      <c r="Q1815" s="4">
        <v>7020</v>
      </c>
      <c r="R1815" s="4">
        <v>6110</v>
      </c>
      <c r="S1815" s="4">
        <v>139</v>
      </c>
      <c r="T1815" s="19">
        <f>(ProductionData[[#This Row],[Rejected_Qty]])/ProductionData[[#This Row],[Produced_Qty]]</f>
        <v>2.2749590834697218E-2</v>
      </c>
      <c r="U1815" s="19">
        <f>ProductionData[[#This Row],[Produced_Qty]]/ProductionData[[#This Row],[Planned_Qty]]</f>
        <v>0.87037037037037035</v>
      </c>
      <c r="V1815" s="2" t="s">
        <v>103</v>
      </c>
      <c r="W1815" s="11">
        <v>0</v>
      </c>
      <c r="X1815" s="13">
        <f>W1815/60</f>
        <v>0</v>
      </c>
      <c r="Y1815" s="2" t="s">
        <v>90</v>
      </c>
      <c r="Z1815" s="2">
        <v>24</v>
      </c>
      <c r="AA1815" s="2">
        <f>ProductionData[[#This Row],[Rejected_Qty]]*ProductionData[[#This Row],[Unit_Cost_INR]]</f>
        <v>3336</v>
      </c>
      <c r="AB1815" s="4">
        <v>30961</v>
      </c>
      <c r="AC1815" s="4">
        <v>6470</v>
      </c>
      <c r="AD1815" s="4">
        <v>6470</v>
      </c>
      <c r="AE1815" s="4">
        <v>30462</v>
      </c>
      <c r="AF1815" s="4">
        <v>12000</v>
      </c>
    </row>
    <row r="1816" spans="1:32">
      <c r="A1816" s="2" t="s">
        <v>3764</v>
      </c>
      <c r="B1816" s="3">
        <v>46289</v>
      </c>
      <c r="C1816" s="36" t="s">
        <v>64</v>
      </c>
      <c r="D1816" s="2">
        <f>MONTH(ProductionData[[#This Row],[Month]])</f>
        <v>9</v>
      </c>
      <c r="E1816" s="2" t="s">
        <v>107</v>
      </c>
      <c r="F1816" s="2" t="s">
        <v>80</v>
      </c>
      <c r="G1816" s="2" t="s">
        <v>81</v>
      </c>
      <c r="H1816" s="2" t="s">
        <v>82</v>
      </c>
      <c r="I1816" s="2" t="s">
        <v>83</v>
      </c>
      <c r="J1816" s="2" t="s">
        <v>166</v>
      </c>
      <c r="K1816" s="2" t="s">
        <v>167</v>
      </c>
      <c r="L1816" s="2" t="s">
        <v>3765</v>
      </c>
      <c r="M1816" s="2" t="s">
        <v>102</v>
      </c>
      <c r="N1816" s="2" t="s">
        <v>88</v>
      </c>
      <c r="O1816" s="2">
        <v>18</v>
      </c>
      <c r="P1816" s="2">
        <v>18</v>
      </c>
      <c r="Q1816" s="4">
        <v>9210</v>
      </c>
      <c r="R1816" s="4">
        <v>8950</v>
      </c>
      <c r="S1816" s="4">
        <v>279</v>
      </c>
      <c r="T1816" s="19">
        <f>(ProductionData[[#This Row],[Rejected_Qty]])/ProductionData[[#This Row],[Produced_Qty]]</f>
        <v>3.1173184357541898E-2</v>
      </c>
      <c r="U1816" s="19">
        <f>ProductionData[[#This Row],[Produced_Qty]]/ProductionData[[#This Row],[Planned_Qty]]</f>
        <v>0.97176981541802387</v>
      </c>
      <c r="V1816" s="2" t="s">
        <v>89</v>
      </c>
      <c r="W1816" s="11">
        <v>33</v>
      </c>
      <c r="X1816" s="13">
        <f>W1816/60</f>
        <v>0.55000000000000004</v>
      </c>
      <c r="Y1816" s="2" t="s">
        <v>76</v>
      </c>
      <c r="Z1816" s="2">
        <v>17</v>
      </c>
      <c r="AA1816" s="2">
        <f>ProductionData[[#This Row],[Rejected_Qty]]*ProductionData[[#This Row],[Unit_Cost_INR]]</f>
        <v>4743</v>
      </c>
      <c r="AB1816" s="4">
        <v>28966</v>
      </c>
      <c r="AC1816" s="4">
        <v>7510</v>
      </c>
      <c r="AD1816" s="4">
        <v>7510</v>
      </c>
      <c r="AE1816" s="4">
        <v>30127</v>
      </c>
      <c r="AF1816" s="4">
        <v>13500</v>
      </c>
    </row>
    <row r="1817" spans="1:32">
      <c r="A1817" s="2" t="s">
        <v>3766</v>
      </c>
      <c r="B1817" s="3">
        <v>46266</v>
      </c>
      <c r="C1817" s="36" t="s">
        <v>64</v>
      </c>
      <c r="D1817" s="2">
        <f>MONTH(ProductionData[[#This Row],[Month]])</f>
        <v>9</v>
      </c>
      <c r="E1817" s="2" t="s">
        <v>92</v>
      </c>
      <c r="F1817" s="2" t="s">
        <v>93</v>
      </c>
      <c r="G1817" s="2" t="s">
        <v>81</v>
      </c>
      <c r="H1817" s="2" t="s">
        <v>82</v>
      </c>
      <c r="I1817" s="2" t="s">
        <v>83</v>
      </c>
      <c r="J1817" s="2" t="s">
        <v>166</v>
      </c>
      <c r="K1817" s="2" t="s">
        <v>167</v>
      </c>
      <c r="L1817" s="2" t="s">
        <v>3767</v>
      </c>
      <c r="M1817" s="2" t="s">
        <v>133</v>
      </c>
      <c r="N1817" s="2" t="s">
        <v>96</v>
      </c>
      <c r="O1817" s="2">
        <v>18</v>
      </c>
      <c r="P1817" s="2">
        <v>15</v>
      </c>
      <c r="Q1817" s="4">
        <v>9120</v>
      </c>
      <c r="R1817" s="4">
        <v>8460</v>
      </c>
      <c r="S1817" s="4">
        <v>228</v>
      </c>
      <c r="T1817" s="19">
        <f>(ProductionData[[#This Row],[Rejected_Qty]])/ProductionData[[#This Row],[Produced_Qty]]</f>
        <v>2.6950354609929079E-2</v>
      </c>
      <c r="U1817" s="19">
        <f>ProductionData[[#This Row],[Produced_Qty]]/ProductionData[[#This Row],[Planned_Qty]]</f>
        <v>0.92763157894736847</v>
      </c>
      <c r="V1817" s="2" t="s">
        <v>113</v>
      </c>
      <c r="W1817" s="11">
        <v>0</v>
      </c>
      <c r="X1817" s="13">
        <f>W1817/60</f>
        <v>0</v>
      </c>
      <c r="Y1817" s="2" t="s">
        <v>90</v>
      </c>
      <c r="Z1817" s="2">
        <v>17</v>
      </c>
      <c r="AA1817" s="2">
        <f>ProductionData[[#This Row],[Rejected_Qty]]*ProductionData[[#This Row],[Unit_Cost_INR]]</f>
        <v>3876</v>
      </c>
      <c r="AB1817" s="4">
        <v>29897</v>
      </c>
      <c r="AC1817" s="4">
        <v>8160</v>
      </c>
      <c r="AD1817" s="4">
        <v>8160</v>
      </c>
      <c r="AE1817" s="4">
        <v>29969</v>
      </c>
      <c r="AF1817" s="4">
        <v>13500</v>
      </c>
    </row>
    <row r="1818" spans="1:32">
      <c r="A1818" s="2" t="s">
        <v>3768</v>
      </c>
      <c r="B1818" s="3">
        <v>46266</v>
      </c>
      <c r="C1818" s="36" t="s">
        <v>64</v>
      </c>
      <c r="D1818" s="2">
        <f>MONTH(ProductionData[[#This Row],[Month]])</f>
        <v>9</v>
      </c>
      <c r="E1818" s="2" t="s">
        <v>92</v>
      </c>
      <c r="F1818" s="2" t="s">
        <v>80</v>
      </c>
      <c r="G1818" s="2" t="s">
        <v>81</v>
      </c>
      <c r="H1818" s="2" t="s">
        <v>82</v>
      </c>
      <c r="I1818" s="2" t="s">
        <v>83</v>
      </c>
      <c r="J1818" s="2" t="s">
        <v>166</v>
      </c>
      <c r="K1818" s="2" t="s">
        <v>167</v>
      </c>
      <c r="L1818" s="2" t="s">
        <v>3769</v>
      </c>
      <c r="M1818" s="2" t="s">
        <v>87</v>
      </c>
      <c r="N1818" s="2" t="s">
        <v>96</v>
      </c>
      <c r="O1818" s="2">
        <v>18</v>
      </c>
      <c r="P1818" s="2">
        <v>16</v>
      </c>
      <c r="Q1818" s="4">
        <v>8990</v>
      </c>
      <c r="R1818" s="4">
        <v>8490</v>
      </c>
      <c r="S1818" s="4">
        <v>187</v>
      </c>
      <c r="T1818" s="19">
        <f>(ProductionData[[#This Row],[Rejected_Qty]])/ProductionData[[#This Row],[Produced_Qty]]</f>
        <v>2.2025912838633685E-2</v>
      </c>
      <c r="U1818" s="19">
        <f>ProductionData[[#This Row],[Produced_Qty]]/ProductionData[[#This Row],[Planned_Qty]]</f>
        <v>0.94438264738598443</v>
      </c>
      <c r="V1818" s="2" t="s">
        <v>75</v>
      </c>
      <c r="W1818" s="11">
        <v>0</v>
      </c>
      <c r="X1818" s="13">
        <f>W1818/60</f>
        <v>0</v>
      </c>
      <c r="Y1818" s="2" t="s">
        <v>90</v>
      </c>
      <c r="Z1818" s="2">
        <v>17</v>
      </c>
      <c r="AA1818" s="2">
        <f>ProductionData[[#This Row],[Rejected_Qty]]*ProductionData[[#This Row],[Unit_Cost_INR]]</f>
        <v>3179</v>
      </c>
      <c r="AB1818" s="4">
        <v>30264</v>
      </c>
      <c r="AC1818" s="4">
        <v>8670</v>
      </c>
      <c r="AD1818" s="4">
        <v>8670</v>
      </c>
      <c r="AE1818" s="4">
        <v>29897</v>
      </c>
      <c r="AF1818" s="4">
        <v>13500</v>
      </c>
    </row>
    <row r="1819" spans="1:32">
      <c r="A1819" s="2" t="s">
        <v>3770</v>
      </c>
      <c r="B1819" s="3">
        <v>46275</v>
      </c>
      <c r="C1819" s="36" t="s">
        <v>64</v>
      </c>
      <c r="D1819" s="2">
        <f>MONTH(ProductionData[[#This Row],[Month]])</f>
        <v>9</v>
      </c>
      <c r="E1819" s="2" t="s">
        <v>107</v>
      </c>
      <c r="F1819" s="2" t="s">
        <v>66</v>
      </c>
      <c r="G1819" s="2" t="s">
        <v>174</v>
      </c>
      <c r="H1819" s="2" t="s">
        <v>175</v>
      </c>
      <c r="I1819" s="2" t="s">
        <v>176</v>
      </c>
      <c r="J1819" s="2" t="s">
        <v>177</v>
      </c>
      <c r="K1819" s="2" t="s">
        <v>178</v>
      </c>
      <c r="L1819" s="2" t="s">
        <v>3771</v>
      </c>
      <c r="M1819" s="2" t="s">
        <v>99</v>
      </c>
      <c r="N1819" s="2" t="s">
        <v>96</v>
      </c>
      <c r="O1819" s="2">
        <v>10</v>
      </c>
      <c r="P1819" s="2">
        <v>10</v>
      </c>
      <c r="Q1819" s="4">
        <v>7700</v>
      </c>
      <c r="R1819" s="4">
        <v>7360</v>
      </c>
      <c r="S1819" s="4">
        <v>131</v>
      </c>
      <c r="T1819" s="19">
        <f>(ProductionData[[#This Row],[Rejected_Qty]])/ProductionData[[#This Row],[Produced_Qty]]</f>
        <v>1.7798913043478262E-2</v>
      </c>
      <c r="U1819" s="19">
        <f>ProductionData[[#This Row],[Produced_Qty]]/ProductionData[[#This Row],[Planned_Qty]]</f>
        <v>0.95584415584415583</v>
      </c>
      <c r="V1819" s="2" t="s">
        <v>75</v>
      </c>
      <c r="W1819" s="11">
        <v>0</v>
      </c>
      <c r="X1819" s="13">
        <f>W1819/60</f>
        <v>0</v>
      </c>
      <c r="Y1819" s="2" t="s">
        <v>90</v>
      </c>
      <c r="Z1819" s="2">
        <v>24</v>
      </c>
      <c r="AA1819" s="2">
        <f>ProductionData[[#This Row],[Rejected_Qty]]*ProductionData[[#This Row],[Unit_Cost_INR]]</f>
        <v>3144</v>
      </c>
      <c r="AB1819" s="4">
        <v>29419</v>
      </c>
      <c r="AC1819" s="4">
        <v>6970</v>
      </c>
      <c r="AD1819" s="4">
        <v>6970</v>
      </c>
      <c r="AE1819" s="4">
        <v>29678</v>
      </c>
      <c r="AF1819" s="4">
        <v>12000</v>
      </c>
    </row>
    <row r="1820" spans="1:32">
      <c r="A1820" s="2" t="s">
        <v>3772</v>
      </c>
      <c r="B1820" s="3">
        <v>46274</v>
      </c>
      <c r="C1820" s="36" t="s">
        <v>64</v>
      </c>
      <c r="D1820" s="2">
        <f>MONTH(ProductionData[[#This Row],[Month]])</f>
        <v>9</v>
      </c>
      <c r="E1820" s="2" t="s">
        <v>79</v>
      </c>
      <c r="F1820" s="2" t="s">
        <v>80</v>
      </c>
      <c r="G1820" s="2" t="s">
        <v>174</v>
      </c>
      <c r="H1820" s="2" t="s">
        <v>175</v>
      </c>
      <c r="I1820" s="2" t="s">
        <v>176</v>
      </c>
      <c r="J1820" s="2" t="s">
        <v>177</v>
      </c>
      <c r="K1820" s="2" t="s">
        <v>178</v>
      </c>
      <c r="L1820" s="2" t="s">
        <v>3773</v>
      </c>
      <c r="M1820" s="2" t="s">
        <v>102</v>
      </c>
      <c r="N1820" s="2" t="s">
        <v>96</v>
      </c>
      <c r="O1820" s="2">
        <v>10</v>
      </c>
      <c r="P1820" s="2">
        <v>10</v>
      </c>
      <c r="Q1820" s="4">
        <v>7940</v>
      </c>
      <c r="R1820" s="4">
        <v>7570</v>
      </c>
      <c r="S1820" s="4">
        <v>231</v>
      </c>
      <c r="T1820" s="19">
        <f>(ProductionData[[#This Row],[Rejected_Qty]])/ProductionData[[#This Row],[Produced_Qty]]</f>
        <v>3.0515191545574638E-2</v>
      </c>
      <c r="U1820" s="19">
        <f>ProductionData[[#This Row],[Produced_Qty]]/ProductionData[[#This Row],[Planned_Qty]]</f>
        <v>0.95340050377833752</v>
      </c>
      <c r="V1820" s="2" t="s">
        <v>89</v>
      </c>
      <c r="W1820" s="11">
        <v>0</v>
      </c>
      <c r="X1820" s="13">
        <f>W1820/60</f>
        <v>0</v>
      </c>
      <c r="Y1820" s="2" t="s">
        <v>90</v>
      </c>
      <c r="Z1820" s="2">
        <v>24</v>
      </c>
      <c r="AA1820" s="2">
        <f>ProductionData[[#This Row],[Rejected_Qty]]*ProductionData[[#This Row],[Unit_Cost_INR]]</f>
        <v>5544</v>
      </c>
      <c r="AB1820" s="4">
        <v>28580</v>
      </c>
      <c r="AC1820" s="4">
        <v>6500</v>
      </c>
      <c r="AD1820" s="4">
        <v>6500</v>
      </c>
      <c r="AE1820" s="4">
        <v>29419</v>
      </c>
      <c r="AF1820" s="4">
        <v>12000</v>
      </c>
    </row>
    <row r="1821" spans="1:32">
      <c r="A1821" s="2" t="s">
        <v>3774</v>
      </c>
      <c r="B1821" s="3">
        <v>46281</v>
      </c>
      <c r="C1821" s="36" t="s">
        <v>64</v>
      </c>
      <c r="D1821" s="2">
        <f>MONTH(ProductionData[[#This Row],[Month]])</f>
        <v>9</v>
      </c>
      <c r="E1821" s="2" t="s">
        <v>79</v>
      </c>
      <c r="F1821" s="2" t="s">
        <v>66</v>
      </c>
      <c r="G1821" s="2" t="s">
        <v>81</v>
      </c>
      <c r="H1821" s="2" t="s">
        <v>82</v>
      </c>
      <c r="I1821" s="2" t="s">
        <v>83</v>
      </c>
      <c r="J1821" s="2" t="s">
        <v>166</v>
      </c>
      <c r="K1821" s="2" t="s">
        <v>167</v>
      </c>
      <c r="L1821" s="2" t="s">
        <v>3775</v>
      </c>
      <c r="M1821" s="2" t="s">
        <v>73</v>
      </c>
      <c r="N1821" s="2" t="s">
        <v>88</v>
      </c>
      <c r="O1821" s="2">
        <v>18</v>
      </c>
      <c r="P1821" s="2">
        <v>17</v>
      </c>
      <c r="Q1821" s="4">
        <v>8610</v>
      </c>
      <c r="R1821" s="4">
        <v>8520</v>
      </c>
      <c r="S1821" s="4">
        <v>185</v>
      </c>
      <c r="T1821" s="19">
        <f>(ProductionData[[#This Row],[Rejected_Qty]])/ProductionData[[#This Row],[Produced_Qty]]</f>
        <v>2.171361502347418E-2</v>
      </c>
      <c r="U1821" s="19">
        <f>ProductionData[[#This Row],[Produced_Qty]]/ProductionData[[#This Row],[Planned_Qty]]</f>
        <v>0.98954703832752611</v>
      </c>
      <c r="V1821" s="2" t="s">
        <v>109</v>
      </c>
      <c r="W1821" s="11">
        <v>0</v>
      </c>
      <c r="X1821" s="13">
        <f>W1821/60</f>
        <v>0</v>
      </c>
      <c r="Y1821" s="2" t="s">
        <v>90</v>
      </c>
      <c r="Z1821" s="2">
        <v>17</v>
      </c>
      <c r="AA1821" s="2">
        <f>ProductionData[[#This Row],[Rejected_Qty]]*ProductionData[[#This Row],[Unit_Cost_INR]]</f>
        <v>3145</v>
      </c>
      <c r="AB1821" s="4">
        <v>28768</v>
      </c>
      <c r="AC1821" s="4">
        <v>7790</v>
      </c>
      <c r="AD1821" s="4">
        <v>7790</v>
      </c>
      <c r="AE1821" s="4">
        <v>29313</v>
      </c>
      <c r="AF1821" s="4">
        <v>13500</v>
      </c>
    </row>
    <row r="1822" spans="1:32">
      <c r="A1822" s="2" t="s">
        <v>3776</v>
      </c>
      <c r="B1822" s="3">
        <v>46281</v>
      </c>
      <c r="C1822" s="36" t="s">
        <v>64</v>
      </c>
      <c r="D1822" s="2">
        <f>MONTH(ProductionData[[#This Row],[Month]])</f>
        <v>9</v>
      </c>
      <c r="E1822" s="2" t="s">
        <v>79</v>
      </c>
      <c r="F1822" s="2" t="s">
        <v>93</v>
      </c>
      <c r="G1822" s="2" t="s">
        <v>81</v>
      </c>
      <c r="H1822" s="2" t="s">
        <v>82</v>
      </c>
      <c r="I1822" s="2" t="s">
        <v>83</v>
      </c>
      <c r="J1822" s="2" t="s">
        <v>166</v>
      </c>
      <c r="K1822" s="2" t="s">
        <v>167</v>
      </c>
      <c r="L1822" s="2" t="s">
        <v>3777</v>
      </c>
      <c r="M1822" s="2" t="s">
        <v>95</v>
      </c>
      <c r="N1822" s="2" t="s">
        <v>88</v>
      </c>
      <c r="O1822" s="2">
        <v>18</v>
      </c>
      <c r="P1822" s="2">
        <v>13</v>
      </c>
      <c r="Q1822" s="4">
        <v>8330</v>
      </c>
      <c r="R1822" s="4">
        <v>7320</v>
      </c>
      <c r="S1822" s="4">
        <v>111</v>
      </c>
      <c r="T1822" s="19">
        <f>(ProductionData[[#This Row],[Rejected_Qty]])/ProductionData[[#This Row],[Produced_Qty]]</f>
        <v>1.5163934426229509E-2</v>
      </c>
      <c r="U1822" s="19">
        <f>ProductionData[[#This Row],[Produced_Qty]]/ProductionData[[#This Row],[Planned_Qty]]</f>
        <v>0.8787515006002401</v>
      </c>
      <c r="V1822" s="2" t="s">
        <v>89</v>
      </c>
      <c r="W1822" s="11">
        <v>0</v>
      </c>
      <c r="X1822" s="13">
        <f>W1822/60</f>
        <v>0</v>
      </c>
      <c r="Y1822" s="2" t="s">
        <v>90</v>
      </c>
      <c r="Z1822" s="2">
        <v>17</v>
      </c>
      <c r="AA1822" s="2">
        <f>ProductionData[[#This Row],[Rejected_Qty]]*ProductionData[[#This Row],[Unit_Cost_INR]]</f>
        <v>1887</v>
      </c>
      <c r="AB1822" s="4">
        <v>29313</v>
      </c>
      <c r="AC1822" s="4">
        <v>7280</v>
      </c>
      <c r="AD1822" s="4">
        <v>7280</v>
      </c>
      <c r="AE1822" s="4">
        <v>29242</v>
      </c>
      <c r="AF1822" s="4">
        <v>13500</v>
      </c>
    </row>
    <row r="1823" spans="1:32">
      <c r="A1823" s="2" t="s">
        <v>3778</v>
      </c>
      <c r="B1823" s="3">
        <v>46274</v>
      </c>
      <c r="C1823" s="36" t="s">
        <v>64</v>
      </c>
      <c r="D1823" s="2">
        <f>MONTH(ProductionData[[#This Row],[Month]])</f>
        <v>9</v>
      </c>
      <c r="E1823" s="2" t="s">
        <v>79</v>
      </c>
      <c r="F1823" s="2" t="s">
        <v>93</v>
      </c>
      <c r="G1823" s="2" t="s">
        <v>81</v>
      </c>
      <c r="H1823" s="2" t="s">
        <v>82</v>
      </c>
      <c r="I1823" s="2" t="s">
        <v>83</v>
      </c>
      <c r="J1823" s="2" t="s">
        <v>166</v>
      </c>
      <c r="K1823" s="2" t="s">
        <v>167</v>
      </c>
      <c r="L1823" s="2" t="s">
        <v>3779</v>
      </c>
      <c r="M1823" s="2" t="s">
        <v>133</v>
      </c>
      <c r="N1823" s="2" t="s">
        <v>88</v>
      </c>
      <c r="O1823" s="2">
        <v>18</v>
      </c>
      <c r="P1823" s="2">
        <v>17</v>
      </c>
      <c r="Q1823" s="4">
        <v>8310</v>
      </c>
      <c r="R1823" s="4">
        <v>8150</v>
      </c>
      <c r="S1823" s="4">
        <v>309</v>
      </c>
      <c r="T1823" s="19">
        <f>(ProductionData[[#This Row],[Rejected_Qty]])/ProductionData[[#This Row],[Produced_Qty]]</f>
        <v>3.7914110429447853E-2</v>
      </c>
      <c r="U1823" s="19">
        <f>ProductionData[[#This Row],[Produced_Qty]]/ProductionData[[#This Row],[Planned_Qty]]</f>
        <v>0.98074608904933813</v>
      </c>
      <c r="V1823" s="2" t="s">
        <v>89</v>
      </c>
      <c r="W1823" s="11">
        <v>0</v>
      </c>
      <c r="X1823" s="13">
        <f>W1823/60</f>
        <v>0</v>
      </c>
      <c r="Y1823" s="2" t="s">
        <v>90</v>
      </c>
      <c r="Z1823" s="2">
        <v>17</v>
      </c>
      <c r="AA1823" s="2">
        <f>ProductionData[[#This Row],[Rejected_Qty]]*ProductionData[[#This Row],[Unit_Cost_INR]]</f>
        <v>5253</v>
      </c>
      <c r="AB1823" s="4">
        <v>28215</v>
      </c>
      <c r="AC1823" s="4">
        <v>6870</v>
      </c>
      <c r="AD1823" s="4">
        <v>6870</v>
      </c>
      <c r="AE1823" s="4">
        <v>29186</v>
      </c>
      <c r="AF1823" s="4">
        <v>13500</v>
      </c>
    </row>
    <row r="1824" spans="1:32">
      <c r="A1824" s="2" t="s">
        <v>3780</v>
      </c>
      <c r="B1824" s="3">
        <v>46277</v>
      </c>
      <c r="C1824" s="36" t="s">
        <v>64</v>
      </c>
      <c r="D1824" s="2">
        <f>MONTH(ProductionData[[#This Row],[Month]])</f>
        <v>9</v>
      </c>
      <c r="E1824" s="2" t="s">
        <v>65</v>
      </c>
      <c r="F1824" s="2" t="s">
        <v>93</v>
      </c>
      <c r="G1824" s="2" t="s">
        <v>81</v>
      </c>
      <c r="H1824" s="2" t="s">
        <v>82</v>
      </c>
      <c r="I1824" s="2" t="s">
        <v>83</v>
      </c>
      <c r="J1824" s="2" t="s">
        <v>166</v>
      </c>
      <c r="K1824" s="2" t="s">
        <v>167</v>
      </c>
      <c r="L1824" s="2" t="s">
        <v>3781</v>
      </c>
      <c r="M1824" s="2" t="s">
        <v>95</v>
      </c>
      <c r="N1824" s="2" t="s">
        <v>96</v>
      </c>
      <c r="O1824" s="2">
        <v>18</v>
      </c>
      <c r="P1824" s="2">
        <v>16</v>
      </c>
      <c r="Q1824" s="4">
        <v>8660</v>
      </c>
      <c r="R1824" s="4">
        <v>8520</v>
      </c>
      <c r="S1824" s="4">
        <v>125</v>
      </c>
      <c r="T1824" s="19">
        <f>(ProductionData[[#This Row],[Rejected_Qty]])/ProductionData[[#This Row],[Produced_Qty]]</f>
        <v>1.4671361502347418E-2</v>
      </c>
      <c r="U1824" s="19">
        <f>ProductionData[[#This Row],[Produced_Qty]]/ProductionData[[#This Row],[Planned_Qty]]</f>
        <v>0.9838337182448037</v>
      </c>
      <c r="V1824" s="2" t="s">
        <v>109</v>
      </c>
      <c r="W1824" s="11">
        <v>0</v>
      </c>
      <c r="X1824" s="13">
        <f>W1824/60</f>
        <v>0</v>
      </c>
      <c r="Y1824" s="2" t="s">
        <v>90</v>
      </c>
      <c r="Z1824" s="2">
        <v>17</v>
      </c>
      <c r="AA1824" s="2">
        <f>ProductionData[[#This Row],[Rejected_Qty]]*ProductionData[[#This Row],[Unit_Cost_INR]]</f>
        <v>2125</v>
      </c>
      <c r="AB1824" s="4">
        <v>28920</v>
      </c>
      <c r="AC1824" s="4">
        <v>8130</v>
      </c>
      <c r="AD1824" s="4">
        <v>8130</v>
      </c>
      <c r="AE1824" s="4">
        <v>29185</v>
      </c>
      <c r="AF1824" s="4">
        <v>13500</v>
      </c>
    </row>
    <row r="1825" spans="1:32">
      <c r="A1825" s="2" t="s">
        <v>3782</v>
      </c>
      <c r="B1825" s="3">
        <v>46272</v>
      </c>
      <c r="C1825" s="36" t="s">
        <v>64</v>
      </c>
      <c r="D1825" s="2">
        <f>MONTH(ProductionData[[#This Row],[Month]])</f>
        <v>9</v>
      </c>
      <c r="E1825" s="2" t="s">
        <v>116</v>
      </c>
      <c r="F1825" s="2" t="s">
        <v>93</v>
      </c>
      <c r="G1825" s="2" t="s">
        <v>174</v>
      </c>
      <c r="H1825" s="2" t="s">
        <v>175</v>
      </c>
      <c r="I1825" s="2" t="s">
        <v>176</v>
      </c>
      <c r="J1825" s="2" t="s">
        <v>177</v>
      </c>
      <c r="K1825" s="2" t="s">
        <v>178</v>
      </c>
      <c r="L1825" s="2" t="s">
        <v>3783</v>
      </c>
      <c r="M1825" s="2" t="s">
        <v>95</v>
      </c>
      <c r="N1825" s="2" t="s">
        <v>88</v>
      </c>
      <c r="O1825" s="2">
        <v>10</v>
      </c>
      <c r="P1825" s="2">
        <v>9</v>
      </c>
      <c r="Q1825" s="4">
        <v>7090</v>
      </c>
      <c r="R1825" s="4">
        <v>6580</v>
      </c>
      <c r="S1825" s="4">
        <v>160</v>
      </c>
      <c r="T1825" s="19">
        <f>(ProductionData[[#This Row],[Rejected_Qty]])/ProductionData[[#This Row],[Produced_Qty]]</f>
        <v>2.4316109422492401E-2</v>
      </c>
      <c r="U1825" s="19">
        <f>ProductionData[[#This Row],[Produced_Qty]]/ProductionData[[#This Row],[Planned_Qty]]</f>
        <v>0.92806770098730607</v>
      </c>
      <c r="V1825" s="2" t="s">
        <v>89</v>
      </c>
      <c r="W1825" s="11">
        <v>0</v>
      </c>
      <c r="X1825" s="13">
        <f>W1825/60</f>
        <v>0</v>
      </c>
      <c r="Y1825" s="2" t="s">
        <v>90</v>
      </c>
      <c r="Z1825" s="2">
        <v>24</v>
      </c>
      <c r="AA1825" s="2">
        <f>ProductionData[[#This Row],[Rejected_Qty]]*ProductionData[[#This Row],[Unit_Cost_INR]]</f>
        <v>3840</v>
      </c>
      <c r="AB1825" s="4">
        <v>30462</v>
      </c>
      <c r="AC1825" s="4">
        <v>7740</v>
      </c>
      <c r="AD1825" s="4">
        <v>7740</v>
      </c>
      <c r="AE1825" s="4">
        <v>29142</v>
      </c>
      <c r="AF1825" s="4">
        <v>12000</v>
      </c>
    </row>
    <row r="1826" spans="1:32">
      <c r="A1826" s="2" t="s">
        <v>3784</v>
      </c>
      <c r="B1826" s="3">
        <v>46267</v>
      </c>
      <c r="C1826" s="36" t="s">
        <v>64</v>
      </c>
      <c r="D1826" s="2">
        <f>MONTH(ProductionData[[#This Row],[Month]])</f>
        <v>9</v>
      </c>
      <c r="E1826" s="2" t="s">
        <v>79</v>
      </c>
      <c r="F1826" s="2" t="s">
        <v>93</v>
      </c>
      <c r="G1826" s="2" t="s">
        <v>81</v>
      </c>
      <c r="H1826" s="2" t="s">
        <v>82</v>
      </c>
      <c r="I1826" s="2" t="s">
        <v>83</v>
      </c>
      <c r="J1826" s="2" t="s">
        <v>166</v>
      </c>
      <c r="K1826" s="2" t="s">
        <v>167</v>
      </c>
      <c r="L1826" s="2" t="s">
        <v>3785</v>
      </c>
      <c r="M1826" s="2" t="s">
        <v>133</v>
      </c>
      <c r="N1826" s="2" t="s">
        <v>88</v>
      </c>
      <c r="O1826" s="2">
        <v>18</v>
      </c>
      <c r="P1826" s="2">
        <v>16</v>
      </c>
      <c r="Q1826" s="4">
        <v>8580</v>
      </c>
      <c r="R1826" s="4">
        <v>7510</v>
      </c>
      <c r="S1826" s="4">
        <v>219</v>
      </c>
      <c r="T1826" s="19">
        <f>(ProductionData[[#This Row],[Rejected_Qty]])/ProductionData[[#This Row],[Produced_Qty]]</f>
        <v>2.9161118508655128E-2</v>
      </c>
      <c r="U1826" s="19">
        <f>ProductionData[[#This Row],[Produced_Qty]]/ProductionData[[#This Row],[Planned_Qty]]</f>
        <v>0.87529137529137524</v>
      </c>
      <c r="V1826" s="2" t="s">
        <v>109</v>
      </c>
      <c r="W1826" s="11">
        <v>29</v>
      </c>
      <c r="X1826" s="13">
        <f>W1826/60</f>
        <v>0.48333333333333334</v>
      </c>
      <c r="Y1826" s="2" t="s">
        <v>136</v>
      </c>
      <c r="Z1826" s="2">
        <v>17</v>
      </c>
      <c r="AA1826" s="2">
        <f>ProductionData[[#This Row],[Rejected_Qty]]*ProductionData[[#This Row],[Unit_Cost_INR]]</f>
        <v>3723</v>
      </c>
      <c r="AB1826" s="4">
        <v>29969</v>
      </c>
      <c r="AC1826" s="4">
        <v>8150</v>
      </c>
      <c r="AD1826" s="4">
        <v>8150</v>
      </c>
      <c r="AE1826" s="4">
        <v>29110</v>
      </c>
      <c r="AF1826" s="4">
        <v>13500</v>
      </c>
    </row>
    <row r="1827" spans="1:32">
      <c r="A1827" s="2" t="s">
        <v>3786</v>
      </c>
      <c r="B1827" s="3">
        <v>46289</v>
      </c>
      <c r="C1827" s="36" t="s">
        <v>64</v>
      </c>
      <c r="D1827" s="2">
        <f>MONTH(ProductionData[[#This Row],[Month]])</f>
        <v>9</v>
      </c>
      <c r="E1827" s="2" t="s">
        <v>107</v>
      </c>
      <c r="F1827" s="2" t="s">
        <v>66</v>
      </c>
      <c r="G1827" s="2" t="s">
        <v>81</v>
      </c>
      <c r="H1827" s="2" t="s">
        <v>82</v>
      </c>
      <c r="I1827" s="2" t="s">
        <v>83</v>
      </c>
      <c r="J1827" s="2" t="s">
        <v>166</v>
      </c>
      <c r="K1827" s="2" t="s">
        <v>167</v>
      </c>
      <c r="L1827" s="2" t="s">
        <v>3787</v>
      </c>
      <c r="M1827" s="2" t="s">
        <v>99</v>
      </c>
      <c r="N1827" s="2" t="s">
        <v>88</v>
      </c>
      <c r="O1827" s="2">
        <v>18</v>
      </c>
      <c r="P1827" s="2">
        <v>18</v>
      </c>
      <c r="Q1827" s="4">
        <v>9400</v>
      </c>
      <c r="R1827" s="4">
        <v>9040</v>
      </c>
      <c r="S1827" s="4">
        <v>161</v>
      </c>
      <c r="T1827" s="19">
        <f>(ProductionData[[#This Row],[Rejected_Qty]])/ProductionData[[#This Row],[Produced_Qty]]</f>
        <v>1.7809734513274337E-2</v>
      </c>
      <c r="U1827" s="19">
        <f>ProductionData[[#This Row],[Produced_Qty]]/ProductionData[[#This Row],[Planned_Qty]]</f>
        <v>0.96170212765957441</v>
      </c>
      <c r="V1827" s="2" t="s">
        <v>75</v>
      </c>
      <c r="W1827" s="11">
        <v>0</v>
      </c>
      <c r="X1827" s="13">
        <f>W1827/60</f>
        <v>0</v>
      </c>
      <c r="Y1827" s="2" t="s">
        <v>90</v>
      </c>
      <c r="Z1827" s="2">
        <v>17</v>
      </c>
      <c r="AA1827" s="2">
        <f>ProductionData[[#This Row],[Rejected_Qty]]*ProductionData[[#This Row],[Unit_Cost_INR]]</f>
        <v>2737</v>
      </c>
      <c r="AB1827" s="4">
        <v>28107</v>
      </c>
      <c r="AC1827" s="4">
        <v>8020</v>
      </c>
      <c r="AD1827" s="4">
        <v>8020</v>
      </c>
      <c r="AE1827" s="4">
        <v>28966</v>
      </c>
      <c r="AF1827" s="4">
        <v>13500</v>
      </c>
    </row>
    <row r="1828" spans="1:32">
      <c r="A1828" s="2" t="s">
        <v>3788</v>
      </c>
      <c r="B1828" s="3">
        <v>46266</v>
      </c>
      <c r="C1828" s="36" t="s">
        <v>64</v>
      </c>
      <c r="D1828" s="2">
        <f>MONTH(ProductionData[[#This Row],[Month]])</f>
        <v>9</v>
      </c>
      <c r="E1828" s="2" t="s">
        <v>92</v>
      </c>
      <c r="F1828" s="2" t="s">
        <v>66</v>
      </c>
      <c r="G1828" s="2" t="s">
        <v>174</v>
      </c>
      <c r="H1828" s="2" t="s">
        <v>175</v>
      </c>
      <c r="I1828" s="2" t="s">
        <v>176</v>
      </c>
      <c r="J1828" s="2" t="s">
        <v>177</v>
      </c>
      <c r="K1828" s="2" t="s">
        <v>178</v>
      </c>
      <c r="L1828" s="2" t="s">
        <v>3789</v>
      </c>
      <c r="M1828" s="2" t="s">
        <v>73</v>
      </c>
      <c r="N1828" s="2" t="s">
        <v>96</v>
      </c>
      <c r="O1828" s="2">
        <v>10</v>
      </c>
      <c r="P1828" s="2">
        <v>9</v>
      </c>
      <c r="Q1828" s="4">
        <v>8610</v>
      </c>
      <c r="R1828" s="4">
        <v>7820</v>
      </c>
      <c r="S1828" s="4">
        <v>300</v>
      </c>
      <c r="T1828" s="19">
        <f>(ProductionData[[#This Row],[Rejected_Qty]])/ProductionData[[#This Row],[Produced_Qty]]</f>
        <v>3.8363171355498722E-2</v>
      </c>
      <c r="U1828" s="19">
        <f>ProductionData[[#This Row],[Produced_Qty]]/ProductionData[[#This Row],[Planned_Qty]]</f>
        <v>0.90824622531939603</v>
      </c>
      <c r="V1828" s="2" t="s">
        <v>113</v>
      </c>
      <c r="W1828" s="11">
        <v>0</v>
      </c>
      <c r="X1828" s="13">
        <f>W1828/60</f>
        <v>0</v>
      </c>
      <c r="Y1828" s="2" t="s">
        <v>90</v>
      </c>
      <c r="Z1828" s="2">
        <v>24</v>
      </c>
      <c r="AA1828" s="2">
        <f>ProductionData[[#This Row],[Rejected_Qty]]*ProductionData[[#This Row],[Unit_Cost_INR]]</f>
        <v>7200</v>
      </c>
      <c r="AB1828" s="4">
        <v>28654</v>
      </c>
      <c r="AC1828" s="4">
        <v>7220</v>
      </c>
      <c r="AD1828" s="4">
        <v>7220</v>
      </c>
      <c r="AE1828" s="4">
        <v>28954</v>
      </c>
      <c r="AF1828" s="4">
        <v>12000</v>
      </c>
    </row>
    <row r="1829" spans="1:32">
      <c r="A1829" s="2" t="s">
        <v>3790</v>
      </c>
      <c r="B1829" s="3">
        <v>46276</v>
      </c>
      <c r="C1829" s="36" t="s">
        <v>64</v>
      </c>
      <c r="D1829" s="2">
        <f>MONTH(ProductionData[[#This Row],[Month]])</f>
        <v>9</v>
      </c>
      <c r="E1829" s="2" t="s">
        <v>125</v>
      </c>
      <c r="F1829" s="2" t="s">
        <v>66</v>
      </c>
      <c r="G1829" s="2" t="s">
        <v>81</v>
      </c>
      <c r="H1829" s="2" t="s">
        <v>82</v>
      </c>
      <c r="I1829" s="2" t="s">
        <v>83</v>
      </c>
      <c r="J1829" s="2" t="s">
        <v>166</v>
      </c>
      <c r="K1829" s="2" t="s">
        <v>167</v>
      </c>
      <c r="L1829" s="2" t="s">
        <v>3791</v>
      </c>
      <c r="M1829" s="2" t="s">
        <v>73</v>
      </c>
      <c r="N1829" s="2" t="s">
        <v>96</v>
      </c>
      <c r="O1829" s="2">
        <v>18</v>
      </c>
      <c r="P1829" s="2">
        <v>16</v>
      </c>
      <c r="Q1829" s="4">
        <v>8710</v>
      </c>
      <c r="R1829" s="4">
        <v>7590</v>
      </c>
      <c r="S1829" s="4">
        <v>196</v>
      </c>
      <c r="T1829" s="19">
        <f>(ProductionData[[#This Row],[Rejected_Qty]])/ProductionData[[#This Row],[Produced_Qty]]</f>
        <v>2.5823451910408433E-2</v>
      </c>
      <c r="U1829" s="19">
        <f>ProductionData[[#This Row],[Produced_Qty]]/ProductionData[[#This Row],[Planned_Qty]]</f>
        <v>0.87141216991963255</v>
      </c>
      <c r="V1829" s="2" t="s">
        <v>103</v>
      </c>
      <c r="W1829" s="11">
        <v>0</v>
      </c>
      <c r="X1829" s="13">
        <f>W1829/60</f>
        <v>0</v>
      </c>
      <c r="Y1829" s="2" t="s">
        <v>90</v>
      </c>
      <c r="Z1829" s="2">
        <v>17</v>
      </c>
      <c r="AA1829" s="2">
        <f>ProductionData[[#This Row],[Rejected_Qty]]*ProductionData[[#This Row],[Unit_Cost_INR]]</f>
        <v>3332</v>
      </c>
      <c r="AB1829" s="4">
        <v>29186</v>
      </c>
      <c r="AC1829" s="4">
        <v>7660</v>
      </c>
      <c r="AD1829" s="4">
        <v>7660</v>
      </c>
      <c r="AE1829" s="4">
        <v>28920</v>
      </c>
      <c r="AF1829" s="4">
        <v>13500</v>
      </c>
    </row>
    <row r="1830" spans="1:32">
      <c r="A1830" s="2" t="s">
        <v>3792</v>
      </c>
      <c r="B1830" s="3">
        <v>46268</v>
      </c>
      <c r="C1830" s="36" t="s">
        <v>64</v>
      </c>
      <c r="D1830" s="2">
        <f>MONTH(ProductionData[[#This Row],[Month]])</f>
        <v>9</v>
      </c>
      <c r="E1830" s="2" t="s">
        <v>107</v>
      </c>
      <c r="F1830" s="2" t="s">
        <v>93</v>
      </c>
      <c r="G1830" s="2" t="s">
        <v>81</v>
      </c>
      <c r="H1830" s="2" t="s">
        <v>82</v>
      </c>
      <c r="I1830" s="2" t="s">
        <v>83</v>
      </c>
      <c r="J1830" s="2" t="s">
        <v>166</v>
      </c>
      <c r="K1830" s="2" t="s">
        <v>167</v>
      </c>
      <c r="L1830" s="2" t="s">
        <v>3793</v>
      </c>
      <c r="M1830" s="2" t="s">
        <v>133</v>
      </c>
      <c r="N1830" s="2" t="s">
        <v>88</v>
      </c>
      <c r="O1830" s="2">
        <v>18</v>
      </c>
      <c r="P1830" s="2">
        <v>15</v>
      </c>
      <c r="Q1830" s="4">
        <v>8340</v>
      </c>
      <c r="R1830" s="4">
        <v>7600</v>
      </c>
      <c r="S1830" s="4">
        <v>129</v>
      </c>
      <c r="T1830" s="19">
        <f>(ProductionData[[#This Row],[Rejected_Qty]])/ProductionData[[#This Row],[Produced_Qty]]</f>
        <v>1.6973684210526314E-2</v>
      </c>
      <c r="U1830" s="19">
        <f>ProductionData[[#This Row],[Produced_Qty]]/ProductionData[[#This Row],[Planned_Qty]]</f>
        <v>0.91127098321342925</v>
      </c>
      <c r="V1830" s="2" t="s">
        <v>89</v>
      </c>
      <c r="W1830" s="11">
        <v>0</v>
      </c>
      <c r="X1830" s="13">
        <f>W1830/60</f>
        <v>0</v>
      </c>
      <c r="Y1830" s="2" t="s">
        <v>90</v>
      </c>
      <c r="Z1830" s="2">
        <v>17</v>
      </c>
      <c r="AA1830" s="2">
        <f>ProductionData[[#This Row],[Rejected_Qty]]*ProductionData[[#This Row],[Unit_Cost_INR]]</f>
        <v>2193</v>
      </c>
      <c r="AB1830" s="4">
        <v>28671</v>
      </c>
      <c r="AC1830" s="4">
        <v>7270</v>
      </c>
      <c r="AD1830" s="4">
        <v>7270</v>
      </c>
      <c r="AE1830" s="4">
        <v>28872</v>
      </c>
      <c r="AF1830" s="4">
        <v>13500</v>
      </c>
    </row>
    <row r="1831" spans="1:32">
      <c r="A1831" s="2" t="s">
        <v>3794</v>
      </c>
      <c r="B1831" s="3">
        <v>46273</v>
      </c>
      <c r="C1831" s="36" t="s">
        <v>64</v>
      </c>
      <c r="D1831" s="2">
        <f>MONTH(ProductionData[[#This Row],[Month]])</f>
        <v>9</v>
      </c>
      <c r="E1831" s="2" t="s">
        <v>92</v>
      </c>
      <c r="F1831" s="2" t="s">
        <v>66</v>
      </c>
      <c r="G1831" s="2" t="s">
        <v>174</v>
      </c>
      <c r="H1831" s="2" t="s">
        <v>175</v>
      </c>
      <c r="I1831" s="2" t="s">
        <v>176</v>
      </c>
      <c r="J1831" s="2" t="s">
        <v>177</v>
      </c>
      <c r="K1831" s="2" t="s">
        <v>178</v>
      </c>
      <c r="L1831" s="2" t="s">
        <v>3795</v>
      </c>
      <c r="M1831" s="2" t="s">
        <v>73</v>
      </c>
      <c r="N1831" s="2" t="s">
        <v>88</v>
      </c>
      <c r="O1831" s="2">
        <v>10</v>
      </c>
      <c r="P1831" s="2">
        <v>10</v>
      </c>
      <c r="Q1831" s="4">
        <v>7940</v>
      </c>
      <c r="R1831" s="4">
        <v>7540</v>
      </c>
      <c r="S1831" s="4">
        <v>166</v>
      </c>
      <c r="T1831" s="19">
        <f>(ProductionData[[#This Row],[Rejected_Qty]])/ProductionData[[#This Row],[Produced_Qty]]</f>
        <v>2.2015915119363395E-2</v>
      </c>
      <c r="U1831" s="19">
        <f>ProductionData[[#This Row],[Produced_Qty]]/ProductionData[[#This Row],[Planned_Qty]]</f>
        <v>0.94962216624685136</v>
      </c>
      <c r="V1831" s="2" t="s">
        <v>89</v>
      </c>
      <c r="W1831" s="11">
        <v>0</v>
      </c>
      <c r="X1831" s="13">
        <f>W1831/60</f>
        <v>0</v>
      </c>
      <c r="Y1831" s="2" t="s">
        <v>90</v>
      </c>
      <c r="Z1831" s="2">
        <v>24</v>
      </c>
      <c r="AA1831" s="2">
        <f>ProductionData[[#This Row],[Rejected_Qty]]*ProductionData[[#This Row],[Unit_Cost_INR]]</f>
        <v>3984</v>
      </c>
      <c r="AB1831" s="4">
        <v>29142</v>
      </c>
      <c r="AC1831" s="4">
        <v>7720</v>
      </c>
      <c r="AD1831" s="4">
        <v>7720</v>
      </c>
      <c r="AE1831" s="4">
        <v>28796</v>
      </c>
      <c r="AF1831" s="4">
        <v>12000</v>
      </c>
    </row>
    <row r="1832" spans="1:32">
      <c r="A1832" s="2" t="s">
        <v>3796</v>
      </c>
      <c r="B1832" s="3">
        <v>46279</v>
      </c>
      <c r="C1832" s="36" t="s">
        <v>64</v>
      </c>
      <c r="D1832" s="2">
        <f>MONTH(ProductionData[[#This Row],[Month]])</f>
        <v>9</v>
      </c>
      <c r="E1832" s="2" t="s">
        <v>116</v>
      </c>
      <c r="F1832" s="2" t="s">
        <v>80</v>
      </c>
      <c r="G1832" s="2" t="s">
        <v>81</v>
      </c>
      <c r="H1832" s="2" t="s">
        <v>82</v>
      </c>
      <c r="I1832" s="2" t="s">
        <v>83</v>
      </c>
      <c r="J1832" s="2" t="s">
        <v>166</v>
      </c>
      <c r="K1832" s="2" t="s">
        <v>167</v>
      </c>
      <c r="L1832" s="2" t="s">
        <v>3797</v>
      </c>
      <c r="M1832" s="2" t="s">
        <v>87</v>
      </c>
      <c r="N1832" s="2" t="s">
        <v>88</v>
      </c>
      <c r="O1832" s="2">
        <v>18</v>
      </c>
      <c r="P1832" s="2">
        <v>17</v>
      </c>
      <c r="Q1832" s="4">
        <v>8740</v>
      </c>
      <c r="R1832" s="4">
        <v>7980</v>
      </c>
      <c r="S1832" s="4">
        <v>217</v>
      </c>
      <c r="T1832" s="19">
        <f>(ProductionData[[#This Row],[Rejected_Qty]])/ProductionData[[#This Row],[Produced_Qty]]</f>
        <v>2.7192982456140352E-2</v>
      </c>
      <c r="U1832" s="19">
        <f>ProductionData[[#This Row],[Produced_Qty]]/ProductionData[[#This Row],[Planned_Qty]]</f>
        <v>0.91304347826086951</v>
      </c>
      <c r="V1832" s="2" t="s">
        <v>75</v>
      </c>
      <c r="W1832" s="11">
        <v>16</v>
      </c>
      <c r="X1832" s="13">
        <f>W1832/60</f>
        <v>0.26666666666666666</v>
      </c>
      <c r="Y1832" s="2" t="s">
        <v>136</v>
      </c>
      <c r="Z1832" s="2">
        <v>17</v>
      </c>
      <c r="AA1832" s="2">
        <f>ProductionData[[#This Row],[Rejected_Qty]]*ProductionData[[#This Row],[Unit_Cost_INR]]</f>
        <v>3689</v>
      </c>
      <c r="AB1832" s="4">
        <v>29185</v>
      </c>
      <c r="AC1832" s="4">
        <v>8180</v>
      </c>
      <c r="AD1832" s="4">
        <v>8180</v>
      </c>
      <c r="AE1832" s="4">
        <v>28768</v>
      </c>
      <c r="AF1832" s="4">
        <v>13500</v>
      </c>
    </row>
    <row r="1833" spans="1:32">
      <c r="A1833" s="2" t="s">
        <v>3798</v>
      </c>
      <c r="B1833" s="3">
        <v>46273</v>
      </c>
      <c r="C1833" s="36" t="s">
        <v>64</v>
      </c>
      <c r="D1833" s="2">
        <f>MONTH(ProductionData[[#This Row],[Month]])</f>
        <v>9</v>
      </c>
      <c r="E1833" s="2" t="s">
        <v>92</v>
      </c>
      <c r="F1833" s="2" t="s">
        <v>93</v>
      </c>
      <c r="G1833" s="2" t="s">
        <v>174</v>
      </c>
      <c r="H1833" s="2" t="s">
        <v>175</v>
      </c>
      <c r="I1833" s="2" t="s">
        <v>176</v>
      </c>
      <c r="J1833" s="2" t="s">
        <v>177</v>
      </c>
      <c r="K1833" s="2" t="s">
        <v>178</v>
      </c>
      <c r="L1833" s="2" t="s">
        <v>3799</v>
      </c>
      <c r="M1833" s="2" t="s">
        <v>133</v>
      </c>
      <c r="N1833" s="2" t="s">
        <v>88</v>
      </c>
      <c r="O1833" s="2">
        <v>10</v>
      </c>
      <c r="P1833" s="2">
        <v>9</v>
      </c>
      <c r="Q1833" s="4">
        <v>7950</v>
      </c>
      <c r="R1833" s="4">
        <v>7210</v>
      </c>
      <c r="S1833" s="4">
        <v>176</v>
      </c>
      <c r="T1833" s="19">
        <f>(ProductionData[[#This Row],[Rejected_Qty]])/ProductionData[[#This Row],[Produced_Qty]]</f>
        <v>2.4410540915395285E-2</v>
      </c>
      <c r="U1833" s="19">
        <f>ProductionData[[#This Row],[Produced_Qty]]/ProductionData[[#This Row],[Planned_Qty]]</f>
        <v>0.90691823899371071</v>
      </c>
      <c r="V1833" s="2" t="s">
        <v>109</v>
      </c>
      <c r="W1833" s="11">
        <v>21</v>
      </c>
      <c r="X1833" s="13">
        <f>W1833/60</f>
        <v>0.35</v>
      </c>
      <c r="Y1833" s="2" t="s">
        <v>182</v>
      </c>
      <c r="Z1833" s="2">
        <v>24</v>
      </c>
      <c r="AA1833" s="2">
        <f>ProductionData[[#This Row],[Rejected_Qty]]*ProductionData[[#This Row],[Unit_Cost_INR]]</f>
        <v>4224</v>
      </c>
      <c r="AB1833" s="4">
        <v>28796</v>
      </c>
      <c r="AC1833" s="4">
        <v>7120</v>
      </c>
      <c r="AD1833" s="4">
        <v>7120</v>
      </c>
      <c r="AE1833" s="4">
        <v>28710</v>
      </c>
      <c r="AF1833" s="4">
        <v>12000</v>
      </c>
    </row>
    <row r="1834" spans="1:32">
      <c r="A1834" s="2" t="s">
        <v>3800</v>
      </c>
      <c r="B1834" s="3">
        <v>46268</v>
      </c>
      <c r="C1834" s="36" t="s">
        <v>64</v>
      </c>
      <c r="D1834" s="2">
        <f>MONTH(ProductionData[[#This Row],[Month]])</f>
        <v>9</v>
      </c>
      <c r="E1834" s="2" t="s">
        <v>107</v>
      </c>
      <c r="F1834" s="2" t="s">
        <v>80</v>
      </c>
      <c r="G1834" s="2" t="s">
        <v>81</v>
      </c>
      <c r="H1834" s="2" t="s">
        <v>82</v>
      </c>
      <c r="I1834" s="2" t="s">
        <v>83</v>
      </c>
      <c r="J1834" s="2" t="s">
        <v>166</v>
      </c>
      <c r="K1834" s="2" t="s">
        <v>167</v>
      </c>
      <c r="L1834" s="2" t="s">
        <v>3801</v>
      </c>
      <c r="M1834" s="2" t="s">
        <v>102</v>
      </c>
      <c r="N1834" s="2" t="s">
        <v>96</v>
      </c>
      <c r="O1834" s="2">
        <v>18</v>
      </c>
      <c r="P1834" s="2">
        <v>16</v>
      </c>
      <c r="Q1834" s="4">
        <v>9590</v>
      </c>
      <c r="R1834" s="4">
        <v>8920</v>
      </c>
      <c r="S1834" s="4">
        <v>289</v>
      </c>
      <c r="T1834" s="19">
        <f>(ProductionData[[#This Row],[Rejected_Qty]])/ProductionData[[#This Row],[Produced_Qty]]</f>
        <v>3.2399103139013452E-2</v>
      </c>
      <c r="U1834" s="19">
        <f>ProductionData[[#This Row],[Produced_Qty]]/ProductionData[[#This Row],[Planned_Qty]]</f>
        <v>0.93013555787278412</v>
      </c>
      <c r="V1834" s="2" t="s">
        <v>89</v>
      </c>
      <c r="W1834" s="11">
        <v>16</v>
      </c>
      <c r="X1834" s="13">
        <f>W1834/60</f>
        <v>0.26666666666666666</v>
      </c>
      <c r="Y1834" s="2" t="s">
        <v>182</v>
      </c>
      <c r="Z1834" s="2">
        <v>17</v>
      </c>
      <c r="AA1834" s="2">
        <f>ProductionData[[#This Row],[Rejected_Qty]]*ProductionData[[#This Row],[Unit_Cost_INR]]</f>
        <v>4913</v>
      </c>
      <c r="AB1834" s="4">
        <v>29110</v>
      </c>
      <c r="AC1834" s="4">
        <v>9070</v>
      </c>
      <c r="AD1834" s="4">
        <v>9070</v>
      </c>
      <c r="AE1834" s="4">
        <v>28671</v>
      </c>
      <c r="AF1834" s="4">
        <v>13500</v>
      </c>
    </row>
    <row r="1835" spans="1:32">
      <c r="A1835" s="2" t="s">
        <v>3802</v>
      </c>
      <c r="B1835" s="3">
        <v>46274</v>
      </c>
      <c r="C1835" s="36" t="s">
        <v>64</v>
      </c>
      <c r="D1835" s="2">
        <f>MONTH(ProductionData[[#This Row],[Month]])</f>
        <v>9</v>
      </c>
      <c r="E1835" s="2" t="s">
        <v>79</v>
      </c>
      <c r="F1835" s="2" t="s">
        <v>66</v>
      </c>
      <c r="G1835" s="2" t="s">
        <v>174</v>
      </c>
      <c r="H1835" s="2" t="s">
        <v>175</v>
      </c>
      <c r="I1835" s="2" t="s">
        <v>176</v>
      </c>
      <c r="J1835" s="2" t="s">
        <v>177</v>
      </c>
      <c r="K1835" s="2" t="s">
        <v>178</v>
      </c>
      <c r="L1835" s="2" t="s">
        <v>3803</v>
      </c>
      <c r="M1835" s="2" t="s">
        <v>73</v>
      </c>
      <c r="N1835" s="2" t="s">
        <v>96</v>
      </c>
      <c r="O1835" s="2">
        <v>10</v>
      </c>
      <c r="P1835" s="2">
        <v>10</v>
      </c>
      <c r="Q1835" s="4">
        <v>7500</v>
      </c>
      <c r="R1835" s="4">
        <v>7010</v>
      </c>
      <c r="S1835" s="4">
        <v>150</v>
      </c>
      <c r="T1835" s="19">
        <f>(ProductionData[[#This Row],[Rejected_Qty]])/ProductionData[[#This Row],[Produced_Qty]]</f>
        <v>2.1398002853067047E-2</v>
      </c>
      <c r="U1835" s="19">
        <f>ProductionData[[#This Row],[Produced_Qty]]/ProductionData[[#This Row],[Planned_Qty]]</f>
        <v>0.93466666666666665</v>
      </c>
      <c r="V1835" s="2" t="s">
        <v>109</v>
      </c>
      <c r="W1835" s="11">
        <v>0</v>
      </c>
      <c r="X1835" s="13">
        <f>W1835/60</f>
        <v>0</v>
      </c>
      <c r="Y1835" s="2" t="s">
        <v>90</v>
      </c>
      <c r="Z1835" s="2">
        <v>24</v>
      </c>
      <c r="AA1835" s="2">
        <f>ProductionData[[#This Row],[Rejected_Qty]]*ProductionData[[#This Row],[Unit_Cost_INR]]</f>
        <v>3600</v>
      </c>
      <c r="AB1835" s="4">
        <v>28710</v>
      </c>
      <c r="AC1835" s="4">
        <v>6990</v>
      </c>
      <c r="AD1835" s="4">
        <v>6990</v>
      </c>
      <c r="AE1835" s="4">
        <v>28580</v>
      </c>
      <c r="AF1835" s="4">
        <v>12000</v>
      </c>
    </row>
    <row r="1836" spans="1:32">
      <c r="A1836" s="2" t="s">
        <v>3804</v>
      </c>
      <c r="B1836" s="3">
        <v>46283</v>
      </c>
      <c r="C1836" s="36" t="s">
        <v>64</v>
      </c>
      <c r="D1836" s="2">
        <f>MONTH(ProductionData[[#This Row],[Month]])</f>
        <v>9</v>
      </c>
      <c r="E1836" s="2" t="s">
        <v>125</v>
      </c>
      <c r="F1836" s="2" t="s">
        <v>93</v>
      </c>
      <c r="G1836" s="2" t="s">
        <v>81</v>
      </c>
      <c r="H1836" s="2" t="s">
        <v>82</v>
      </c>
      <c r="I1836" s="2" t="s">
        <v>83</v>
      </c>
      <c r="J1836" s="2" t="s">
        <v>166</v>
      </c>
      <c r="K1836" s="2" t="s">
        <v>167</v>
      </c>
      <c r="L1836" s="2" t="s">
        <v>3805</v>
      </c>
      <c r="M1836" s="2" t="s">
        <v>133</v>
      </c>
      <c r="N1836" s="2" t="s">
        <v>96</v>
      </c>
      <c r="O1836" s="2">
        <v>18</v>
      </c>
      <c r="P1836" s="2">
        <v>17</v>
      </c>
      <c r="Q1836" s="4">
        <v>8260</v>
      </c>
      <c r="R1836" s="4">
        <v>7810</v>
      </c>
      <c r="S1836" s="4">
        <v>259</v>
      </c>
      <c r="T1836" s="19">
        <f>(ProductionData[[#This Row],[Rejected_Qty]])/ProductionData[[#This Row],[Produced_Qty]]</f>
        <v>3.3162612035851476E-2</v>
      </c>
      <c r="U1836" s="19">
        <f>ProductionData[[#This Row],[Produced_Qty]]/ProductionData[[#This Row],[Planned_Qty]]</f>
        <v>0.94552058111380144</v>
      </c>
      <c r="V1836" s="2" t="s">
        <v>89</v>
      </c>
      <c r="W1836" s="11">
        <v>0</v>
      </c>
      <c r="X1836" s="13">
        <f>W1836/60</f>
        <v>0</v>
      </c>
      <c r="Y1836" s="2" t="s">
        <v>90</v>
      </c>
      <c r="Z1836" s="2">
        <v>17</v>
      </c>
      <c r="AA1836" s="2">
        <f>ProductionData[[#This Row],[Rejected_Qty]]*ProductionData[[#This Row],[Unit_Cost_INR]]</f>
        <v>4403</v>
      </c>
      <c r="AB1836" s="4">
        <v>29242</v>
      </c>
      <c r="AC1836" s="4">
        <v>8230</v>
      </c>
      <c r="AD1836" s="4">
        <v>8230</v>
      </c>
      <c r="AE1836" s="4">
        <v>28563</v>
      </c>
      <c r="AF1836" s="4">
        <v>13500</v>
      </c>
    </row>
    <row r="1837" spans="1:32">
      <c r="A1837" s="2" t="s">
        <v>3806</v>
      </c>
      <c r="B1837" s="3">
        <v>46287</v>
      </c>
      <c r="C1837" s="36" t="s">
        <v>64</v>
      </c>
      <c r="D1837" s="2">
        <f>MONTH(ProductionData[[#This Row],[Month]])</f>
        <v>9</v>
      </c>
      <c r="E1837" s="2" t="s">
        <v>92</v>
      </c>
      <c r="F1837" s="2" t="s">
        <v>80</v>
      </c>
      <c r="G1837" s="2" t="s">
        <v>81</v>
      </c>
      <c r="H1837" s="2" t="s">
        <v>82</v>
      </c>
      <c r="I1837" s="2" t="s">
        <v>83</v>
      </c>
      <c r="J1837" s="2" t="s">
        <v>166</v>
      </c>
      <c r="K1837" s="2" t="s">
        <v>167</v>
      </c>
      <c r="L1837" s="2" t="s">
        <v>3807</v>
      </c>
      <c r="M1837" s="2" t="s">
        <v>102</v>
      </c>
      <c r="N1837" s="2" t="s">
        <v>96</v>
      </c>
      <c r="O1837" s="2">
        <v>18</v>
      </c>
      <c r="P1837" s="2">
        <v>18</v>
      </c>
      <c r="Q1837" s="4">
        <v>8680</v>
      </c>
      <c r="R1837" s="4">
        <v>8600</v>
      </c>
      <c r="S1837" s="4">
        <v>285</v>
      </c>
      <c r="T1837" s="19">
        <f>(ProductionData[[#This Row],[Rejected_Qty]])/ProductionData[[#This Row],[Produced_Qty]]</f>
        <v>3.3139534883720928E-2</v>
      </c>
      <c r="U1837" s="19">
        <f>ProductionData[[#This Row],[Produced_Qty]]/ProductionData[[#This Row],[Planned_Qty]]</f>
        <v>0.99078341013824889</v>
      </c>
      <c r="V1837" s="2" t="s">
        <v>103</v>
      </c>
      <c r="W1837" s="11">
        <v>14</v>
      </c>
      <c r="X1837" s="13">
        <f>W1837/60</f>
        <v>0.23333333333333334</v>
      </c>
      <c r="Y1837" s="2" t="s">
        <v>110</v>
      </c>
      <c r="Z1837" s="2">
        <v>17</v>
      </c>
      <c r="AA1837" s="2">
        <f>ProductionData[[#This Row],[Rejected_Qty]]*ProductionData[[#This Row],[Unit_Cost_INR]]</f>
        <v>4845</v>
      </c>
      <c r="AB1837" s="4">
        <v>27685</v>
      </c>
      <c r="AC1837" s="4">
        <v>7490</v>
      </c>
      <c r="AD1837" s="4">
        <v>7490</v>
      </c>
      <c r="AE1837" s="4">
        <v>28510</v>
      </c>
      <c r="AF1837" s="4">
        <v>13500</v>
      </c>
    </row>
    <row r="1838" spans="1:32">
      <c r="A1838" s="2" t="s">
        <v>3808</v>
      </c>
      <c r="B1838" s="3">
        <v>46270</v>
      </c>
      <c r="C1838" s="36" t="s">
        <v>64</v>
      </c>
      <c r="D1838" s="2">
        <f>MONTH(ProductionData[[#This Row],[Month]])</f>
        <v>9</v>
      </c>
      <c r="E1838" s="2" t="s">
        <v>65</v>
      </c>
      <c r="F1838" s="2" t="s">
        <v>93</v>
      </c>
      <c r="G1838" s="2" t="s">
        <v>81</v>
      </c>
      <c r="H1838" s="2" t="s">
        <v>82</v>
      </c>
      <c r="I1838" s="2" t="s">
        <v>83</v>
      </c>
      <c r="J1838" s="2" t="s">
        <v>166</v>
      </c>
      <c r="K1838" s="2" t="s">
        <v>167</v>
      </c>
      <c r="L1838" s="2" t="s">
        <v>3809</v>
      </c>
      <c r="M1838" s="2" t="s">
        <v>133</v>
      </c>
      <c r="N1838" s="2" t="s">
        <v>96</v>
      </c>
      <c r="O1838" s="2">
        <v>18</v>
      </c>
      <c r="P1838" s="2">
        <v>15</v>
      </c>
      <c r="Q1838" s="4">
        <v>9120</v>
      </c>
      <c r="R1838" s="4">
        <v>7900</v>
      </c>
      <c r="S1838" s="4">
        <v>297</v>
      </c>
      <c r="T1838" s="19">
        <f>(ProductionData[[#This Row],[Rejected_Qty]])/ProductionData[[#This Row],[Produced_Qty]]</f>
        <v>3.7594936708860757E-2</v>
      </c>
      <c r="U1838" s="19">
        <f>ProductionData[[#This Row],[Produced_Qty]]/ProductionData[[#This Row],[Planned_Qty]]</f>
        <v>0.86622807017543857</v>
      </c>
      <c r="V1838" s="2" t="s">
        <v>109</v>
      </c>
      <c r="W1838" s="11">
        <v>0</v>
      </c>
      <c r="X1838" s="13">
        <f>W1838/60</f>
        <v>0</v>
      </c>
      <c r="Y1838" s="2" t="s">
        <v>90</v>
      </c>
      <c r="Z1838" s="2">
        <v>17</v>
      </c>
      <c r="AA1838" s="2">
        <f>ProductionData[[#This Row],[Rejected_Qty]]*ProductionData[[#This Row],[Unit_Cost_INR]]</f>
        <v>5049</v>
      </c>
      <c r="AB1838" s="4">
        <v>28872</v>
      </c>
      <c r="AC1838" s="4">
        <v>8260</v>
      </c>
      <c r="AD1838" s="4">
        <v>8260</v>
      </c>
      <c r="AE1838" s="4">
        <v>28215</v>
      </c>
      <c r="AF1838" s="4">
        <v>13500</v>
      </c>
    </row>
    <row r="1839" spans="1:32">
      <c r="A1839" s="2" t="s">
        <v>3810</v>
      </c>
      <c r="B1839" s="3">
        <v>46288</v>
      </c>
      <c r="C1839" s="36" t="s">
        <v>64</v>
      </c>
      <c r="D1839" s="2">
        <f>MONTH(ProductionData[[#This Row],[Month]])</f>
        <v>9</v>
      </c>
      <c r="E1839" s="2" t="s">
        <v>79</v>
      </c>
      <c r="F1839" s="2" t="s">
        <v>80</v>
      </c>
      <c r="G1839" s="2" t="s">
        <v>81</v>
      </c>
      <c r="H1839" s="2" t="s">
        <v>82</v>
      </c>
      <c r="I1839" s="2" t="s">
        <v>83</v>
      </c>
      <c r="J1839" s="2" t="s">
        <v>166</v>
      </c>
      <c r="K1839" s="2" t="s">
        <v>167</v>
      </c>
      <c r="L1839" s="2" t="s">
        <v>3811</v>
      </c>
      <c r="M1839" s="2" t="s">
        <v>102</v>
      </c>
      <c r="N1839" s="2" t="s">
        <v>88</v>
      </c>
      <c r="O1839" s="2">
        <v>18</v>
      </c>
      <c r="P1839" s="2">
        <v>17</v>
      </c>
      <c r="Q1839" s="4">
        <v>9600</v>
      </c>
      <c r="R1839" s="4">
        <v>8680</v>
      </c>
      <c r="S1839" s="4">
        <v>343</v>
      </c>
      <c r="T1839" s="19">
        <f>(ProductionData[[#This Row],[Rejected_Qty]])/ProductionData[[#This Row],[Produced_Qty]]</f>
        <v>3.9516129032258061E-2</v>
      </c>
      <c r="U1839" s="19">
        <f>ProductionData[[#This Row],[Produced_Qty]]/ProductionData[[#This Row],[Planned_Qty]]</f>
        <v>0.90416666666666667</v>
      </c>
      <c r="V1839" s="2" t="s">
        <v>103</v>
      </c>
      <c r="W1839" s="11">
        <v>0</v>
      </c>
      <c r="X1839" s="13">
        <f>W1839/60</f>
        <v>0</v>
      </c>
      <c r="Y1839" s="2" t="s">
        <v>90</v>
      </c>
      <c r="Z1839" s="2">
        <v>17</v>
      </c>
      <c r="AA1839" s="2">
        <f>ProductionData[[#This Row],[Rejected_Qty]]*ProductionData[[#This Row],[Unit_Cost_INR]]</f>
        <v>5831</v>
      </c>
      <c r="AB1839" s="4">
        <v>28510</v>
      </c>
      <c r="AC1839" s="4">
        <v>8740</v>
      </c>
      <c r="AD1839" s="4">
        <v>8740</v>
      </c>
      <c r="AE1839" s="4">
        <v>28107</v>
      </c>
      <c r="AF1839" s="4">
        <v>13500</v>
      </c>
    </row>
    <row r="1840" spans="1:32">
      <c r="A1840" s="2" t="s">
        <v>3812</v>
      </c>
      <c r="B1840" s="3">
        <v>46284</v>
      </c>
      <c r="C1840" s="36" t="s">
        <v>64</v>
      </c>
      <c r="D1840" s="2">
        <f>MONTH(ProductionData[[#This Row],[Month]])</f>
        <v>9</v>
      </c>
      <c r="E1840" s="2" t="s">
        <v>65</v>
      </c>
      <c r="F1840" s="2" t="s">
        <v>66</v>
      </c>
      <c r="G1840" s="2" t="s">
        <v>81</v>
      </c>
      <c r="H1840" s="2" t="s">
        <v>82</v>
      </c>
      <c r="I1840" s="2" t="s">
        <v>83</v>
      </c>
      <c r="J1840" s="2" t="s">
        <v>166</v>
      </c>
      <c r="K1840" s="2" t="s">
        <v>167</v>
      </c>
      <c r="L1840" s="2" t="s">
        <v>3813</v>
      </c>
      <c r="M1840" s="2" t="s">
        <v>73</v>
      </c>
      <c r="N1840" s="2" t="s">
        <v>88</v>
      </c>
      <c r="O1840" s="2">
        <v>18</v>
      </c>
      <c r="P1840" s="2">
        <v>17</v>
      </c>
      <c r="Q1840" s="4">
        <v>9000</v>
      </c>
      <c r="R1840" s="4">
        <v>8630</v>
      </c>
      <c r="S1840" s="4">
        <v>122</v>
      </c>
      <c r="T1840" s="19">
        <f>(ProductionData[[#This Row],[Rejected_Qty]])/ProductionData[[#This Row],[Produced_Qty]]</f>
        <v>1.4136732329084589E-2</v>
      </c>
      <c r="U1840" s="19">
        <f>ProductionData[[#This Row],[Produced_Qty]]/ProductionData[[#This Row],[Planned_Qty]]</f>
        <v>0.9588888888888889</v>
      </c>
      <c r="V1840" s="2" t="s">
        <v>113</v>
      </c>
      <c r="W1840" s="11">
        <v>0</v>
      </c>
      <c r="X1840" s="13">
        <f>W1840/60</f>
        <v>0</v>
      </c>
      <c r="Y1840" s="2" t="s">
        <v>90</v>
      </c>
      <c r="Z1840" s="2">
        <v>17</v>
      </c>
      <c r="AA1840" s="2">
        <f>ProductionData[[#This Row],[Rejected_Qty]]*ProductionData[[#This Row],[Unit_Cost_INR]]</f>
        <v>2074</v>
      </c>
      <c r="AB1840" s="4">
        <v>28563</v>
      </c>
      <c r="AC1840" s="4">
        <v>9370</v>
      </c>
      <c r="AD1840" s="4">
        <v>9370</v>
      </c>
      <c r="AE1840" s="4">
        <v>27701</v>
      </c>
      <c r="AF1840" s="4">
        <v>13500</v>
      </c>
    </row>
    <row r="1841" spans="1:32">
      <c r="A1841" s="2" t="s">
        <v>3814</v>
      </c>
      <c r="B1841" s="3">
        <v>46287</v>
      </c>
      <c r="C1841" s="36" t="s">
        <v>64</v>
      </c>
      <c r="D1841" s="2">
        <f>MONTH(ProductionData[[#This Row],[Month]])</f>
        <v>9</v>
      </c>
      <c r="E1841" s="2" t="s">
        <v>92</v>
      </c>
      <c r="F1841" s="2" t="s">
        <v>66</v>
      </c>
      <c r="G1841" s="2" t="s">
        <v>81</v>
      </c>
      <c r="H1841" s="2" t="s">
        <v>82</v>
      </c>
      <c r="I1841" s="2" t="s">
        <v>83</v>
      </c>
      <c r="J1841" s="2" t="s">
        <v>166</v>
      </c>
      <c r="K1841" s="2" t="s">
        <v>167</v>
      </c>
      <c r="L1841" s="2" t="s">
        <v>3815</v>
      </c>
      <c r="M1841" s="2" t="s">
        <v>99</v>
      </c>
      <c r="N1841" s="2" t="s">
        <v>88</v>
      </c>
      <c r="O1841" s="2">
        <v>18</v>
      </c>
      <c r="P1841" s="2">
        <v>18</v>
      </c>
      <c r="Q1841" s="4">
        <v>8460</v>
      </c>
      <c r="R1841" s="4">
        <v>8510</v>
      </c>
      <c r="S1841" s="4">
        <v>233</v>
      </c>
      <c r="T1841" s="19">
        <f>(ProductionData[[#This Row],[Rejected_Qty]])/ProductionData[[#This Row],[Produced_Qty]]</f>
        <v>2.7379553466509988E-2</v>
      </c>
      <c r="U1841" s="19">
        <f>ProductionData[[#This Row],[Produced_Qty]]/ProductionData[[#This Row],[Planned_Qty]]</f>
        <v>1.0059101654846336</v>
      </c>
      <c r="V1841" s="2" t="s">
        <v>113</v>
      </c>
      <c r="W1841" s="11">
        <v>0</v>
      </c>
      <c r="X1841" s="13">
        <f>W1841/60</f>
        <v>0</v>
      </c>
      <c r="Y1841" s="2" t="s">
        <v>90</v>
      </c>
      <c r="Z1841" s="2">
        <v>17</v>
      </c>
      <c r="AA1841" s="2">
        <f>ProductionData[[#This Row],[Rejected_Qty]]*ProductionData[[#This Row],[Unit_Cost_INR]]</f>
        <v>3961</v>
      </c>
      <c r="AB1841" s="4">
        <v>26428</v>
      </c>
      <c r="AC1841" s="4">
        <v>7020</v>
      </c>
      <c r="AD1841" s="4">
        <v>7020</v>
      </c>
      <c r="AE1841" s="4">
        <v>27685</v>
      </c>
      <c r="AF1841" s="4">
        <v>13500</v>
      </c>
    </row>
    <row r="1842" spans="1:32">
      <c r="A1842" s="2" t="s">
        <v>3816</v>
      </c>
      <c r="B1842" s="3">
        <v>46295</v>
      </c>
      <c r="C1842" s="36" t="s">
        <v>64</v>
      </c>
      <c r="D1842" s="2">
        <f>MONTH(ProductionData[[#This Row],[Month]])</f>
        <v>9</v>
      </c>
      <c r="E1842" s="2" t="s">
        <v>79</v>
      </c>
      <c r="F1842" s="2" t="s">
        <v>93</v>
      </c>
      <c r="G1842" s="2" t="s">
        <v>195</v>
      </c>
      <c r="H1842" s="2" t="s">
        <v>196</v>
      </c>
      <c r="I1842" s="2" t="s">
        <v>197</v>
      </c>
      <c r="J1842" s="2" t="s">
        <v>586</v>
      </c>
      <c r="K1842" s="2" t="s">
        <v>587</v>
      </c>
      <c r="L1842" s="2" t="s">
        <v>3817</v>
      </c>
      <c r="M1842" s="2" t="s">
        <v>133</v>
      </c>
      <c r="N1842" s="2" t="s">
        <v>96</v>
      </c>
      <c r="O1842" s="2">
        <v>14</v>
      </c>
      <c r="P1842" s="2">
        <v>14</v>
      </c>
      <c r="Q1842" s="4">
        <v>6070</v>
      </c>
      <c r="R1842" s="4">
        <v>5780</v>
      </c>
      <c r="S1842" s="4">
        <v>139</v>
      </c>
      <c r="T1842" s="19">
        <f>(ProductionData[[#This Row],[Rejected_Qty]])/ProductionData[[#This Row],[Produced_Qty]]</f>
        <v>2.4048442906574395E-2</v>
      </c>
      <c r="U1842" s="19">
        <f>ProductionData[[#This Row],[Produced_Qty]]/ProductionData[[#This Row],[Planned_Qty]]</f>
        <v>0.9522240527182867</v>
      </c>
      <c r="V1842" s="2" t="s">
        <v>75</v>
      </c>
      <c r="W1842" s="11">
        <v>0</v>
      </c>
      <c r="X1842" s="13">
        <f>W1842/60</f>
        <v>0</v>
      </c>
      <c r="Y1842" s="2" t="s">
        <v>90</v>
      </c>
      <c r="Z1842" s="2">
        <v>51</v>
      </c>
      <c r="AA1842" s="2">
        <f>ProductionData[[#This Row],[Rejected_Qty]]*ProductionData[[#This Row],[Unit_Cost_INR]]</f>
        <v>7089</v>
      </c>
      <c r="AB1842" s="4">
        <v>26759</v>
      </c>
      <c r="AC1842" s="4">
        <v>5390</v>
      </c>
      <c r="AD1842" s="4">
        <v>5390</v>
      </c>
      <c r="AE1842" s="4">
        <v>27010</v>
      </c>
      <c r="AF1842" s="4">
        <v>9000</v>
      </c>
    </row>
    <row r="1843" spans="1:32">
      <c r="A1843" s="2" t="s">
        <v>3818</v>
      </c>
      <c r="B1843" s="3">
        <v>46275</v>
      </c>
      <c r="C1843" s="36" t="s">
        <v>64</v>
      </c>
      <c r="D1843" s="2">
        <f>MONTH(ProductionData[[#This Row],[Month]])</f>
        <v>9</v>
      </c>
      <c r="E1843" s="2" t="s">
        <v>107</v>
      </c>
      <c r="F1843" s="2" t="s">
        <v>80</v>
      </c>
      <c r="G1843" s="2" t="s">
        <v>195</v>
      </c>
      <c r="H1843" s="2" t="s">
        <v>196</v>
      </c>
      <c r="I1843" s="2" t="s">
        <v>197</v>
      </c>
      <c r="J1843" s="2" t="s">
        <v>586</v>
      </c>
      <c r="K1843" s="2" t="s">
        <v>587</v>
      </c>
      <c r="L1843" s="2" t="s">
        <v>3819</v>
      </c>
      <c r="M1843" s="2" t="s">
        <v>87</v>
      </c>
      <c r="N1843" s="2" t="s">
        <v>96</v>
      </c>
      <c r="O1843" s="2">
        <v>14</v>
      </c>
      <c r="P1843" s="2">
        <v>14</v>
      </c>
      <c r="Q1843" s="4">
        <v>6310</v>
      </c>
      <c r="R1843" s="4">
        <v>6230</v>
      </c>
      <c r="S1843" s="4">
        <v>86</v>
      </c>
      <c r="T1843" s="19">
        <f>(ProductionData[[#This Row],[Rejected_Qty]])/ProductionData[[#This Row],[Produced_Qty]]</f>
        <v>1.3804173354735152E-2</v>
      </c>
      <c r="U1843" s="19">
        <f>ProductionData[[#This Row],[Produced_Qty]]/ProductionData[[#This Row],[Planned_Qty]]</f>
        <v>0.98732171156893822</v>
      </c>
      <c r="V1843" s="2" t="s">
        <v>103</v>
      </c>
      <c r="W1843" s="11">
        <v>20</v>
      </c>
      <c r="X1843" s="13">
        <f>W1843/60</f>
        <v>0.33333333333333331</v>
      </c>
      <c r="Y1843" s="2" t="s">
        <v>76</v>
      </c>
      <c r="Z1843" s="2">
        <v>51</v>
      </c>
      <c r="AA1843" s="2">
        <f>ProductionData[[#This Row],[Rejected_Qty]]*ProductionData[[#This Row],[Unit_Cost_INR]]</f>
        <v>4386</v>
      </c>
      <c r="AB1843" s="4">
        <v>26382</v>
      </c>
      <c r="AC1843" s="4">
        <v>5550</v>
      </c>
      <c r="AD1843" s="4">
        <v>5550</v>
      </c>
      <c r="AE1843" s="4">
        <v>26976</v>
      </c>
      <c r="AF1843" s="4">
        <v>9000</v>
      </c>
    </row>
    <row r="1844" spans="1:32">
      <c r="A1844" s="2" t="s">
        <v>3820</v>
      </c>
      <c r="B1844" s="3">
        <v>46282</v>
      </c>
      <c r="C1844" s="36" t="s">
        <v>64</v>
      </c>
      <c r="D1844" s="2">
        <f>MONTH(ProductionData[[#This Row],[Month]])</f>
        <v>9</v>
      </c>
      <c r="E1844" s="2" t="s">
        <v>107</v>
      </c>
      <c r="F1844" s="2" t="s">
        <v>93</v>
      </c>
      <c r="G1844" s="2" t="s">
        <v>195</v>
      </c>
      <c r="H1844" s="2" t="s">
        <v>196</v>
      </c>
      <c r="I1844" s="2" t="s">
        <v>197</v>
      </c>
      <c r="J1844" s="2" t="s">
        <v>586</v>
      </c>
      <c r="K1844" s="2" t="s">
        <v>587</v>
      </c>
      <c r="L1844" s="2" t="s">
        <v>3821</v>
      </c>
      <c r="M1844" s="2" t="s">
        <v>133</v>
      </c>
      <c r="N1844" s="2" t="s">
        <v>88</v>
      </c>
      <c r="O1844" s="2">
        <v>14</v>
      </c>
      <c r="P1844" s="2">
        <v>13</v>
      </c>
      <c r="Q1844" s="4">
        <v>5790</v>
      </c>
      <c r="R1844" s="4">
        <v>5370</v>
      </c>
      <c r="S1844" s="4">
        <v>84</v>
      </c>
      <c r="T1844" s="19">
        <f>(ProductionData[[#This Row],[Rejected_Qty]])/ProductionData[[#This Row],[Produced_Qty]]</f>
        <v>1.564245810055866E-2</v>
      </c>
      <c r="U1844" s="19">
        <f>ProductionData[[#This Row],[Produced_Qty]]/ProductionData[[#This Row],[Planned_Qty]]</f>
        <v>0.92746113989637302</v>
      </c>
      <c r="V1844" s="2" t="s">
        <v>113</v>
      </c>
      <c r="W1844" s="11">
        <v>0</v>
      </c>
      <c r="X1844" s="13">
        <f>W1844/60</f>
        <v>0</v>
      </c>
      <c r="Y1844" s="2" t="s">
        <v>90</v>
      </c>
      <c r="Z1844" s="2">
        <v>51</v>
      </c>
      <c r="AA1844" s="2">
        <f>ProductionData[[#This Row],[Rejected_Qty]]*ProductionData[[#This Row],[Unit_Cost_INR]]</f>
        <v>4284</v>
      </c>
      <c r="AB1844" s="4">
        <v>26446</v>
      </c>
      <c r="AC1844" s="4">
        <v>4850</v>
      </c>
      <c r="AD1844" s="4">
        <v>4850</v>
      </c>
      <c r="AE1844" s="4">
        <v>26882</v>
      </c>
      <c r="AF1844" s="4">
        <v>9000</v>
      </c>
    </row>
    <row r="1845" spans="1:32">
      <c r="A1845" s="2" t="s">
        <v>3822</v>
      </c>
      <c r="B1845" s="3">
        <v>46294</v>
      </c>
      <c r="C1845" s="36" t="s">
        <v>64</v>
      </c>
      <c r="D1845" s="2">
        <f>MONTH(ProductionData[[#This Row],[Month]])</f>
        <v>9</v>
      </c>
      <c r="E1845" s="2" t="s">
        <v>92</v>
      </c>
      <c r="F1845" s="2" t="s">
        <v>66</v>
      </c>
      <c r="G1845" s="2" t="s">
        <v>195</v>
      </c>
      <c r="H1845" s="2" t="s">
        <v>196</v>
      </c>
      <c r="I1845" s="2" t="s">
        <v>197</v>
      </c>
      <c r="J1845" s="2" t="s">
        <v>586</v>
      </c>
      <c r="K1845" s="2" t="s">
        <v>587</v>
      </c>
      <c r="L1845" s="2" t="s">
        <v>3823</v>
      </c>
      <c r="M1845" s="2" t="s">
        <v>99</v>
      </c>
      <c r="N1845" s="2" t="s">
        <v>96</v>
      </c>
      <c r="O1845" s="2">
        <v>14</v>
      </c>
      <c r="P1845" s="2">
        <v>14</v>
      </c>
      <c r="Q1845" s="4">
        <v>5910</v>
      </c>
      <c r="R1845" s="4">
        <v>5960</v>
      </c>
      <c r="S1845" s="4">
        <v>126</v>
      </c>
      <c r="T1845" s="19">
        <f>(ProductionData[[#This Row],[Rejected_Qty]])/ProductionData[[#This Row],[Produced_Qty]]</f>
        <v>2.1140939597315438E-2</v>
      </c>
      <c r="U1845" s="19">
        <f>ProductionData[[#This Row],[Produced_Qty]]/ProductionData[[#This Row],[Planned_Qty]]</f>
        <v>1.0084602368866329</v>
      </c>
      <c r="V1845" s="2" t="s">
        <v>75</v>
      </c>
      <c r="W1845" s="11">
        <v>0</v>
      </c>
      <c r="X1845" s="13">
        <f>W1845/60</f>
        <v>0</v>
      </c>
      <c r="Y1845" s="2" t="s">
        <v>90</v>
      </c>
      <c r="Z1845" s="2">
        <v>51</v>
      </c>
      <c r="AA1845" s="2">
        <f>ProductionData[[#This Row],[Rejected_Qty]]*ProductionData[[#This Row],[Unit_Cost_INR]]</f>
        <v>6426</v>
      </c>
      <c r="AB1845" s="4">
        <v>26035</v>
      </c>
      <c r="AC1845" s="4">
        <v>5110</v>
      </c>
      <c r="AD1845" s="4">
        <v>5110</v>
      </c>
      <c r="AE1845" s="4">
        <v>26759</v>
      </c>
      <c r="AF1845" s="4">
        <v>9000</v>
      </c>
    </row>
    <row r="1846" spans="1:32">
      <c r="A1846" s="2" t="s">
        <v>3824</v>
      </c>
      <c r="B1846" s="3">
        <v>46283</v>
      </c>
      <c r="C1846" s="36" t="s">
        <v>64</v>
      </c>
      <c r="D1846" s="2">
        <f>MONTH(ProductionData[[#This Row],[Month]])</f>
        <v>9</v>
      </c>
      <c r="E1846" s="2" t="s">
        <v>125</v>
      </c>
      <c r="F1846" s="2" t="s">
        <v>66</v>
      </c>
      <c r="G1846" s="2" t="s">
        <v>195</v>
      </c>
      <c r="H1846" s="2" t="s">
        <v>196</v>
      </c>
      <c r="I1846" s="2" t="s">
        <v>197</v>
      </c>
      <c r="J1846" s="2" t="s">
        <v>586</v>
      </c>
      <c r="K1846" s="2" t="s">
        <v>587</v>
      </c>
      <c r="L1846" s="2" t="s">
        <v>3825</v>
      </c>
      <c r="M1846" s="2" t="s">
        <v>73</v>
      </c>
      <c r="N1846" s="2" t="s">
        <v>88</v>
      </c>
      <c r="O1846" s="2">
        <v>14</v>
      </c>
      <c r="P1846" s="2">
        <v>14</v>
      </c>
      <c r="Q1846" s="4">
        <v>6270</v>
      </c>
      <c r="R1846" s="4">
        <v>5990</v>
      </c>
      <c r="S1846" s="4">
        <v>145</v>
      </c>
      <c r="T1846" s="19">
        <f>(ProductionData[[#This Row],[Rejected_Qty]])/ProductionData[[#This Row],[Produced_Qty]]</f>
        <v>2.4207011686143573E-2</v>
      </c>
      <c r="U1846" s="19">
        <f>ProductionData[[#This Row],[Produced_Qty]]/ProductionData[[#This Row],[Planned_Qty]]</f>
        <v>0.95534290271132372</v>
      </c>
      <c r="V1846" s="2" t="s">
        <v>103</v>
      </c>
      <c r="W1846" s="11">
        <v>30</v>
      </c>
      <c r="X1846" s="13">
        <f>W1846/60</f>
        <v>0.5</v>
      </c>
      <c r="Y1846" s="2" t="s">
        <v>110</v>
      </c>
      <c r="Z1846" s="2">
        <v>51</v>
      </c>
      <c r="AA1846" s="2">
        <f>ProductionData[[#This Row],[Rejected_Qty]]*ProductionData[[#This Row],[Unit_Cost_INR]]</f>
        <v>7395</v>
      </c>
      <c r="AB1846" s="4">
        <v>26882</v>
      </c>
      <c r="AC1846" s="4">
        <v>5990</v>
      </c>
      <c r="AD1846" s="4">
        <v>5990</v>
      </c>
      <c r="AE1846" s="4">
        <v>26737</v>
      </c>
      <c r="AF1846" s="4">
        <v>9000</v>
      </c>
    </row>
    <row r="1847" spans="1:32">
      <c r="A1847" s="2" t="s">
        <v>3826</v>
      </c>
      <c r="B1847" s="3">
        <v>46284</v>
      </c>
      <c r="C1847" s="36" t="s">
        <v>64</v>
      </c>
      <c r="D1847" s="2">
        <f>MONTH(ProductionData[[#This Row],[Month]])</f>
        <v>9</v>
      </c>
      <c r="E1847" s="2" t="s">
        <v>65</v>
      </c>
      <c r="F1847" s="2" t="s">
        <v>66</v>
      </c>
      <c r="G1847" s="2" t="s">
        <v>195</v>
      </c>
      <c r="H1847" s="2" t="s">
        <v>196</v>
      </c>
      <c r="I1847" s="2" t="s">
        <v>197</v>
      </c>
      <c r="J1847" s="2" t="s">
        <v>586</v>
      </c>
      <c r="K1847" s="2" t="s">
        <v>587</v>
      </c>
      <c r="L1847" s="2" t="s">
        <v>3827</v>
      </c>
      <c r="M1847" s="2" t="s">
        <v>99</v>
      </c>
      <c r="N1847" s="2" t="s">
        <v>96</v>
      </c>
      <c r="O1847" s="2">
        <v>14</v>
      </c>
      <c r="P1847" s="2">
        <v>14</v>
      </c>
      <c r="Q1847" s="4">
        <v>5980</v>
      </c>
      <c r="R1847" s="4">
        <v>5900</v>
      </c>
      <c r="S1847" s="4">
        <v>112</v>
      </c>
      <c r="T1847" s="19">
        <f>(ProductionData[[#This Row],[Rejected_Qty]])/ProductionData[[#This Row],[Produced_Qty]]</f>
        <v>1.8983050847457626E-2</v>
      </c>
      <c r="U1847" s="19">
        <f>ProductionData[[#This Row],[Produced_Qty]]/ProductionData[[#This Row],[Planned_Qty]]</f>
        <v>0.98662207357859533</v>
      </c>
      <c r="V1847" s="2" t="s">
        <v>89</v>
      </c>
      <c r="W1847" s="11">
        <v>0</v>
      </c>
      <c r="X1847" s="13">
        <f>W1847/60</f>
        <v>0</v>
      </c>
      <c r="Y1847" s="2" t="s">
        <v>90</v>
      </c>
      <c r="Z1847" s="2">
        <v>51</v>
      </c>
      <c r="AA1847" s="2">
        <f>ProductionData[[#This Row],[Rejected_Qty]]*ProductionData[[#This Row],[Unit_Cost_INR]]</f>
        <v>5712</v>
      </c>
      <c r="AB1847" s="4">
        <v>26462</v>
      </c>
      <c r="AC1847" s="4">
        <v>5590</v>
      </c>
      <c r="AD1847" s="4">
        <v>5590</v>
      </c>
      <c r="AE1847" s="4">
        <v>26660</v>
      </c>
      <c r="AF1847" s="4">
        <v>9000</v>
      </c>
    </row>
    <row r="1848" spans="1:32">
      <c r="A1848" s="2" t="s">
        <v>3828</v>
      </c>
      <c r="B1848" s="3">
        <v>46284</v>
      </c>
      <c r="C1848" s="36" t="s">
        <v>64</v>
      </c>
      <c r="D1848" s="2">
        <f>MONTH(ProductionData[[#This Row],[Month]])</f>
        <v>9</v>
      </c>
      <c r="E1848" s="2" t="s">
        <v>65</v>
      </c>
      <c r="F1848" s="2" t="s">
        <v>80</v>
      </c>
      <c r="G1848" s="2" t="s">
        <v>81</v>
      </c>
      <c r="H1848" s="2" t="s">
        <v>82</v>
      </c>
      <c r="I1848" s="2" t="s">
        <v>83</v>
      </c>
      <c r="J1848" s="2" t="s">
        <v>166</v>
      </c>
      <c r="K1848" s="2" t="s">
        <v>167</v>
      </c>
      <c r="L1848" s="2" t="s">
        <v>3829</v>
      </c>
      <c r="M1848" s="2" t="s">
        <v>87</v>
      </c>
      <c r="N1848" s="2" t="s">
        <v>96</v>
      </c>
      <c r="O1848" s="2">
        <v>18</v>
      </c>
      <c r="P1848" s="2">
        <v>16</v>
      </c>
      <c r="Q1848" s="4">
        <v>9710</v>
      </c>
      <c r="R1848" s="4">
        <v>8810</v>
      </c>
      <c r="S1848" s="4">
        <v>199</v>
      </c>
      <c r="T1848" s="19">
        <f>(ProductionData[[#This Row],[Rejected_Qty]])/ProductionData[[#This Row],[Produced_Qty]]</f>
        <v>2.2587968217934167E-2</v>
      </c>
      <c r="U1848" s="19">
        <f>ProductionData[[#This Row],[Produced_Qty]]/ProductionData[[#This Row],[Planned_Qty]]</f>
        <v>0.90731204943357369</v>
      </c>
      <c r="V1848" s="2" t="s">
        <v>113</v>
      </c>
      <c r="W1848" s="11">
        <v>0</v>
      </c>
      <c r="X1848" s="13">
        <f>W1848/60</f>
        <v>0</v>
      </c>
      <c r="Y1848" s="2" t="s">
        <v>90</v>
      </c>
      <c r="Z1848" s="2">
        <v>17</v>
      </c>
      <c r="AA1848" s="2">
        <f>ProductionData[[#This Row],[Rejected_Qty]]*ProductionData[[#This Row],[Unit_Cost_INR]]</f>
        <v>3383</v>
      </c>
      <c r="AB1848" s="4">
        <v>27701</v>
      </c>
      <c r="AC1848" s="4">
        <v>9800</v>
      </c>
      <c r="AD1848" s="4">
        <v>9800</v>
      </c>
      <c r="AE1848" s="4">
        <v>26512</v>
      </c>
      <c r="AF1848" s="4">
        <v>13500</v>
      </c>
    </row>
    <row r="1849" spans="1:32">
      <c r="A1849" s="2" t="s">
        <v>3830</v>
      </c>
      <c r="B1849" s="3">
        <v>46286</v>
      </c>
      <c r="C1849" s="36" t="s">
        <v>64</v>
      </c>
      <c r="D1849" s="2">
        <f>MONTH(ProductionData[[#This Row],[Month]])</f>
        <v>9</v>
      </c>
      <c r="E1849" s="2" t="s">
        <v>116</v>
      </c>
      <c r="F1849" s="2" t="s">
        <v>66</v>
      </c>
      <c r="G1849" s="2" t="s">
        <v>195</v>
      </c>
      <c r="H1849" s="2" t="s">
        <v>196</v>
      </c>
      <c r="I1849" s="2" t="s">
        <v>197</v>
      </c>
      <c r="J1849" s="2" t="s">
        <v>586</v>
      </c>
      <c r="K1849" s="2" t="s">
        <v>587</v>
      </c>
      <c r="L1849" s="2" t="s">
        <v>3831</v>
      </c>
      <c r="M1849" s="2" t="s">
        <v>99</v>
      </c>
      <c r="N1849" s="2" t="s">
        <v>88</v>
      </c>
      <c r="O1849" s="2">
        <v>14</v>
      </c>
      <c r="P1849" s="2">
        <v>14</v>
      </c>
      <c r="Q1849" s="4">
        <v>6420</v>
      </c>
      <c r="R1849" s="4">
        <v>6230</v>
      </c>
      <c r="S1849" s="4">
        <v>68</v>
      </c>
      <c r="T1849" s="19">
        <f>(ProductionData[[#This Row],[Rejected_Qty]])/ProductionData[[#This Row],[Produced_Qty]]</f>
        <v>1.0914927768860353E-2</v>
      </c>
      <c r="U1849" s="19">
        <f>ProductionData[[#This Row],[Produced_Qty]]/ProductionData[[#This Row],[Planned_Qty]]</f>
        <v>0.97040498442367606</v>
      </c>
      <c r="V1849" s="2" t="s">
        <v>75</v>
      </c>
      <c r="W1849" s="11">
        <v>0</v>
      </c>
      <c r="X1849" s="13">
        <f>W1849/60</f>
        <v>0</v>
      </c>
      <c r="Y1849" s="2" t="s">
        <v>90</v>
      </c>
      <c r="Z1849" s="2">
        <v>51</v>
      </c>
      <c r="AA1849" s="2">
        <f>ProductionData[[#This Row],[Rejected_Qty]]*ProductionData[[#This Row],[Unit_Cost_INR]]</f>
        <v>3468</v>
      </c>
      <c r="AB1849" s="4">
        <v>26660</v>
      </c>
      <c r="AC1849" s="4">
        <v>6320</v>
      </c>
      <c r="AD1849" s="4">
        <v>6320</v>
      </c>
      <c r="AE1849" s="4">
        <v>26502</v>
      </c>
      <c r="AF1849" s="4">
        <v>9000</v>
      </c>
    </row>
    <row r="1850" spans="1:32">
      <c r="A1850" s="2" t="s">
        <v>3832</v>
      </c>
      <c r="B1850" s="3">
        <v>46281</v>
      </c>
      <c r="C1850" s="36" t="s">
        <v>64</v>
      </c>
      <c r="D1850" s="2">
        <f>MONTH(ProductionData[[#This Row],[Month]])</f>
        <v>9</v>
      </c>
      <c r="E1850" s="2" t="s">
        <v>79</v>
      </c>
      <c r="F1850" s="2" t="s">
        <v>80</v>
      </c>
      <c r="G1850" s="2" t="s">
        <v>195</v>
      </c>
      <c r="H1850" s="2" t="s">
        <v>196</v>
      </c>
      <c r="I1850" s="2" t="s">
        <v>197</v>
      </c>
      <c r="J1850" s="2" t="s">
        <v>586</v>
      </c>
      <c r="K1850" s="2" t="s">
        <v>587</v>
      </c>
      <c r="L1850" s="2" t="s">
        <v>3833</v>
      </c>
      <c r="M1850" s="2" t="s">
        <v>102</v>
      </c>
      <c r="N1850" s="2" t="s">
        <v>88</v>
      </c>
      <c r="O1850" s="2">
        <v>14</v>
      </c>
      <c r="P1850" s="2">
        <v>13</v>
      </c>
      <c r="Q1850" s="4">
        <v>6000</v>
      </c>
      <c r="R1850" s="4">
        <v>5350</v>
      </c>
      <c r="S1850" s="4">
        <v>117</v>
      </c>
      <c r="T1850" s="19">
        <f>(ProductionData[[#This Row],[Rejected_Qty]])/ProductionData[[#This Row],[Produced_Qty]]</f>
        <v>2.1869158878504671E-2</v>
      </c>
      <c r="U1850" s="19">
        <f>ProductionData[[#This Row],[Produced_Qty]]/ProductionData[[#This Row],[Planned_Qty]]</f>
        <v>0.89166666666666672</v>
      </c>
      <c r="V1850" s="2" t="s">
        <v>109</v>
      </c>
      <c r="W1850" s="11">
        <v>0</v>
      </c>
      <c r="X1850" s="13">
        <f>W1850/60</f>
        <v>0</v>
      </c>
      <c r="Y1850" s="2" t="s">
        <v>90</v>
      </c>
      <c r="Z1850" s="2">
        <v>51</v>
      </c>
      <c r="AA1850" s="2">
        <f>ProductionData[[#This Row],[Rejected_Qty]]*ProductionData[[#This Row],[Unit_Cost_INR]]</f>
        <v>5967</v>
      </c>
      <c r="AB1850" s="4">
        <v>25954</v>
      </c>
      <c r="AC1850" s="4">
        <v>4700</v>
      </c>
      <c r="AD1850" s="4">
        <v>4700</v>
      </c>
      <c r="AE1850" s="4">
        <v>26487</v>
      </c>
      <c r="AF1850" s="4">
        <v>9000</v>
      </c>
    </row>
    <row r="1851" spans="1:32">
      <c r="A1851" s="2" t="s">
        <v>3834</v>
      </c>
      <c r="B1851" s="3">
        <v>46283</v>
      </c>
      <c r="C1851" s="36" t="s">
        <v>64</v>
      </c>
      <c r="D1851" s="2">
        <f>MONTH(ProductionData[[#This Row],[Month]])</f>
        <v>9</v>
      </c>
      <c r="E1851" s="2" t="s">
        <v>125</v>
      </c>
      <c r="F1851" s="2" t="s">
        <v>93</v>
      </c>
      <c r="G1851" s="2" t="s">
        <v>195</v>
      </c>
      <c r="H1851" s="2" t="s">
        <v>196</v>
      </c>
      <c r="I1851" s="2" t="s">
        <v>197</v>
      </c>
      <c r="J1851" s="2" t="s">
        <v>586</v>
      </c>
      <c r="K1851" s="2" t="s">
        <v>587</v>
      </c>
      <c r="L1851" s="2" t="s">
        <v>3835</v>
      </c>
      <c r="M1851" s="2" t="s">
        <v>95</v>
      </c>
      <c r="N1851" s="2" t="s">
        <v>88</v>
      </c>
      <c r="O1851" s="2">
        <v>14</v>
      </c>
      <c r="P1851" s="2">
        <v>13</v>
      </c>
      <c r="Q1851" s="4">
        <v>5810</v>
      </c>
      <c r="R1851" s="4">
        <v>5500</v>
      </c>
      <c r="S1851" s="4">
        <v>115</v>
      </c>
      <c r="T1851" s="19">
        <f>(ProductionData[[#This Row],[Rejected_Qty]])/ProductionData[[#This Row],[Produced_Qty]]</f>
        <v>2.0909090909090908E-2</v>
      </c>
      <c r="U1851" s="19">
        <f>ProductionData[[#This Row],[Produced_Qty]]/ProductionData[[#This Row],[Planned_Qty]]</f>
        <v>0.94664371772805511</v>
      </c>
      <c r="V1851" s="2" t="s">
        <v>103</v>
      </c>
      <c r="W1851" s="11">
        <v>0</v>
      </c>
      <c r="X1851" s="13">
        <f>W1851/60</f>
        <v>0</v>
      </c>
      <c r="Y1851" s="2" t="s">
        <v>90</v>
      </c>
      <c r="Z1851" s="2">
        <v>51</v>
      </c>
      <c r="AA1851" s="2">
        <f>ProductionData[[#This Row],[Rejected_Qty]]*ProductionData[[#This Row],[Unit_Cost_INR]]</f>
        <v>5865</v>
      </c>
      <c r="AB1851" s="4">
        <v>26737</v>
      </c>
      <c r="AC1851" s="4">
        <v>5660</v>
      </c>
      <c r="AD1851" s="4">
        <v>5660</v>
      </c>
      <c r="AE1851" s="4">
        <v>26462</v>
      </c>
      <c r="AF1851" s="4">
        <v>9000</v>
      </c>
    </row>
    <row r="1852" spans="1:32">
      <c r="A1852" s="2" t="s">
        <v>3836</v>
      </c>
      <c r="B1852" s="3">
        <v>46282</v>
      </c>
      <c r="C1852" s="36" t="s">
        <v>64</v>
      </c>
      <c r="D1852" s="2">
        <f>MONTH(ProductionData[[#This Row],[Month]])</f>
        <v>9</v>
      </c>
      <c r="E1852" s="2" t="s">
        <v>107</v>
      </c>
      <c r="F1852" s="2" t="s">
        <v>66</v>
      </c>
      <c r="G1852" s="2" t="s">
        <v>195</v>
      </c>
      <c r="H1852" s="2" t="s">
        <v>196</v>
      </c>
      <c r="I1852" s="2" t="s">
        <v>197</v>
      </c>
      <c r="J1852" s="2" t="s">
        <v>586</v>
      </c>
      <c r="K1852" s="2" t="s">
        <v>587</v>
      </c>
      <c r="L1852" s="2" t="s">
        <v>3837</v>
      </c>
      <c r="M1852" s="2" t="s">
        <v>99</v>
      </c>
      <c r="N1852" s="2" t="s">
        <v>96</v>
      </c>
      <c r="O1852" s="2">
        <v>14</v>
      </c>
      <c r="P1852" s="2">
        <v>14</v>
      </c>
      <c r="Q1852" s="4">
        <v>5790</v>
      </c>
      <c r="R1852" s="4">
        <v>5770</v>
      </c>
      <c r="S1852" s="4">
        <v>171</v>
      </c>
      <c r="T1852" s="19">
        <f>(ProductionData[[#This Row],[Rejected_Qty]])/ProductionData[[#This Row],[Produced_Qty]]</f>
        <v>2.9636048526863086E-2</v>
      </c>
      <c r="U1852" s="19">
        <f>ProductionData[[#This Row],[Produced_Qty]]/ProductionData[[#This Row],[Planned_Qty]]</f>
        <v>0.99654576856649391</v>
      </c>
      <c r="V1852" s="2" t="s">
        <v>75</v>
      </c>
      <c r="W1852" s="11">
        <v>61</v>
      </c>
      <c r="X1852" s="13">
        <f>W1852/60</f>
        <v>1.0166666666666666</v>
      </c>
      <c r="Y1852" s="2" t="s">
        <v>110</v>
      </c>
      <c r="Z1852" s="2">
        <v>51</v>
      </c>
      <c r="AA1852" s="2">
        <f>ProductionData[[#This Row],[Rejected_Qty]]*ProductionData[[#This Row],[Unit_Cost_INR]]</f>
        <v>8721</v>
      </c>
      <c r="AB1852" s="4">
        <v>26487</v>
      </c>
      <c r="AC1852" s="4">
        <v>5640</v>
      </c>
      <c r="AD1852" s="4">
        <v>5640</v>
      </c>
      <c r="AE1852" s="4">
        <v>26446</v>
      </c>
      <c r="AF1852" s="4">
        <v>9000</v>
      </c>
    </row>
    <row r="1853" spans="1:32">
      <c r="A1853" s="2" t="s">
        <v>3838</v>
      </c>
      <c r="B1853" s="3">
        <v>46286</v>
      </c>
      <c r="C1853" s="36" t="s">
        <v>64</v>
      </c>
      <c r="D1853" s="2">
        <f>MONTH(ProductionData[[#This Row],[Month]])</f>
        <v>9</v>
      </c>
      <c r="E1853" s="2" t="s">
        <v>116</v>
      </c>
      <c r="F1853" s="2" t="s">
        <v>80</v>
      </c>
      <c r="G1853" s="2" t="s">
        <v>81</v>
      </c>
      <c r="H1853" s="2" t="s">
        <v>82</v>
      </c>
      <c r="I1853" s="2" t="s">
        <v>83</v>
      </c>
      <c r="J1853" s="2" t="s">
        <v>166</v>
      </c>
      <c r="K1853" s="2" t="s">
        <v>167</v>
      </c>
      <c r="L1853" s="2" t="s">
        <v>3839</v>
      </c>
      <c r="M1853" s="2" t="s">
        <v>102</v>
      </c>
      <c r="N1853" s="2" t="s">
        <v>88</v>
      </c>
      <c r="O1853" s="2">
        <v>18</v>
      </c>
      <c r="P1853" s="2">
        <v>15</v>
      </c>
      <c r="Q1853" s="4">
        <v>8760</v>
      </c>
      <c r="R1853" s="4">
        <v>7950</v>
      </c>
      <c r="S1853" s="4">
        <v>214</v>
      </c>
      <c r="T1853" s="19">
        <f>(ProductionData[[#This Row],[Rejected_Qty]])/ProductionData[[#This Row],[Produced_Qty]]</f>
        <v>2.6918238993710691E-2</v>
      </c>
      <c r="U1853" s="19">
        <f>ProductionData[[#This Row],[Produced_Qty]]/ProductionData[[#This Row],[Planned_Qty]]</f>
        <v>0.90753424657534243</v>
      </c>
      <c r="V1853" s="2" t="s">
        <v>103</v>
      </c>
      <c r="W1853" s="11">
        <v>0</v>
      </c>
      <c r="X1853" s="13">
        <f>W1853/60</f>
        <v>0</v>
      </c>
      <c r="Y1853" s="2" t="s">
        <v>90</v>
      </c>
      <c r="Z1853" s="2">
        <v>17</v>
      </c>
      <c r="AA1853" s="2">
        <f>ProductionData[[#This Row],[Rejected_Qty]]*ProductionData[[#This Row],[Unit_Cost_INR]]</f>
        <v>3638</v>
      </c>
      <c r="AB1853" s="4">
        <v>26512</v>
      </c>
      <c r="AC1853" s="4">
        <v>7820</v>
      </c>
      <c r="AD1853" s="4">
        <v>7820</v>
      </c>
      <c r="AE1853" s="4">
        <v>26428</v>
      </c>
      <c r="AF1853" s="4">
        <v>13500</v>
      </c>
    </row>
    <row r="1854" spans="1:32">
      <c r="A1854" s="2" t="s">
        <v>3840</v>
      </c>
      <c r="B1854" s="3">
        <v>46275</v>
      </c>
      <c r="C1854" s="36" t="s">
        <v>64</v>
      </c>
      <c r="D1854" s="2">
        <f>MONTH(ProductionData[[#This Row],[Month]])</f>
        <v>9</v>
      </c>
      <c r="E1854" s="2" t="s">
        <v>107</v>
      </c>
      <c r="F1854" s="2" t="s">
        <v>66</v>
      </c>
      <c r="G1854" s="2" t="s">
        <v>195</v>
      </c>
      <c r="H1854" s="2" t="s">
        <v>196</v>
      </c>
      <c r="I1854" s="2" t="s">
        <v>197</v>
      </c>
      <c r="J1854" s="2" t="s">
        <v>586</v>
      </c>
      <c r="K1854" s="2" t="s">
        <v>587</v>
      </c>
      <c r="L1854" s="2" t="s">
        <v>3841</v>
      </c>
      <c r="M1854" s="2" t="s">
        <v>99</v>
      </c>
      <c r="N1854" s="2" t="s">
        <v>88</v>
      </c>
      <c r="O1854" s="2">
        <v>14</v>
      </c>
      <c r="P1854" s="2">
        <v>13</v>
      </c>
      <c r="Q1854" s="4">
        <v>5770</v>
      </c>
      <c r="R1854" s="4">
        <v>5470</v>
      </c>
      <c r="S1854" s="4">
        <v>151</v>
      </c>
      <c r="T1854" s="19">
        <f>(ProductionData[[#This Row],[Rejected_Qty]])/ProductionData[[#This Row],[Produced_Qty]]</f>
        <v>2.760511882998172E-2</v>
      </c>
      <c r="U1854" s="19">
        <f>ProductionData[[#This Row],[Produced_Qty]]/ProductionData[[#This Row],[Planned_Qty]]</f>
        <v>0.94800693240901213</v>
      </c>
      <c r="V1854" s="2" t="s">
        <v>103</v>
      </c>
      <c r="W1854" s="11">
        <v>65</v>
      </c>
      <c r="X1854" s="13">
        <f>W1854/60</f>
        <v>1.0833333333333333</v>
      </c>
      <c r="Y1854" s="2" t="s">
        <v>76</v>
      </c>
      <c r="Z1854" s="2">
        <v>51</v>
      </c>
      <c r="AA1854" s="2">
        <f>ProductionData[[#This Row],[Rejected_Qty]]*ProductionData[[#This Row],[Unit_Cost_INR]]</f>
        <v>7701</v>
      </c>
      <c r="AB1854" s="4">
        <v>25763</v>
      </c>
      <c r="AC1854" s="4">
        <v>4700</v>
      </c>
      <c r="AD1854" s="4">
        <v>4700</v>
      </c>
      <c r="AE1854" s="4">
        <v>26382</v>
      </c>
      <c r="AF1854" s="4">
        <v>9000</v>
      </c>
    </row>
    <row r="1855" spans="1:32">
      <c r="A1855" s="2" t="s">
        <v>3842</v>
      </c>
      <c r="B1855" s="3">
        <v>46279</v>
      </c>
      <c r="C1855" s="36" t="s">
        <v>64</v>
      </c>
      <c r="D1855" s="2">
        <f>MONTH(ProductionData[[#This Row],[Month]])</f>
        <v>9</v>
      </c>
      <c r="E1855" s="2" t="s">
        <v>116</v>
      </c>
      <c r="F1855" s="2" t="s">
        <v>80</v>
      </c>
      <c r="G1855" s="2" t="s">
        <v>195</v>
      </c>
      <c r="H1855" s="2" t="s">
        <v>196</v>
      </c>
      <c r="I1855" s="2" t="s">
        <v>197</v>
      </c>
      <c r="J1855" s="2" t="s">
        <v>586</v>
      </c>
      <c r="K1855" s="2" t="s">
        <v>587</v>
      </c>
      <c r="L1855" s="2" t="s">
        <v>3843</v>
      </c>
      <c r="M1855" s="2" t="s">
        <v>87</v>
      </c>
      <c r="N1855" s="2" t="s">
        <v>88</v>
      </c>
      <c r="O1855" s="2">
        <v>14</v>
      </c>
      <c r="P1855" s="2">
        <v>14</v>
      </c>
      <c r="Q1855" s="4">
        <v>6380</v>
      </c>
      <c r="R1855" s="4">
        <v>6010</v>
      </c>
      <c r="S1855" s="4">
        <v>178</v>
      </c>
      <c r="T1855" s="19">
        <f>(ProductionData[[#This Row],[Rejected_Qty]])/ProductionData[[#This Row],[Produced_Qty]]</f>
        <v>2.9617304492512479E-2</v>
      </c>
      <c r="U1855" s="19">
        <f>ProductionData[[#This Row],[Produced_Qty]]/ProductionData[[#This Row],[Planned_Qty]]</f>
        <v>0.94200626959247646</v>
      </c>
      <c r="V1855" s="2" t="s">
        <v>109</v>
      </c>
      <c r="W1855" s="11">
        <v>0</v>
      </c>
      <c r="X1855" s="13">
        <f>W1855/60</f>
        <v>0</v>
      </c>
      <c r="Y1855" s="2" t="s">
        <v>90</v>
      </c>
      <c r="Z1855" s="2">
        <v>51</v>
      </c>
      <c r="AA1855" s="2">
        <f>ProductionData[[#This Row],[Rejected_Qty]]*ProductionData[[#This Row],[Unit_Cost_INR]]</f>
        <v>9078</v>
      </c>
      <c r="AB1855" s="4">
        <v>26024</v>
      </c>
      <c r="AC1855" s="4">
        <v>5560</v>
      </c>
      <c r="AD1855" s="4">
        <v>5560</v>
      </c>
      <c r="AE1855" s="4">
        <v>26296</v>
      </c>
      <c r="AF1855" s="4">
        <v>9000</v>
      </c>
    </row>
    <row r="1856" spans="1:32">
      <c r="A1856" s="2" t="s">
        <v>3844</v>
      </c>
      <c r="B1856" s="3">
        <v>46287</v>
      </c>
      <c r="C1856" s="36" t="s">
        <v>64</v>
      </c>
      <c r="D1856" s="2">
        <f>MONTH(ProductionData[[#This Row],[Month]])</f>
        <v>9</v>
      </c>
      <c r="E1856" s="2" t="s">
        <v>92</v>
      </c>
      <c r="F1856" s="2" t="s">
        <v>66</v>
      </c>
      <c r="G1856" s="2" t="s">
        <v>195</v>
      </c>
      <c r="H1856" s="2" t="s">
        <v>196</v>
      </c>
      <c r="I1856" s="2" t="s">
        <v>197</v>
      </c>
      <c r="J1856" s="2" t="s">
        <v>586</v>
      </c>
      <c r="K1856" s="2" t="s">
        <v>587</v>
      </c>
      <c r="L1856" s="2" t="s">
        <v>3845</v>
      </c>
      <c r="M1856" s="2" t="s">
        <v>99</v>
      </c>
      <c r="N1856" s="2" t="s">
        <v>88</v>
      </c>
      <c r="O1856" s="2">
        <v>14</v>
      </c>
      <c r="P1856" s="2">
        <v>13</v>
      </c>
      <c r="Q1856" s="4">
        <v>5940</v>
      </c>
      <c r="R1856" s="4">
        <v>5420</v>
      </c>
      <c r="S1856" s="4">
        <v>192</v>
      </c>
      <c r="T1856" s="19">
        <f>(ProductionData[[#This Row],[Rejected_Qty]])/ProductionData[[#This Row],[Produced_Qty]]</f>
        <v>3.5424354243542434E-2</v>
      </c>
      <c r="U1856" s="19">
        <f>ProductionData[[#This Row],[Produced_Qty]]/ProductionData[[#This Row],[Planned_Qty]]</f>
        <v>0.91245791245791241</v>
      </c>
      <c r="V1856" s="2" t="s">
        <v>103</v>
      </c>
      <c r="W1856" s="11">
        <v>64</v>
      </c>
      <c r="X1856" s="13">
        <f>W1856/60</f>
        <v>1.0666666666666667</v>
      </c>
      <c r="Y1856" s="2" t="s">
        <v>110</v>
      </c>
      <c r="Z1856" s="2">
        <v>51</v>
      </c>
      <c r="AA1856" s="2">
        <f>ProductionData[[#This Row],[Rejected_Qty]]*ProductionData[[#This Row],[Unit_Cost_INR]]</f>
        <v>9792</v>
      </c>
      <c r="AB1856" s="4">
        <v>26502</v>
      </c>
      <c r="AC1856" s="4">
        <v>5530</v>
      </c>
      <c r="AD1856" s="4">
        <v>5530</v>
      </c>
      <c r="AE1856" s="4">
        <v>26200</v>
      </c>
      <c r="AF1856" s="4">
        <v>9000</v>
      </c>
    </row>
    <row r="1857" spans="1:32">
      <c r="A1857" s="2" t="s">
        <v>3846</v>
      </c>
      <c r="B1857" s="3">
        <v>46293</v>
      </c>
      <c r="C1857" s="36" t="s">
        <v>64</v>
      </c>
      <c r="D1857" s="2">
        <f>MONTH(ProductionData[[#This Row],[Month]])</f>
        <v>9</v>
      </c>
      <c r="E1857" s="2" t="s">
        <v>116</v>
      </c>
      <c r="F1857" s="2" t="s">
        <v>93</v>
      </c>
      <c r="G1857" s="2" t="s">
        <v>195</v>
      </c>
      <c r="H1857" s="2" t="s">
        <v>196</v>
      </c>
      <c r="I1857" s="2" t="s">
        <v>197</v>
      </c>
      <c r="J1857" s="2" t="s">
        <v>586</v>
      </c>
      <c r="K1857" s="2" t="s">
        <v>587</v>
      </c>
      <c r="L1857" s="2" t="s">
        <v>3847</v>
      </c>
      <c r="M1857" s="2" t="s">
        <v>95</v>
      </c>
      <c r="N1857" s="2" t="s">
        <v>88</v>
      </c>
      <c r="O1857" s="2">
        <v>14</v>
      </c>
      <c r="P1857" s="2">
        <v>12</v>
      </c>
      <c r="Q1857" s="4">
        <v>5550</v>
      </c>
      <c r="R1857" s="4">
        <v>5160</v>
      </c>
      <c r="S1857" s="4">
        <v>155</v>
      </c>
      <c r="T1857" s="19">
        <f>(ProductionData[[#This Row],[Rejected_Qty]])/ProductionData[[#This Row],[Produced_Qty]]</f>
        <v>3.0038759689922482E-2</v>
      </c>
      <c r="U1857" s="19">
        <f>ProductionData[[#This Row],[Produced_Qty]]/ProductionData[[#This Row],[Planned_Qty]]</f>
        <v>0.92972972972972978</v>
      </c>
      <c r="V1857" s="2" t="s">
        <v>89</v>
      </c>
      <c r="W1857" s="11">
        <v>0</v>
      </c>
      <c r="X1857" s="13">
        <f>W1857/60</f>
        <v>0</v>
      </c>
      <c r="Y1857" s="2" t="s">
        <v>90</v>
      </c>
      <c r="Z1857" s="2">
        <v>51</v>
      </c>
      <c r="AA1857" s="2">
        <f>ProductionData[[#This Row],[Rejected_Qty]]*ProductionData[[#This Row],[Unit_Cost_INR]]</f>
        <v>7905</v>
      </c>
      <c r="AB1857" s="4">
        <v>25720</v>
      </c>
      <c r="AC1857" s="4">
        <v>4690</v>
      </c>
      <c r="AD1857" s="4">
        <v>4690</v>
      </c>
      <c r="AE1857" s="4">
        <v>26035</v>
      </c>
      <c r="AF1857" s="4">
        <v>9000</v>
      </c>
    </row>
    <row r="1858" spans="1:32">
      <c r="A1858" s="2" t="s">
        <v>3848</v>
      </c>
      <c r="B1858" s="3">
        <v>46277</v>
      </c>
      <c r="C1858" s="36" t="s">
        <v>64</v>
      </c>
      <c r="D1858" s="2">
        <f>MONTH(ProductionData[[#This Row],[Month]])</f>
        <v>9</v>
      </c>
      <c r="E1858" s="2" t="s">
        <v>65</v>
      </c>
      <c r="F1858" s="2" t="s">
        <v>93</v>
      </c>
      <c r="G1858" s="2" t="s">
        <v>195</v>
      </c>
      <c r="H1858" s="2" t="s">
        <v>196</v>
      </c>
      <c r="I1858" s="2" t="s">
        <v>197</v>
      </c>
      <c r="J1858" s="2" t="s">
        <v>586</v>
      </c>
      <c r="K1858" s="2" t="s">
        <v>587</v>
      </c>
      <c r="L1858" s="2" t="s">
        <v>3849</v>
      </c>
      <c r="M1858" s="2" t="s">
        <v>95</v>
      </c>
      <c r="N1858" s="2" t="s">
        <v>96</v>
      </c>
      <c r="O1858" s="2">
        <v>14</v>
      </c>
      <c r="P1858" s="2">
        <v>11</v>
      </c>
      <c r="Q1858" s="4">
        <v>6080</v>
      </c>
      <c r="R1858" s="4">
        <v>5070</v>
      </c>
      <c r="S1858" s="4">
        <v>172</v>
      </c>
      <c r="T1858" s="19">
        <f>(ProductionData[[#This Row],[Rejected_Qty]])/ProductionData[[#This Row],[Produced_Qty]]</f>
        <v>3.3925049309664695E-2</v>
      </c>
      <c r="U1858" s="19">
        <f>ProductionData[[#This Row],[Produced_Qty]]/ProductionData[[#This Row],[Planned_Qty]]</f>
        <v>0.83388157894736847</v>
      </c>
      <c r="V1858" s="2" t="s">
        <v>75</v>
      </c>
      <c r="W1858" s="11">
        <v>0</v>
      </c>
      <c r="X1858" s="13">
        <f>W1858/60</f>
        <v>0</v>
      </c>
      <c r="Y1858" s="2" t="s">
        <v>90</v>
      </c>
      <c r="Z1858" s="2">
        <v>51</v>
      </c>
      <c r="AA1858" s="2">
        <f>ProductionData[[#This Row],[Rejected_Qty]]*ProductionData[[#This Row],[Unit_Cost_INR]]</f>
        <v>8772</v>
      </c>
      <c r="AB1858" s="4">
        <v>26976</v>
      </c>
      <c r="AC1858" s="4">
        <v>5850</v>
      </c>
      <c r="AD1858" s="4">
        <v>5850</v>
      </c>
      <c r="AE1858" s="4">
        <v>26024</v>
      </c>
      <c r="AF1858" s="4">
        <v>9000</v>
      </c>
    </row>
    <row r="1859" spans="1:32">
      <c r="A1859" s="2" t="s">
        <v>3850</v>
      </c>
      <c r="B1859" s="3">
        <v>46280</v>
      </c>
      <c r="C1859" s="36" t="s">
        <v>64</v>
      </c>
      <c r="D1859" s="2">
        <f>MONTH(ProductionData[[#This Row],[Month]])</f>
        <v>9</v>
      </c>
      <c r="E1859" s="2" t="s">
        <v>92</v>
      </c>
      <c r="F1859" s="2" t="s">
        <v>93</v>
      </c>
      <c r="G1859" s="2" t="s">
        <v>195</v>
      </c>
      <c r="H1859" s="2" t="s">
        <v>196</v>
      </c>
      <c r="I1859" s="2" t="s">
        <v>197</v>
      </c>
      <c r="J1859" s="2" t="s">
        <v>586</v>
      </c>
      <c r="K1859" s="2" t="s">
        <v>587</v>
      </c>
      <c r="L1859" s="2" t="s">
        <v>3851</v>
      </c>
      <c r="M1859" s="2" t="s">
        <v>95</v>
      </c>
      <c r="N1859" s="2" t="s">
        <v>96</v>
      </c>
      <c r="O1859" s="2">
        <v>14</v>
      </c>
      <c r="P1859" s="2">
        <v>13</v>
      </c>
      <c r="Q1859" s="4">
        <v>5260</v>
      </c>
      <c r="R1859" s="4">
        <v>4870</v>
      </c>
      <c r="S1859" s="4">
        <v>122</v>
      </c>
      <c r="T1859" s="19">
        <f>(ProductionData[[#This Row],[Rejected_Qty]])/ProductionData[[#This Row],[Produced_Qty]]</f>
        <v>2.5051334702258728E-2</v>
      </c>
      <c r="U1859" s="19">
        <f>ProductionData[[#This Row],[Produced_Qty]]/ProductionData[[#This Row],[Planned_Qty]]</f>
        <v>0.92585551330798477</v>
      </c>
      <c r="V1859" s="2" t="s">
        <v>109</v>
      </c>
      <c r="W1859" s="11">
        <v>69</v>
      </c>
      <c r="X1859" s="13">
        <f>W1859/60</f>
        <v>1.1499999999999999</v>
      </c>
      <c r="Y1859" s="2" t="s">
        <v>110</v>
      </c>
      <c r="Z1859" s="2">
        <v>51</v>
      </c>
      <c r="AA1859" s="2">
        <f>ProductionData[[#This Row],[Rejected_Qty]]*ProductionData[[#This Row],[Unit_Cost_INR]]</f>
        <v>6222</v>
      </c>
      <c r="AB1859" s="4">
        <v>25946</v>
      </c>
      <c r="AC1859" s="4">
        <v>4740</v>
      </c>
      <c r="AD1859" s="4">
        <v>4740</v>
      </c>
      <c r="AE1859" s="4">
        <v>25954</v>
      </c>
      <c r="AF1859" s="4">
        <v>9000</v>
      </c>
    </row>
    <row r="1860" spans="1:32">
      <c r="A1860" s="2" t="s">
        <v>3852</v>
      </c>
      <c r="B1860" s="3">
        <v>46280</v>
      </c>
      <c r="C1860" s="36" t="s">
        <v>64</v>
      </c>
      <c r="D1860" s="2">
        <f>MONTH(ProductionData[[#This Row],[Month]])</f>
        <v>9</v>
      </c>
      <c r="E1860" s="2" t="s">
        <v>92</v>
      </c>
      <c r="F1860" s="2" t="s">
        <v>66</v>
      </c>
      <c r="G1860" s="2" t="s">
        <v>195</v>
      </c>
      <c r="H1860" s="2" t="s">
        <v>196</v>
      </c>
      <c r="I1860" s="2" t="s">
        <v>197</v>
      </c>
      <c r="J1860" s="2" t="s">
        <v>586</v>
      </c>
      <c r="K1860" s="2" t="s">
        <v>587</v>
      </c>
      <c r="L1860" s="2" t="s">
        <v>3853</v>
      </c>
      <c r="M1860" s="2" t="s">
        <v>99</v>
      </c>
      <c r="N1860" s="2" t="s">
        <v>88</v>
      </c>
      <c r="O1860" s="2">
        <v>14</v>
      </c>
      <c r="P1860" s="2">
        <v>14</v>
      </c>
      <c r="Q1860" s="4">
        <v>6020</v>
      </c>
      <c r="R1860" s="4">
        <v>5660</v>
      </c>
      <c r="S1860" s="4">
        <v>60</v>
      </c>
      <c r="T1860" s="19">
        <f>(ProductionData[[#This Row],[Rejected_Qty]])/ProductionData[[#This Row],[Produced_Qty]]</f>
        <v>1.0600706713780919E-2</v>
      </c>
      <c r="U1860" s="19">
        <f>ProductionData[[#This Row],[Produced_Qty]]/ProductionData[[#This Row],[Planned_Qty]]</f>
        <v>0.94019933554817281</v>
      </c>
      <c r="V1860" s="2" t="s">
        <v>109</v>
      </c>
      <c r="W1860" s="11">
        <v>0</v>
      </c>
      <c r="X1860" s="13">
        <f>W1860/60</f>
        <v>0</v>
      </c>
      <c r="Y1860" s="2" t="s">
        <v>90</v>
      </c>
      <c r="Z1860" s="2">
        <v>51</v>
      </c>
      <c r="AA1860" s="2">
        <f>ProductionData[[#This Row],[Rejected_Qty]]*ProductionData[[#This Row],[Unit_Cost_INR]]</f>
        <v>3060</v>
      </c>
      <c r="AB1860" s="4">
        <v>26296</v>
      </c>
      <c r="AC1860" s="4">
        <v>5950</v>
      </c>
      <c r="AD1860" s="4">
        <v>5950</v>
      </c>
      <c r="AE1860" s="4">
        <v>25946</v>
      </c>
      <c r="AF1860" s="4">
        <v>9000</v>
      </c>
    </row>
    <row r="1861" spans="1:32">
      <c r="A1861" s="2" t="s">
        <v>3854</v>
      </c>
      <c r="B1861" s="3">
        <v>46289</v>
      </c>
      <c r="C1861" s="36" t="s">
        <v>64</v>
      </c>
      <c r="D1861" s="2">
        <f>MONTH(ProductionData[[#This Row],[Month]])</f>
        <v>9</v>
      </c>
      <c r="E1861" s="2" t="s">
        <v>107</v>
      </c>
      <c r="F1861" s="2" t="s">
        <v>66</v>
      </c>
      <c r="G1861" s="2" t="s">
        <v>195</v>
      </c>
      <c r="H1861" s="2" t="s">
        <v>196</v>
      </c>
      <c r="I1861" s="2" t="s">
        <v>197</v>
      </c>
      <c r="J1861" s="2" t="s">
        <v>586</v>
      </c>
      <c r="K1861" s="2" t="s">
        <v>587</v>
      </c>
      <c r="L1861" s="2" t="s">
        <v>3855</v>
      </c>
      <c r="M1861" s="2" t="s">
        <v>99</v>
      </c>
      <c r="N1861" s="2" t="s">
        <v>96</v>
      </c>
      <c r="O1861" s="2">
        <v>14</v>
      </c>
      <c r="P1861" s="2">
        <v>14</v>
      </c>
      <c r="Q1861" s="4">
        <v>5740</v>
      </c>
      <c r="R1861" s="4">
        <v>5370</v>
      </c>
      <c r="S1861" s="4">
        <v>204</v>
      </c>
      <c r="T1861" s="19">
        <f>(ProductionData[[#This Row],[Rejected_Qty]])/ProductionData[[#This Row],[Produced_Qty]]</f>
        <v>3.798882681564246E-2</v>
      </c>
      <c r="U1861" s="19">
        <f>ProductionData[[#This Row],[Produced_Qty]]/ProductionData[[#This Row],[Planned_Qty]]</f>
        <v>0.93554006968641112</v>
      </c>
      <c r="V1861" s="2" t="s">
        <v>75</v>
      </c>
      <c r="W1861" s="11">
        <v>0</v>
      </c>
      <c r="X1861" s="13">
        <f>W1861/60</f>
        <v>0</v>
      </c>
      <c r="Y1861" s="2" t="s">
        <v>90</v>
      </c>
      <c r="Z1861" s="2">
        <v>51</v>
      </c>
      <c r="AA1861" s="2">
        <f>ProductionData[[#This Row],[Rejected_Qty]]*ProductionData[[#This Row],[Unit_Cost_INR]]</f>
        <v>10404</v>
      </c>
      <c r="AB1861" s="4">
        <v>26200</v>
      </c>
      <c r="AC1861" s="4">
        <v>5450</v>
      </c>
      <c r="AD1861" s="4">
        <v>5450</v>
      </c>
      <c r="AE1861" s="4">
        <v>25916</v>
      </c>
      <c r="AF1861" s="4">
        <v>9000</v>
      </c>
    </row>
    <row r="1862" spans="1:32">
      <c r="A1862" s="2" t="s">
        <v>3856</v>
      </c>
      <c r="B1862" s="3">
        <v>46274</v>
      </c>
      <c r="C1862" s="36" t="s">
        <v>64</v>
      </c>
      <c r="D1862" s="2">
        <f>MONTH(ProductionData[[#This Row],[Month]])</f>
        <v>9</v>
      </c>
      <c r="E1862" s="2" t="s">
        <v>79</v>
      </c>
      <c r="F1862" s="2" t="s">
        <v>93</v>
      </c>
      <c r="G1862" s="2" t="s">
        <v>195</v>
      </c>
      <c r="H1862" s="2" t="s">
        <v>196</v>
      </c>
      <c r="I1862" s="2" t="s">
        <v>197</v>
      </c>
      <c r="J1862" s="2" t="s">
        <v>586</v>
      </c>
      <c r="K1862" s="2" t="s">
        <v>587</v>
      </c>
      <c r="L1862" s="2" t="s">
        <v>3857</v>
      </c>
      <c r="M1862" s="2" t="s">
        <v>133</v>
      </c>
      <c r="N1862" s="2" t="s">
        <v>96</v>
      </c>
      <c r="O1862" s="2">
        <v>14</v>
      </c>
      <c r="P1862" s="2">
        <v>12</v>
      </c>
      <c r="Q1862" s="4">
        <v>5340</v>
      </c>
      <c r="R1862" s="4">
        <v>4640</v>
      </c>
      <c r="S1862" s="4">
        <v>99</v>
      </c>
      <c r="T1862" s="19">
        <f>(ProductionData[[#This Row],[Rejected_Qty]])/ProductionData[[#This Row],[Produced_Qty]]</f>
        <v>2.1336206896551725E-2</v>
      </c>
      <c r="U1862" s="19">
        <f>ProductionData[[#This Row],[Produced_Qty]]/ProductionData[[#This Row],[Planned_Qty]]</f>
        <v>0.86891385767790263</v>
      </c>
      <c r="V1862" s="2" t="s">
        <v>75</v>
      </c>
      <c r="W1862" s="11">
        <v>0</v>
      </c>
      <c r="X1862" s="13">
        <f>W1862/60</f>
        <v>0</v>
      </c>
      <c r="Y1862" s="2" t="s">
        <v>90</v>
      </c>
      <c r="Z1862" s="2">
        <v>51</v>
      </c>
      <c r="AA1862" s="2">
        <f>ProductionData[[#This Row],[Rejected_Qty]]*ProductionData[[#This Row],[Unit_Cost_INR]]</f>
        <v>5049</v>
      </c>
      <c r="AB1862" s="4">
        <v>25482</v>
      </c>
      <c r="AC1862" s="4">
        <v>4260</v>
      </c>
      <c r="AD1862" s="4">
        <v>4260</v>
      </c>
      <c r="AE1862" s="4">
        <v>25763</v>
      </c>
      <c r="AF1862" s="4">
        <v>9000</v>
      </c>
    </row>
    <row r="1863" spans="1:32">
      <c r="A1863" s="2" t="s">
        <v>3858</v>
      </c>
      <c r="B1863" s="3">
        <v>46289</v>
      </c>
      <c r="C1863" s="36" t="s">
        <v>64</v>
      </c>
      <c r="D1863" s="2">
        <f>MONTH(ProductionData[[#This Row],[Month]])</f>
        <v>9</v>
      </c>
      <c r="E1863" s="2" t="s">
        <v>107</v>
      </c>
      <c r="F1863" s="2" t="s">
        <v>93</v>
      </c>
      <c r="G1863" s="2" t="s">
        <v>195</v>
      </c>
      <c r="H1863" s="2" t="s">
        <v>196</v>
      </c>
      <c r="I1863" s="2" t="s">
        <v>197</v>
      </c>
      <c r="J1863" s="2" t="s">
        <v>586</v>
      </c>
      <c r="K1863" s="2" t="s">
        <v>587</v>
      </c>
      <c r="L1863" s="2" t="s">
        <v>3859</v>
      </c>
      <c r="M1863" s="2" t="s">
        <v>95</v>
      </c>
      <c r="N1863" s="2" t="s">
        <v>88</v>
      </c>
      <c r="O1863" s="2">
        <v>14</v>
      </c>
      <c r="P1863" s="2">
        <v>12</v>
      </c>
      <c r="Q1863" s="4">
        <v>5510</v>
      </c>
      <c r="R1863" s="4">
        <v>5100</v>
      </c>
      <c r="S1863" s="4">
        <v>116</v>
      </c>
      <c r="T1863" s="19">
        <f>(ProductionData[[#This Row],[Rejected_Qty]])/ProductionData[[#This Row],[Produced_Qty]]</f>
        <v>2.2745098039215685E-2</v>
      </c>
      <c r="U1863" s="19">
        <f>ProductionData[[#This Row],[Produced_Qty]]/ProductionData[[#This Row],[Planned_Qty]]</f>
        <v>0.925589836660617</v>
      </c>
      <c r="V1863" s="2" t="s">
        <v>113</v>
      </c>
      <c r="W1863" s="11">
        <v>0</v>
      </c>
      <c r="X1863" s="13">
        <f>W1863/60</f>
        <v>0</v>
      </c>
      <c r="Y1863" s="2" t="s">
        <v>90</v>
      </c>
      <c r="Z1863" s="2">
        <v>51</v>
      </c>
      <c r="AA1863" s="2">
        <f>ProductionData[[#This Row],[Rejected_Qty]]*ProductionData[[#This Row],[Unit_Cost_INR]]</f>
        <v>5916</v>
      </c>
      <c r="AB1863" s="4">
        <v>25916</v>
      </c>
      <c r="AC1863" s="4">
        <v>5180</v>
      </c>
      <c r="AD1863" s="4">
        <v>5180</v>
      </c>
      <c r="AE1863" s="4">
        <v>25720</v>
      </c>
      <c r="AF1863" s="4">
        <v>9000</v>
      </c>
    </row>
    <row r="1864" spans="1:32">
      <c r="A1864" s="2" t="s">
        <v>3860</v>
      </c>
      <c r="B1864" s="3">
        <v>46268</v>
      </c>
      <c r="C1864" s="36" t="s">
        <v>64</v>
      </c>
      <c r="D1864" s="2">
        <f>MONTH(ProductionData[[#This Row],[Month]])</f>
        <v>9</v>
      </c>
      <c r="E1864" s="2" t="s">
        <v>107</v>
      </c>
      <c r="F1864" s="2" t="s">
        <v>66</v>
      </c>
      <c r="G1864" s="2" t="s">
        <v>195</v>
      </c>
      <c r="H1864" s="2" t="s">
        <v>196</v>
      </c>
      <c r="I1864" s="2" t="s">
        <v>197</v>
      </c>
      <c r="J1864" s="2" t="s">
        <v>586</v>
      </c>
      <c r="K1864" s="2" t="s">
        <v>587</v>
      </c>
      <c r="L1864" s="2" t="s">
        <v>3861</v>
      </c>
      <c r="M1864" s="2" t="s">
        <v>73</v>
      </c>
      <c r="N1864" s="2" t="s">
        <v>96</v>
      </c>
      <c r="O1864" s="2">
        <v>14</v>
      </c>
      <c r="P1864" s="2">
        <v>14</v>
      </c>
      <c r="Q1864" s="4">
        <v>6420</v>
      </c>
      <c r="R1864" s="4">
        <v>5950</v>
      </c>
      <c r="S1864" s="4">
        <v>140</v>
      </c>
      <c r="T1864" s="19">
        <f>(ProductionData[[#This Row],[Rejected_Qty]])/ProductionData[[#This Row],[Produced_Qty]]</f>
        <v>2.3529411764705882E-2</v>
      </c>
      <c r="U1864" s="19">
        <f>ProductionData[[#This Row],[Produced_Qty]]/ProductionData[[#This Row],[Planned_Qty]]</f>
        <v>0.92679127725856703</v>
      </c>
      <c r="V1864" s="2" t="s">
        <v>109</v>
      </c>
      <c r="W1864" s="11">
        <v>0</v>
      </c>
      <c r="X1864" s="13">
        <f>W1864/60</f>
        <v>0</v>
      </c>
      <c r="Y1864" s="2" t="s">
        <v>90</v>
      </c>
      <c r="Z1864" s="2">
        <v>51</v>
      </c>
      <c r="AA1864" s="2">
        <f>ProductionData[[#This Row],[Rejected_Qty]]*ProductionData[[#This Row],[Unit_Cost_INR]]</f>
        <v>7140</v>
      </c>
      <c r="AB1864" s="4">
        <v>26252</v>
      </c>
      <c r="AC1864" s="4">
        <v>6410</v>
      </c>
      <c r="AD1864" s="4">
        <v>6410</v>
      </c>
      <c r="AE1864" s="4">
        <v>25652</v>
      </c>
      <c r="AF1864" s="4">
        <v>9000</v>
      </c>
    </row>
    <row r="1865" spans="1:32">
      <c r="A1865" s="2" t="s">
        <v>3862</v>
      </c>
      <c r="B1865" s="3">
        <v>46269</v>
      </c>
      <c r="C1865" s="36" t="s">
        <v>64</v>
      </c>
      <c r="D1865" s="2">
        <f>MONTH(ProductionData[[#This Row],[Month]])</f>
        <v>9</v>
      </c>
      <c r="E1865" s="2" t="s">
        <v>125</v>
      </c>
      <c r="F1865" s="2" t="s">
        <v>66</v>
      </c>
      <c r="G1865" s="2" t="s">
        <v>195</v>
      </c>
      <c r="H1865" s="2" t="s">
        <v>196</v>
      </c>
      <c r="I1865" s="2" t="s">
        <v>197</v>
      </c>
      <c r="J1865" s="2" t="s">
        <v>586</v>
      </c>
      <c r="K1865" s="2" t="s">
        <v>587</v>
      </c>
      <c r="L1865" s="2" t="s">
        <v>3863</v>
      </c>
      <c r="M1865" s="2" t="s">
        <v>99</v>
      </c>
      <c r="N1865" s="2" t="s">
        <v>96</v>
      </c>
      <c r="O1865" s="2">
        <v>14</v>
      </c>
      <c r="P1865" s="2">
        <v>13</v>
      </c>
      <c r="Q1865" s="4">
        <v>5820</v>
      </c>
      <c r="R1865" s="4">
        <v>5190</v>
      </c>
      <c r="S1865" s="4">
        <v>162</v>
      </c>
      <c r="T1865" s="19">
        <f>(ProductionData[[#This Row],[Rejected_Qty]])/ProductionData[[#This Row],[Produced_Qty]]</f>
        <v>3.121387283236994E-2</v>
      </c>
      <c r="U1865" s="19">
        <f>ProductionData[[#This Row],[Produced_Qty]]/ProductionData[[#This Row],[Planned_Qty]]</f>
        <v>0.89175257731958768</v>
      </c>
      <c r="V1865" s="2" t="s">
        <v>109</v>
      </c>
      <c r="W1865" s="11">
        <v>0</v>
      </c>
      <c r="X1865" s="13">
        <f>W1865/60</f>
        <v>0</v>
      </c>
      <c r="Y1865" s="2" t="s">
        <v>90</v>
      </c>
      <c r="Z1865" s="2">
        <v>51</v>
      </c>
      <c r="AA1865" s="2">
        <f>ProductionData[[#This Row],[Rejected_Qty]]*ProductionData[[#This Row],[Unit_Cost_INR]]</f>
        <v>8262</v>
      </c>
      <c r="AB1865" s="4">
        <v>25652</v>
      </c>
      <c r="AC1865" s="4">
        <v>5180</v>
      </c>
      <c r="AD1865" s="4">
        <v>5180</v>
      </c>
      <c r="AE1865" s="4">
        <v>25500</v>
      </c>
      <c r="AF1865" s="4">
        <v>9000</v>
      </c>
    </row>
    <row r="1866" spans="1:32">
      <c r="A1866" s="2" t="s">
        <v>3864</v>
      </c>
      <c r="B1866" s="3">
        <v>46273</v>
      </c>
      <c r="C1866" s="36" t="s">
        <v>64</v>
      </c>
      <c r="D1866" s="2">
        <f>MONTH(ProductionData[[#This Row],[Month]])</f>
        <v>9</v>
      </c>
      <c r="E1866" s="2" t="s">
        <v>92</v>
      </c>
      <c r="F1866" s="2" t="s">
        <v>66</v>
      </c>
      <c r="G1866" s="2" t="s">
        <v>195</v>
      </c>
      <c r="H1866" s="2" t="s">
        <v>196</v>
      </c>
      <c r="I1866" s="2" t="s">
        <v>197</v>
      </c>
      <c r="J1866" s="2" t="s">
        <v>586</v>
      </c>
      <c r="K1866" s="2" t="s">
        <v>587</v>
      </c>
      <c r="L1866" s="2" t="s">
        <v>3865</v>
      </c>
      <c r="M1866" s="2" t="s">
        <v>73</v>
      </c>
      <c r="N1866" s="2" t="s">
        <v>88</v>
      </c>
      <c r="O1866" s="2">
        <v>14</v>
      </c>
      <c r="P1866" s="2">
        <v>14</v>
      </c>
      <c r="Q1866" s="4">
        <v>5800</v>
      </c>
      <c r="R1866" s="4">
        <v>5700</v>
      </c>
      <c r="S1866" s="4">
        <v>122</v>
      </c>
      <c r="T1866" s="19">
        <f>(ProductionData[[#This Row],[Rejected_Qty]])/ProductionData[[#This Row],[Produced_Qty]]</f>
        <v>2.1403508771929824E-2</v>
      </c>
      <c r="U1866" s="19">
        <f>ProductionData[[#This Row],[Produced_Qty]]/ProductionData[[#This Row],[Planned_Qty]]</f>
        <v>0.98275862068965514</v>
      </c>
      <c r="V1866" s="2" t="s">
        <v>113</v>
      </c>
      <c r="W1866" s="11">
        <v>0</v>
      </c>
      <c r="X1866" s="13">
        <f>W1866/60</f>
        <v>0</v>
      </c>
      <c r="Y1866" s="2" t="s">
        <v>90</v>
      </c>
      <c r="Z1866" s="2">
        <v>51</v>
      </c>
      <c r="AA1866" s="2">
        <f>ProductionData[[#This Row],[Rejected_Qty]]*ProductionData[[#This Row],[Unit_Cost_INR]]</f>
        <v>6222</v>
      </c>
      <c r="AB1866" s="4">
        <v>24404</v>
      </c>
      <c r="AC1866" s="4">
        <v>4500</v>
      </c>
      <c r="AD1866" s="4">
        <v>4500</v>
      </c>
      <c r="AE1866" s="4">
        <v>25482</v>
      </c>
      <c r="AF1866" s="4">
        <v>9000</v>
      </c>
    </row>
    <row r="1867" spans="1:32">
      <c r="A1867" s="2" t="s">
        <v>3866</v>
      </c>
      <c r="B1867" s="3">
        <v>46269</v>
      </c>
      <c r="C1867" s="36" t="s">
        <v>64</v>
      </c>
      <c r="D1867" s="2">
        <f>MONTH(ProductionData[[#This Row],[Month]])</f>
        <v>9</v>
      </c>
      <c r="E1867" s="2" t="s">
        <v>125</v>
      </c>
      <c r="F1867" s="2" t="s">
        <v>93</v>
      </c>
      <c r="G1867" s="2" t="s">
        <v>195</v>
      </c>
      <c r="H1867" s="2" t="s">
        <v>196</v>
      </c>
      <c r="I1867" s="2" t="s">
        <v>197</v>
      </c>
      <c r="J1867" s="2" t="s">
        <v>586</v>
      </c>
      <c r="K1867" s="2" t="s">
        <v>587</v>
      </c>
      <c r="L1867" s="2" t="s">
        <v>3867</v>
      </c>
      <c r="M1867" s="2" t="s">
        <v>133</v>
      </c>
      <c r="N1867" s="2" t="s">
        <v>88</v>
      </c>
      <c r="O1867" s="2">
        <v>14</v>
      </c>
      <c r="P1867" s="2">
        <v>9</v>
      </c>
      <c r="Q1867" s="4">
        <v>5900</v>
      </c>
      <c r="R1867" s="4">
        <v>4740</v>
      </c>
      <c r="S1867" s="4">
        <v>166</v>
      </c>
      <c r="T1867" s="19">
        <f>(ProductionData[[#This Row],[Rejected_Qty]])/ProductionData[[#This Row],[Produced_Qty]]</f>
        <v>3.5021097046413499E-2</v>
      </c>
      <c r="U1867" s="19">
        <f>ProductionData[[#This Row],[Produced_Qty]]/ProductionData[[#This Row],[Planned_Qty]]</f>
        <v>0.80338983050847457</v>
      </c>
      <c r="V1867" s="2" t="s">
        <v>89</v>
      </c>
      <c r="W1867" s="11">
        <v>0</v>
      </c>
      <c r="X1867" s="13">
        <f>W1867/60</f>
        <v>0</v>
      </c>
      <c r="Y1867" s="2" t="s">
        <v>90</v>
      </c>
      <c r="Z1867" s="2">
        <v>51</v>
      </c>
      <c r="AA1867" s="2">
        <f>ProductionData[[#This Row],[Rejected_Qty]]*ProductionData[[#This Row],[Unit_Cost_INR]]</f>
        <v>8466</v>
      </c>
      <c r="AB1867" s="4">
        <v>25500</v>
      </c>
      <c r="AC1867" s="4">
        <v>5670</v>
      </c>
      <c r="AD1867" s="4">
        <v>5670</v>
      </c>
      <c r="AE1867" s="4">
        <v>24404</v>
      </c>
      <c r="AF1867" s="4">
        <v>9000</v>
      </c>
    </row>
    <row r="1868" spans="1:32">
      <c r="A1868" s="2" t="s">
        <v>3868</v>
      </c>
      <c r="B1868" s="3">
        <v>46280</v>
      </c>
      <c r="C1868" s="36" t="s">
        <v>64</v>
      </c>
      <c r="D1868" s="2">
        <f>MONTH(ProductionData[[#This Row],[Month]])</f>
        <v>9</v>
      </c>
      <c r="E1868" s="2" t="s">
        <v>92</v>
      </c>
      <c r="F1868" s="2" t="s">
        <v>66</v>
      </c>
      <c r="G1868" s="2" t="s">
        <v>174</v>
      </c>
      <c r="H1868" s="2" t="s">
        <v>175</v>
      </c>
      <c r="I1868" s="2" t="s">
        <v>176</v>
      </c>
      <c r="J1868" s="2" t="s">
        <v>629</v>
      </c>
      <c r="K1868" s="2" t="s">
        <v>630</v>
      </c>
      <c r="L1868" s="2" t="s">
        <v>3869</v>
      </c>
      <c r="M1868" s="2" t="s">
        <v>73</v>
      </c>
      <c r="N1868" s="2" t="s">
        <v>96</v>
      </c>
      <c r="O1868" s="2">
        <v>10</v>
      </c>
      <c r="P1868" s="2">
        <v>9</v>
      </c>
      <c r="Q1868" s="4">
        <v>5240</v>
      </c>
      <c r="R1868" s="4">
        <v>5130</v>
      </c>
      <c r="S1868" s="4">
        <v>87</v>
      </c>
      <c r="T1868" s="19">
        <f>(ProductionData[[#This Row],[Rejected_Qty]])/ProductionData[[#This Row],[Produced_Qty]]</f>
        <v>1.6959064327485378E-2</v>
      </c>
      <c r="U1868" s="19">
        <f>ProductionData[[#This Row],[Produced_Qty]]/ProductionData[[#This Row],[Planned_Qty]]</f>
        <v>0.97900763358778631</v>
      </c>
      <c r="V1868" s="2" t="s">
        <v>103</v>
      </c>
      <c r="W1868" s="11">
        <v>0</v>
      </c>
      <c r="X1868" s="13">
        <f>W1868/60</f>
        <v>0</v>
      </c>
      <c r="Y1868" s="2" t="s">
        <v>90</v>
      </c>
      <c r="Z1868" s="2">
        <v>29</v>
      </c>
      <c r="AA1868" s="2">
        <f>ProductionData[[#This Row],[Rejected_Qty]]*ProductionData[[#This Row],[Unit_Cost_INR]]</f>
        <v>2523</v>
      </c>
      <c r="AB1868" s="4">
        <v>15831</v>
      </c>
      <c r="AC1868" s="4">
        <v>4580</v>
      </c>
      <c r="AD1868" s="4">
        <v>4580</v>
      </c>
      <c r="AE1868" s="4">
        <v>16294</v>
      </c>
      <c r="AF1868" s="4">
        <v>7500</v>
      </c>
    </row>
    <row r="1869" spans="1:32">
      <c r="A1869" s="2" t="s">
        <v>3870</v>
      </c>
      <c r="B1869" s="3">
        <v>46276</v>
      </c>
      <c r="C1869" s="36" t="s">
        <v>64</v>
      </c>
      <c r="D1869" s="2">
        <f>MONTH(ProductionData[[#This Row],[Month]])</f>
        <v>9</v>
      </c>
      <c r="E1869" s="2" t="s">
        <v>125</v>
      </c>
      <c r="F1869" s="2" t="s">
        <v>93</v>
      </c>
      <c r="G1869" s="2" t="s">
        <v>174</v>
      </c>
      <c r="H1869" s="2" t="s">
        <v>175</v>
      </c>
      <c r="I1869" s="2" t="s">
        <v>176</v>
      </c>
      <c r="J1869" s="2" t="s">
        <v>629</v>
      </c>
      <c r="K1869" s="2" t="s">
        <v>630</v>
      </c>
      <c r="L1869" s="2" t="s">
        <v>3871</v>
      </c>
      <c r="M1869" s="2" t="s">
        <v>95</v>
      </c>
      <c r="N1869" s="2" t="s">
        <v>96</v>
      </c>
      <c r="O1869" s="2">
        <v>10</v>
      </c>
      <c r="P1869" s="2">
        <v>9</v>
      </c>
      <c r="Q1869" s="4">
        <v>4780</v>
      </c>
      <c r="R1869" s="4">
        <v>4410</v>
      </c>
      <c r="S1869" s="4">
        <v>133</v>
      </c>
      <c r="T1869" s="19">
        <f>(ProductionData[[#This Row],[Rejected_Qty]])/ProductionData[[#This Row],[Produced_Qty]]</f>
        <v>3.0158730158730159E-2</v>
      </c>
      <c r="U1869" s="19">
        <f>ProductionData[[#This Row],[Produced_Qty]]/ProductionData[[#This Row],[Planned_Qty]]</f>
        <v>0.92259414225941427</v>
      </c>
      <c r="V1869" s="2" t="s">
        <v>109</v>
      </c>
      <c r="W1869" s="11">
        <v>0</v>
      </c>
      <c r="X1869" s="13">
        <f>W1869/60</f>
        <v>0</v>
      </c>
      <c r="Y1869" s="2" t="s">
        <v>90</v>
      </c>
      <c r="Z1869" s="2">
        <v>29</v>
      </c>
      <c r="AA1869" s="2">
        <f>ProductionData[[#This Row],[Rejected_Qty]]*ProductionData[[#This Row],[Unit_Cost_INR]]</f>
        <v>3857</v>
      </c>
      <c r="AB1869" s="4">
        <v>16101</v>
      </c>
      <c r="AC1869" s="4">
        <v>4270</v>
      </c>
      <c r="AD1869" s="4">
        <v>4270</v>
      </c>
      <c r="AE1869" s="4">
        <v>16108</v>
      </c>
      <c r="AF1869" s="4">
        <v>7500</v>
      </c>
    </row>
    <row r="1870" spans="1:32">
      <c r="A1870" s="2" t="s">
        <v>3872</v>
      </c>
      <c r="B1870" s="3">
        <v>46276</v>
      </c>
      <c r="C1870" s="36" t="s">
        <v>64</v>
      </c>
      <c r="D1870" s="2">
        <f>MONTH(ProductionData[[#This Row],[Month]])</f>
        <v>9</v>
      </c>
      <c r="E1870" s="2" t="s">
        <v>125</v>
      </c>
      <c r="F1870" s="2" t="s">
        <v>80</v>
      </c>
      <c r="G1870" s="2" t="s">
        <v>174</v>
      </c>
      <c r="H1870" s="2" t="s">
        <v>175</v>
      </c>
      <c r="I1870" s="2" t="s">
        <v>176</v>
      </c>
      <c r="J1870" s="2" t="s">
        <v>629</v>
      </c>
      <c r="K1870" s="2" t="s">
        <v>630</v>
      </c>
      <c r="L1870" s="2" t="s">
        <v>3873</v>
      </c>
      <c r="M1870" s="2" t="s">
        <v>87</v>
      </c>
      <c r="N1870" s="2" t="s">
        <v>96</v>
      </c>
      <c r="O1870" s="2">
        <v>10</v>
      </c>
      <c r="P1870" s="2">
        <v>10</v>
      </c>
      <c r="Q1870" s="4">
        <v>5040</v>
      </c>
      <c r="R1870" s="4">
        <v>4880</v>
      </c>
      <c r="S1870" s="4">
        <v>116</v>
      </c>
      <c r="T1870" s="19">
        <f>(ProductionData[[#This Row],[Rejected_Qty]])/ProductionData[[#This Row],[Produced_Qty]]</f>
        <v>2.3770491803278688E-2</v>
      </c>
      <c r="U1870" s="19">
        <f>ProductionData[[#This Row],[Produced_Qty]]/ProductionData[[#This Row],[Planned_Qty]]</f>
        <v>0.96825396825396826</v>
      </c>
      <c r="V1870" s="2" t="s">
        <v>103</v>
      </c>
      <c r="W1870" s="11">
        <v>0</v>
      </c>
      <c r="X1870" s="13">
        <f>W1870/60</f>
        <v>0</v>
      </c>
      <c r="Y1870" s="2" t="s">
        <v>90</v>
      </c>
      <c r="Z1870" s="2">
        <v>29</v>
      </c>
      <c r="AA1870" s="2">
        <f>ProductionData[[#This Row],[Rejected_Qty]]*ProductionData[[#This Row],[Unit_Cost_INR]]</f>
        <v>3364</v>
      </c>
      <c r="AB1870" s="4">
        <v>15747</v>
      </c>
      <c r="AC1870" s="4">
        <v>4410</v>
      </c>
      <c r="AD1870" s="4">
        <v>4410</v>
      </c>
      <c r="AE1870" s="4">
        <v>16101</v>
      </c>
      <c r="AF1870" s="4">
        <v>7500</v>
      </c>
    </row>
    <row r="1871" spans="1:32">
      <c r="A1871" s="2" t="s">
        <v>3874</v>
      </c>
      <c r="B1871" s="3">
        <v>46266</v>
      </c>
      <c r="C1871" s="36" t="s">
        <v>64</v>
      </c>
      <c r="D1871" s="2">
        <f>MONTH(ProductionData[[#This Row],[Month]])</f>
        <v>9</v>
      </c>
      <c r="E1871" s="2" t="s">
        <v>92</v>
      </c>
      <c r="F1871" s="2" t="s">
        <v>93</v>
      </c>
      <c r="G1871" s="2" t="s">
        <v>174</v>
      </c>
      <c r="H1871" s="2" t="s">
        <v>175</v>
      </c>
      <c r="I1871" s="2" t="s">
        <v>176</v>
      </c>
      <c r="J1871" s="2" t="s">
        <v>629</v>
      </c>
      <c r="K1871" s="2" t="s">
        <v>630</v>
      </c>
      <c r="L1871" s="2" t="s">
        <v>3875</v>
      </c>
      <c r="M1871" s="2" t="s">
        <v>95</v>
      </c>
      <c r="N1871" s="2" t="s">
        <v>88</v>
      </c>
      <c r="O1871" s="2">
        <v>10</v>
      </c>
      <c r="P1871" s="2">
        <v>7</v>
      </c>
      <c r="Q1871" s="4">
        <v>5010</v>
      </c>
      <c r="R1871" s="4">
        <v>4090</v>
      </c>
      <c r="S1871" s="4">
        <v>103</v>
      </c>
      <c r="T1871" s="19">
        <f>(ProductionData[[#This Row],[Rejected_Qty]])/ProductionData[[#This Row],[Produced_Qty]]</f>
        <v>2.5183374083129585E-2</v>
      </c>
      <c r="U1871" s="19">
        <f>ProductionData[[#This Row],[Produced_Qty]]/ProductionData[[#This Row],[Planned_Qty]]</f>
        <v>0.81636726546906191</v>
      </c>
      <c r="V1871" s="2" t="s">
        <v>109</v>
      </c>
      <c r="W1871" s="11">
        <v>0</v>
      </c>
      <c r="X1871" s="13">
        <f>W1871/60</f>
        <v>0</v>
      </c>
      <c r="Y1871" s="2" t="s">
        <v>90</v>
      </c>
      <c r="Z1871" s="2">
        <v>29</v>
      </c>
      <c r="AA1871" s="2">
        <f>ProductionData[[#This Row],[Rejected_Qty]]*ProductionData[[#This Row],[Unit_Cost_INR]]</f>
        <v>2987</v>
      </c>
      <c r="AB1871" s="4">
        <v>16767</v>
      </c>
      <c r="AC1871" s="4">
        <v>4830</v>
      </c>
      <c r="AD1871" s="4">
        <v>4830</v>
      </c>
      <c r="AE1871" s="4">
        <v>15924</v>
      </c>
      <c r="AF1871" s="4">
        <v>7500</v>
      </c>
    </row>
    <row r="1872" spans="1:32">
      <c r="A1872" s="2" t="s">
        <v>3876</v>
      </c>
      <c r="B1872" s="3">
        <v>46290</v>
      </c>
      <c r="C1872" s="36" t="s">
        <v>64</v>
      </c>
      <c r="D1872" s="2">
        <f>MONTH(ProductionData[[#This Row],[Month]])</f>
        <v>9</v>
      </c>
      <c r="E1872" s="2" t="s">
        <v>125</v>
      </c>
      <c r="F1872" s="2" t="s">
        <v>80</v>
      </c>
      <c r="G1872" s="2" t="s">
        <v>174</v>
      </c>
      <c r="H1872" s="2" t="s">
        <v>175</v>
      </c>
      <c r="I1872" s="2" t="s">
        <v>176</v>
      </c>
      <c r="J1872" s="2" t="s">
        <v>629</v>
      </c>
      <c r="K1872" s="2" t="s">
        <v>630</v>
      </c>
      <c r="L1872" s="2" t="s">
        <v>3877</v>
      </c>
      <c r="M1872" s="2" t="s">
        <v>87</v>
      </c>
      <c r="N1872" s="2" t="s">
        <v>96</v>
      </c>
      <c r="O1872" s="2">
        <v>10</v>
      </c>
      <c r="P1872" s="2">
        <v>10</v>
      </c>
      <c r="Q1872" s="4">
        <v>4600</v>
      </c>
      <c r="R1872" s="4">
        <v>4440</v>
      </c>
      <c r="S1872" s="4">
        <v>95</v>
      </c>
      <c r="T1872" s="19">
        <f>(ProductionData[[#This Row],[Rejected_Qty]])/ProductionData[[#This Row],[Produced_Qty]]</f>
        <v>2.1396396396396396E-2</v>
      </c>
      <c r="U1872" s="19">
        <f>ProductionData[[#This Row],[Produced_Qty]]/ProductionData[[#This Row],[Planned_Qty]]</f>
        <v>0.9652173913043478</v>
      </c>
      <c r="V1872" s="2" t="s">
        <v>89</v>
      </c>
      <c r="W1872" s="11">
        <v>0</v>
      </c>
      <c r="X1872" s="13">
        <f>W1872/60</f>
        <v>0</v>
      </c>
      <c r="Y1872" s="2" t="s">
        <v>90</v>
      </c>
      <c r="Z1872" s="2">
        <v>29</v>
      </c>
      <c r="AA1872" s="2">
        <f>ProductionData[[#This Row],[Rejected_Qty]]*ProductionData[[#This Row],[Unit_Cost_INR]]</f>
        <v>2755</v>
      </c>
      <c r="AB1872" s="4">
        <v>15511</v>
      </c>
      <c r="AC1872" s="4">
        <v>4000</v>
      </c>
      <c r="AD1872" s="4">
        <v>4000</v>
      </c>
      <c r="AE1872" s="4">
        <v>15856</v>
      </c>
      <c r="AF1872" s="4">
        <v>7500</v>
      </c>
    </row>
    <row r="1873" spans="1:32">
      <c r="A1873" s="2" t="s">
        <v>3878</v>
      </c>
      <c r="B1873" s="3">
        <v>46272</v>
      </c>
      <c r="C1873" s="36" t="s">
        <v>64</v>
      </c>
      <c r="D1873" s="2">
        <f>MONTH(ProductionData[[#This Row],[Month]])</f>
        <v>9</v>
      </c>
      <c r="E1873" s="2" t="s">
        <v>116</v>
      </c>
      <c r="F1873" s="2" t="s">
        <v>66</v>
      </c>
      <c r="G1873" s="2" t="s">
        <v>174</v>
      </c>
      <c r="H1873" s="2" t="s">
        <v>175</v>
      </c>
      <c r="I1873" s="2" t="s">
        <v>176</v>
      </c>
      <c r="J1873" s="2" t="s">
        <v>629</v>
      </c>
      <c r="K1873" s="2" t="s">
        <v>630</v>
      </c>
      <c r="L1873" s="2" t="s">
        <v>3879</v>
      </c>
      <c r="M1873" s="2" t="s">
        <v>99</v>
      </c>
      <c r="N1873" s="2" t="s">
        <v>96</v>
      </c>
      <c r="O1873" s="2">
        <v>10</v>
      </c>
      <c r="P1873" s="2">
        <v>10</v>
      </c>
      <c r="Q1873" s="4">
        <v>4680</v>
      </c>
      <c r="R1873" s="4">
        <v>4520</v>
      </c>
      <c r="S1873" s="4">
        <v>63</v>
      </c>
      <c r="T1873" s="19">
        <f>(ProductionData[[#This Row],[Rejected_Qty]])/ProductionData[[#This Row],[Produced_Qty]]</f>
        <v>1.3938053097345133E-2</v>
      </c>
      <c r="U1873" s="19">
        <f>ProductionData[[#This Row],[Produced_Qty]]/ProductionData[[#This Row],[Planned_Qty]]</f>
        <v>0.96581196581196582</v>
      </c>
      <c r="V1873" s="2" t="s">
        <v>109</v>
      </c>
      <c r="W1873" s="11">
        <v>0</v>
      </c>
      <c r="X1873" s="13">
        <f>W1873/60</f>
        <v>0</v>
      </c>
      <c r="Y1873" s="2" t="s">
        <v>90</v>
      </c>
      <c r="Z1873" s="2">
        <v>29</v>
      </c>
      <c r="AA1873" s="2">
        <f>ProductionData[[#This Row],[Rejected_Qty]]*ProductionData[[#This Row],[Unit_Cost_INR]]</f>
        <v>1827</v>
      </c>
      <c r="AB1873" s="4">
        <v>15547</v>
      </c>
      <c r="AC1873" s="4">
        <v>4170</v>
      </c>
      <c r="AD1873" s="4">
        <v>4170</v>
      </c>
      <c r="AE1873" s="4">
        <v>15834</v>
      </c>
      <c r="AF1873" s="4">
        <v>7500</v>
      </c>
    </row>
    <row r="1874" spans="1:32">
      <c r="A1874" s="2" t="s">
        <v>3880</v>
      </c>
      <c r="B1874" s="3">
        <v>46277</v>
      </c>
      <c r="C1874" s="36" t="s">
        <v>64</v>
      </c>
      <c r="D1874" s="2">
        <f>MONTH(ProductionData[[#This Row],[Month]])</f>
        <v>9</v>
      </c>
      <c r="E1874" s="2" t="s">
        <v>65</v>
      </c>
      <c r="F1874" s="2" t="s">
        <v>93</v>
      </c>
      <c r="G1874" s="2" t="s">
        <v>174</v>
      </c>
      <c r="H1874" s="2" t="s">
        <v>175</v>
      </c>
      <c r="I1874" s="2" t="s">
        <v>176</v>
      </c>
      <c r="J1874" s="2" t="s">
        <v>629</v>
      </c>
      <c r="K1874" s="2" t="s">
        <v>630</v>
      </c>
      <c r="L1874" s="2" t="s">
        <v>3881</v>
      </c>
      <c r="M1874" s="2" t="s">
        <v>95</v>
      </c>
      <c r="N1874" s="2" t="s">
        <v>88</v>
      </c>
      <c r="O1874" s="2">
        <v>10</v>
      </c>
      <c r="P1874" s="2">
        <v>7</v>
      </c>
      <c r="Q1874" s="4">
        <v>4970</v>
      </c>
      <c r="R1874" s="4">
        <v>4080</v>
      </c>
      <c r="S1874" s="4">
        <v>87</v>
      </c>
      <c r="T1874" s="19">
        <f>(ProductionData[[#This Row],[Rejected_Qty]])/ProductionData[[#This Row],[Produced_Qty]]</f>
        <v>2.1323529411764706E-2</v>
      </c>
      <c r="U1874" s="19">
        <f>ProductionData[[#This Row],[Produced_Qty]]/ProductionData[[#This Row],[Planned_Qty]]</f>
        <v>0.82092555331991957</v>
      </c>
      <c r="V1874" s="2" t="s">
        <v>109</v>
      </c>
      <c r="W1874" s="11">
        <v>0</v>
      </c>
      <c r="X1874" s="13">
        <f>W1874/60</f>
        <v>0</v>
      </c>
      <c r="Y1874" s="2" t="s">
        <v>90</v>
      </c>
      <c r="Z1874" s="2">
        <v>29</v>
      </c>
      <c r="AA1874" s="2">
        <f>ProductionData[[#This Row],[Rejected_Qty]]*ProductionData[[#This Row],[Unit_Cost_INR]]</f>
        <v>2523</v>
      </c>
      <c r="AB1874" s="4">
        <v>16108</v>
      </c>
      <c r="AC1874" s="4">
        <v>4270</v>
      </c>
      <c r="AD1874" s="4">
        <v>4270</v>
      </c>
      <c r="AE1874" s="4">
        <v>15831</v>
      </c>
      <c r="AF1874" s="4">
        <v>7500</v>
      </c>
    </row>
    <row r="1875" spans="1:32">
      <c r="A1875" s="2" t="s">
        <v>3882</v>
      </c>
      <c r="B1875" s="3">
        <v>46289</v>
      </c>
      <c r="C1875" s="36" t="s">
        <v>64</v>
      </c>
      <c r="D1875" s="2">
        <f>MONTH(ProductionData[[#This Row],[Month]])</f>
        <v>9</v>
      </c>
      <c r="E1875" s="2" t="s">
        <v>107</v>
      </c>
      <c r="F1875" s="2" t="s">
        <v>93</v>
      </c>
      <c r="G1875" s="2" t="s">
        <v>174</v>
      </c>
      <c r="H1875" s="2" t="s">
        <v>175</v>
      </c>
      <c r="I1875" s="2" t="s">
        <v>176</v>
      </c>
      <c r="J1875" s="2" t="s">
        <v>629</v>
      </c>
      <c r="K1875" s="2" t="s">
        <v>630</v>
      </c>
      <c r="L1875" s="2" t="s">
        <v>3883</v>
      </c>
      <c r="M1875" s="2" t="s">
        <v>95</v>
      </c>
      <c r="N1875" s="2" t="s">
        <v>88</v>
      </c>
      <c r="O1875" s="2">
        <v>10</v>
      </c>
      <c r="P1875" s="2">
        <v>10</v>
      </c>
      <c r="Q1875" s="4">
        <v>4430</v>
      </c>
      <c r="R1875" s="4">
        <v>4290</v>
      </c>
      <c r="S1875" s="4">
        <v>107</v>
      </c>
      <c r="T1875" s="19">
        <f>(ProductionData[[#This Row],[Rejected_Qty]])/ProductionData[[#This Row],[Produced_Qty]]</f>
        <v>2.4941724941724943E-2</v>
      </c>
      <c r="U1875" s="19">
        <f>ProductionData[[#This Row],[Produced_Qty]]/ProductionData[[#This Row],[Planned_Qty]]</f>
        <v>0.96839729119638829</v>
      </c>
      <c r="V1875" s="2" t="s">
        <v>75</v>
      </c>
      <c r="W1875" s="11">
        <v>0</v>
      </c>
      <c r="X1875" s="13">
        <f>W1875/60</f>
        <v>0</v>
      </c>
      <c r="Y1875" s="2" t="s">
        <v>90</v>
      </c>
      <c r="Z1875" s="2">
        <v>29</v>
      </c>
      <c r="AA1875" s="2">
        <f>ProductionData[[#This Row],[Rejected_Qty]]*ProductionData[[#This Row],[Unit_Cost_INR]]</f>
        <v>3103</v>
      </c>
      <c r="AB1875" s="4">
        <v>15308</v>
      </c>
      <c r="AC1875" s="4">
        <v>3660</v>
      </c>
      <c r="AD1875" s="4">
        <v>3660</v>
      </c>
      <c r="AE1875" s="4">
        <v>15831</v>
      </c>
      <c r="AF1875" s="4">
        <v>7500</v>
      </c>
    </row>
    <row r="1876" spans="1:32">
      <c r="A1876" s="2" t="s">
        <v>3884</v>
      </c>
      <c r="B1876" s="3">
        <v>46280</v>
      </c>
      <c r="C1876" s="36" t="s">
        <v>64</v>
      </c>
      <c r="D1876" s="2">
        <f>MONTH(ProductionData[[#This Row],[Month]])</f>
        <v>9</v>
      </c>
      <c r="E1876" s="2" t="s">
        <v>92</v>
      </c>
      <c r="F1876" s="2" t="s">
        <v>93</v>
      </c>
      <c r="G1876" s="2" t="s">
        <v>174</v>
      </c>
      <c r="H1876" s="2" t="s">
        <v>175</v>
      </c>
      <c r="I1876" s="2" t="s">
        <v>176</v>
      </c>
      <c r="J1876" s="2" t="s">
        <v>629</v>
      </c>
      <c r="K1876" s="2" t="s">
        <v>630</v>
      </c>
      <c r="L1876" s="2" t="s">
        <v>3885</v>
      </c>
      <c r="M1876" s="2" t="s">
        <v>95</v>
      </c>
      <c r="N1876" s="2" t="s">
        <v>96</v>
      </c>
      <c r="O1876" s="2">
        <v>10</v>
      </c>
      <c r="P1876" s="2">
        <v>9</v>
      </c>
      <c r="Q1876" s="4">
        <v>4720</v>
      </c>
      <c r="R1876" s="4">
        <v>4230</v>
      </c>
      <c r="S1876" s="4">
        <v>167</v>
      </c>
      <c r="T1876" s="19">
        <f>(ProductionData[[#This Row],[Rejected_Qty]])/ProductionData[[#This Row],[Produced_Qty]]</f>
        <v>3.9479905437352247E-2</v>
      </c>
      <c r="U1876" s="19">
        <f>ProductionData[[#This Row],[Produced_Qty]]/ProductionData[[#This Row],[Planned_Qty]]</f>
        <v>0.89618644067796616</v>
      </c>
      <c r="V1876" s="2" t="s">
        <v>109</v>
      </c>
      <c r="W1876" s="11">
        <v>0</v>
      </c>
      <c r="X1876" s="13">
        <f>W1876/60</f>
        <v>0</v>
      </c>
      <c r="Y1876" s="2" t="s">
        <v>90</v>
      </c>
      <c r="Z1876" s="2">
        <v>29</v>
      </c>
      <c r="AA1876" s="2">
        <f>ProductionData[[#This Row],[Rejected_Qty]]*ProductionData[[#This Row],[Unit_Cost_INR]]</f>
        <v>4843</v>
      </c>
      <c r="AB1876" s="4">
        <v>16294</v>
      </c>
      <c r="AC1876" s="4">
        <v>4550</v>
      </c>
      <c r="AD1876" s="4">
        <v>4550</v>
      </c>
      <c r="AE1876" s="4">
        <v>15807</v>
      </c>
      <c r="AF1876" s="4">
        <v>7500</v>
      </c>
    </row>
    <row r="1877" spans="1:32">
      <c r="A1877" s="2" t="s">
        <v>3886</v>
      </c>
      <c r="B1877" s="3">
        <v>46270</v>
      </c>
      <c r="C1877" s="36" t="s">
        <v>64</v>
      </c>
      <c r="D1877" s="2">
        <f>MONTH(ProductionData[[#This Row],[Month]])</f>
        <v>9</v>
      </c>
      <c r="E1877" s="2" t="s">
        <v>65</v>
      </c>
      <c r="F1877" s="2" t="s">
        <v>66</v>
      </c>
      <c r="G1877" s="2" t="s">
        <v>174</v>
      </c>
      <c r="H1877" s="2" t="s">
        <v>175</v>
      </c>
      <c r="I1877" s="2" t="s">
        <v>176</v>
      </c>
      <c r="J1877" s="2" t="s">
        <v>629</v>
      </c>
      <c r="K1877" s="2" t="s">
        <v>630</v>
      </c>
      <c r="L1877" s="2" t="s">
        <v>3887</v>
      </c>
      <c r="M1877" s="2" t="s">
        <v>73</v>
      </c>
      <c r="N1877" s="2" t="s">
        <v>96</v>
      </c>
      <c r="O1877" s="2">
        <v>10</v>
      </c>
      <c r="P1877" s="2">
        <v>9</v>
      </c>
      <c r="Q1877" s="4">
        <v>4890</v>
      </c>
      <c r="R1877" s="4">
        <v>4410</v>
      </c>
      <c r="S1877" s="4">
        <v>112</v>
      </c>
      <c r="T1877" s="19">
        <f>(ProductionData[[#This Row],[Rejected_Qty]])/ProductionData[[#This Row],[Produced_Qty]]</f>
        <v>2.5396825396825397E-2</v>
      </c>
      <c r="U1877" s="19">
        <f>ProductionData[[#This Row],[Produced_Qty]]/ProductionData[[#This Row],[Planned_Qty]]</f>
        <v>0.90184049079754602</v>
      </c>
      <c r="V1877" s="2" t="s">
        <v>75</v>
      </c>
      <c r="W1877" s="11">
        <v>72</v>
      </c>
      <c r="X1877" s="13">
        <f>W1877/60</f>
        <v>1.2</v>
      </c>
      <c r="Y1877" s="2" t="s">
        <v>110</v>
      </c>
      <c r="Z1877" s="2">
        <v>29</v>
      </c>
      <c r="AA1877" s="2">
        <f>ProductionData[[#This Row],[Rejected_Qty]]*ProductionData[[#This Row],[Unit_Cost_INR]]</f>
        <v>3248</v>
      </c>
      <c r="AB1877" s="4">
        <v>15924</v>
      </c>
      <c r="AC1877" s="4">
        <v>4430</v>
      </c>
      <c r="AD1877" s="4">
        <v>4430</v>
      </c>
      <c r="AE1877" s="4">
        <v>15792</v>
      </c>
      <c r="AF1877" s="4">
        <v>7500</v>
      </c>
    </row>
    <row r="1878" spans="1:32">
      <c r="A1878" s="2" t="s">
        <v>3888</v>
      </c>
      <c r="B1878" s="3">
        <v>46284</v>
      </c>
      <c r="C1878" s="36" t="s">
        <v>64</v>
      </c>
      <c r="D1878" s="2">
        <f>MONTH(ProductionData[[#This Row],[Month]])</f>
        <v>9</v>
      </c>
      <c r="E1878" s="2" t="s">
        <v>65</v>
      </c>
      <c r="F1878" s="2" t="s">
        <v>93</v>
      </c>
      <c r="G1878" s="2" t="s">
        <v>174</v>
      </c>
      <c r="H1878" s="2" t="s">
        <v>175</v>
      </c>
      <c r="I1878" s="2" t="s">
        <v>176</v>
      </c>
      <c r="J1878" s="2" t="s">
        <v>629</v>
      </c>
      <c r="K1878" s="2" t="s">
        <v>630</v>
      </c>
      <c r="L1878" s="2" t="s">
        <v>3889</v>
      </c>
      <c r="M1878" s="2" t="s">
        <v>95</v>
      </c>
      <c r="N1878" s="2" t="s">
        <v>96</v>
      </c>
      <c r="O1878" s="2">
        <v>10</v>
      </c>
      <c r="P1878" s="2">
        <v>9</v>
      </c>
      <c r="Q1878" s="4">
        <v>4550</v>
      </c>
      <c r="R1878" s="4">
        <v>3920</v>
      </c>
      <c r="S1878" s="4">
        <v>103</v>
      </c>
      <c r="T1878" s="19">
        <f>(ProductionData[[#This Row],[Rejected_Qty]])/ProductionData[[#This Row],[Produced_Qty]]</f>
        <v>2.6275510204081632E-2</v>
      </c>
      <c r="U1878" s="19">
        <f>ProductionData[[#This Row],[Produced_Qty]]/ProductionData[[#This Row],[Planned_Qty]]</f>
        <v>0.86153846153846159</v>
      </c>
      <c r="V1878" s="2" t="s">
        <v>75</v>
      </c>
      <c r="W1878" s="11">
        <v>0</v>
      </c>
      <c r="X1878" s="13">
        <f>W1878/60</f>
        <v>0</v>
      </c>
      <c r="Y1878" s="2" t="s">
        <v>90</v>
      </c>
      <c r="Z1878" s="2">
        <v>29</v>
      </c>
      <c r="AA1878" s="2">
        <f>ProductionData[[#This Row],[Rejected_Qty]]*ProductionData[[#This Row],[Unit_Cost_INR]]</f>
        <v>2987</v>
      </c>
      <c r="AB1878" s="4">
        <v>15778</v>
      </c>
      <c r="AC1878" s="4">
        <v>3810</v>
      </c>
      <c r="AD1878" s="4">
        <v>3810</v>
      </c>
      <c r="AE1878" s="4">
        <v>15785</v>
      </c>
      <c r="AF1878" s="4">
        <v>7500</v>
      </c>
    </row>
    <row r="1879" spans="1:32">
      <c r="A1879" s="2" t="s">
        <v>3890</v>
      </c>
      <c r="B1879" s="3">
        <v>46283</v>
      </c>
      <c r="C1879" s="36" t="s">
        <v>64</v>
      </c>
      <c r="D1879" s="2">
        <f>MONTH(ProductionData[[#This Row],[Month]])</f>
        <v>9</v>
      </c>
      <c r="E1879" s="2" t="s">
        <v>125</v>
      </c>
      <c r="F1879" s="2" t="s">
        <v>80</v>
      </c>
      <c r="G1879" s="2" t="s">
        <v>174</v>
      </c>
      <c r="H1879" s="2" t="s">
        <v>175</v>
      </c>
      <c r="I1879" s="2" t="s">
        <v>176</v>
      </c>
      <c r="J1879" s="2" t="s">
        <v>629</v>
      </c>
      <c r="K1879" s="2" t="s">
        <v>630</v>
      </c>
      <c r="L1879" s="2" t="s">
        <v>3891</v>
      </c>
      <c r="M1879" s="2" t="s">
        <v>87</v>
      </c>
      <c r="N1879" s="2" t="s">
        <v>88</v>
      </c>
      <c r="O1879" s="2">
        <v>10</v>
      </c>
      <c r="P1879" s="2">
        <v>10</v>
      </c>
      <c r="Q1879" s="4">
        <v>4750</v>
      </c>
      <c r="R1879" s="4">
        <v>4420</v>
      </c>
      <c r="S1879" s="4">
        <v>69</v>
      </c>
      <c r="T1879" s="19">
        <f>(ProductionData[[#This Row],[Rejected_Qty]])/ProductionData[[#This Row],[Produced_Qty]]</f>
        <v>1.5610859728506787E-2</v>
      </c>
      <c r="U1879" s="19">
        <f>ProductionData[[#This Row],[Produced_Qty]]/ProductionData[[#This Row],[Planned_Qty]]</f>
        <v>0.93052631578947365</v>
      </c>
      <c r="V1879" s="2" t="s">
        <v>113</v>
      </c>
      <c r="W1879" s="11">
        <v>0</v>
      </c>
      <c r="X1879" s="13">
        <f>W1879/60</f>
        <v>0</v>
      </c>
      <c r="Y1879" s="2" t="s">
        <v>90</v>
      </c>
      <c r="Z1879" s="2">
        <v>29</v>
      </c>
      <c r="AA1879" s="2">
        <f>ProductionData[[#This Row],[Rejected_Qty]]*ProductionData[[#This Row],[Unit_Cost_INR]]</f>
        <v>2001</v>
      </c>
      <c r="AB1879" s="4">
        <v>15807</v>
      </c>
      <c r="AC1879" s="4">
        <v>4380</v>
      </c>
      <c r="AD1879" s="4">
        <v>4380</v>
      </c>
      <c r="AE1879" s="4">
        <v>15778</v>
      </c>
      <c r="AF1879" s="4">
        <v>7500</v>
      </c>
    </row>
    <row r="1880" spans="1:32">
      <c r="A1880" s="2" t="s">
        <v>3892</v>
      </c>
      <c r="B1880" s="3">
        <v>46275</v>
      </c>
      <c r="C1880" s="36" t="s">
        <v>64</v>
      </c>
      <c r="D1880" s="2">
        <f>MONTH(ProductionData[[#This Row],[Month]])</f>
        <v>9</v>
      </c>
      <c r="E1880" s="2" t="s">
        <v>107</v>
      </c>
      <c r="F1880" s="2" t="s">
        <v>80</v>
      </c>
      <c r="G1880" s="2" t="s">
        <v>174</v>
      </c>
      <c r="H1880" s="2" t="s">
        <v>175</v>
      </c>
      <c r="I1880" s="2" t="s">
        <v>176</v>
      </c>
      <c r="J1880" s="2" t="s">
        <v>629</v>
      </c>
      <c r="K1880" s="2" t="s">
        <v>630</v>
      </c>
      <c r="L1880" s="2" t="s">
        <v>3893</v>
      </c>
      <c r="M1880" s="2" t="s">
        <v>102</v>
      </c>
      <c r="N1880" s="2" t="s">
        <v>88</v>
      </c>
      <c r="O1880" s="2">
        <v>10</v>
      </c>
      <c r="P1880" s="2">
        <v>10</v>
      </c>
      <c r="Q1880" s="4">
        <v>5120</v>
      </c>
      <c r="R1880" s="4">
        <v>5030</v>
      </c>
      <c r="S1880" s="4">
        <v>199</v>
      </c>
      <c r="T1880" s="19">
        <f>(ProductionData[[#This Row],[Rejected_Qty]])/ProductionData[[#This Row],[Produced_Qty]]</f>
        <v>3.9562624254473162E-2</v>
      </c>
      <c r="U1880" s="19">
        <f>ProductionData[[#This Row],[Produced_Qty]]/ProductionData[[#This Row],[Planned_Qty]]</f>
        <v>0.982421875</v>
      </c>
      <c r="V1880" s="2" t="s">
        <v>89</v>
      </c>
      <c r="W1880" s="11">
        <v>10</v>
      </c>
      <c r="X1880" s="13">
        <f>W1880/60</f>
        <v>0.16666666666666666</v>
      </c>
      <c r="Y1880" s="2" t="s">
        <v>110</v>
      </c>
      <c r="Z1880" s="2">
        <v>29</v>
      </c>
      <c r="AA1880" s="2">
        <f>ProductionData[[#This Row],[Rejected_Qty]]*ProductionData[[#This Row],[Unit_Cost_INR]]</f>
        <v>5771</v>
      </c>
      <c r="AB1880" s="4">
        <v>15666</v>
      </c>
      <c r="AC1880" s="4">
        <v>4750</v>
      </c>
      <c r="AD1880" s="4">
        <v>4750</v>
      </c>
      <c r="AE1880" s="4">
        <v>15747</v>
      </c>
      <c r="AF1880" s="4">
        <v>7500</v>
      </c>
    </row>
    <row r="1881" spans="1:32">
      <c r="A1881" s="2" t="s">
        <v>3894</v>
      </c>
      <c r="B1881" s="3">
        <v>46274</v>
      </c>
      <c r="C1881" s="36" t="s">
        <v>64</v>
      </c>
      <c r="D1881" s="2">
        <f>MONTH(ProductionData[[#This Row],[Month]])</f>
        <v>9</v>
      </c>
      <c r="E1881" s="2" t="s">
        <v>79</v>
      </c>
      <c r="F1881" s="2" t="s">
        <v>93</v>
      </c>
      <c r="G1881" s="2" t="s">
        <v>174</v>
      </c>
      <c r="H1881" s="2" t="s">
        <v>175</v>
      </c>
      <c r="I1881" s="2" t="s">
        <v>176</v>
      </c>
      <c r="J1881" s="2" t="s">
        <v>629</v>
      </c>
      <c r="K1881" s="2" t="s">
        <v>630</v>
      </c>
      <c r="L1881" s="2" t="s">
        <v>3895</v>
      </c>
      <c r="M1881" s="2" t="s">
        <v>133</v>
      </c>
      <c r="N1881" s="2" t="s">
        <v>96</v>
      </c>
      <c r="O1881" s="2">
        <v>10</v>
      </c>
      <c r="P1881" s="2">
        <v>9</v>
      </c>
      <c r="Q1881" s="4">
        <v>4560</v>
      </c>
      <c r="R1881" s="4">
        <v>4410</v>
      </c>
      <c r="S1881" s="4">
        <v>93</v>
      </c>
      <c r="T1881" s="19">
        <f>(ProductionData[[#This Row],[Rejected_Qty]])/ProductionData[[#This Row],[Produced_Qty]]</f>
        <v>2.1088435374149658E-2</v>
      </c>
      <c r="U1881" s="19">
        <f>ProductionData[[#This Row],[Produced_Qty]]/ProductionData[[#This Row],[Planned_Qty]]</f>
        <v>0.96710526315789469</v>
      </c>
      <c r="V1881" s="2" t="s">
        <v>109</v>
      </c>
      <c r="W1881" s="11">
        <v>0</v>
      </c>
      <c r="X1881" s="13">
        <f>W1881/60</f>
        <v>0</v>
      </c>
      <c r="Y1881" s="2" t="s">
        <v>90</v>
      </c>
      <c r="Z1881" s="2">
        <v>29</v>
      </c>
      <c r="AA1881" s="2">
        <f>ProductionData[[#This Row],[Rejected_Qty]]*ProductionData[[#This Row],[Unit_Cost_INR]]</f>
        <v>2697</v>
      </c>
      <c r="AB1881" s="4">
        <v>15229</v>
      </c>
      <c r="AC1881" s="4">
        <v>3880</v>
      </c>
      <c r="AD1881" s="4">
        <v>3880</v>
      </c>
      <c r="AE1881" s="4">
        <v>15666</v>
      </c>
      <c r="AF1881" s="4">
        <v>7500</v>
      </c>
    </row>
    <row r="1882" spans="1:32">
      <c r="A1882" s="2" t="s">
        <v>3896</v>
      </c>
      <c r="B1882" s="3">
        <v>46290</v>
      </c>
      <c r="C1882" s="36" t="s">
        <v>64</v>
      </c>
      <c r="D1882" s="2">
        <f>MONTH(ProductionData[[#This Row],[Month]])</f>
        <v>9</v>
      </c>
      <c r="E1882" s="2" t="s">
        <v>125</v>
      </c>
      <c r="F1882" s="2" t="s">
        <v>93</v>
      </c>
      <c r="G1882" s="2" t="s">
        <v>174</v>
      </c>
      <c r="H1882" s="2" t="s">
        <v>175</v>
      </c>
      <c r="I1882" s="2" t="s">
        <v>176</v>
      </c>
      <c r="J1882" s="2" t="s">
        <v>629</v>
      </c>
      <c r="K1882" s="2" t="s">
        <v>630</v>
      </c>
      <c r="L1882" s="2" t="s">
        <v>3897</v>
      </c>
      <c r="M1882" s="2" t="s">
        <v>133</v>
      </c>
      <c r="N1882" s="2" t="s">
        <v>88</v>
      </c>
      <c r="O1882" s="2">
        <v>10</v>
      </c>
      <c r="P1882" s="2">
        <v>8</v>
      </c>
      <c r="Q1882" s="4">
        <v>4540</v>
      </c>
      <c r="R1882" s="4">
        <v>3940</v>
      </c>
      <c r="S1882" s="4">
        <v>112</v>
      </c>
      <c r="T1882" s="19">
        <f>(ProductionData[[#This Row],[Rejected_Qty]])/ProductionData[[#This Row],[Produced_Qty]]</f>
        <v>2.8426395939086295E-2</v>
      </c>
      <c r="U1882" s="19">
        <f>ProductionData[[#This Row],[Produced_Qty]]/ProductionData[[#This Row],[Planned_Qty]]</f>
        <v>0.86784140969162993</v>
      </c>
      <c r="V1882" s="2" t="s">
        <v>75</v>
      </c>
      <c r="W1882" s="11">
        <v>0</v>
      </c>
      <c r="X1882" s="13">
        <f>W1882/60</f>
        <v>0</v>
      </c>
      <c r="Y1882" s="2" t="s">
        <v>90</v>
      </c>
      <c r="Z1882" s="2">
        <v>29</v>
      </c>
      <c r="AA1882" s="2">
        <f>ProductionData[[#This Row],[Rejected_Qty]]*ProductionData[[#This Row],[Unit_Cost_INR]]</f>
        <v>3248</v>
      </c>
      <c r="AB1882" s="4">
        <v>15856</v>
      </c>
      <c r="AC1882" s="4">
        <v>4050</v>
      </c>
      <c r="AD1882" s="4">
        <v>4050</v>
      </c>
      <c r="AE1882" s="4">
        <v>15634</v>
      </c>
      <c r="AF1882" s="4">
        <v>7500</v>
      </c>
    </row>
    <row r="1883" spans="1:32">
      <c r="A1883" s="2" t="s">
        <v>3898</v>
      </c>
      <c r="B1883" s="3">
        <v>46271</v>
      </c>
      <c r="C1883" s="36" t="s">
        <v>64</v>
      </c>
      <c r="D1883" s="2">
        <f>MONTH(ProductionData[[#This Row],[Month]])</f>
        <v>9</v>
      </c>
      <c r="E1883" s="2" t="s">
        <v>186</v>
      </c>
      <c r="F1883" s="2" t="s">
        <v>66</v>
      </c>
      <c r="G1883" s="2" t="s">
        <v>174</v>
      </c>
      <c r="H1883" s="2" t="s">
        <v>175</v>
      </c>
      <c r="I1883" s="2" t="s">
        <v>176</v>
      </c>
      <c r="J1883" s="2" t="s">
        <v>629</v>
      </c>
      <c r="K1883" s="2" t="s">
        <v>630</v>
      </c>
      <c r="L1883" s="2" t="s">
        <v>3899</v>
      </c>
      <c r="M1883" s="2" t="s">
        <v>73</v>
      </c>
      <c r="N1883" s="2" t="s">
        <v>88</v>
      </c>
      <c r="O1883" s="2">
        <v>10</v>
      </c>
      <c r="P1883" s="2">
        <v>8</v>
      </c>
      <c r="Q1883" s="4">
        <v>3650</v>
      </c>
      <c r="R1883" s="4">
        <v>3200</v>
      </c>
      <c r="S1883" s="4">
        <v>85</v>
      </c>
      <c r="T1883" s="19">
        <f>(ProductionData[[#This Row],[Rejected_Qty]])/ProductionData[[#This Row],[Produced_Qty]]</f>
        <v>2.6562499999999999E-2</v>
      </c>
      <c r="U1883" s="19">
        <f>ProductionData[[#This Row],[Produced_Qty]]/ProductionData[[#This Row],[Planned_Qty]]</f>
        <v>0.87671232876712324</v>
      </c>
      <c r="V1883" s="2" t="s">
        <v>75</v>
      </c>
      <c r="W1883" s="11">
        <v>55</v>
      </c>
      <c r="X1883" s="13">
        <f>W1883/60</f>
        <v>0.91666666666666663</v>
      </c>
      <c r="Y1883" s="2" t="s">
        <v>182</v>
      </c>
      <c r="Z1883" s="2">
        <v>29</v>
      </c>
      <c r="AA1883" s="2">
        <f>ProductionData[[#This Row],[Rejected_Qty]]*ProductionData[[#This Row],[Unit_Cost_INR]]</f>
        <v>2465</v>
      </c>
      <c r="AB1883" s="4">
        <v>15792</v>
      </c>
      <c r="AC1883" s="4">
        <v>3360</v>
      </c>
      <c r="AD1883" s="4">
        <v>3360</v>
      </c>
      <c r="AE1883" s="4">
        <v>15547</v>
      </c>
      <c r="AF1883" s="4">
        <v>7500</v>
      </c>
    </row>
    <row r="1884" spans="1:32">
      <c r="A1884" s="2" t="s">
        <v>3900</v>
      </c>
      <c r="B1884" s="3">
        <v>46290</v>
      </c>
      <c r="C1884" s="36" t="s">
        <v>64</v>
      </c>
      <c r="D1884" s="2">
        <f>MONTH(ProductionData[[#This Row],[Month]])</f>
        <v>9</v>
      </c>
      <c r="E1884" s="2" t="s">
        <v>125</v>
      </c>
      <c r="F1884" s="2" t="s">
        <v>66</v>
      </c>
      <c r="G1884" s="2" t="s">
        <v>174</v>
      </c>
      <c r="H1884" s="2" t="s">
        <v>175</v>
      </c>
      <c r="I1884" s="2" t="s">
        <v>176</v>
      </c>
      <c r="J1884" s="2" t="s">
        <v>629</v>
      </c>
      <c r="K1884" s="2" t="s">
        <v>630</v>
      </c>
      <c r="L1884" s="2" t="s">
        <v>3901</v>
      </c>
      <c r="M1884" s="2" t="s">
        <v>99</v>
      </c>
      <c r="N1884" s="2" t="s">
        <v>88</v>
      </c>
      <c r="O1884" s="2">
        <v>10</v>
      </c>
      <c r="P1884" s="2">
        <v>9</v>
      </c>
      <c r="Q1884" s="4">
        <v>4760</v>
      </c>
      <c r="R1884" s="4">
        <v>4370</v>
      </c>
      <c r="S1884" s="4">
        <v>150</v>
      </c>
      <c r="T1884" s="19">
        <f>(ProductionData[[#This Row],[Rejected_Qty]])/ProductionData[[#This Row],[Produced_Qty]]</f>
        <v>3.4324942791762014E-2</v>
      </c>
      <c r="U1884" s="19">
        <f>ProductionData[[#This Row],[Produced_Qty]]/ProductionData[[#This Row],[Planned_Qty]]</f>
        <v>0.91806722689075626</v>
      </c>
      <c r="V1884" s="2" t="s">
        <v>103</v>
      </c>
      <c r="W1884" s="11">
        <v>0</v>
      </c>
      <c r="X1884" s="13">
        <f>W1884/60</f>
        <v>0</v>
      </c>
      <c r="Y1884" s="2" t="s">
        <v>90</v>
      </c>
      <c r="Z1884" s="2">
        <v>29</v>
      </c>
      <c r="AA1884" s="2">
        <f>ProductionData[[#This Row],[Rejected_Qty]]*ProductionData[[#This Row],[Unit_Cost_INR]]</f>
        <v>4350</v>
      </c>
      <c r="AB1884" s="4">
        <v>15831</v>
      </c>
      <c r="AC1884" s="4">
        <v>4540</v>
      </c>
      <c r="AD1884" s="4">
        <v>4540</v>
      </c>
      <c r="AE1884" s="4">
        <v>15511</v>
      </c>
      <c r="AF1884" s="4">
        <v>7500</v>
      </c>
    </row>
    <row r="1885" spans="1:32">
      <c r="A1885" s="2" t="s">
        <v>3902</v>
      </c>
      <c r="B1885" s="3">
        <v>46287</v>
      </c>
      <c r="C1885" s="36" t="s">
        <v>64</v>
      </c>
      <c r="D1885" s="2">
        <f>MONTH(ProductionData[[#This Row],[Month]])</f>
        <v>9</v>
      </c>
      <c r="E1885" s="2" t="s">
        <v>92</v>
      </c>
      <c r="F1885" s="2" t="s">
        <v>93</v>
      </c>
      <c r="G1885" s="2" t="s">
        <v>174</v>
      </c>
      <c r="H1885" s="2" t="s">
        <v>175</v>
      </c>
      <c r="I1885" s="2" t="s">
        <v>176</v>
      </c>
      <c r="J1885" s="2" t="s">
        <v>629</v>
      </c>
      <c r="K1885" s="2" t="s">
        <v>630</v>
      </c>
      <c r="L1885" s="2" t="s">
        <v>3903</v>
      </c>
      <c r="M1885" s="2" t="s">
        <v>133</v>
      </c>
      <c r="N1885" s="2" t="s">
        <v>88</v>
      </c>
      <c r="O1885" s="2">
        <v>10</v>
      </c>
      <c r="P1885" s="2">
        <v>8</v>
      </c>
      <c r="Q1885" s="4">
        <v>4840</v>
      </c>
      <c r="R1885" s="4">
        <v>4370</v>
      </c>
      <c r="S1885" s="4">
        <v>147</v>
      </c>
      <c r="T1885" s="19">
        <f>(ProductionData[[#This Row],[Rejected_Qty]])/ProductionData[[#This Row],[Produced_Qty]]</f>
        <v>3.3638443935926771E-2</v>
      </c>
      <c r="U1885" s="19">
        <f>ProductionData[[#This Row],[Produced_Qty]]/ProductionData[[#This Row],[Planned_Qty]]</f>
        <v>0.90289256198347112</v>
      </c>
      <c r="V1885" s="2" t="s">
        <v>89</v>
      </c>
      <c r="W1885" s="11">
        <v>20</v>
      </c>
      <c r="X1885" s="13">
        <f>W1885/60</f>
        <v>0.33333333333333331</v>
      </c>
      <c r="Y1885" s="2" t="s">
        <v>110</v>
      </c>
      <c r="Z1885" s="2">
        <v>29</v>
      </c>
      <c r="AA1885" s="2">
        <f>ProductionData[[#This Row],[Rejected_Qty]]*ProductionData[[#This Row],[Unit_Cost_INR]]</f>
        <v>4263</v>
      </c>
      <c r="AB1885" s="4">
        <v>15119</v>
      </c>
      <c r="AC1885" s="4">
        <v>3950</v>
      </c>
      <c r="AD1885" s="4">
        <v>3950</v>
      </c>
      <c r="AE1885" s="4">
        <v>15392</v>
      </c>
      <c r="AF1885" s="4">
        <v>7500</v>
      </c>
    </row>
    <row r="1886" spans="1:32">
      <c r="A1886" s="2" t="s">
        <v>3904</v>
      </c>
      <c r="B1886" s="3">
        <v>46289</v>
      </c>
      <c r="C1886" s="36" t="s">
        <v>64</v>
      </c>
      <c r="D1886" s="2">
        <f>MONTH(ProductionData[[#This Row],[Month]])</f>
        <v>9</v>
      </c>
      <c r="E1886" s="2" t="s">
        <v>107</v>
      </c>
      <c r="F1886" s="2" t="s">
        <v>66</v>
      </c>
      <c r="G1886" s="2" t="s">
        <v>174</v>
      </c>
      <c r="H1886" s="2" t="s">
        <v>175</v>
      </c>
      <c r="I1886" s="2" t="s">
        <v>176</v>
      </c>
      <c r="J1886" s="2" t="s">
        <v>629</v>
      </c>
      <c r="K1886" s="2" t="s">
        <v>630</v>
      </c>
      <c r="L1886" s="2" t="s">
        <v>3905</v>
      </c>
      <c r="M1886" s="2" t="s">
        <v>99</v>
      </c>
      <c r="N1886" s="2" t="s">
        <v>88</v>
      </c>
      <c r="O1886" s="2">
        <v>10</v>
      </c>
      <c r="P1886" s="2">
        <v>10</v>
      </c>
      <c r="Q1886" s="4">
        <v>4730</v>
      </c>
      <c r="R1886" s="4">
        <v>4840</v>
      </c>
      <c r="S1886" s="4">
        <v>84</v>
      </c>
      <c r="T1886" s="19">
        <f>(ProductionData[[#This Row],[Rejected_Qty]])/ProductionData[[#This Row],[Produced_Qty]]</f>
        <v>1.7355371900826446E-2</v>
      </c>
      <c r="U1886" s="19">
        <f>ProductionData[[#This Row],[Produced_Qty]]/ProductionData[[#This Row],[Planned_Qty]]</f>
        <v>1.0232558139534884</v>
      </c>
      <c r="V1886" s="2" t="s">
        <v>89</v>
      </c>
      <c r="W1886" s="11">
        <v>13</v>
      </c>
      <c r="X1886" s="13">
        <f>W1886/60</f>
        <v>0.21666666666666667</v>
      </c>
      <c r="Y1886" s="2" t="s">
        <v>110</v>
      </c>
      <c r="Z1886" s="2">
        <v>29</v>
      </c>
      <c r="AA1886" s="2">
        <f>ProductionData[[#This Row],[Rejected_Qty]]*ProductionData[[#This Row],[Unit_Cost_INR]]</f>
        <v>2436</v>
      </c>
      <c r="AB1886" s="4">
        <v>14982</v>
      </c>
      <c r="AC1886" s="4">
        <v>4430</v>
      </c>
      <c r="AD1886" s="4">
        <v>4430</v>
      </c>
      <c r="AE1886" s="4">
        <v>15308</v>
      </c>
      <c r="AF1886" s="4">
        <v>7500</v>
      </c>
    </row>
    <row r="1887" spans="1:32">
      <c r="A1887" s="2" t="s">
        <v>3906</v>
      </c>
      <c r="B1887" s="3">
        <v>46273</v>
      </c>
      <c r="C1887" s="36" t="s">
        <v>64</v>
      </c>
      <c r="D1887" s="2">
        <f>MONTH(ProductionData[[#This Row],[Month]])</f>
        <v>9</v>
      </c>
      <c r="E1887" s="2" t="s">
        <v>92</v>
      </c>
      <c r="F1887" s="2" t="s">
        <v>80</v>
      </c>
      <c r="G1887" s="2" t="s">
        <v>174</v>
      </c>
      <c r="H1887" s="2" t="s">
        <v>175</v>
      </c>
      <c r="I1887" s="2" t="s">
        <v>176</v>
      </c>
      <c r="J1887" s="2" t="s">
        <v>629</v>
      </c>
      <c r="K1887" s="2" t="s">
        <v>630</v>
      </c>
      <c r="L1887" s="2" t="s">
        <v>3907</v>
      </c>
      <c r="M1887" s="2" t="s">
        <v>87</v>
      </c>
      <c r="N1887" s="2" t="s">
        <v>88</v>
      </c>
      <c r="O1887" s="2">
        <v>10</v>
      </c>
      <c r="P1887" s="2">
        <v>9</v>
      </c>
      <c r="Q1887" s="4">
        <v>5320</v>
      </c>
      <c r="R1887" s="4">
        <v>4730</v>
      </c>
      <c r="S1887" s="4">
        <v>55</v>
      </c>
      <c r="T1887" s="19">
        <f>(ProductionData[[#This Row],[Rejected_Qty]])/ProductionData[[#This Row],[Produced_Qty]]</f>
        <v>1.1627906976744186E-2</v>
      </c>
      <c r="U1887" s="19">
        <f>ProductionData[[#This Row],[Produced_Qty]]/ProductionData[[#This Row],[Planned_Qty]]</f>
        <v>0.88909774436090228</v>
      </c>
      <c r="V1887" s="2" t="s">
        <v>89</v>
      </c>
      <c r="W1887" s="11">
        <v>0</v>
      </c>
      <c r="X1887" s="13">
        <f>W1887/60</f>
        <v>0</v>
      </c>
      <c r="Y1887" s="2" t="s">
        <v>90</v>
      </c>
      <c r="Z1887" s="2">
        <v>29</v>
      </c>
      <c r="AA1887" s="2">
        <f>ProductionData[[#This Row],[Rejected_Qty]]*ProductionData[[#This Row],[Unit_Cost_INR]]</f>
        <v>1595</v>
      </c>
      <c r="AB1887" s="4">
        <v>15834</v>
      </c>
      <c r="AC1887" s="4">
        <v>5280</v>
      </c>
      <c r="AD1887" s="4">
        <v>5280</v>
      </c>
      <c r="AE1887" s="4">
        <v>15229</v>
      </c>
      <c r="AF1887" s="4">
        <v>7500</v>
      </c>
    </row>
    <row r="1888" spans="1:32">
      <c r="A1888" s="2" t="s">
        <v>3908</v>
      </c>
      <c r="B1888" s="3">
        <v>46287</v>
      </c>
      <c r="C1888" s="36" t="s">
        <v>64</v>
      </c>
      <c r="D1888" s="2">
        <f>MONTH(ProductionData[[#This Row],[Month]])</f>
        <v>9</v>
      </c>
      <c r="E1888" s="2" t="s">
        <v>92</v>
      </c>
      <c r="F1888" s="2" t="s">
        <v>80</v>
      </c>
      <c r="G1888" s="2" t="s">
        <v>174</v>
      </c>
      <c r="H1888" s="2" t="s">
        <v>175</v>
      </c>
      <c r="I1888" s="2" t="s">
        <v>176</v>
      </c>
      <c r="J1888" s="2" t="s">
        <v>629</v>
      </c>
      <c r="K1888" s="2" t="s">
        <v>630</v>
      </c>
      <c r="L1888" s="2" t="s">
        <v>3909</v>
      </c>
      <c r="M1888" s="2" t="s">
        <v>87</v>
      </c>
      <c r="N1888" s="2" t="s">
        <v>96</v>
      </c>
      <c r="O1888" s="2">
        <v>10</v>
      </c>
      <c r="P1888" s="2">
        <v>10</v>
      </c>
      <c r="Q1888" s="4">
        <v>5150</v>
      </c>
      <c r="R1888" s="4">
        <v>4840</v>
      </c>
      <c r="S1888" s="4">
        <v>146</v>
      </c>
      <c r="T1888" s="19">
        <f>(ProductionData[[#This Row],[Rejected_Qty]])/ProductionData[[#This Row],[Produced_Qty]]</f>
        <v>3.0165289256198349E-2</v>
      </c>
      <c r="U1888" s="19">
        <f>ProductionData[[#This Row],[Produced_Qty]]/ProductionData[[#This Row],[Planned_Qty]]</f>
        <v>0.9398058252427185</v>
      </c>
      <c r="V1888" s="2" t="s">
        <v>103</v>
      </c>
      <c r="W1888" s="11">
        <v>16</v>
      </c>
      <c r="X1888" s="13">
        <f>W1888/60</f>
        <v>0.26666666666666666</v>
      </c>
      <c r="Y1888" s="2" t="s">
        <v>110</v>
      </c>
      <c r="Z1888" s="2">
        <v>29</v>
      </c>
      <c r="AA1888" s="2">
        <f>ProductionData[[#This Row],[Rejected_Qty]]*ProductionData[[#This Row],[Unit_Cost_INR]]</f>
        <v>4234</v>
      </c>
      <c r="AB1888" s="4">
        <v>15785</v>
      </c>
      <c r="AC1888" s="4">
        <v>5360</v>
      </c>
      <c r="AD1888" s="4">
        <v>5360</v>
      </c>
      <c r="AE1888" s="4">
        <v>15119</v>
      </c>
      <c r="AF1888" s="4">
        <v>7500</v>
      </c>
    </row>
    <row r="1889" spans="1:32">
      <c r="A1889" s="2" t="s">
        <v>3910</v>
      </c>
      <c r="B1889" s="3">
        <v>46288</v>
      </c>
      <c r="C1889" s="36" t="s">
        <v>64</v>
      </c>
      <c r="D1889" s="2">
        <f>MONTH(ProductionData[[#This Row],[Month]])</f>
        <v>9</v>
      </c>
      <c r="E1889" s="2" t="s">
        <v>79</v>
      </c>
      <c r="F1889" s="2" t="s">
        <v>80</v>
      </c>
      <c r="G1889" s="2" t="s">
        <v>174</v>
      </c>
      <c r="H1889" s="2" t="s">
        <v>175</v>
      </c>
      <c r="I1889" s="2" t="s">
        <v>176</v>
      </c>
      <c r="J1889" s="2" t="s">
        <v>629</v>
      </c>
      <c r="K1889" s="2" t="s">
        <v>630</v>
      </c>
      <c r="L1889" s="2" t="s">
        <v>3911</v>
      </c>
      <c r="M1889" s="2" t="s">
        <v>102</v>
      </c>
      <c r="N1889" s="2" t="s">
        <v>88</v>
      </c>
      <c r="O1889" s="2">
        <v>10</v>
      </c>
      <c r="P1889" s="2">
        <v>9</v>
      </c>
      <c r="Q1889" s="4">
        <v>5250</v>
      </c>
      <c r="R1889" s="4">
        <v>4980</v>
      </c>
      <c r="S1889" s="4">
        <v>99</v>
      </c>
      <c r="T1889" s="19">
        <f>(ProductionData[[#This Row],[Rejected_Qty]])/ProductionData[[#This Row],[Produced_Qty]]</f>
        <v>1.9879518072289156E-2</v>
      </c>
      <c r="U1889" s="19">
        <f>ProductionData[[#This Row],[Produced_Qty]]/ProductionData[[#This Row],[Planned_Qty]]</f>
        <v>0.94857142857142862</v>
      </c>
      <c r="V1889" s="2" t="s">
        <v>103</v>
      </c>
      <c r="W1889" s="11">
        <v>70</v>
      </c>
      <c r="X1889" s="13">
        <f>W1889/60</f>
        <v>1.1666666666666667</v>
      </c>
      <c r="Y1889" s="2" t="s">
        <v>76</v>
      </c>
      <c r="Z1889" s="2">
        <v>29</v>
      </c>
      <c r="AA1889" s="2">
        <f>ProductionData[[#This Row],[Rejected_Qty]]*ProductionData[[#This Row],[Unit_Cost_INR]]</f>
        <v>2871</v>
      </c>
      <c r="AB1889" s="4">
        <v>15392</v>
      </c>
      <c r="AC1889" s="4">
        <v>5180</v>
      </c>
      <c r="AD1889" s="4">
        <v>5180</v>
      </c>
      <c r="AE1889" s="4">
        <v>15093</v>
      </c>
      <c r="AF1889" s="4">
        <v>7500</v>
      </c>
    </row>
    <row r="1890" spans="1:32">
      <c r="A1890" s="2" t="s">
        <v>3912</v>
      </c>
      <c r="B1890" s="3">
        <v>46288</v>
      </c>
      <c r="C1890" s="36" t="s">
        <v>64</v>
      </c>
      <c r="D1890" s="2">
        <f>MONTH(ProductionData[[#This Row],[Month]])</f>
        <v>9</v>
      </c>
      <c r="E1890" s="2" t="s">
        <v>79</v>
      </c>
      <c r="F1890" s="2" t="s">
        <v>93</v>
      </c>
      <c r="G1890" s="2" t="s">
        <v>174</v>
      </c>
      <c r="H1890" s="2" t="s">
        <v>175</v>
      </c>
      <c r="I1890" s="2" t="s">
        <v>176</v>
      </c>
      <c r="J1890" s="2" t="s">
        <v>629</v>
      </c>
      <c r="K1890" s="2" t="s">
        <v>630</v>
      </c>
      <c r="L1890" s="2" t="s">
        <v>3913</v>
      </c>
      <c r="M1890" s="2" t="s">
        <v>95</v>
      </c>
      <c r="N1890" s="2" t="s">
        <v>96</v>
      </c>
      <c r="O1890" s="2">
        <v>10</v>
      </c>
      <c r="P1890" s="2">
        <v>9</v>
      </c>
      <c r="Q1890" s="4">
        <v>4900</v>
      </c>
      <c r="R1890" s="4">
        <v>4610</v>
      </c>
      <c r="S1890" s="4">
        <v>111</v>
      </c>
      <c r="T1890" s="19">
        <f>(ProductionData[[#This Row],[Rejected_Qty]])/ProductionData[[#This Row],[Produced_Qty]]</f>
        <v>2.4078091106290674E-2</v>
      </c>
      <c r="U1890" s="19">
        <f>ProductionData[[#This Row],[Produced_Qty]]/ProductionData[[#This Row],[Planned_Qty]]</f>
        <v>0.9408163265306122</v>
      </c>
      <c r="V1890" s="2" t="s">
        <v>103</v>
      </c>
      <c r="W1890" s="11">
        <v>0</v>
      </c>
      <c r="X1890" s="13">
        <f>W1890/60</f>
        <v>0</v>
      </c>
      <c r="Y1890" s="2" t="s">
        <v>90</v>
      </c>
      <c r="Z1890" s="2">
        <v>29</v>
      </c>
      <c r="AA1890" s="2">
        <f>ProductionData[[#This Row],[Rejected_Qty]]*ProductionData[[#This Row],[Unit_Cost_INR]]</f>
        <v>3219</v>
      </c>
      <c r="AB1890" s="4">
        <v>15093</v>
      </c>
      <c r="AC1890" s="4">
        <v>4610</v>
      </c>
      <c r="AD1890" s="4">
        <v>4610</v>
      </c>
      <c r="AE1890" s="4">
        <v>14982</v>
      </c>
      <c r="AF1890" s="4">
        <v>7500</v>
      </c>
    </row>
    <row r="1891" spans="1:32">
      <c r="A1891" s="2" t="s">
        <v>3914</v>
      </c>
      <c r="B1891" s="3">
        <v>46293</v>
      </c>
      <c r="C1891" s="36" t="s">
        <v>64</v>
      </c>
      <c r="D1891" s="2">
        <f>MONTH(ProductionData[[#This Row],[Month]])</f>
        <v>9</v>
      </c>
      <c r="E1891" s="2" t="s">
        <v>116</v>
      </c>
      <c r="F1891" s="2" t="s">
        <v>80</v>
      </c>
      <c r="G1891" s="2" t="s">
        <v>174</v>
      </c>
      <c r="H1891" s="2" t="s">
        <v>175</v>
      </c>
      <c r="I1891" s="2" t="s">
        <v>176</v>
      </c>
      <c r="J1891" s="2" t="s">
        <v>629</v>
      </c>
      <c r="K1891" s="2" t="s">
        <v>630</v>
      </c>
      <c r="L1891" s="2" t="s">
        <v>3915</v>
      </c>
      <c r="M1891" s="2" t="s">
        <v>102</v>
      </c>
      <c r="N1891" s="2" t="s">
        <v>88</v>
      </c>
      <c r="O1891" s="2">
        <v>10</v>
      </c>
      <c r="P1891" s="2">
        <v>10</v>
      </c>
      <c r="Q1891" s="4">
        <v>4890</v>
      </c>
      <c r="R1891" s="4">
        <v>4670</v>
      </c>
      <c r="S1891" s="4">
        <v>113</v>
      </c>
      <c r="T1891" s="19">
        <f>(ProductionData[[#This Row],[Rejected_Qty]])/ProductionData[[#This Row],[Produced_Qty]]</f>
        <v>2.4197002141327622E-2</v>
      </c>
      <c r="U1891" s="19">
        <f>ProductionData[[#This Row],[Produced_Qty]]/ProductionData[[#This Row],[Planned_Qty]]</f>
        <v>0.95501022494887522</v>
      </c>
      <c r="V1891" s="2" t="s">
        <v>109</v>
      </c>
      <c r="W1891" s="11">
        <v>24</v>
      </c>
      <c r="X1891" s="13">
        <f>W1891/60</f>
        <v>0.4</v>
      </c>
      <c r="Y1891" s="2" t="s">
        <v>114</v>
      </c>
      <c r="Z1891" s="2">
        <v>29</v>
      </c>
      <c r="AA1891" s="2">
        <f>ProductionData[[#This Row],[Rejected_Qty]]*ProductionData[[#This Row],[Unit_Cost_INR]]</f>
        <v>3277</v>
      </c>
      <c r="AB1891" s="4">
        <v>14806</v>
      </c>
      <c r="AC1891" s="4">
        <v>4520</v>
      </c>
      <c r="AD1891" s="4">
        <v>4520</v>
      </c>
      <c r="AE1891" s="4">
        <v>14843</v>
      </c>
      <c r="AF1891" s="4">
        <v>7500</v>
      </c>
    </row>
    <row r="1892" spans="1:32">
      <c r="A1892" s="2" t="s">
        <v>3916</v>
      </c>
      <c r="B1892" s="3">
        <v>46291</v>
      </c>
      <c r="C1892" s="36" t="s">
        <v>64</v>
      </c>
      <c r="D1892" s="2">
        <f>MONTH(ProductionData[[#This Row],[Month]])</f>
        <v>9</v>
      </c>
      <c r="E1892" s="2" t="s">
        <v>65</v>
      </c>
      <c r="F1892" s="2" t="s">
        <v>93</v>
      </c>
      <c r="G1892" s="2" t="s">
        <v>174</v>
      </c>
      <c r="H1892" s="2" t="s">
        <v>175</v>
      </c>
      <c r="I1892" s="2" t="s">
        <v>176</v>
      </c>
      <c r="J1892" s="2" t="s">
        <v>629</v>
      </c>
      <c r="K1892" s="2" t="s">
        <v>630</v>
      </c>
      <c r="L1892" s="2" t="s">
        <v>3917</v>
      </c>
      <c r="M1892" s="2" t="s">
        <v>133</v>
      </c>
      <c r="N1892" s="2" t="s">
        <v>88</v>
      </c>
      <c r="O1892" s="2">
        <v>10</v>
      </c>
      <c r="P1892" s="2">
        <v>9</v>
      </c>
      <c r="Q1892" s="4">
        <v>5030</v>
      </c>
      <c r="R1892" s="4">
        <v>4350</v>
      </c>
      <c r="S1892" s="4">
        <v>138</v>
      </c>
      <c r="T1892" s="19">
        <f>(ProductionData[[#This Row],[Rejected_Qty]])/ProductionData[[#This Row],[Produced_Qty]]</f>
        <v>3.1724137931034485E-2</v>
      </c>
      <c r="U1892" s="19">
        <f>ProductionData[[#This Row],[Produced_Qty]]/ProductionData[[#This Row],[Planned_Qty]]</f>
        <v>0.86481113320079528</v>
      </c>
      <c r="V1892" s="2" t="s">
        <v>75</v>
      </c>
      <c r="W1892" s="11">
        <v>0</v>
      </c>
      <c r="X1892" s="13">
        <f>W1892/60</f>
        <v>0</v>
      </c>
      <c r="Y1892" s="2" t="s">
        <v>90</v>
      </c>
      <c r="Z1892" s="2">
        <v>29</v>
      </c>
      <c r="AA1892" s="2">
        <f>ProductionData[[#This Row],[Rejected_Qty]]*ProductionData[[#This Row],[Unit_Cost_INR]]</f>
        <v>4002</v>
      </c>
      <c r="AB1892" s="4">
        <v>15634</v>
      </c>
      <c r="AC1892" s="4">
        <v>5040</v>
      </c>
      <c r="AD1892" s="4">
        <v>5040</v>
      </c>
      <c r="AE1892" s="4">
        <v>14806</v>
      </c>
      <c r="AF1892" s="4">
        <v>7500</v>
      </c>
    </row>
    <row r="1893" spans="1:32">
      <c r="A1893" s="2" t="s">
        <v>3918</v>
      </c>
      <c r="B1893" s="3">
        <v>46266</v>
      </c>
      <c r="C1893" s="36" t="s">
        <v>64</v>
      </c>
      <c r="D1893" s="2">
        <f>MONTH(ProductionData[[#This Row],[Month]])</f>
        <v>9</v>
      </c>
      <c r="E1893" s="2" t="s">
        <v>92</v>
      </c>
      <c r="F1893" s="2" t="s">
        <v>66</v>
      </c>
      <c r="G1893" s="2" t="s">
        <v>67</v>
      </c>
      <c r="H1893" s="2" t="s">
        <v>68</v>
      </c>
      <c r="I1893" s="2" t="s">
        <v>69</v>
      </c>
      <c r="J1893" s="2" t="s">
        <v>403</v>
      </c>
      <c r="K1893" s="2" t="s">
        <v>404</v>
      </c>
      <c r="L1893" s="2" t="s">
        <v>3919</v>
      </c>
      <c r="M1893" s="2" t="s">
        <v>99</v>
      </c>
      <c r="N1893" s="2" t="s">
        <v>96</v>
      </c>
      <c r="O1893" s="2">
        <v>16</v>
      </c>
      <c r="P1893" s="2">
        <v>16</v>
      </c>
      <c r="Q1893" s="4">
        <v>6160</v>
      </c>
      <c r="R1893" s="4">
        <v>6060</v>
      </c>
      <c r="S1893" s="4">
        <v>135</v>
      </c>
      <c r="T1893" s="19">
        <f>(ProductionData[[#This Row],[Rejected_Qty]])/ProductionData[[#This Row],[Produced_Qty]]</f>
        <v>2.2277227722772276E-2</v>
      </c>
      <c r="U1893" s="19">
        <f>ProductionData[[#This Row],[Produced_Qty]]/ProductionData[[#This Row],[Planned_Qty]]</f>
        <v>0.98376623376623373</v>
      </c>
      <c r="V1893" s="2" t="s">
        <v>109</v>
      </c>
      <c r="W1893" s="11">
        <v>0</v>
      </c>
      <c r="X1893" s="13">
        <f>W1893/60</f>
        <v>0</v>
      </c>
      <c r="Y1893" s="2" t="s">
        <v>90</v>
      </c>
      <c r="Z1893" s="2">
        <v>58</v>
      </c>
      <c r="AA1893" s="2">
        <f>ProductionData[[#This Row],[Rejected_Qty]]*ProductionData[[#This Row],[Unit_Cost_INR]]</f>
        <v>7830</v>
      </c>
      <c r="AB1893" s="4">
        <v>10386</v>
      </c>
      <c r="AC1893" s="4">
        <v>6590</v>
      </c>
      <c r="AD1893" s="4">
        <v>6590</v>
      </c>
      <c r="AE1893" s="4">
        <v>9721</v>
      </c>
      <c r="AF1893" s="4">
        <v>9000</v>
      </c>
    </row>
    <row r="1894" spans="1:32">
      <c r="A1894" s="2" t="s">
        <v>3920</v>
      </c>
      <c r="B1894" s="3">
        <v>46266</v>
      </c>
      <c r="C1894" s="36" t="s">
        <v>64</v>
      </c>
      <c r="D1894" s="2">
        <f>MONTH(ProductionData[[#This Row],[Month]])</f>
        <v>9</v>
      </c>
      <c r="E1894" s="2" t="s">
        <v>92</v>
      </c>
      <c r="F1894" s="2" t="s">
        <v>80</v>
      </c>
      <c r="G1894" s="2" t="s">
        <v>67</v>
      </c>
      <c r="H1894" s="2" t="s">
        <v>68</v>
      </c>
      <c r="I1894" s="2" t="s">
        <v>69</v>
      </c>
      <c r="J1894" s="2" t="s">
        <v>403</v>
      </c>
      <c r="K1894" s="2" t="s">
        <v>404</v>
      </c>
      <c r="L1894" s="2" t="s">
        <v>3921</v>
      </c>
      <c r="M1894" s="2" t="s">
        <v>102</v>
      </c>
      <c r="N1894" s="2" t="s">
        <v>96</v>
      </c>
      <c r="O1894" s="2">
        <v>16</v>
      </c>
      <c r="P1894" s="2">
        <v>16</v>
      </c>
      <c r="Q1894" s="4">
        <v>5620</v>
      </c>
      <c r="R1894" s="4">
        <v>5320</v>
      </c>
      <c r="S1894" s="4">
        <v>163</v>
      </c>
      <c r="T1894" s="19">
        <f>(ProductionData[[#This Row],[Rejected_Qty]])/ProductionData[[#This Row],[Produced_Qty]]</f>
        <v>3.0639097744360903E-2</v>
      </c>
      <c r="U1894" s="19">
        <f>ProductionData[[#This Row],[Produced_Qty]]/ProductionData[[#This Row],[Planned_Qty]]</f>
        <v>0.94661921708185048</v>
      </c>
      <c r="V1894" s="2" t="s">
        <v>109</v>
      </c>
      <c r="W1894" s="11">
        <v>0</v>
      </c>
      <c r="X1894" s="13">
        <f>W1894/60</f>
        <v>0</v>
      </c>
      <c r="Y1894" s="2" t="s">
        <v>90</v>
      </c>
      <c r="Z1894" s="2">
        <v>58</v>
      </c>
      <c r="AA1894" s="2">
        <f>ProductionData[[#This Row],[Rejected_Qty]]*ProductionData[[#This Row],[Unit_Cost_INR]]</f>
        <v>9454</v>
      </c>
      <c r="AB1894" s="4">
        <v>9721</v>
      </c>
      <c r="AC1894" s="4">
        <v>5160</v>
      </c>
      <c r="AD1894" s="4">
        <v>5160</v>
      </c>
      <c r="AE1894" s="4">
        <v>9718</v>
      </c>
      <c r="AF1894" s="4">
        <v>9000</v>
      </c>
    </row>
    <row r="1895" spans="1:32">
      <c r="A1895" s="2" t="s">
        <v>3922</v>
      </c>
      <c r="B1895" s="3">
        <v>46267</v>
      </c>
      <c r="C1895" s="36" t="s">
        <v>64</v>
      </c>
      <c r="D1895" s="2">
        <f>MONTH(ProductionData[[#This Row],[Month]])</f>
        <v>9</v>
      </c>
      <c r="E1895" s="2" t="s">
        <v>79</v>
      </c>
      <c r="F1895" s="2" t="s">
        <v>66</v>
      </c>
      <c r="G1895" s="2" t="s">
        <v>67</v>
      </c>
      <c r="H1895" s="2" t="s">
        <v>68</v>
      </c>
      <c r="I1895" s="2" t="s">
        <v>69</v>
      </c>
      <c r="J1895" s="2" t="s">
        <v>403</v>
      </c>
      <c r="K1895" s="2" t="s">
        <v>404</v>
      </c>
      <c r="L1895" s="2" t="s">
        <v>3923</v>
      </c>
      <c r="M1895" s="2" t="s">
        <v>73</v>
      </c>
      <c r="N1895" s="2" t="s">
        <v>74</v>
      </c>
      <c r="O1895" s="2">
        <v>16</v>
      </c>
      <c r="P1895" s="2">
        <v>16</v>
      </c>
      <c r="Q1895" s="4">
        <v>6290</v>
      </c>
      <c r="R1895" s="4">
        <v>6000</v>
      </c>
      <c r="S1895" s="4">
        <v>774</v>
      </c>
      <c r="T1895" s="19">
        <f>(ProductionData[[#This Row],[Rejected_Qty]])/ProductionData[[#This Row],[Produced_Qty]]</f>
        <v>0.129</v>
      </c>
      <c r="U1895" s="19">
        <f>ProductionData[[#This Row],[Produced_Qty]]/ProductionData[[#This Row],[Planned_Qty]]</f>
        <v>0.95389507154213038</v>
      </c>
      <c r="V1895" s="2" t="s">
        <v>2284</v>
      </c>
      <c r="W1895" s="11">
        <v>15</v>
      </c>
      <c r="X1895" s="13">
        <f>W1895/60</f>
        <v>0.25</v>
      </c>
      <c r="Y1895" s="2" t="s">
        <v>110</v>
      </c>
      <c r="Z1895" s="2">
        <v>58</v>
      </c>
      <c r="AA1895" s="2">
        <f>ProductionData[[#This Row],[Rejected_Qty]]*ProductionData[[#This Row],[Unit_Cost_INR]]</f>
        <v>44892</v>
      </c>
      <c r="AB1895" s="4">
        <v>9718</v>
      </c>
      <c r="AC1895" s="4">
        <v>5810</v>
      </c>
      <c r="AD1895" s="4">
        <v>5810</v>
      </c>
      <c r="AE1895" s="4">
        <v>9134</v>
      </c>
      <c r="AF1895" s="4">
        <v>9000</v>
      </c>
    </row>
    <row r="1896" spans="1:32">
      <c r="A1896" s="2" t="s">
        <v>3924</v>
      </c>
      <c r="B1896" s="3">
        <v>46267</v>
      </c>
      <c r="C1896" s="36" t="s">
        <v>64</v>
      </c>
      <c r="D1896" s="2">
        <f>MONTH(ProductionData[[#This Row],[Month]])</f>
        <v>9</v>
      </c>
      <c r="E1896" s="2" t="s">
        <v>79</v>
      </c>
      <c r="F1896" s="2" t="s">
        <v>93</v>
      </c>
      <c r="G1896" s="2" t="s">
        <v>67</v>
      </c>
      <c r="H1896" s="2" t="s">
        <v>68</v>
      </c>
      <c r="I1896" s="2" t="s">
        <v>69</v>
      </c>
      <c r="J1896" s="2" t="s">
        <v>403</v>
      </c>
      <c r="K1896" s="2" t="s">
        <v>404</v>
      </c>
      <c r="L1896" s="2" t="s">
        <v>3925</v>
      </c>
      <c r="M1896" s="2" t="s">
        <v>95</v>
      </c>
      <c r="N1896" s="2" t="s">
        <v>74</v>
      </c>
      <c r="O1896" s="2">
        <v>16</v>
      </c>
      <c r="P1896" s="2">
        <v>14</v>
      </c>
      <c r="Q1896" s="4">
        <v>6160</v>
      </c>
      <c r="R1896" s="4">
        <v>5540</v>
      </c>
      <c r="S1896" s="4">
        <v>583</v>
      </c>
      <c r="T1896" s="19">
        <f>(ProductionData[[#This Row],[Rejected_Qty]])/ProductionData[[#This Row],[Produced_Qty]]</f>
        <v>0.10523465703971119</v>
      </c>
      <c r="U1896" s="19">
        <f>ProductionData[[#This Row],[Produced_Qty]]/ProductionData[[#This Row],[Planned_Qty]]</f>
        <v>0.89935064935064934</v>
      </c>
      <c r="V1896" s="2" t="s">
        <v>2284</v>
      </c>
      <c r="W1896" s="11">
        <v>0</v>
      </c>
      <c r="X1896" s="13">
        <f>W1896/60</f>
        <v>0</v>
      </c>
      <c r="Y1896" s="2" t="s">
        <v>90</v>
      </c>
      <c r="Z1896" s="2">
        <v>58</v>
      </c>
      <c r="AA1896" s="2">
        <f>ProductionData[[#This Row],[Rejected_Qty]]*ProductionData[[#This Row],[Unit_Cost_INR]]</f>
        <v>33814</v>
      </c>
      <c r="AB1896" s="4">
        <v>9134</v>
      </c>
      <c r="AC1896" s="4">
        <v>5130</v>
      </c>
      <c r="AD1896" s="4">
        <v>5130</v>
      </c>
      <c r="AE1896" s="4">
        <v>8961</v>
      </c>
      <c r="AF1896" s="4">
        <v>9000</v>
      </c>
    </row>
    <row r="1897" spans="1:32">
      <c r="A1897" s="2" t="s">
        <v>3926</v>
      </c>
      <c r="B1897" s="3">
        <v>46269</v>
      </c>
      <c r="C1897" s="36" t="s">
        <v>64</v>
      </c>
      <c r="D1897" s="2">
        <f>MONTH(ProductionData[[#This Row],[Month]])</f>
        <v>9</v>
      </c>
      <c r="E1897" s="2" t="s">
        <v>125</v>
      </c>
      <c r="F1897" s="2" t="s">
        <v>80</v>
      </c>
      <c r="G1897" s="2" t="s">
        <v>67</v>
      </c>
      <c r="H1897" s="2" t="s">
        <v>68</v>
      </c>
      <c r="I1897" s="2" t="s">
        <v>69</v>
      </c>
      <c r="J1897" s="2" t="s">
        <v>403</v>
      </c>
      <c r="K1897" s="2" t="s">
        <v>404</v>
      </c>
      <c r="L1897" s="2" t="s">
        <v>3927</v>
      </c>
      <c r="M1897" s="2" t="s">
        <v>102</v>
      </c>
      <c r="N1897" s="2" t="s">
        <v>74</v>
      </c>
      <c r="O1897" s="2">
        <v>16</v>
      </c>
      <c r="P1897" s="2">
        <v>15</v>
      </c>
      <c r="Q1897" s="4">
        <v>6770</v>
      </c>
      <c r="R1897" s="4">
        <v>6480</v>
      </c>
      <c r="S1897" s="4">
        <v>675</v>
      </c>
      <c r="T1897" s="19">
        <f>(ProductionData[[#This Row],[Rejected_Qty]])/ProductionData[[#This Row],[Produced_Qty]]</f>
        <v>0.10416666666666667</v>
      </c>
      <c r="U1897" s="19">
        <f>ProductionData[[#This Row],[Produced_Qty]]/ProductionData[[#This Row],[Planned_Qty]]</f>
        <v>0.95716395864106352</v>
      </c>
      <c r="V1897" s="2" t="s">
        <v>2284</v>
      </c>
      <c r="W1897" s="11">
        <v>0</v>
      </c>
      <c r="X1897" s="13">
        <f>W1897/60</f>
        <v>0</v>
      </c>
      <c r="Y1897" s="2" t="s">
        <v>90</v>
      </c>
      <c r="Z1897" s="2">
        <v>58</v>
      </c>
      <c r="AA1897" s="2">
        <f>ProductionData[[#This Row],[Rejected_Qty]]*ProductionData[[#This Row],[Unit_Cost_INR]]</f>
        <v>39150</v>
      </c>
      <c r="AB1897" s="4">
        <v>8961</v>
      </c>
      <c r="AC1897" s="4">
        <v>6690</v>
      </c>
      <c r="AD1897" s="4">
        <v>6690</v>
      </c>
      <c r="AE1897" s="4">
        <v>8076</v>
      </c>
      <c r="AF1897" s="4">
        <v>9000</v>
      </c>
    </row>
    <row r="1898" spans="1:32">
      <c r="A1898" s="2" t="s">
        <v>3928</v>
      </c>
      <c r="B1898" s="3">
        <v>46283</v>
      </c>
      <c r="C1898" s="36" t="s">
        <v>64</v>
      </c>
      <c r="D1898" s="2">
        <f>MONTH(ProductionData[[#This Row],[Month]])</f>
        <v>9</v>
      </c>
      <c r="E1898" s="2" t="s">
        <v>125</v>
      </c>
      <c r="F1898" s="2" t="s">
        <v>66</v>
      </c>
      <c r="G1898" s="2" t="s">
        <v>81</v>
      </c>
      <c r="H1898" s="2" t="s">
        <v>82</v>
      </c>
      <c r="I1898" s="2" t="s">
        <v>83</v>
      </c>
      <c r="J1898" s="2" t="s">
        <v>721</v>
      </c>
      <c r="K1898" s="2" t="s">
        <v>722</v>
      </c>
      <c r="L1898" s="2" t="s">
        <v>3929</v>
      </c>
      <c r="M1898" s="2" t="s">
        <v>73</v>
      </c>
      <c r="N1898" s="2" t="s">
        <v>88</v>
      </c>
      <c r="O1898" s="2">
        <v>18</v>
      </c>
      <c r="P1898" s="2">
        <v>18</v>
      </c>
      <c r="Q1898" s="4">
        <v>3650</v>
      </c>
      <c r="R1898" s="4">
        <v>3540</v>
      </c>
      <c r="S1898" s="4">
        <v>42</v>
      </c>
      <c r="T1898" s="19">
        <f>(ProductionData[[#This Row],[Rejected_Qty]])/ProductionData[[#This Row],[Produced_Qty]]</f>
        <v>1.1864406779661017E-2</v>
      </c>
      <c r="U1898" s="19">
        <f>ProductionData[[#This Row],[Produced_Qty]]/ProductionData[[#This Row],[Planned_Qty]]</f>
        <v>0.96986301369863015</v>
      </c>
      <c r="V1898" s="2" t="s">
        <v>103</v>
      </c>
      <c r="W1898" s="11">
        <v>0</v>
      </c>
      <c r="X1898" s="13">
        <f>W1898/60</f>
        <v>0</v>
      </c>
      <c r="Y1898" s="2" t="s">
        <v>90</v>
      </c>
      <c r="Z1898" s="2">
        <v>64</v>
      </c>
      <c r="AA1898" s="2">
        <f>ProductionData[[#This Row],[Rejected_Qty]]*ProductionData[[#This Row],[Unit_Cost_INR]]</f>
        <v>2688</v>
      </c>
      <c r="AB1898" s="4">
        <v>7935</v>
      </c>
      <c r="AC1898" s="4">
        <v>3400</v>
      </c>
      <c r="AD1898" s="4">
        <v>3400</v>
      </c>
      <c r="AE1898" s="4">
        <v>8033</v>
      </c>
      <c r="AF1898" s="4">
        <v>5250</v>
      </c>
    </row>
    <row r="1899" spans="1:32">
      <c r="A1899" s="2" t="s">
        <v>3930</v>
      </c>
      <c r="B1899" s="3">
        <v>46282</v>
      </c>
      <c r="C1899" s="36" t="s">
        <v>64</v>
      </c>
      <c r="D1899" s="2">
        <f>MONTH(ProductionData[[#This Row],[Month]])</f>
        <v>9</v>
      </c>
      <c r="E1899" s="2" t="s">
        <v>107</v>
      </c>
      <c r="F1899" s="2" t="s">
        <v>93</v>
      </c>
      <c r="G1899" s="2" t="s">
        <v>81</v>
      </c>
      <c r="H1899" s="2" t="s">
        <v>82</v>
      </c>
      <c r="I1899" s="2" t="s">
        <v>83</v>
      </c>
      <c r="J1899" s="2" t="s">
        <v>721</v>
      </c>
      <c r="K1899" s="2" t="s">
        <v>722</v>
      </c>
      <c r="L1899" s="2" t="s">
        <v>3931</v>
      </c>
      <c r="M1899" s="2" t="s">
        <v>133</v>
      </c>
      <c r="N1899" s="2" t="s">
        <v>88</v>
      </c>
      <c r="O1899" s="2">
        <v>18</v>
      </c>
      <c r="P1899" s="2">
        <v>16</v>
      </c>
      <c r="Q1899" s="4">
        <v>3550</v>
      </c>
      <c r="R1899" s="4">
        <v>3340</v>
      </c>
      <c r="S1899" s="4">
        <v>76</v>
      </c>
      <c r="T1899" s="19">
        <f>(ProductionData[[#This Row],[Rejected_Qty]])/ProductionData[[#This Row],[Produced_Qty]]</f>
        <v>2.2754491017964073E-2</v>
      </c>
      <c r="U1899" s="19">
        <f>ProductionData[[#This Row],[Produced_Qty]]/ProductionData[[#This Row],[Planned_Qty]]</f>
        <v>0.94084507042253518</v>
      </c>
      <c r="V1899" s="2" t="s">
        <v>109</v>
      </c>
      <c r="W1899" s="11">
        <v>0</v>
      </c>
      <c r="X1899" s="13">
        <f>W1899/60</f>
        <v>0</v>
      </c>
      <c r="Y1899" s="2" t="s">
        <v>90</v>
      </c>
      <c r="Z1899" s="2">
        <v>64</v>
      </c>
      <c r="AA1899" s="2">
        <f>ProductionData[[#This Row],[Rejected_Qty]]*ProductionData[[#This Row],[Unit_Cost_INR]]</f>
        <v>4864</v>
      </c>
      <c r="AB1899" s="4">
        <v>7901</v>
      </c>
      <c r="AC1899" s="4">
        <v>3230</v>
      </c>
      <c r="AD1899" s="4">
        <v>3230</v>
      </c>
      <c r="AE1899" s="4">
        <v>7935</v>
      </c>
      <c r="AF1899" s="4">
        <v>5250</v>
      </c>
    </row>
    <row r="1900" spans="1:32">
      <c r="A1900" s="2" t="s">
        <v>3932</v>
      </c>
      <c r="B1900" s="3">
        <v>46282</v>
      </c>
      <c r="C1900" s="36" t="s">
        <v>64</v>
      </c>
      <c r="D1900" s="2">
        <f>MONTH(ProductionData[[#This Row],[Month]])</f>
        <v>9</v>
      </c>
      <c r="E1900" s="2" t="s">
        <v>107</v>
      </c>
      <c r="F1900" s="2" t="s">
        <v>66</v>
      </c>
      <c r="G1900" s="2" t="s">
        <v>81</v>
      </c>
      <c r="H1900" s="2" t="s">
        <v>82</v>
      </c>
      <c r="I1900" s="2" t="s">
        <v>83</v>
      </c>
      <c r="J1900" s="2" t="s">
        <v>721</v>
      </c>
      <c r="K1900" s="2" t="s">
        <v>722</v>
      </c>
      <c r="L1900" s="2" t="s">
        <v>3933</v>
      </c>
      <c r="M1900" s="2" t="s">
        <v>99</v>
      </c>
      <c r="N1900" s="2" t="s">
        <v>96</v>
      </c>
      <c r="O1900" s="2">
        <v>18</v>
      </c>
      <c r="P1900" s="2">
        <v>17</v>
      </c>
      <c r="Q1900" s="4">
        <v>3460</v>
      </c>
      <c r="R1900" s="4">
        <v>3300</v>
      </c>
      <c r="S1900" s="4">
        <v>70</v>
      </c>
      <c r="T1900" s="19">
        <f>(ProductionData[[#This Row],[Rejected_Qty]])/ProductionData[[#This Row],[Produced_Qty]]</f>
        <v>2.1212121212121213E-2</v>
      </c>
      <c r="U1900" s="19">
        <f>ProductionData[[#This Row],[Produced_Qty]]/ProductionData[[#This Row],[Planned_Qty]]</f>
        <v>0.95375722543352603</v>
      </c>
      <c r="V1900" s="2" t="s">
        <v>103</v>
      </c>
      <c r="W1900" s="11">
        <v>19</v>
      </c>
      <c r="X1900" s="13">
        <f>W1900/60</f>
        <v>0.31666666666666665</v>
      </c>
      <c r="Y1900" s="2" t="s">
        <v>76</v>
      </c>
      <c r="Z1900" s="2">
        <v>64</v>
      </c>
      <c r="AA1900" s="2">
        <f>ProductionData[[#This Row],[Rejected_Qty]]*ProductionData[[#This Row],[Unit_Cost_INR]]</f>
        <v>4480</v>
      </c>
      <c r="AB1900" s="4">
        <v>7741</v>
      </c>
      <c r="AC1900" s="4">
        <v>3070</v>
      </c>
      <c r="AD1900" s="4">
        <v>3070</v>
      </c>
      <c r="AE1900" s="4">
        <v>7901</v>
      </c>
      <c r="AF1900" s="4">
        <v>5250</v>
      </c>
    </row>
    <row r="1901" spans="1:32">
      <c r="A1901" s="2" t="s">
        <v>3934</v>
      </c>
      <c r="B1901" s="3">
        <v>46283</v>
      </c>
      <c r="C1901" s="36" t="s">
        <v>64</v>
      </c>
      <c r="D1901" s="2">
        <f>MONTH(ProductionData[[#This Row],[Month]])</f>
        <v>9</v>
      </c>
      <c r="E1901" s="2" t="s">
        <v>125</v>
      </c>
      <c r="F1901" s="2" t="s">
        <v>80</v>
      </c>
      <c r="G1901" s="2" t="s">
        <v>81</v>
      </c>
      <c r="H1901" s="2" t="s">
        <v>82</v>
      </c>
      <c r="I1901" s="2" t="s">
        <v>83</v>
      </c>
      <c r="J1901" s="2" t="s">
        <v>721</v>
      </c>
      <c r="K1901" s="2" t="s">
        <v>722</v>
      </c>
      <c r="L1901" s="2" t="s">
        <v>3935</v>
      </c>
      <c r="M1901" s="2" t="s">
        <v>87</v>
      </c>
      <c r="N1901" s="2" t="s">
        <v>96</v>
      </c>
      <c r="O1901" s="2">
        <v>18</v>
      </c>
      <c r="P1901" s="2">
        <v>17</v>
      </c>
      <c r="Q1901" s="4">
        <v>3470</v>
      </c>
      <c r="R1901" s="4">
        <v>3180</v>
      </c>
      <c r="S1901" s="4">
        <v>81</v>
      </c>
      <c r="T1901" s="19">
        <f>(ProductionData[[#This Row],[Rejected_Qty]])/ProductionData[[#This Row],[Produced_Qty]]</f>
        <v>2.5471698113207548E-2</v>
      </c>
      <c r="U1901" s="19">
        <f>ProductionData[[#This Row],[Produced_Qty]]/ProductionData[[#This Row],[Planned_Qty]]</f>
        <v>0.91642651296829969</v>
      </c>
      <c r="V1901" s="2" t="s">
        <v>75</v>
      </c>
      <c r="W1901" s="11">
        <v>70</v>
      </c>
      <c r="X1901" s="13">
        <f>W1901/60</f>
        <v>1.1666666666666667</v>
      </c>
      <c r="Y1901" s="2" t="s">
        <v>136</v>
      </c>
      <c r="Z1901" s="2">
        <v>64</v>
      </c>
      <c r="AA1901" s="2">
        <f>ProductionData[[#This Row],[Rejected_Qty]]*ProductionData[[#This Row],[Unit_Cost_INR]]</f>
        <v>5184</v>
      </c>
      <c r="AB1901" s="4">
        <v>8033</v>
      </c>
      <c r="AC1901" s="4">
        <v>3240</v>
      </c>
      <c r="AD1901" s="4">
        <v>3240</v>
      </c>
      <c r="AE1901" s="4">
        <v>7892</v>
      </c>
      <c r="AF1901" s="4">
        <v>5250</v>
      </c>
    </row>
    <row r="1902" spans="1:32">
      <c r="A1902" s="2" t="s">
        <v>3936</v>
      </c>
      <c r="B1902" s="3">
        <v>46291</v>
      </c>
      <c r="C1902" s="36" t="s">
        <v>64</v>
      </c>
      <c r="D1902" s="2">
        <f>MONTH(ProductionData[[#This Row],[Month]])</f>
        <v>9</v>
      </c>
      <c r="E1902" s="2" t="s">
        <v>65</v>
      </c>
      <c r="F1902" s="2" t="s">
        <v>66</v>
      </c>
      <c r="G1902" s="2" t="s">
        <v>81</v>
      </c>
      <c r="H1902" s="2" t="s">
        <v>82</v>
      </c>
      <c r="I1902" s="2" t="s">
        <v>83</v>
      </c>
      <c r="J1902" s="2" t="s">
        <v>721</v>
      </c>
      <c r="K1902" s="2" t="s">
        <v>722</v>
      </c>
      <c r="L1902" s="2" t="s">
        <v>3937</v>
      </c>
      <c r="M1902" s="2" t="s">
        <v>99</v>
      </c>
      <c r="N1902" s="2" t="s">
        <v>96</v>
      </c>
      <c r="O1902" s="2">
        <v>18</v>
      </c>
      <c r="P1902" s="2">
        <v>18</v>
      </c>
      <c r="Q1902" s="4">
        <v>3450</v>
      </c>
      <c r="R1902" s="4">
        <v>3390</v>
      </c>
      <c r="S1902" s="4">
        <v>82</v>
      </c>
      <c r="T1902" s="19">
        <f>(ProductionData[[#This Row],[Rejected_Qty]])/ProductionData[[#This Row],[Produced_Qty]]</f>
        <v>2.4188790560471976E-2</v>
      </c>
      <c r="U1902" s="19">
        <f>ProductionData[[#This Row],[Produced_Qty]]/ProductionData[[#This Row],[Planned_Qty]]</f>
        <v>0.9826086956521739</v>
      </c>
      <c r="V1902" s="2" t="s">
        <v>75</v>
      </c>
      <c r="W1902" s="11">
        <v>26</v>
      </c>
      <c r="X1902" s="13">
        <f>W1902/60</f>
        <v>0.43333333333333335</v>
      </c>
      <c r="Y1902" s="2" t="s">
        <v>182</v>
      </c>
      <c r="Z1902" s="2">
        <v>64</v>
      </c>
      <c r="AA1902" s="2">
        <f>ProductionData[[#This Row],[Rejected_Qty]]*ProductionData[[#This Row],[Unit_Cost_INR]]</f>
        <v>5248</v>
      </c>
      <c r="AB1902" s="4">
        <v>7770</v>
      </c>
      <c r="AC1902" s="4">
        <v>3280</v>
      </c>
      <c r="AD1902" s="4">
        <v>3280</v>
      </c>
      <c r="AE1902" s="4">
        <v>7798</v>
      </c>
      <c r="AF1902" s="4">
        <v>5250</v>
      </c>
    </row>
    <row r="1903" spans="1:32">
      <c r="A1903" s="2" t="s">
        <v>3938</v>
      </c>
      <c r="B1903" s="3">
        <v>46285</v>
      </c>
      <c r="C1903" s="36" t="s">
        <v>64</v>
      </c>
      <c r="D1903" s="2">
        <f>MONTH(ProductionData[[#This Row],[Month]])</f>
        <v>9</v>
      </c>
      <c r="E1903" s="2" t="s">
        <v>186</v>
      </c>
      <c r="F1903" s="2" t="s">
        <v>80</v>
      </c>
      <c r="G1903" s="2" t="s">
        <v>81</v>
      </c>
      <c r="H1903" s="2" t="s">
        <v>82</v>
      </c>
      <c r="I1903" s="2" t="s">
        <v>83</v>
      </c>
      <c r="J1903" s="2" t="s">
        <v>721</v>
      </c>
      <c r="K1903" s="2" t="s">
        <v>722</v>
      </c>
      <c r="L1903" s="2" t="s">
        <v>3939</v>
      </c>
      <c r="M1903" s="2" t="s">
        <v>87</v>
      </c>
      <c r="N1903" s="2" t="s">
        <v>96</v>
      </c>
      <c r="O1903" s="2">
        <v>18</v>
      </c>
      <c r="P1903" s="2">
        <v>16</v>
      </c>
      <c r="Q1903" s="4">
        <v>2650</v>
      </c>
      <c r="R1903" s="4">
        <v>2450</v>
      </c>
      <c r="S1903" s="4">
        <v>50</v>
      </c>
      <c r="T1903" s="19">
        <f>(ProductionData[[#This Row],[Rejected_Qty]])/ProductionData[[#This Row],[Produced_Qty]]</f>
        <v>2.0408163265306121E-2</v>
      </c>
      <c r="U1903" s="19">
        <f>ProductionData[[#This Row],[Produced_Qty]]/ProductionData[[#This Row],[Planned_Qty]]</f>
        <v>0.92452830188679247</v>
      </c>
      <c r="V1903" s="2" t="s">
        <v>113</v>
      </c>
      <c r="W1903" s="11">
        <v>0</v>
      </c>
      <c r="X1903" s="13">
        <f>W1903/60</f>
        <v>0</v>
      </c>
      <c r="Y1903" s="2" t="s">
        <v>90</v>
      </c>
      <c r="Z1903" s="2">
        <v>64</v>
      </c>
      <c r="AA1903" s="2">
        <f>ProductionData[[#This Row],[Rejected_Qty]]*ProductionData[[#This Row],[Unit_Cost_INR]]</f>
        <v>3200</v>
      </c>
      <c r="AB1903" s="4">
        <v>7680</v>
      </c>
      <c r="AC1903" s="4">
        <v>2310</v>
      </c>
      <c r="AD1903" s="4">
        <v>2310</v>
      </c>
      <c r="AE1903" s="4">
        <v>7770</v>
      </c>
      <c r="AF1903" s="4">
        <v>5250</v>
      </c>
    </row>
    <row r="1904" spans="1:32">
      <c r="A1904" s="2" t="s">
        <v>3940</v>
      </c>
      <c r="B1904" s="3">
        <v>46281</v>
      </c>
      <c r="C1904" s="36" t="s">
        <v>64</v>
      </c>
      <c r="D1904" s="2">
        <f>MONTH(ProductionData[[#This Row],[Month]])</f>
        <v>9</v>
      </c>
      <c r="E1904" s="2" t="s">
        <v>79</v>
      </c>
      <c r="F1904" s="2" t="s">
        <v>80</v>
      </c>
      <c r="G1904" s="2" t="s">
        <v>81</v>
      </c>
      <c r="H1904" s="2" t="s">
        <v>82</v>
      </c>
      <c r="I1904" s="2" t="s">
        <v>83</v>
      </c>
      <c r="J1904" s="2" t="s">
        <v>721</v>
      </c>
      <c r="K1904" s="2" t="s">
        <v>722</v>
      </c>
      <c r="L1904" s="2" t="s">
        <v>3941</v>
      </c>
      <c r="M1904" s="2" t="s">
        <v>102</v>
      </c>
      <c r="N1904" s="2" t="s">
        <v>96</v>
      </c>
      <c r="O1904" s="2">
        <v>18</v>
      </c>
      <c r="P1904" s="2">
        <v>18</v>
      </c>
      <c r="Q1904" s="4">
        <v>3240</v>
      </c>
      <c r="R1904" s="4">
        <v>3210</v>
      </c>
      <c r="S1904" s="4">
        <v>82</v>
      </c>
      <c r="T1904" s="19">
        <f>(ProductionData[[#This Row],[Rejected_Qty]])/ProductionData[[#This Row],[Produced_Qty]]</f>
        <v>2.5545171339563862E-2</v>
      </c>
      <c r="U1904" s="19">
        <f>ProductionData[[#This Row],[Produced_Qty]]/ProductionData[[#This Row],[Planned_Qty]]</f>
        <v>0.9907407407407407</v>
      </c>
      <c r="V1904" s="2" t="s">
        <v>89</v>
      </c>
      <c r="W1904" s="11">
        <v>61</v>
      </c>
      <c r="X1904" s="13">
        <f>W1904/60</f>
        <v>1.0166666666666666</v>
      </c>
      <c r="Y1904" s="2" t="s">
        <v>182</v>
      </c>
      <c r="Z1904" s="2">
        <v>64</v>
      </c>
      <c r="AA1904" s="2">
        <f>ProductionData[[#This Row],[Rejected_Qty]]*ProductionData[[#This Row],[Unit_Cost_INR]]</f>
        <v>5248</v>
      </c>
      <c r="AB1904" s="4">
        <v>7283</v>
      </c>
      <c r="AC1904" s="4">
        <v>2670</v>
      </c>
      <c r="AD1904" s="4">
        <v>2670</v>
      </c>
      <c r="AE1904" s="4">
        <v>7741</v>
      </c>
      <c r="AF1904" s="4">
        <v>5250</v>
      </c>
    </row>
    <row r="1905" spans="1:32">
      <c r="A1905" s="2" t="s">
        <v>3942</v>
      </c>
      <c r="B1905" s="3">
        <v>46284</v>
      </c>
      <c r="C1905" s="36" t="s">
        <v>64</v>
      </c>
      <c r="D1905" s="2">
        <f>MONTH(ProductionData[[#This Row],[Month]])</f>
        <v>9</v>
      </c>
      <c r="E1905" s="2" t="s">
        <v>65</v>
      </c>
      <c r="F1905" s="2" t="s">
        <v>93</v>
      </c>
      <c r="G1905" s="2" t="s">
        <v>81</v>
      </c>
      <c r="H1905" s="2" t="s">
        <v>82</v>
      </c>
      <c r="I1905" s="2" t="s">
        <v>83</v>
      </c>
      <c r="J1905" s="2" t="s">
        <v>721</v>
      </c>
      <c r="K1905" s="2" t="s">
        <v>722</v>
      </c>
      <c r="L1905" s="2" t="s">
        <v>3943</v>
      </c>
      <c r="M1905" s="2" t="s">
        <v>133</v>
      </c>
      <c r="N1905" s="2" t="s">
        <v>88</v>
      </c>
      <c r="O1905" s="2">
        <v>18</v>
      </c>
      <c r="P1905" s="2">
        <v>17</v>
      </c>
      <c r="Q1905" s="4">
        <v>3510</v>
      </c>
      <c r="R1905" s="4">
        <v>3010</v>
      </c>
      <c r="S1905" s="4">
        <v>32</v>
      </c>
      <c r="T1905" s="19">
        <f>(ProductionData[[#This Row],[Rejected_Qty]])/ProductionData[[#This Row],[Produced_Qty]]</f>
        <v>1.0631229235880399E-2</v>
      </c>
      <c r="U1905" s="19">
        <f>ProductionData[[#This Row],[Produced_Qty]]/ProductionData[[#This Row],[Planned_Qty]]</f>
        <v>0.85754985754985757</v>
      </c>
      <c r="V1905" s="2" t="s">
        <v>103</v>
      </c>
      <c r="W1905" s="11">
        <v>39</v>
      </c>
      <c r="X1905" s="13">
        <f>W1905/60</f>
        <v>0.65</v>
      </c>
      <c r="Y1905" s="2" t="s">
        <v>136</v>
      </c>
      <c r="Z1905" s="2">
        <v>64</v>
      </c>
      <c r="AA1905" s="2">
        <f>ProductionData[[#This Row],[Rejected_Qty]]*ProductionData[[#This Row],[Unit_Cost_INR]]</f>
        <v>2048</v>
      </c>
      <c r="AB1905" s="4">
        <v>7892</v>
      </c>
      <c r="AC1905" s="4">
        <v>3190</v>
      </c>
      <c r="AD1905" s="4">
        <v>3190</v>
      </c>
      <c r="AE1905" s="4">
        <v>7680</v>
      </c>
      <c r="AF1905" s="4">
        <v>5250</v>
      </c>
    </row>
    <row r="1906" spans="1:32">
      <c r="A1906" s="2" t="s">
        <v>3944</v>
      </c>
      <c r="B1906" s="3">
        <v>46280</v>
      </c>
      <c r="C1906" s="36" t="s">
        <v>64</v>
      </c>
      <c r="D1906" s="2">
        <f>MONTH(ProductionData[[#This Row],[Month]])</f>
        <v>9</v>
      </c>
      <c r="E1906" s="2" t="s">
        <v>92</v>
      </c>
      <c r="F1906" s="2" t="s">
        <v>66</v>
      </c>
      <c r="G1906" s="2" t="s">
        <v>81</v>
      </c>
      <c r="H1906" s="2" t="s">
        <v>82</v>
      </c>
      <c r="I1906" s="2" t="s">
        <v>83</v>
      </c>
      <c r="J1906" s="2" t="s">
        <v>721</v>
      </c>
      <c r="K1906" s="2" t="s">
        <v>722</v>
      </c>
      <c r="L1906" s="2" t="s">
        <v>3945</v>
      </c>
      <c r="M1906" s="2" t="s">
        <v>73</v>
      </c>
      <c r="N1906" s="2" t="s">
        <v>96</v>
      </c>
      <c r="O1906" s="2">
        <v>18</v>
      </c>
      <c r="P1906" s="2">
        <v>18</v>
      </c>
      <c r="Q1906" s="4">
        <v>3720</v>
      </c>
      <c r="R1906" s="4">
        <v>3640</v>
      </c>
      <c r="S1906" s="4">
        <v>120</v>
      </c>
      <c r="T1906" s="19">
        <f>(ProductionData[[#This Row],[Rejected_Qty]])/ProductionData[[#This Row],[Produced_Qty]]</f>
        <v>3.2967032967032968E-2</v>
      </c>
      <c r="U1906" s="19">
        <f>ProductionData[[#This Row],[Produced_Qty]]/ProductionData[[#This Row],[Planned_Qty]]</f>
        <v>0.978494623655914</v>
      </c>
      <c r="V1906" s="2" t="s">
        <v>103</v>
      </c>
      <c r="W1906" s="11">
        <v>0</v>
      </c>
      <c r="X1906" s="13">
        <f>W1906/60</f>
        <v>0</v>
      </c>
      <c r="Y1906" s="2" t="s">
        <v>90</v>
      </c>
      <c r="Z1906" s="2">
        <v>64</v>
      </c>
      <c r="AA1906" s="2">
        <f>ProductionData[[#This Row],[Rejected_Qty]]*ProductionData[[#This Row],[Unit_Cost_INR]]</f>
        <v>7680</v>
      </c>
      <c r="AB1906" s="4">
        <v>7302</v>
      </c>
      <c r="AC1906" s="4">
        <v>3280</v>
      </c>
      <c r="AD1906" s="4">
        <v>3280</v>
      </c>
      <c r="AE1906" s="4">
        <v>7542</v>
      </c>
      <c r="AF1906" s="4">
        <v>5250</v>
      </c>
    </row>
    <row r="1907" spans="1:32">
      <c r="A1907" s="2" t="s">
        <v>3946</v>
      </c>
      <c r="B1907" s="3">
        <v>46279</v>
      </c>
      <c r="C1907" s="36" t="s">
        <v>64</v>
      </c>
      <c r="D1907" s="2">
        <f>MONTH(ProductionData[[#This Row],[Month]])</f>
        <v>9</v>
      </c>
      <c r="E1907" s="2" t="s">
        <v>116</v>
      </c>
      <c r="F1907" s="2" t="s">
        <v>93</v>
      </c>
      <c r="G1907" s="2" t="s">
        <v>81</v>
      </c>
      <c r="H1907" s="2" t="s">
        <v>82</v>
      </c>
      <c r="I1907" s="2" t="s">
        <v>83</v>
      </c>
      <c r="J1907" s="2" t="s">
        <v>721</v>
      </c>
      <c r="K1907" s="2" t="s">
        <v>722</v>
      </c>
      <c r="L1907" s="2" t="s">
        <v>3947</v>
      </c>
      <c r="M1907" s="2" t="s">
        <v>95</v>
      </c>
      <c r="N1907" s="2" t="s">
        <v>88</v>
      </c>
      <c r="O1907" s="2">
        <v>18</v>
      </c>
      <c r="P1907" s="2">
        <v>16</v>
      </c>
      <c r="Q1907" s="4">
        <v>3430</v>
      </c>
      <c r="R1907" s="4">
        <v>3200</v>
      </c>
      <c r="S1907" s="4">
        <v>59</v>
      </c>
      <c r="T1907" s="19">
        <f>(ProductionData[[#This Row],[Rejected_Qty]])/ProductionData[[#This Row],[Produced_Qty]]</f>
        <v>1.8437499999999999E-2</v>
      </c>
      <c r="U1907" s="19">
        <f>ProductionData[[#This Row],[Produced_Qty]]/ProductionData[[#This Row],[Planned_Qty]]</f>
        <v>0.93294460641399413</v>
      </c>
      <c r="V1907" s="2" t="s">
        <v>89</v>
      </c>
      <c r="W1907" s="11">
        <v>0</v>
      </c>
      <c r="X1907" s="13">
        <f>W1907/60</f>
        <v>0</v>
      </c>
      <c r="Y1907" s="2" t="s">
        <v>90</v>
      </c>
      <c r="Z1907" s="2">
        <v>64</v>
      </c>
      <c r="AA1907" s="2">
        <f>ProductionData[[#This Row],[Rejected_Qty]]*ProductionData[[#This Row],[Unit_Cost_INR]]</f>
        <v>3776</v>
      </c>
      <c r="AB1907" s="4">
        <v>6961</v>
      </c>
      <c r="AC1907" s="4">
        <v>2800</v>
      </c>
      <c r="AD1907" s="4">
        <v>2800</v>
      </c>
      <c r="AE1907" s="4">
        <v>7302</v>
      </c>
      <c r="AF1907" s="4">
        <v>5250</v>
      </c>
    </row>
    <row r="1908" spans="1:32">
      <c r="A1908" s="2" t="s">
        <v>3948</v>
      </c>
      <c r="B1908" s="3">
        <v>46280</v>
      </c>
      <c r="C1908" s="36" t="s">
        <v>64</v>
      </c>
      <c r="D1908" s="2">
        <f>MONTH(ProductionData[[#This Row],[Month]])</f>
        <v>9</v>
      </c>
      <c r="E1908" s="2" t="s">
        <v>92</v>
      </c>
      <c r="F1908" s="2" t="s">
        <v>93</v>
      </c>
      <c r="G1908" s="2" t="s">
        <v>81</v>
      </c>
      <c r="H1908" s="2" t="s">
        <v>82</v>
      </c>
      <c r="I1908" s="2" t="s">
        <v>83</v>
      </c>
      <c r="J1908" s="2" t="s">
        <v>721</v>
      </c>
      <c r="K1908" s="2" t="s">
        <v>722</v>
      </c>
      <c r="L1908" s="2" t="s">
        <v>3949</v>
      </c>
      <c r="M1908" s="2" t="s">
        <v>133</v>
      </c>
      <c r="N1908" s="2" t="s">
        <v>88</v>
      </c>
      <c r="O1908" s="2">
        <v>18</v>
      </c>
      <c r="P1908" s="2">
        <v>14</v>
      </c>
      <c r="Q1908" s="4">
        <v>3440</v>
      </c>
      <c r="R1908" s="4">
        <v>3000</v>
      </c>
      <c r="S1908" s="4">
        <v>59</v>
      </c>
      <c r="T1908" s="19">
        <f>(ProductionData[[#This Row],[Rejected_Qty]])/ProductionData[[#This Row],[Produced_Qty]]</f>
        <v>1.9666666666666666E-2</v>
      </c>
      <c r="U1908" s="19">
        <f>ProductionData[[#This Row],[Produced_Qty]]/ProductionData[[#This Row],[Planned_Qty]]</f>
        <v>0.87209302325581395</v>
      </c>
      <c r="V1908" s="2" t="s">
        <v>113</v>
      </c>
      <c r="W1908" s="11">
        <v>0</v>
      </c>
      <c r="X1908" s="13">
        <f>W1908/60</f>
        <v>0</v>
      </c>
      <c r="Y1908" s="2" t="s">
        <v>90</v>
      </c>
      <c r="Z1908" s="2">
        <v>64</v>
      </c>
      <c r="AA1908" s="2">
        <f>ProductionData[[#This Row],[Rejected_Qty]]*ProductionData[[#This Row],[Unit_Cost_INR]]</f>
        <v>3776</v>
      </c>
      <c r="AB1908" s="4">
        <v>7542</v>
      </c>
      <c r="AC1908" s="4">
        <v>3200</v>
      </c>
      <c r="AD1908" s="4">
        <v>3200</v>
      </c>
      <c r="AE1908" s="4">
        <v>7283</v>
      </c>
      <c r="AF1908" s="4">
        <v>5250</v>
      </c>
    </row>
    <row r="1909" spans="1:32">
      <c r="A1909" s="2" t="s">
        <v>3950</v>
      </c>
      <c r="B1909" s="3">
        <v>46293</v>
      </c>
      <c r="C1909" s="36" t="s">
        <v>64</v>
      </c>
      <c r="D1909" s="2">
        <f>MONTH(ProductionData[[#This Row],[Month]])</f>
        <v>9</v>
      </c>
      <c r="E1909" s="2" t="s">
        <v>116</v>
      </c>
      <c r="F1909" s="2" t="s">
        <v>66</v>
      </c>
      <c r="G1909" s="2" t="s">
        <v>81</v>
      </c>
      <c r="H1909" s="2" t="s">
        <v>82</v>
      </c>
      <c r="I1909" s="2" t="s">
        <v>83</v>
      </c>
      <c r="J1909" s="2" t="s">
        <v>721</v>
      </c>
      <c r="K1909" s="2" t="s">
        <v>722</v>
      </c>
      <c r="L1909" s="2" t="s">
        <v>3951</v>
      </c>
      <c r="M1909" s="2" t="s">
        <v>99</v>
      </c>
      <c r="N1909" s="2" t="s">
        <v>88</v>
      </c>
      <c r="O1909" s="2">
        <v>18</v>
      </c>
      <c r="P1909" s="2">
        <v>18</v>
      </c>
      <c r="Q1909" s="4">
        <v>3360</v>
      </c>
      <c r="R1909" s="4">
        <v>2910</v>
      </c>
      <c r="S1909" s="4">
        <v>79</v>
      </c>
      <c r="T1909" s="19">
        <f>(ProductionData[[#This Row],[Rejected_Qty]])/ProductionData[[#This Row],[Produced_Qty]]</f>
        <v>2.7147766323024056E-2</v>
      </c>
      <c r="U1909" s="19">
        <f>ProductionData[[#This Row],[Produced_Qty]]/ProductionData[[#This Row],[Planned_Qty]]</f>
        <v>0.8660714285714286</v>
      </c>
      <c r="V1909" s="2" t="s">
        <v>103</v>
      </c>
      <c r="W1909" s="11">
        <v>0</v>
      </c>
      <c r="X1909" s="13">
        <f>W1909/60</f>
        <v>0</v>
      </c>
      <c r="Y1909" s="2" t="s">
        <v>90</v>
      </c>
      <c r="Z1909" s="2">
        <v>64</v>
      </c>
      <c r="AA1909" s="2">
        <f>ProductionData[[#This Row],[Rejected_Qty]]*ProductionData[[#This Row],[Unit_Cost_INR]]</f>
        <v>5056</v>
      </c>
      <c r="AB1909" s="4">
        <v>7208</v>
      </c>
      <c r="AC1909" s="4">
        <v>2810</v>
      </c>
      <c r="AD1909" s="4">
        <v>2810</v>
      </c>
      <c r="AE1909" s="4">
        <v>7229</v>
      </c>
      <c r="AF1909" s="4">
        <v>5250</v>
      </c>
    </row>
    <row r="1910" spans="1:32">
      <c r="A1910" s="2" t="s">
        <v>3952</v>
      </c>
      <c r="B1910" s="3">
        <v>46272</v>
      </c>
      <c r="C1910" s="36" t="s">
        <v>64</v>
      </c>
      <c r="D1910" s="2">
        <f>MONTH(ProductionData[[#This Row],[Month]])</f>
        <v>9</v>
      </c>
      <c r="E1910" s="2" t="s">
        <v>116</v>
      </c>
      <c r="F1910" s="2" t="s">
        <v>80</v>
      </c>
      <c r="G1910" s="2" t="s">
        <v>67</v>
      </c>
      <c r="H1910" s="2" t="s">
        <v>68</v>
      </c>
      <c r="I1910" s="2" t="s">
        <v>69</v>
      </c>
      <c r="J1910" s="2" t="s">
        <v>403</v>
      </c>
      <c r="K1910" s="2" t="s">
        <v>404</v>
      </c>
      <c r="L1910" s="2" t="s">
        <v>3953</v>
      </c>
      <c r="M1910" s="2" t="s">
        <v>87</v>
      </c>
      <c r="N1910" s="2" t="s">
        <v>74</v>
      </c>
      <c r="O1910" s="2">
        <v>16</v>
      </c>
      <c r="P1910" s="2">
        <v>16</v>
      </c>
      <c r="Q1910" s="4">
        <v>6930</v>
      </c>
      <c r="R1910" s="4">
        <v>6420</v>
      </c>
      <c r="S1910" s="4">
        <v>613</v>
      </c>
      <c r="T1910" s="19">
        <f>(ProductionData[[#This Row],[Rejected_Qty]])/ProductionData[[#This Row],[Produced_Qty]]</f>
        <v>9.5482866043613709E-2</v>
      </c>
      <c r="U1910" s="19">
        <f>ProductionData[[#This Row],[Produced_Qty]]/ProductionData[[#This Row],[Planned_Qty]]</f>
        <v>0.92640692640692646</v>
      </c>
      <c r="V1910" s="2" t="s">
        <v>2284</v>
      </c>
      <c r="W1910" s="11">
        <v>0</v>
      </c>
      <c r="X1910" s="13">
        <f>W1910/60</f>
        <v>0</v>
      </c>
      <c r="Y1910" s="2" t="s">
        <v>90</v>
      </c>
      <c r="Z1910" s="2">
        <v>58</v>
      </c>
      <c r="AA1910" s="2">
        <f>ProductionData[[#This Row],[Rejected_Qty]]*ProductionData[[#This Row],[Unit_Cost_INR]]</f>
        <v>35554</v>
      </c>
      <c r="AB1910" s="4">
        <v>8076</v>
      </c>
      <c r="AC1910" s="4">
        <v>6670</v>
      </c>
      <c r="AD1910" s="4">
        <v>6670</v>
      </c>
      <c r="AE1910" s="4">
        <v>7213</v>
      </c>
      <c r="AF1910" s="4">
        <v>9000</v>
      </c>
    </row>
    <row r="1911" spans="1:32">
      <c r="A1911" s="2" t="s">
        <v>3954</v>
      </c>
      <c r="B1911" s="3">
        <v>46291</v>
      </c>
      <c r="C1911" s="36" t="s">
        <v>64</v>
      </c>
      <c r="D1911" s="2">
        <f>MONTH(ProductionData[[#This Row],[Month]])</f>
        <v>9</v>
      </c>
      <c r="E1911" s="2" t="s">
        <v>65</v>
      </c>
      <c r="F1911" s="2" t="s">
        <v>80</v>
      </c>
      <c r="G1911" s="2" t="s">
        <v>81</v>
      </c>
      <c r="H1911" s="2" t="s">
        <v>82</v>
      </c>
      <c r="I1911" s="2" t="s">
        <v>83</v>
      </c>
      <c r="J1911" s="2" t="s">
        <v>721</v>
      </c>
      <c r="K1911" s="2" t="s">
        <v>722</v>
      </c>
      <c r="L1911" s="2" t="s">
        <v>3955</v>
      </c>
      <c r="M1911" s="2" t="s">
        <v>87</v>
      </c>
      <c r="N1911" s="2" t="s">
        <v>96</v>
      </c>
      <c r="O1911" s="2">
        <v>18</v>
      </c>
      <c r="P1911" s="2">
        <v>14</v>
      </c>
      <c r="Q1911" s="4">
        <v>3320</v>
      </c>
      <c r="R1911" s="4">
        <v>2720</v>
      </c>
      <c r="S1911" s="4">
        <v>80</v>
      </c>
      <c r="T1911" s="19">
        <f>(ProductionData[[#This Row],[Rejected_Qty]])/ProductionData[[#This Row],[Produced_Qty]]</f>
        <v>2.9411764705882353E-2</v>
      </c>
      <c r="U1911" s="19">
        <f>ProductionData[[#This Row],[Produced_Qty]]/ProductionData[[#This Row],[Planned_Qty]]</f>
        <v>0.81927710843373491</v>
      </c>
      <c r="V1911" s="2" t="s">
        <v>113</v>
      </c>
      <c r="W1911" s="11">
        <v>72</v>
      </c>
      <c r="X1911" s="13">
        <f>W1911/60</f>
        <v>1.2</v>
      </c>
      <c r="Y1911" s="2" t="s">
        <v>110</v>
      </c>
      <c r="Z1911" s="2">
        <v>64</v>
      </c>
      <c r="AA1911" s="2">
        <f>ProductionData[[#This Row],[Rejected_Qty]]*ProductionData[[#This Row],[Unit_Cost_INR]]</f>
        <v>5120</v>
      </c>
      <c r="AB1911" s="4">
        <v>7798</v>
      </c>
      <c r="AC1911" s="4">
        <v>3230</v>
      </c>
      <c r="AD1911" s="4">
        <v>3230</v>
      </c>
      <c r="AE1911" s="4">
        <v>7208</v>
      </c>
      <c r="AF1911" s="4">
        <v>5250</v>
      </c>
    </row>
    <row r="1912" spans="1:32">
      <c r="A1912" s="2" t="s">
        <v>3956</v>
      </c>
      <c r="B1912" s="3">
        <v>46277</v>
      </c>
      <c r="C1912" s="36" t="s">
        <v>64</v>
      </c>
      <c r="D1912" s="2">
        <f>MONTH(ProductionData[[#This Row],[Month]])</f>
        <v>9</v>
      </c>
      <c r="E1912" s="2" t="s">
        <v>65</v>
      </c>
      <c r="F1912" s="2" t="s">
        <v>66</v>
      </c>
      <c r="G1912" s="2" t="s">
        <v>67</v>
      </c>
      <c r="H1912" s="2" t="s">
        <v>68</v>
      </c>
      <c r="I1912" s="2" t="s">
        <v>69</v>
      </c>
      <c r="J1912" s="2" t="s">
        <v>403</v>
      </c>
      <c r="K1912" s="2" t="s">
        <v>404</v>
      </c>
      <c r="L1912" s="2" t="s">
        <v>3957</v>
      </c>
      <c r="M1912" s="2" t="s">
        <v>99</v>
      </c>
      <c r="N1912" s="2" t="s">
        <v>88</v>
      </c>
      <c r="O1912" s="2">
        <v>16</v>
      </c>
      <c r="P1912" s="2">
        <v>14</v>
      </c>
      <c r="Q1912" s="4">
        <v>6630</v>
      </c>
      <c r="R1912" s="4">
        <v>6240</v>
      </c>
      <c r="S1912" s="4">
        <v>151</v>
      </c>
      <c r="T1912" s="19">
        <f>(ProductionData[[#This Row],[Rejected_Qty]])/ProductionData[[#This Row],[Produced_Qty]]</f>
        <v>2.4198717948717949E-2</v>
      </c>
      <c r="U1912" s="19">
        <f>ProductionData[[#This Row],[Produced_Qty]]/ProductionData[[#This Row],[Planned_Qty]]</f>
        <v>0.94117647058823528</v>
      </c>
      <c r="V1912" s="2" t="s">
        <v>89</v>
      </c>
      <c r="W1912" s="11">
        <v>0</v>
      </c>
      <c r="X1912" s="13">
        <f>W1912/60</f>
        <v>0</v>
      </c>
      <c r="Y1912" s="2" t="s">
        <v>90</v>
      </c>
      <c r="Z1912" s="2">
        <v>58</v>
      </c>
      <c r="AA1912" s="2">
        <f>ProductionData[[#This Row],[Rejected_Qty]]*ProductionData[[#This Row],[Unit_Cost_INR]]</f>
        <v>8758</v>
      </c>
      <c r="AB1912" s="4">
        <v>6806</v>
      </c>
      <c r="AC1912" s="4">
        <v>5740</v>
      </c>
      <c r="AD1912" s="4">
        <v>5740</v>
      </c>
      <c r="AE1912" s="4">
        <v>7155</v>
      </c>
      <c r="AF1912" s="4">
        <v>9000</v>
      </c>
    </row>
    <row r="1913" spans="1:32">
      <c r="A1913" s="2" t="s">
        <v>3958</v>
      </c>
      <c r="B1913" s="3">
        <v>46273</v>
      </c>
      <c r="C1913" s="36" t="s">
        <v>64</v>
      </c>
      <c r="D1913" s="2">
        <f>MONTH(ProductionData[[#This Row],[Month]])</f>
        <v>9</v>
      </c>
      <c r="E1913" s="2" t="s">
        <v>92</v>
      </c>
      <c r="F1913" s="2" t="s">
        <v>66</v>
      </c>
      <c r="G1913" s="2" t="s">
        <v>67</v>
      </c>
      <c r="H1913" s="2" t="s">
        <v>68</v>
      </c>
      <c r="I1913" s="2" t="s">
        <v>69</v>
      </c>
      <c r="J1913" s="2" t="s">
        <v>403</v>
      </c>
      <c r="K1913" s="2" t="s">
        <v>404</v>
      </c>
      <c r="L1913" s="2" t="s">
        <v>3959</v>
      </c>
      <c r="M1913" s="2" t="s">
        <v>99</v>
      </c>
      <c r="N1913" s="2" t="s">
        <v>88</v>
      </c>
      <c r="O1913" s="2">
        <v>16</v>
      </c>
      <c r="P1913" s="2">
        <v>16</v>
      </c>
      <c r="Q1913" s="4">
        <v>6190</v>
      </c>
      <c r="R1913" s="4">
        <v>5840</v>
      </c>
      <c r="S1913" s="4">
        <v>128</v>
      </c>
      <c r="T1913" s="19">
        <f>(ProductionData[[#This Row],[Rejected_Qty]])/ProductionData[[#This Row],[Produced_Qty]]</f>
        <v>2.1917808219178082E-2</v>
      </c>
      <c r="U1913" s="19">
        <f>ProductionData[[#This Row],[Produced_Qty]]/ProductionData[[#This Row],[Planned_Qty]]</f>
        <v>0.94345718901453957</v>
      </c>
      <c r="V1913" s="2" t="s">
        <v>103</v>
      </c>
      <c r="W1913" s="11">
        <v>35</v>
      </c>
      <c r="X1913" s="13">
        <f>W1913/60</f>
        <v>0.58333333333333337</v>
      </c>
      <c r="Y1913" s="2" t="s">
        <v>110</v>
      </c>
      <c r="Z1913" s="2">
        <v>58</v>
      </c>
      <c r="AA1913" s="2">
        <f>ProductionData[[#This Row],[Rejected_Qty]]*ProductionData[[#This Row],[Unit_Cost_INR]]</f>
        <v>7424</v>
      </c>
      <c r="AB1913" s="4">
        <v>7213</v>
      </c>
      <c r="AC1913" s="4">
        <v>5930</v>
      </c>
      <c r="AD1913" s="4">
        <v>5930</v>
      </c>
      <c r="AE1913" s="4">
        <v>6995</v>
      </c>
      <c r="AF1913" s="4">
        <v>9000</v>
      </c>
    </row>
    <row r="1914" spans="1:32">
      <c r="A1914" s="2" t="s">
        <v>3960</v>
      </c>
      <c r="B1914" s="3">
        <v>46279</v>
      </c>
      <c r="C1914" s="36" t="s">
        <v>64</v>
      </c>
      <c r="D1914" s="2">
        <f>MONTH(ProductionData[[#This Row],[Month]])</f>
        <v>9</v>
      </c>
      <c r="E1914" s="2" t="s">
        <v>116</v>
      </c>
      <c r="F1914" s="2" t="s">
        <v>66</v>
      </c>
      <c r="G1914" s="2" t="s">
        <v>81</v>
      </c>
      <c r="H1914" s="2" t="s">
        <v>82</v>
      </c>
      <c r="I1914" s="2" t="s">
        <v>83</v>
      </c>
      <c r="J1914" s="2" t="s">
        <v>721</v>
      </c>
      <c r="K1914" s="2" t="s">
        <v>722</v>
      </c>
      <c r="L1914" s="2" t="s">
        <v>3961</v>
      </c>
      <c r="M1914" s="2" t="s">
        <v>73</v>
      </c>
      <c r="N1914" s="2" t="s">
        <v>88</v>
      </c>
      <c r="O1914" s="2">
        <v>18</v>
      </c>
      <c r="P1914" s="2">
        <v>16</v>
      </c>
      <c r="Q1914" s="4">
        <v>3550</v>
      </c>
      <c r="R1914" s="4">
        <v>3330</v>
      </c>
      <c r="S1914" s="4">
        <v>74</v>
      </c>
      <c r="T1914" s="19">
        <f>(ProductionData[[#This Row],[Rejected_Qty]])/ProductionData[[#This Row],[Produced_Qty]]</f>
        <v>2.2222222222222223E-2</v>
      </c>
      <c r="U1914" s="19">
        <f>ProductionData[[#This Row],[Produced_Qty]]/ProductionData[[#This Row],[Planned_Qty]]</f>
        <v>0.93802816901408448</v>
      </c>
      <c r="V1914" s="2" t="s">
        <v>103</v>
      </c>
      <c r="W1914" s="11">
        <v>0</v>
      </c>
      <c r="X1914" s="13">
        <f>W1914/60</f>
        <v>0</v>
      </c>
      <c r="Y1914" s="2" t="s">
        <v>90</v>
      </c>
      <c r="Z1914" s="2">
        <v>64</v>
      </c>
      <c r="AA1914" s="2">
        <f>ProductionData[[#This Row],[Rejected_Qty]]*ProductionData[[#This Row],[Unit_Cost_INR]]</f>
        <v>4736</v>
      </c>
      <c r="AB1914" s="4">
        <v>6715</v>
      </c>
      <c r="AC1914" s="4">
        <v>3010</v>
      </c>
      <c r="AD1914" s="4">
        <v>3010</v>
      </c>
      <c r="AE1914" s="4">
        <v>6961</v>
      </c>
      <c r="AF1914" s="4">
        <v>5250</v>
      </c>
    </row>
    <row r="1915" spans="1:32">
      <c r="A1915" s="2" t="s">
        <v>3962</v>
      </c>
      <c r="B1915" s="3">
        <v>46295</v>
      </c>
      <c r="C1915" s="36" t="s">
        <v>64</v>
      </c>
      <c r="D1915" s="2">
        <f>MONTH(ProductionData[[#This Row],[Month]])</f>
        <v>9</v>
      </c>
      <c r="E1915" s="2" t="s">
        <v>79</v>
      </c>
      <c r="F1915" s="2" t="s">
        <v>80</v>
      </c>
      <c r="G1915" s="2" t="s">
        <v>81</v>
      </c>
      <c r="H1915" s="2" t="s">
        <v>82</v>
      </c>
      <c r="I1915" s="2" t="s">
        <v>83</v>
      </c>
      <c r="J1915" s="2" t="s">
        <v>721</v>
      </c>
      <c r="K1915" s="2" t="s">
        <v>722</v>
      </c>
      <c r="L1915" s="2" t="s">
        <v>3963</v>
      </c>
      <c r="M1915" s="2" t="s">
        <v>102</v>
      </c>
      <c r="N1915" s="2" t="s">
        <v>96</v>
      </c>
      <c r="O1915" s="2">
        <v>18</v>
      </c>
      <c r="P1915" s="2">
        <v>18</v>
      </c>
      <c r="Q1915" s="4">
        <v>3710</v>
      </c>
      <c r="R1915" s="4">
        <v>3630</v>
      </c>
      <c r="S1915" s="4">
        <v>97</v>
      </c>
      <c r="T1915" s="19">
        <f>(ProductionData[[#This Row],[Rejected_Qty]])/ProductionData[[#This Row],[Produced_Qty]]</f>
        <v>2.672176308539945E-2</v>
      </c>
      <c r="U1915" s="19">
        <f>ProductionData[[#This Row],[Produced_Qty]]/ProductionData[[#This Row],[Planned_Qty]]</f>
        <v>0.97843665768194066</v>
      </c>
      <c r="V1915" s="2" t="s">
        <v>113</v>
      </c>
      <c r="W1915" s="11">
        <v>0</v>
      </c>
      <c r="X1915" s="13">
        <f>W1915/60</f>
        <v>0</v>
      </c>
      <c r="Y1915" s="2" t="s">
        <v>90</v>
      </c>
      <c r="Z1915" s="2">
        <v>64</v>
      </c>
      <c r="AA1915" s="2">
        <f>ProductionData[[#This Row],[Rejected_Qty]]*ProductionData[[#This Row],[Unit_Cost_INR]]</f>
        <v>6208</v>
      </c>
      <c r="AB1915" s="4">
        <v>6820</v>
      </c>
      <c r="AC1915" s="4">
        <v>3400</v>
      </c>
      <c r="AD1915" s="4">
        <v>3400</v>
      </c>
      <c r="AE1915" s="4">
        <v>6953</v>
      </c>
      <c r="AF1915" s="4">
        <v>5250</v>
      </c>
    </row>
    <row r="1916" spans="1:32">
      <c r="A1916" s="2" t="s">
        <v>3964</v>
      </c>
      <c r="B1916" s="3">
        <v>46293</v>
      </c>
      <c r="C1916" s="36" t="s">
        <v>64</v>
      </c>
      <c r="D1916" s="2">
        <f>MONTH(ProductionData[[#This Row],[Month]])</f>
        <v>9</v>
      </c>
      <c r="E1916" s="2" t="s">
        <v>116</v>
      </c>
      <c r="F1916" s="2" t="s">
        <v>93</v>
      </c>
      <c r="G1916" s="2" t="s">
        <v>81</v>
      </c>
      <c r="H1916" s="2" t="s">
        <v>82</v>
      </c>
      <c r="I1916" s="2" t="s">
        <v>83</v>
      </c>
      <c r="J1916" s="2" t="s">
        <v>721</v>
      </c>
      <c r="K1916" s="2" t="s">
        <v>722</v>
      </c>
      <c r="L1916" s="2" t="s">
        <v>3965</v>
      </c>
      <c r="M1916" s="2" t="s">
        <v>95</v>
      </c>
      <c r="N1916" s="2" t="s">
        <v>96</v>
      </c>
      <c r="O1916" s="2">
        <v>18</v>
      </c>
      <c r="P1916" s="2">
        <v>14</v>
      </c>
      <c r="Q1916" s="4">
        <v>3240</v>
      </c>
      <c r="R1916" s="4">
        <v>2660</v>
      </c>
      <c r="S1916" s="4">
        <v>59</v>
      </c>
      <c r="T1916" s="19">
        <f>(ProductionData[[#This Row],[Rejected_Qty]])/ProductionData[[#This Row],[Produced_Qty]]</f>
        <v>2.218045112781955E-2</v>
      </c>
      <c r="U1916" s="19">
        <f>ProductionData[[#This Row],[Produced_Qty]]/ProductionData[[#This Row],[Planned_Qty]]</f>
        <v>0.82098765432098764</v>
      </c>
      <c r="V1916" s="2" t="s">
        <v>113</v>
      </c>
      <c r="W1916" s="11">
        <v>26</v>
      </c>
      <c r="X1916" s="13">
        <f>W1916/60</f>
        <v>0.43333333333333335</v>
      </c>
      <c r="Y1916" s="2" t="s">
        <v>114</v>
      </c>
      <c r="Z1916" s="2">
        <v>64</v>
      </c>
      <c r="AA1916" s="2">
        <f>ProductionData[[#This Row],[Rejected_Qty]]*ProductionData[[#This Row],[Unit_Cost_INR]]</f>
        <v>3776</v>
      </c>
      <c r="AB1916" s="4">
        <v>7229</v>
      </c>
      <c r="AC1916" s="4">
        <v>3010</v>
      </c>
      <c r="AD1916" s="4">
        <v>3010</v>
      </c>
      <c r="AE1916" s="4">
        <v>6820</v>
      </c>
      <c r="AF1916" s="4">
        <v>5250</v>
      </c>
    </row>
    <row r="1917" spans="1:32">
      <c r="A1917" s="2" t="s">
        <v>3966</v>
      </c>
      <c r="B1917" s="3">
        <v>46275</v>
      </c>
      <c r="C1917" s="36" t="s">
        <v>64</v>
      </c>
      <c r="D1917" s="2">
        <f>MONTH(ProductionData[[#This Row],[Month]])</f>
        <v>9</v>
      </c>
      <c r="E1917" s="2" t="s">
        <v>107</v>
      </c>
      <c r="F1917" s="2" t="s">
        <v>93</v>
      </c>
      <c r="G1917" s="2" t="s">
        <v>67</v>
      </c>
      <c r="H1917" s="2" t="s">
        <v>68</v>
      </c>
      <c r="I1917" s="2" t="s">
        <v>69</v>
      </c>
      <c r="J1917" s="2" t="s">
        <v>403</v>
      </c>
      <c r="K1917" s="2" t="s">
        <v>404</v>
      </c>
      <c r="L1917" s="2" t="s">
        <v>3967</v>
      </c>
      <c r="M1917" s="2" t="s">
        <v>95</v>
      </c>
      <c r="N1917" s="2" t="s">
        <v>74</v>
      </c>
      <c r="O1917" s="2">
        <v>16</v>
      </c>
      <c r="P1917" s="2">
        <v>15</v>
      </c>
      <c r="Q1917" s="4">
        <v>6120</v>
      </c>
      <c r="R1917" s="4">
        <v>5860</v>
      </c>
      <c r="S1917" s="4">
        <v>529</v>
      </c>
      <c r="T1917" s="19">
        <f>(ProductionData[[#This Row],[Rejected_Qty]])/ProductionData[[#This Row],[Produced_Qty]]</f>
        <v>9.027303754266211E-2</v>
      </c>
      <c r="U1917" s="19">
        <f>ProductionData[[#This Row],[Produced_Qty]]/ProductionData[[#This Row],[Planned_Qty]]</f>
        <v>0.95751633986928109</v>
      </c>
      <c r="V1917" s="2" t="s">
        <v>2284</v>
      </c>
      <c r="W1917" s="11">
        <v>0</v>
      </c>
      <c r="X1917" s="13">
        <f>W1917/60</f>
        <v>0</v>
      </c>
      <c r="Y1917" s="2" t="s">
        <v>90</v>
      </c>
      <c r="Z1917" s="2">
        <v>58</v>
      </c>
      <c r="AA1917" s="2">
        <f>ProductionData[[#This Row],[Rejected_Qty]]*ProductionData[[#This Row],[Unit_Cost_INR]]</f>
        <v>30682</v>
      </c>
      <c r="AB1917" s="4">
        <v>6495</v>
      </c>
      <c r="AC1917" s="4">
        <v>5020</v>
      </c>
      <c r="AD1917" s="4">
        <v>5020</v>
      </c>
      <c r="AE1917" s="4">
        <v>6806</v>
      </c>
      <c r="AF1917" s="4">
        <v>9000</v>
      </c>
    </row>
    <row r="1918" spans="1:32">
      <c r="A1918" s="2" t="s">
        <v>3968</v>
      </c>
      <c r="B1918" s="3">
        <v>46270</v>
      </c>
      <c r="C1918" s="36" t="s">
        <v>64</v>
      </c>
      <c r="D1918" s="2">
        <f>MONTH(ProductionData[[#This Row],[Month]])</f>
        <v>9</v>
      </c>
      <c r="E1918" s="2" t="s">
        <v>65</v>
      </c>
      <c r="F1918" s="2" t="s">
        <v>80</v>
      </c>
      <c r="G1918" s="2" t="s">
        <v>81</v>
      </c>
      <c r="H1918" s="2" t="s">
        <v>82</v>
      </c>
      <c r="I1918" s="2" t="s">
        <v>83</v>
      </c>
      <c r="J1918" s="2" t="s">
        <v>721</v>
      </c>
      <c r="K1918" s="2" t="s">
        <v>722</v>
      </c>
      <c r="L1918" s="2" t="s">
        <v>3969</v>
      </c>
      <c r="M1918" s="2" t="s">
        <v>102</v>
      </c>
      <c r="N1918" s="2" t="s">
        <v>88</v>
      </c>
      <c r="O1918" s="2">
        <v>18</v>
      </c>
      <c r="P1918" s="2">
        <v>18</v>
      </c>
      <c r="Q1918" s="4">
        <v>3320</v>
      </c>
      <c r="R1918" s="4">
        <v>3270</v>
      </c>
      <c r="S1918" s="4">
        <v>82</v>
      </c>
      <c r="T1918" s="19">
        <f>(ProductionData[[#This Row],[Rejected_Qty]])/ProductionData[[#This Row],[Produced_Qty]]</f>
        <v>2.5076452599388378E-2</v>
      </c>
      <c r="U1918" s="19">
        <f>ProductionData[[#This Row],[Produced_Qty]]/ProductionData[[#This Row],[Planned_Qty]]</f>
        <v>0.98493975903614461</v>
      </c>
      <c r="V1918" s="2" t="s">
        <v>113</v>
      </c>
      <c r="W1918" s="11">
        <v>0</v>
      </c>
      <c r="X1918" s="13">
        <f>W1918/60</f>
        <v>0</v>
      </c>
      <c r="Y1918" s="2" t="s">
        <v>90</v>
      </c>
      <c r="Z1918" s="2">
        <v>64</v>
      </c>
      <c r="AA1918" s="2">
        <f>ProductionData[[#This Row],[Rejected_Qty]]*ProductionData[[#This Row],[Unit_Cost_INR]]</f>
        <v>5248</v>
      </c>
      <c r="AB1918" s="4">
        <v>6564</v>
      </c>
      <c r="AC1918" s="4">
        <v>3000</v>
      </c>
      <c r="AD1918" s="4">
        <v>3000</v>
      </c>
      <c r="AE1918" s="4">
        <v>6752</v>
      </c>
      <c r="AF1918" s="4">
        <v>5250</v>
      </c>
    </row>
    <row r="1919" spans="1:32">
      <c r="A1919" s="2" t="s">
        <v>3970</v>
      </c>
      <c r="B1919" s="3">
        <v>46275</v>
      </c>
      <c r="C1919" s="36" t="s">
        <v>64</v>
      </c>
      <c r="D1919" s="2">
        <f>MONTH(ProductionData[[#This Row],[Month]])</f>
        <v>9</v>
      </c>
      <c r="E1919" s="2" t="s">
        <v>107</v>
      </c>
      <c r="F1919" s="2" t="s">
        <v>66</v>
      </c>
      <c r="G1919" s="2" t="s">
        <v>67</v>
      </c>
      <c r="H1919" s="2" t="s">
        <v>68</v>
      </c>
      <c r="I1919" s="2" t="s">
        <v>69</v>
      </c>
      <c r="J1919" s="2" t="s">
        <v>403</v>
      </c>
      <c r="K1919" s="2" t="s">
        <v>404</v>
      </c>
      <c r="L1919" s="2" t="s">
        <v>3971</v>
      </c>
      <c r="M1919" s="2" t="s">
        <v>73</v>
      </c>
      <c r="N1919" s="2" t="s">
        <v>96</v>
      </c>
      <c r="O1919" s="2">
        <v>16</v>
      </c>
      <c r="P1919" s="2">
        <v>16</v>
      </c>
      <c r="Q1919" s="4">
        <v>6170</v>
      </c>
      <c r="R1919" s="4">
        <v>5760</v>
      </c>
      <c r="S1919" s="4">
        <v>180</v>
      </c>
      <c r="T1919" s="19">
        <f>(ProductionData[[#This Row],[Rejected_Qty]])/ProductionData[[#This Row],[Produced_Qty]]</f>
        <v>3.125E-2</v>
      </c>
      <c r="U1919" s="19">
        <f>ProductionData[[#This Row],[Produced_Qty]]/ProductionData[[#This Row],[Planned_Qty]]</f>
        <v>0.93354943273905999</v>
      </c>
      <c r="V1919" s="2" t="s">
        <v>109</v>
      </c>
      <c r="W1919" s="11">
        <v>25</v>
      </c>
      <c r="X1919" s="13">
        <f>W1919/60</f>
        <v>0.41666666666666669</v>
      </c>
      <c r="Y1919" s="2" t="s">
        <v>182</v>
      </c>
      <c r="Z1919" s="2">
        <v>58</v>
      </c>
      <c r="AA1919" s="2">
        <f>ProductionData[[#This Row],[Rejected_Qty]]*ProductionData[[#This Row],[Unit_Cost_INR]]</f>
        <v>10440</v>
      </c>
      <c r="AB1919" s="4">
        <v>6995</v>
      </c>
      <c r="AC1919" s="4">
        <v>5840</v>
      </c>
      <c r="AD1919" s="4">
        <v>5840</v>
      </c>
      <c r="AE1919" s="4">
        <v>6735</v>
      </c>
      <c r="AF1919" s="4">
        <v>9000</v>
      </c>
    </row>
    <row r="1920" spans="1:32">
      <c r="A1920" s="2" t="s">
        <v>3972</v>
      </c>
      <c r="B1920" s="3">
        <v>46277</v>
      </c>
      <c r="C1920" s="36" t="s">
        <v>64</v>
      </c>
      <c r="D1920" s="2">
        <f>MONTH(ProductionData[[#This Row],[Month]])</f>
        <v>9</v>
      </c>
      <c r="E1920" s="2" t="s">
        <v>65</v>
      </c>
      <c r="F1920" s="2" t="s">
        <v>66</v>
      </c>
      <c r="G1920" s="2" t="s">
        <v>81</v>
      </c>
      <c r="H1920" s="2" t="s">
        <v>82</v>
      </c>
      <c r="I1920" s="2" t="s">
        <v>83</v>
      </c>
      <c r="J1920" s="2" t="s">
        <v>721</v>
      </c>
      <c r="K1920" s="2" t="s">
        <v>722</v>
      </c>
      <c r="L1920" s="2" t="s">
        <v>3973</v>
      </c>
      <c r="M1920" s="2" t="s">
        <v>99</v>
      </c>
      <c r="N1920" s="2" t="s">
        <v>96</v>
      </c>
      <c r="O1920" s="2">
        <v>18</v>
      </c>
      <c r="P1920" s="2">
        <v>16</v>
      </c>
      <c r="Q1920" s="4">
        <v>3730</v>
      </c>
      <c r="R1920" s="4">
        <v>3620</v>
      </c>
      <c r="S1920" s="4">
        <v>108</v>
      </c>
      <c r="T1920" s="19">
        <f>(ProductionData[[#This Row],[Rejected_Qty]])/ProductionData[[#This Row],[Produced_Qty]]</f>
        <v>2.9834254143646408E-2</v>
      </c>
      <c r="U1920" s="19">
        <f>ProductionData[[#This Row],[Produced_Qty]]/ProductionData[[#This Row],[Planned_Qty]]</f>
        <v>0.97050938337801607</v>
      </c>
      <c r="V1920" s="2" t="s">
        <v>75</v>
      </c>
      <c r="W1920" s="11">
        <v>0</v>
      </c>
      <c r="X1920" s="13">
        <f>W1920/60</f>
        <v>0</v>
      </c>
      <c r="Y1920" s="2" t="s">
        <v>90</v>
      </c>
      <c r="Z1920" s="2">
        <v>64</v>
      </c>
      <c r="AA1920" s="2">
        <f>ProductionData[[#This Row],[Rejected_Qty]]*ProductionData[[#This Row],[Unit_Cost_INR]]</f>
        <v>6912</v>
      </c>
      <c r="AB1920" s="4">
        <v>6193</v>
      </c>
      <c r="AC1920" s="4">
        <v>2990</v>
      </c>
      <c r="AD1920" s="4">
        <v>2990</v>
      </c>
      <c r="AE1920" s="4">
        <v>6715</v>
      </c>
      <c r="AF1920" s="4">
        <v>5250</v>
      </c>
    </row>
    <row r="1921" spans="1:32">
      <c r="A1921" s="2" t="s">
        <v>3974</v>
      </c>
      <c r="B1921" s="3">
        <v>46271</v>
      </c>
      <c r="C1921" s="36" t="s">
        <v>64</v>
      </c>
      <c r="D1921" s="2">
        <f>MONTH(ProductionData[[#This Row],[Month]])</f>
        <v>9</v>
      </c>
      <c r="E1921" s="2" t="s">
        <v>186</v>
      </c>
      <c r="F1921" s="2" t="s">
        <v>80</v>
      </c>
      <c r="G1921" s="2" t="s">
        <v>81</v>
      </c>
      <c r="H1921" s="2" t="s">
        <v>82</v>
      </c>
      <c r="I1921" s="2" t="s">
        <v>83</v>
      </c>
      <c r="J1921" s="2" t="s">
        <v>721</v>
      </c>
      <c r="K1921" s="2" t="s">
        <v>722</v>
      </c>
      <c r="L1921" s="2" t="s">
        <v>3975</v>
      </c>
      <c r="M1921" s="2" t="s">
        <v>102</v>
      </c>
      <c r="N1921" s="2" t="s">
        <v>96</v>
      </c>
      <c r="O1921" s="2">
        <v>18</v>
      </c>
      <c r="P1921" s="2">
        <v>14</v>
      </c>
      <c r="Q1921" s="4">
        <v>2370</v>
      </c>
      <c r="R1921" s="4">
        <v>1930</v>
      </c>
      <c r="S1921" s="4">
        <v>40</v>
      </c>
      <c r="T1921" s="19">
        <f>(ProductionData[[#This Row],[Rejected_Qty]])/ProductionData[[#This Row],[Produced_Qty]]</f>
        <v>2.072538860103627E-2</v>
      </c>
      <c r="U1921" s="19">
        <f>ProductionData[[#This Row],[Produced_Qty]]/ProductionData[[#This Row],[Planned_Qty]]</f>
        <v>0.81434599156118148</v>
      </c>
      <c r="V1921" s="2" t="s">
        <v>113</v>
      </c>
      <c r="W1921" s="11">
        <v>0</v>
      </c>
      <c r="X1921" s="13">
        <f>W1921/60</f>
        <v>0</v>
      </c>
      <c r="Y1921" s="2" t="s">
        <v>90</v>
      </c>
      <c r="Z1921" s="2">
        <v>64</v>
      </c>
      <c r="AA1921" s="2">
        <f>ProductionData[[#This Row],[Rejected_Qty]]*ProductionData[[#This Row],[Unit_Cost_INR]]</f>
        <v>2560</v>
      </c>
      <c r="AB1921" s="4">
        <v>6752</v>
      </c>
      <c r="AC1921" s="4">
        <v>2000</v>
      </c>
      <c r="AD1921" s="4">
        <v>2000</v>
      </c>
      <c r="AE1921" s="4">
        <v>6642</v>
      </c>
      <c r="AF1921" s="4">
        <v>5250</v>
      </c>
    </row>
    <row r="1922" spans="1:32">
      <c r="A1922" s="2" t="s">
        <v>3976</v>
      </c>
      <c r="B1922" s="3">
        <v>46269</v>
      </c>
      <c r="C1922" s="36" t="s">
        <v>64</v>
      </c>
      <c r="D1922" s="2">
        <f>MONTH(ProductionData[[#This Row],[Month]])</f>
        <v>9</v>
      </c>
      <c r="E1922" s="2" t="s">
        <v>125</v>
      </c>
      <c r="F1922" s="2" t="s">
        <v>80</v>
      </c>
      <c r="G1922" s="2" t="s">
        <v>81</v>
      </c>
      <c r="H1922" s="2" t="s">
        <v>82</v>
      </c>
      <c r="I1922" s="2" t="s">
        <v>83</v>
      </c>
      <c r="J1922" s="2" t="s">
        <v>721</v>
      </c>
      <c r="K1922" s="2" t="s">
        <v>722</v>
      </c>
      <c r="L1922" s="2" t="s">
        <v>3977</v>
      </c>
      <c r="M1922" s="2" t="s">
        <v>87</v>
      </c>
      <c r="N1922" s="2" t="s">
        <v>96</v>
      </c>
      <c r="O1922" s="2">
        <v>18</v>
      </c>
      <c r="P1922" s="2">
        <v>18</v>
      </c>
      <c r="Q1922" s="4">
        <v>3560</v>
      </c>
      <c r="R1922" s="4">
        <v>3360</v>
      </c>
      <c r="S1922" s="4">
        <v>58</v>
      </c>
      <c r="T1922" s="19">
        <f>(ProductionData[[#This Row],[Rejected_Qty]])/ProductionData[[#This Row],[Produced_Qty]]</f>
        <v>1.7261904761904763E-2</v>
      </c>
      <c r="U1922" s="19">
        <f>ProductionData[[#This Row],[Produced_Qty]]/ProductionData[[#This Row],[Planned_Qty]]</f>
        <v>0.9438202247191011</v>
      </c>
      <c r="V1922" s="2" t="s">
        <v>89</v>
      </c>
      <c r="W1922" s="11">
        <v>0</v>
      </c>
      <c r="X1922" s="13">
        <f>W1922/60</f>
        <v>0</v>
      </c>
      <c r="Y1922" s="2" t="s">
        <v>90</v>
      </c>
      <c r="Z1922" s="2">
        <v>64</v>
      </c>
      <c r="AA1922" s="2">
        <f>ProductionData[[#This Row],[Rejected_Qty]]*ProductionData[[#This Row],[Unit_Cost_INR]]</f>
        <v>3712</v>
      </c>
      <c r="AB1922" s="4">
        <v>6282</v>
      </c>
      <c r="AC1922" s="4">
        <v>3020</v>
      </c>
      <c r="AD1922" s="4">
        <v>3020</v>
      </c>
      <c r="AE1922" s="4">
        <v>6564</v>
      </c>
      <c r="AF1922" s="4">
        <v>5250</v>
      </c>
    </row>
    <row r="1923" spans="1:32">
      <c r="A1923" s="2" t="s">
        <v>3978</v>
      </c>
      <c r="B1923" s="3">
        <v>46275</v>
      </c>
      <c r="C1923" s="36" t="s">
        <v>64</v>
      </c>
      <c r="D1923" s="2">
        <f>MONTH(ProductionData[[#This Row],[Month]])</f>
        <v>9</v>
      </c>
      <c r="E1923" s="2" t="s">
        <v>107</v>
      </c>
      <c r="F1923" s="2" t="s">
        <v>80</v>
      </c>
      <c r="G1923" s="2" t="s">
        <v>67</v>
      </c>
      <c r="H1923" s="2" t="s">
        <v>68</v>
      </c>
      <c r="I1923" s="2" t="s">
        <v>69</v>
      </c>
      <c r="J1923" s="2" t="s">
        <v>403</v>
      </c>
      <c r="K1923" s="2" t="s">
        <v>404</v>
      </c>
      <c r="L1923" s="2" t="s">
        <v>3979</v>
      </c>
      <c r="M1923" s="2" t="s">
        <v>87</v>
      </c>
      <c r="N1923" s="2" t="s">
        <v>88</v>
      </c>
      <c r="O1923" s="2">
        <v>16</v>
      </c>
      <c r="P1923" s="2">
        <v>15</v>
      </c>
      <c r="Q1923" s="4">
        <v>6540</v>
      </c>
      <c r="R1923" s="4">
        <v>6150</v>
      </c>
      <c r="S1923" s="4">
        <v>170</v>
      </c>
      <c r="T1923" s="19">
        <f>(ProductionData[[#This Row],[Rejected_Qty]])/ProductionData[[#This Row],[Produced_Qty]]</f>
        <v>2.7642276422764227E-2</v>
      </c>
      <c r="U1923" s="19">
        <f>ProductionData[[#This Row],[Produced_Qty]]/ProductionData[[#This Row],[Planned_Qty]]</f>
        <v>0.94036697247706424</v>
      </c>
      <c r="V1923" s="2" t="s">
        <v>113</v>
      </c>
      <c r="W1923" s="11">
        <v>0</v>
      </c>
      <c r="X1923" s="13">
        <f>W1923/60</f>
        <v>0</v>
      </c>
      <c r="Y1923" s="2" t="s">
        <v>90</v>
      </c>
      <c r="Z1923" s="2">
        <v>58</v>
      </c>
      <c r="AA1923" s="2">
        <f>ProductionData[[#This Row],[Rejected_Qty]]*ProductionData[[#This Row],[Unit_Cost_INR]]</f>
        <v>9860</v>
      </c>
      <c r="AB1923" s="4">
        <v>6735</v>
      </c>
      <c r="AC1923" s="4">
        <v>6220</v>
      </c>
      <c r="AD1923" s="4">
        <v>6220</v>
      </c>
      <c r="AE1923" s="4">
        <v>6495</v>
      </c>
      <c r="AF1923" s="4">
        <v>9000</v>
      </c>
    </row>
    <row r="1924" spans="1:32">
      <c r="A1924" s="2" t="s">
        <v>3980</v>
      </c>
      <c r="B1924" s="3">
        <v>46268</v>
      </c>
      <c r="C1924" s="36" t="s">
        <v>64</v>
      </c>
      <c r="D1924" s="2">
        <f>MONTH(ProductionData[[#This Row],[Month]])</f>
        <v>9</v>
      </c>
      <c r="E1924" s="2" t="s">
        <v>107</v>
      </c>
      <c r="F1924" s="2" t="s">
        <v>66</v>
      </c>
      <c r="G1924" s="2" t="s">
        <v>81</v>
      </c>
      <c r="H1924" s="2" t="s">
        <v>82</v>
      </c>
      <c r="I1924" s="2" t="s">
        <v>83</v>
      </c>
      <c r="J1924" s="2" t="s">
        <v>721</v>
      </c>
      <c r="K1924" s="2" t="s">
        <v>722</v>
      </c>
      <c r="L1924" s="2" t="s">
        <v>3981</v>
      </c>
      <c r="M1924" s="2" t="s">
        <v>99</v>
      </c>
      <c r="N1924" s="2" t="s">
        <v>96</v>
      </c>
      <c r="O1924" s="2">
        <v>18</v>
      </c>
      <c r="P1924" s="2">
        <v>18</v>
      </c>
      <c r="Q1924" s="4">
        <v>3310</v>
      </c>
      <c r="R1924" s="4">
        <v>3130</v>
      </c>
      <c r="S1924" s="4">
        <v>90</v>
      </c>
      <c r="T1924" s="19">
        <f>(ProductionData[[#This Row],[Rejected_Qty]])/ProductionData[[#This Row],[Produced_Qty]]</f>
        <v>2.8753993610223641E-2</v>
      </c>
      <c r="U1924" s="19">
        <f>ProductionData[[#This Row],[Produced_Qty]]/ProductionData[[#This Row],[Planned_Qty]]</f>
        <v>0.94561933534743203</v>
      </c>
      <c r="V1924" s="2" t="s">
        <v>113</v>
      </c>
      <c r="W1924" s="11">
        <v>51</v>
      </c>
      <c r="X1924" s="13">
        <f>W1924/60</f>
        <v>0.85</v>
      </c>
      <c r="Y1924" s="2" t="s">
        <v>76</v>
      </c>
      <c r="Z1924" s="2">
        <v>64</v>
      </c>
      <c r="AA1924" s="2">
        <f>ProductionData[[#This Row],[Rejected_Qty]]*ProductionData[[#This Row],[Unit_Cost_INR]]</f>
        <v>5760</v>
      </c>
      <c r="AB1924" s="4">
        <v>6142</v>
      </c>
      <c r="AC1924" s="4">
        <v>2900</v>
      </c>
      <c r="AD1924" s="4">
        <v>2900</v>
      </c>
      <c r="AE1924" s="4">
        <v>6282</v>
      </c>
      <c r="AF1924" s="4">
        <v>5250</v>
      </c>
    </row>
    <row r="1925" spans="1:32">
      <c r="A1925" s="2" t="s">
        <v>3982</v>
      </c>
      <c r="B1925" s="3">
        <v>46266</v>
      </c>
      <c r="C1925" s="36" t="s">
        <v>64</v>
      </c>
      <c r="D1925" s="2">
        <f>MONTH(ProductionData[[#This Row],[Month]])</f>
        <v>9</v>
      </c>
      <c r="E1925" s="2" t="s">
        <v>92</v>
      </c>
      <c r="F1925" s="2" t="s">
        <v>93</v>
      </c>
      <c r="G1925" s="2" t="s">
        <v>67</v>
      </c>
      <c r="H1925" s="2" t="s">
        <v>68</v>
      </c>
      <c r="I1925" s="2" t="s">
        <v>69</v>
      </c>
      <c r="J1925" s="2" t="s">
        <v>683</v>
      </c>
      <c r="K1925" s="2" t="s">
        <v>684</v>
      </c>
      <c r="L1925" s="2" t="s">
        <v>3983</v>
      </c>
      <c r="M1925" s="2" t="s">
        <v>133</v>
      </c>
      <c r="N1925" s="2" t="s">
        <v>74</v>
      </c>
      <c r="O1925" s="2">
        <v>16</v>
      </c>
      <c r="P1925" s="2">
        <v>13</v>
      </c>
      <c r="Q1925" s="4">
        <v>4680</v>
      </c>
      <c r="R1925" s="4">
        <v>4340</v>
      </c>
      <c r="S1925" s="4">
        <v>355</v>
      </c>
      <c r="T1925" s="19">
        <f>(ProductionData[[#This Row],[Rejected_Qty]])/ProductionData[[#This Row],[Produced_Qty]]</f>
        <v>8.1797235023041481E-2</v>
      </c>
      <c r="U1925" s="19">
        <f>ProductionData[[#This Row],[Produced_Qty]]/ProductionData[[#This Row],[Planned_Qty]]</f>
        <v>0.92735042735042739</v>
      </c>
      <c r="V1925" s="2" t="s">
        <v>109</v>
      </c>
      <c r="W1925" s="11">
        <v>39</v>
      </c>
      <c r="X1925" s="13">
        <f>W1925/60</f>
        <v>0.65</v>
      </c>
      <c r="Y1925" s="2" t="s">
        <v>76</v>
      </c>
      <c r="Z1925" s="2">
        <v>79</v>
      </c>
      <c r="AA1925" s="2">
        <f>ProductionData[[#This Row],[Rejected_Qty]]*ProductionData[[#This Row],[Unit_Cost_INR]]</f>
        <v>28045</v>
      </c>
      <c r="AB1925" s="4">
        <v>6259</v>
      </c>
      <c r="AC1925" s="4">
        <v>4010</v>
      </c>
      <c r="AD1925" s="4">
        <v>4010</v>
      </c>
      <c r="AE1925" s="4">
        <v>6234</v>
      </c>
      <c r="AF1925" s="4">
        <v>6750</v>
      </c>
    </row>
    <row r="1926" spans="1:32">
      <c r="A1926" s="2" t="s">
        <v>3984</v>
      </c>
      <c r="B1926" s="3">
        <v>46274</v>
      </c>
      <c r="C1926" s="36" t="s">
        <v>64</v>
      </c>
      <c r="D1926" s="2">
        <f>MONTH(ProductionData[[#This Row],[Month]])</f>
        <v>9</v>
      </c>
      <c r="E1926" s="2" t="s">
        <v>79</v>
      </c>
      <c r="F1926" s="2" t="s">
        <v>66</v>
      </c>
      <c r="G1926" s="2" t="s">
        <v>81</v>
      </c>
      <c r="H1926" s="2" t="s">
        <v>82</v>
      </c>
      <c r="I1926" s="2" t="s">
        <v>83</v>
      </c>
      <c r="J1926" s="2" t="s">
        <v>721</v>
      </c>
      <c r="K1926" s="2" t="s">
        <v>722</v>
      </c>
      <c r="L1926" s="2" t="s">
        <v>3985</v>
      </c>
      <c r="M1926" s="2" t="s">
        <v>73</v>
      </c>
      <c r="N1926" s="2" t="s">
        <v>88</v>
      </c>
      <c r="O1926" s="2">
        <v>18</v>
      </c>
      <c r="P1926" s="2">
        <v>16</v>
      </c>
      <c r="Q1926" s="4">
        <v>3750</v>
      </c>
      <c r="R1926" s="4">
        <v>3430</v>
      </c>
      <c r="S1926" s="4">
        <v>40</v>
      </c>
      <c r="T1926" s="19">
        <f>(ProductionData[[#This Row],[Rejected_Qty]])/ProductionData[[#This Row],[Produced_Qty]]</f>
        <v>1.1661807580174927E-2</v>
      </c>
      <c r="U1926" s="19">
        <f>ProductionData[[#This Row],[Produced_Qty]]/ProductionData[[#This Row],[Planned_Qty]]</f>
        <v>0.91466666666666663</v>
      </c>
      <c r="V1926" s="2" t="s">
        <v>89</v>
      </c>
      <c r="W1926" s="11">
        <v>24</v>
      </c>
      <c r="X1926" s="13">
        <f>W1926/60</f>
        <v>0.4</v>
      </c>
      <c r="Y1926" s="2" t="s">
        <v>136</v>
      </c>
      <c r="Z1926" s="2">
        <v>64</v>
      </c>
      <c r="AA1926" s="2">
        <f>ProductionData[[#This Row],[Rejected_Qty]]*ProductionData[[#This Row],[Unit_Cost_INR]]</f>
        <v>2560</v>
      </c>
      <c r="AB1926" s="4">
        <v>5843</v>
      </c>
      <c r="AC1926" s="4">
        <v>3040</v>
      </c>
      <c r="AD1926" s="4">
        <v>3040</v>
      </c>
      <c r="AE1926" s="4">
        <v>6193</v>
      </c>
      <c r="AF1926" s="4">
        <v>5250</v>
      </c>
    </row>
    <row r="1927" spans="1:32">
      <c r="A1927" s="2" t="s">
        <v>3986</v>
      </c>
      <c r="B1927" s="3">
        <v>46272</v>
      </c>
      <c r="C1927" s="36" t="s">
        <v>64</v>
      </c>
      <c r="D1927" s="2">
        <f>MONTH(ProductionData[[#This Row],[Month]])</f>
        <v>9</v>
      </c>
      <c r="E1927" s="2" t="s">
        <v>116</v>
      </c>
      <c r="F1927" s="2" t="s">
        <v>66</v>
      </c>
      <c r="G1927" s="2" t="s">
        <v>81</v>
      </c>
      <c r="H1927" s="2" t="s">
        <v>82</v>
      </c>
      <c r="I1927" s="2" t="s">
        <v>83</v>
      </c>
      <c r="J1927" s="2" t="s">
        <v>721</v>
      </c>
      <c r="K1927" s="2" t="s">
        <v>722</v>
      </c>
      <c r="L1927" s="2" t="s">
        <v>3987</v>
      </c>
      <c r="M1927" s="2" t="s">
        <v>99</v>
      </c>
      <c r="N1927" s="2" t="s">
        <v>88</v>
      </c>
      <c r="O1927" s="2">
        <v>18</v>
      </c>
      <c r="P1927" s="2">
        <v>15</v>
      </c>
      <c r="Q1927" s="4">
        <v>3280</v>
      </c>
      <c r="R1927" s="4">
        <v>2950</v>
      </c>
      <c r="S1927" s="4">
        <v>55</v>
      </c>
      <c r="T1927" s="19">
        <f>(ProductionData[[#This Row],[Rejected_Qty]])/ProductionData[[#This Row],[Produced_Qty]]</f>
        <v>1.864406779661017E-2</v>
      </c>
      <c r="U1927" s="19">
        <f>ProductionData[[#This Row],[Produced_Qty]]/ProductionData[[#This Row],[Planned_Qty]]</f>
        <v>0.89939024390243905</v>
      </c>
      <c r="V1927" s="2" t="s">
        <v>89</v>
      </c>
      <c r="W1927" s="11">
        <v>0</v>
      </c>
      <c r="X1927" s="13">
        <f>W1927/60</f>
        <v>0</v>
      </c>
      <c r="Y1927" s="2" t="s">
        <v>90</v>
      </c>
      <c r="Z1927" s="2">
        <v>64</v>
      </c>
      <c r="AA1927" s="2">
        <f>ProductionData[[#This Row],[Rejected_Qty]]*ProductionData[[#This Row],[Unit_Cost_INR]]</f>
        <v>3520</v>
      </c>
      <c r="AB1927" s="4">
        <v>6642</v>
      </c>
      <c r="AC1927" s="4">
        <v>3350</v>
      </c>
      <c r="AD1927" s="4">
        <v>3350</v>
      </c>
      <c r="AE1927" s="4">
        <v>6187</v>
      </c>
      <c r="AF1927" s="4">
        <v>5250</v>
      </c>
    </row>
    <row r="1928" spans="1:32">
      <c r="A1928" s="2" t="s">
        <v>3988</v>
      </c>
      <c r="B1928" s="3">
        <v>46267</v>
      </c>
      <c r="C1928" s="36" t="s">
        <v>64</v>
      </c>
      <c r="D1928" s="2">
        <f>MONTH(ProductionData[[#This Row],[Month]])</f>
        <v>9</v>
      </c>
      <c r="E1928" s="2" t="s">
        <v>79</v>
      </c>
      <c r="F1928" s="2" t="s">
        <v>80</v>
      </c>
      <c r="G1928" s="2" t="s">
        <v>81</v>
      </c>
      <c r="H1928" s="2" t="s">
        <v>82</v>
      </c>
      <c r="I1928" s="2" t="s">
        <v>83</v>
      </c>
      <c r="J1928" s="2" t="s">
        <v>721</v>
      </c>
      <c r="K1928" s="2" t="s">
        <v>722</v>
      </c>
      <c r="L1928" s="2" t="s">
        <v>3989</v>
      </c>
      <c r="M1928" s="2" t="s">
        <v>102</v>
      </c>
      <c r="N1928" s="2" t="s">
        <v>96</v>
      </c>
      <c r="O1928" s="2">
        <v>18</v>
      </c>
      <c r="P1928" s="2">
        <v>17</v>
      </c>
      <c r="Q1928" s="4">
        <v>3620</v>
      </c>
      <c r="R1928" s="4">
        <v>3350</v>
      </c>
      <c r="S1928" s="4">
        <v>66</v>
      </c>
      <c r="T1928" s="19">
        <f>(ProductionData[[#This Row],[Rejected_Qty]])/ProductionData[[#This Row],[Produced_Qty]]</f>
        <v>1.9701492537313434E-2</v>
      </c>
      <c r="U1928" s="19">
        <f>ProductionData[[#This Row],[Produced_Qty]]/ProductionData[[#This Row],[Planned_Qty]]</f>
        <v>0.925414364640884</v>
      </c>
      <c r="V1928" s="2" t="s">
        <v>103</v>
      </c>
      <c r="W1928" s="11">
        <v>59</v>
      </c>
      <c r="X1928" s="13">
        <f>W1928/60</f>
        <v>0.98333333333333328</v>
      </c>
      <c r="Y1928" s="2" t="s">
        <v>110</v>
      </c>
      <c r="Z1928" s="2">
        <v>64</v>
      </c>
      <c r="AA1928" s="2">
        <f>ProductionData[[#This Row],[Rejected_Qty]]*ProductionData[[#This Row],[Unit_Cost_INR]]</f>
        <v>4224</v>
      </c>
      <c r="AB1928" s="4">
        <v>5938</v>
      </c>
      <c r="AC1928" s="4">
        <v>3080</v>
      </c>
      <c r="AD1928" s="4">
        <v>3080</v>
      </c>
      <c r="AE1928" s="4">
        <v>6142</v>
      </c>
      <c r="AF1928" s="4">
        <v>5250</v>
      </c>
    </row>
    <row r="1929" spans="1:32">
      <c r="A1929" s="2" t="s">
        <v>3990</v>
      </c>
      <c r="B1929" s="3">
        <v>46268</v>
      </c>
      <c r="C1929" s="36" t="s">
        <v>64</v>
      </c>
      <c r="D1929" s="2">
        <f>MONTH(ProductionData[[#This Row],[Month]])</f>
        <v>9</v>
      </c>
      <c r="E1929" s="2" t="s">
        <v>107</v>
      </c>
      <c r="F1929" s="2" t="s">
        <v>80</v>
      </c>
      <c r="G1929" s="2" t="s">
        <v>67</v>
      </c>
      <c r="H1929" s="2" t="s">
        <v>68</v>
      </c>
      <c r="I1929" s="2" t="s">
        <v>69</v>
      </c>
      <c r="J1929" s="2" t="s">
        <v>683</v>
      </c>
      <c r="K1929" s="2" t="s">
        <v>684</v>
      </c>
      <c r="L1929" s="2" t="s">
        <v>3991</v>
      </c>
      <c r="M1929" s="2" t="s">
        <v>87</v>
      </c>
      <c r="N1929" s="2" t="s">
        <v>88</v>
      </c>
      <c r="O1929" s="2">
        <v>16</v>
      </c>
      <c r="P1929" s="2">
        <v>16</v>
      </c>
      <c r="Q1929" s="4">
        <v>4700</v>
      </c>
      <c r="R1929" s="4">
        <v>4800</v>
      </c>
      <c r="S1929" s="4">
        <v>135</v>
      </c>
      <c r="T1929" s="19">
        <f>(ProductionData[[#This Row],[Rejected_Qty]])/ProductionData[[#This Row],[Produced_Qty]]</f>
        <v>2.8125000000000001E-2</v>
      </c>
      <c r="U1929" s="19">
        <f>ProductionData[[#This Row],[Produced_Qty]]/ProductionData[[#This Row],[Planned_Qty]]</f>
        <v>1.0212765957446808</v>
      </c>
      <c r="V1929" s="2" t="s">
        <v>113</v>
      </c>
      <c r="W1929" s="11">
        <v>0</v>
      </c>
      <c r="X1929" s="13">
        <f>W1929/60</f>
        <v>0</v>
      </c>
      <c r="Y1929" s="2" t="s">
        <v>90</v>
      </c>
      <c r="Z1929" s="2">
        <v>79</v>
      </c>
      <c r="AA1929" s="2">
        <f>ProductionData[[#This Row],[Rejected_Qty]]*ProductionData[[#This Row],[Unit_Cost_INR]]</f>
        <v>10665</v>
      </c>
      <c r="AB1929" s="4">
        <v>5391</v>
      </c>
      <c r="AC1929" s="4">
        <v>3920</v>
      </c>
      <c r="AD1929" s="4">
        <v>3920</v>
      </c>
      <c r="AE1929" s="4">
        <v>6136</v>
      </c>
      <c r="AF1929" s="4">
        <v>6750</v>
      </c>
    </row>
    <row r="1930" spans="1:32">
      <c r="A1930" s="2" t="s">
        <v>3992</v>
      </c>
      <c r="B1930" s="3">
        <v>46267</v>
      </c>
      <c r="C1930" s="36" t="s">
        <v>64</v>
      </c>
      <c r="D1930" s="2">
        <f>MONTH(ProductionData[[#This Row],[Month]])</f>
        <v>9</v>
      </c>
      <c r="E1930" s="2" t="s">
        <v>79</v>
      </c>
      <c r="F1930" s="2" t="s">
        <v>66</v>
      </c>
      <c r="G1930" s="2" t="s">
        <v>81</v>
      </c>
      <c r="H1930" s="2" t="s">
        <v>82</v>
      </c>
      <c r="I1930" s="2" t="s">
        <v>83</v>
      </c>
      <c r="J1930" s="2" t="s">
        <v>721</v>
      </c>
      <c r="K1930" s="2" t="s">
        <v>722</v>
      </c>
      <c r="L1930" s="2" t="s">
        <v>3993</v>
      </c>
      <c r="M1930" s="2" t="s">
        <v>73</v>
      </c>
      <c r="N1930" s="2" t="s">
        <v>88</v>
      </c>
      <c r="O1930" s="2">
        <v>18</v>
      </c>
      <c r="P1930" s="2">
        <v>17</v>
      </c>
      <c r="Q1930" s="4">
        <v>3570</v>
      </c>
      <c r="R1930" s="4">
        <v>3310</v>
      </c>
      <c r="S1930" s="4">
        <v>124</v>
      </c>
      <c r="T1930" s="19">
        <f>(ProductionData[[#This Row],[Rejected_Qty]])/ProductionData[[#This Row],[Produced_Qty]]</f>
        <v>3.7462235649546829E-2</v>
      </c>
      <c r="U1930" s="19">
        <f>ProductionData[[#This Row],[Produced_Qty]]/ProductionData[[#This Row],[Planned_Qty]]</f>
        <v>0.92717086834733897</v>
      </c>
      <c r="V1930" s="2" t="s">
        <v>89</v>
      </c>
      <c r="W1930" s="11">
        <v>0</v>
      </c>
      <c r="X1930" s="13">
        <f>W1930/60</f>
        <v>0</v>
      </c>
      <c r="Y1930" s="2" t="s">
        <v>90</v>
      </c>
      <c r="Z1930" s="2">
        <v>64</v>
      </c>
      <c r="AA1930" s="2">
        <f>ProductionData[[#This Row],[Rejected_Qty]]*ProductionData[[#This Row],[Unit_Cost_INR]]</f>
        <v>7936</v>
      </c>
      <c r="AB1930" s="4">
        <v>5702</v>
      </c>
      <c r="AC1930" s="4">
        <v>2950</v>
      </c>
      <c r="AD1930" s="4">
        <v>2950</v>
      </c>
      <c r="AE1930" s="4">
        <v>5938</v>
      </c>
      <c r="AF1930" s="4">
        <v>5250</v>
      </c>
    </row>
    <row r="1931" spans="1:32">
      <c r="A1931" s="2" t="s">
        <v>3994</v>
      </c>
      <c r="B1931" s="3">
        <v>46273</v>
      </c>
      <c r="C1931" s="36" t="s">
        <v>64</v>
      </c>
      <c r="D1931" s="2">
        <f>MONTH(ProductionData[[#This Row],[Month]])</f>
        <v>9</v>
      </c>
      <c r="E1931" s="2" t="s">
        <v>92</v>
      </c>
      <c r="F1931" s="2" t="s">
        <v>80</v>
      </c>
      <c r="G1931" s="2" t="s">
        <v>81</v>
      </c>
      <c r="H1931" s="2" t="s">
        <v>82</v>
      </c>
      <c r="I1931" s="2" t="s">
        <v>83</v>
      </c>
      <c r="J1931" s="2" t="s">
        <v>721</v>
      </c>
      <c r="K1931" s="2" t="s">
        <v>722</v>
      </c>
      <c r="L1931" s="2" t="s">
        <v>3995</v>
      </c>
      <c r="M1931" s="2" t="s">
        <v>87</v>
      </c>
      <c r="N1931" s="2" t="s">
        <v>88</v>
      </c>
      <c r="O1931" s="2">
        <v>18</v>
      </c>
      <c r="P1931" s="2">
        <v>17</v>
      </c>
      <c r="Q1931" s="4">
        <v>3600</v>
      </c>
      <c r="R1931" s="4">
        <v>3170</v>
      </c>
      <c r="S1931" s="4">
        <v>31</v>
      </c>
      <c r="T1931" s="19">
        <f>(ProductionData[[#This Row],[Rejected_Qty]])/ProductionData[[#This Row],[Produced_Qty]]</f>
        <v>9.7791798107255516E-3</v>
      </c>
      <c r="U1931" s="19">
        <f>ProductionData[[#This Row],[Produced_Qty]]/ProductionData[[#This Row],[Planned_Qty]]</f>
        <v>0.88055555555555554</v>
      </c>
      <c r="V1931" s="2" t="s">
        <v>75</v>
      </c>
      <c r="W1931" s="11">
        <v>0</v>
      </c>
      <c r="X1931" s="13">
        <f>W1931/60</f>
        <v>0</v>
      </c>
      <c r="Y1931" s="2" t="s">
        <v>90</v>
      </c>
      <c r="Z1931" s="2">
        <v>64</v>
      </c>
      <c r="AA1931" s="2">
        <f>ProductionData[[#This Row],[Rejected_Qty]]*ProductionData[[#This Row],[Unit_Cost_INR]]</f>
        <v>1984</v>
      </c>
      <c r="AB1931" s="4">
        <v>5774</v>
      </c>
      <c r="AC1931" s="4">
        <v>3070</v>
      </c>
      <c r="AD1931" s="4">
        <v>3070</v>
      </c>
      <c r="AE1931" s="4">
        <v>5843</v>
      </c>
      <c r="AF1931" s="4">
        <v>5250</v>
      </c>
    </row>
    <row r="1932" spans="1:32">
      <c r="A1932" s="2" t="s">
        <v>3996</v>
      </c>
      <c r="B1932" s="3">
        <v>46277</v>
      </c>
      <c r="C1932" s="36" t="s">
        <v>64</v>
      </c>
      <c r="D1932" s="2">
        <f>MONTH(ProductionData[[#This Row],[Month]])</f>
        <v>9</v>
      </c>
      <c r="E1932" s="2" t="s">
        <v>65</v>
      </c>
      <c r="F1932" s="2" t="s">
        <v>93</v>
      </c>
      <c r="G1932" s="2" t="s">
        <v>67</v>
      </c>
      <c r="H1932" s="2" t="s">
        <v>68</v>
      </c>
      <c r="I1932" s="2" t="s">
        <v>69</v>
      </c>
      <c r="J1932" s="2" t="s">
        <v>403</v>
      </c>
      <c r="K1932" s="2" t="s">
        <v>404</v>
      </c>
      <c r="L1932" s="2" t="s">
        <v>3997</v>
      </c>
      <c r="M1932" s="2" t="s">
        <v>95</v>
      </c>
      <c r="N1932" s="2" t="s">
        <v>74</v>
      </c>
      <c r="O1932" s="2">
        <v>16</v>
      </c>
      <c r="P1932" s="2">
        <v>13</v>
      </c>
      <c r="Q1932" s="4">
        <v>5820</v>
      </c>
      <c r="R1932" s="4">
        <v>5080</v>
      </c>
      <c r="S1932" s="4">
        <v>605</v>
      </c>
      <c r="T1932" s="19">
        <f>(ProductionData[[#This Row],[Rejected_Qty]])/ProductionData[[#This Row],[Produced_Qty]]</f>
        <v>0.11909448818897637</v>
      </c>
      <c r="U1932" s="19">
        <f>ProductionData[[#This Row],[Produced_Qty]]/ProductionData[[#This Row],[Planned_Qty]]</f>
        <v>0.87285223367697595</v>
      </c>
      <c r="V1932" s="2" t="s">
        <v>2284</v>
      </c>
      <c r="W1932" s="11">
        <v>0</v>
      </c>
      <c r="X1932" s="13">
        <f>W1932/60</f>
        <v>0</v>
      </c>
      <c r="Y1932" s="2" t="s">
        <v>90</v>
      </c>
      <c r="Z1932" s="2">
        <v>58</v>
      </c>
      <c r="AA1932" s="2">
        <f>ProductionData[[#This Row],[Rejected_Qty]]*ProductionData[[#This Row],[Unit_Cost_INR]]</f>
        <v>35090</v>
      </c>
      <c r="AB1932" s="4">
        <v>7155</v>
      </c>
      <c r="AC1932" s="4">
        <v>5800</v>
      </c>
      <c r="AD1932" s="4">
        <v>5800</v>
      </c>
      <c r="AE1932" s="4">
        <v>5830</v>
      </c>
      <c r="AF1932" s="4">
        <v>9000</v>
      </c>
    </row>
    <row r="1933" spans="1:32">
      <c r="A1933" s="2" t="s">
        <v>3998</v>
      </c>
      <c r="B1933" s="3">
        <v>46273</v>
      </c>
      <c r="C1933" s="36" t="s">
        <v>64</v>
      </c>
      <c r="D1933" s="2">
        <f>MONTH(ProductionData[[#This Row],[Month]])</f>
        <v>9</v>
      </c>
      <c r="E1933" s="2" t="s">
        <v>92</v>
      </c>
      <c r="F1933" s="2" t="s">
        <v>66</v>
      </c>
      <c r="G1933" s="2" t="s">
        <v>81</v>
      </c>
      <c r="H1933" s="2" t="s">
        <v>82</v>
      </c>
      <c r="I1933" s="2" t="s">
        <v>83</v>
      </c>
      <c r="J1933" s="2" t="s">
        <v>721</v>
      </c>
      <c r="K1933" s="2" t="s">
        <v>722</v>
      </c>
      <c r="L1933" s="2" t="s">
        <v>3999</v>
      </c>
      <c r="M1933" s="2" t="s">
        <v>99</v>
      </c>
      <c r="N1933" s="2" t="s">
        <v>88</v>
      </c>
      <c r="O1933" s="2">
        <v>18</v>
      </c>
      <c r="P1933" s="2">
        <v>17</v>
      </c>
      <c r="Q1933" s="4">
        <v>3440</v>
      </c>
      <c r="R1933" s="4">
        <v>3240</v>
      </c>
      <c r="S1933" s="4">
        <v>43</v>
      </c>
      <c r="T1933" s="19">
        <f>(ProductionData[[#This Row],[Rejected_Qty]])/ProductionData[[#This Row],[Produced_Qty]]</f>
        <v>1.3271604938271606E-2</v>
      </c>
      <c r="U1933" s="19">
        <f>ProductionData[[#This Row],[Produced_Qty]]/ProductionData[[#This Row],[Planned_Qty]]</f>
        <v>0.94186046511627908</v>
      </c>
      <c r="V1933" s="2" t="s">
        <v>75</v>
      </c>
      <c r="W1933" s="11">
        <v>31</v>
      </c>
      <c r="X1933" s="13">
        <f>W1933/60</f>
        <v>0.51666666666666672</v>
      </c>
      <c r="Y1933" s="2" t="s">
        <v>136</v>
      </c>
      <c r="Z1933" s="2">
        <v>64</v>
      </c>
      <c r="AA1933" s="2">
        <f>ProductionData[[#This Row],[Rejected_Qty]]*ProductionData[[#This Row],[Unit_Cost_INR]]</f>
        <v>2752</v>
      </c>
      <c r="AB1933" s="4">
        <v>6187</v>
      </c>
      <c r="AC1933" s="4">
        <v>3610</v>
      </c>
      <c r="AD1933" s="4">
        <v>3610</v>
      </c>
      <c r="AE1933" s="4">
        <v>5774</v>
      </c>
      <c r="AF1933" s="4">
        <v>5250</v>
      </c>
    </row>
    <row r="1934" spans="1:32">
      <c r="A1934" s="2" t="s">
        <v>4000</v>
      </c>
      <c r="B1934" s="3">
        <v>46279</v>
      </c>
      <c r="C1934" s="36" t="s">
        <v>64</v>
      </c>
      <c r="D1934" s="2">
        <f>MONTH(ProductionData[[#This Row],[Month]])</f>
        <v>9</v>
      </c>
      <c r="E1934" s="2" t="s">
        <v>116</v>
      </c>
      <c r="F1934" s="2" t="s">
        <v>66</v>
      </c>
      <c r="G1934" s="2" t="s">
        <v>67</v>
      </c>
      <c r="H1934" s="2" t="s">
        <v>68</v>
      </c>
      <c r="I1934" s="2" t="s">
        <v>69</v>
      </c>
      <c r="J1934" s="2" t="s">
        <v>403</v>
      </c>
      <c r="K1934" s="2" t="s">
        <v>404</v>
      </c>
      <c r="L1934" s="2" t="s">
        <v>4001</v>
      </c>
      <c r="M1934" s="2" t="s">
        <v>99</v>
      </c>
      <c r="N1934" s="2" t="s">
        <v>96</v>
      </c>
      <c r="O1934" s="2">
        <v>16</v>
      </c>
      <c r="P1934" s="2">
        <v>16</v>
      </c>
      <c r="Q1934" s="4">
        <v>6970</v>
      </c>
      <c r="R1934" s="4">
        <v>6880</v>
      </c>
      <c r="S1934" s="4">
        <v>143</v>
      </c>
      <c r="T1934" s="19">
        <f>(ProductionData[[#This Row],[Rejected_Qty]])/ProductionData[[#This Row],[Produced_Qty]]</f>
        <v>2.0784883720930233E-2</v>
      </c>
      <c r="U1934" s="19">
        <f>ProductionData[[#This Row],[Produced_Qty]]/ProductionData[[#This Row],[Planned_Qty]]</f>
        <v>0.98708751793400284</v>
      </c>
      <c r="V1934" s="2" t="s">
        <v>103</v>
      </c>
      <c r="W1934" s="11">
        <v>0</v>
      </c>
      <c r="X1934" s="13">
        <f>W1934/60</f>
        <v>0</v>
      </c>
      <c r="Y1934" s="2" t="s">
        <v>90</v>
      </c>
      <c r="Z1934" s="2">
        <v>58</v>
      </c>
      <c r="AA1934" s="2">
        <f>ProductionData[[#This Row],[Rejected_Qty]]*ProductionData[[#This Row],[Unit_Cost_INR]]</f>
        <v>8294</v>
      </c>
      <c r="AB1934" s="4">
        <v>5830</v>
      </c>
      <c r="AC1934" s="4">
        <v>6920</v>
      </c>
      <c r="AD1934" s="4">
        <v>6920</v>
      </c>
      <c r="AE1934" s="4">
        <v>5647</v>
      </c>
      <c r="AF1934" s="4">
        <v>9000</v>
      </c>
    </row>
    <row r="1935" spans="1:32">
      <c r="A1935" s="2" t="s">
        <v>4002</v>
      </c>
      <c r="B1935" s="3">
        <v>46268</v>
      </c>
      <c r="C1935" s="36" t="s">
        <v>64</v>
      </c>
      <c r="D1935" s="2">
        <f>MONTH(ProductionData[[#This Row],[Month]])</f>
        <v>9</v>
      </c>
      <c r="E1935" s="2" t="s">
        <v>107</v>
      </c>
      <c r="F1935" s="2" t="s">
        <v>93</v>
      </c>
      <c r="G1935" s="2" t="s">
        <v>67</v>
      </c>
      <c r="H1935" s="2" t="s">
        <v>68</v>
      </c>
      <c r="I1935" s="2" t="s">
        <v>69</v>
      </c>
      <c r="J1935" s="2" t="s">
        <v>683</v>
      </c>
      <c r="K1935" s="2" t="s">
        <v>684</v>
      </c>
      <c r="L1935" s="2" t="s">
        <v>4003</v>
      </c>
      <c r="M1935" s="2" t="s">
        <v>95</v>
      </c>
      <c r="N1935" s="2" t="s">
        <v>74</v>
      </c>
      <c r="O1935" s="2">
        <v>16</v>
      </c>
      <c r="P1935" s="2">
        <v>13</v>
      </c>
      <c r="Q1935" s="4">
        <v>4430</v>
      </c>
      <c r="R1935" s="4">
        <v>3950</v>
      </c>
      <c r="S1935" s="4">
        <v>353</v>
      </c>
      <c r="T1935" s="19">
        <f>(ProductionData[[#This Row],[Rejected_Qty]])/ProductionData[[#This Row],[Produced_Qty]]</f>
        <v>8.936708860759493E-2</v>
      </c>
      <c r="U1935" s="19">
        <f>ProductionData[[#This Row],[Produced_Qty]]/ProductionData[[#This Row],[Planned_Qty]]</f>
        <v>0.89164785553047399</v>
      </c>
      <c r="V1935" s="2" t="s">
        <v>2284</v>
      </c>
      <c r="W1935" s="11">
        <v>0</v>
      </c>
      <c r="X1935" s="13">
        <f>W1935/60</f>
        <v>0</v>
      </c>
      <c r="Y1935" s="2" t="s">
        <v>90</v>
      </c>
      <c r="Z1935" s="2">
        <v>79</v>
      </c>
      <c r="AA1935" s="2">
        <f>ProductionData[[#This Row],[Rejected_Qty]]*ProductionData[[#This Row],[Unit_Cost_INR]]</f>
        <v>27887</v>
      </c>
      <c r="AB1935" s="4">
        <v>6136</v>
      </c>
      <c r="AC1935" s="4">
        <v>4250</v>
      </c>
      <c r="AD1935" s="4">
        <v>4250</v>
      </c>
      <c r="AE1935" s="4">
        <v>5483</v>
      </c>
      <c r="AF1935" s="4">
        <v>6750</v>
      </c>
    </row>
    <row r="1936" spans="1:32">
      <c r="A1936" s="2" t="s">
        <v>4004</v>
      </c>
      <c r="B1936" s="3">
        <v>46269</v>
      </c>
      <c r="C1936" s="36" t="s">
        <v>64</v>
      </c>
      <c r="D1936" s="2">
        <f>MONTH(ProductionData[[#This Row],[Month]])</f>
        <v>9</v>
      </c>
      <c r="E1936" s="2" t="s">
        <v>125</v>
      </c>
      <c r="F1936" s="2" t="s">
        <v>66</v>
      </c>
      <c r="G1936" s="2" t="s">
        <v>67</v>
      </c>
      <c r="H1936" s="2" t="s">
        <v>68</v>
      </c>
      <c r="I1936" s="2" t="s">
        <v>69</v>
      </c>
      <c r="J1936" s="2" t="s">
        <v>683</v>
      </c>
      <c r="K1936" s="2" t="s">
        <v>684</v>
      </c>
      <c r="L1936" s="2" t="s">
        <v>4005</v>
      </c>
      <c r="M1936" s="2" t="s">
        <v>99</v>
      </c>
      <c r="N1936" s="2" t="s">
        <v>88</v>
      </c>
      <c r="O1936" s="2">
        <v>16</v>
      </c>
      <c r="P1936" s="2">
        <v>15</v>
      </c>
      <c r="Q1936" s="4">
        <v>5030</v>
      </c>
      <c r="R1936" s="4">
        <v>4610</v>
      </c>
      <c r="S1936" s="4">
        <v>109</v>
      </c>
      <c r="T1936" s="19">
        <f>(ProductionData[[#This Row],[Rejected_Qty]])/ProductionData[[#This Row],[Produced_Qty]]</f>
        <v>2.3644251626898049E-2</v>
      </c>
      <c r="U1936" s="19">
        <f>ProductionData[[#This Row],[Produced_Qty]]/ProductionData[[#This Row],[Planned_Qty]]</f>
        <v>0.91650099403578533</v>
      </c>
      <c r="V1936" s="2" t="s">
        <v>89</v>
      </c>
      <c r="W1936" s="11">
        <v>45</v>
      </c>
      <c r="X1936" s="13">
        <f>W1936/60</f>
        <v>0.75</v>
      </c>
      <c r="Y1936" s="2" t="s">
        <v>136</v>
      </c>
      <c r="Z1936" s="2">
        <v>79</v>
      </c>
      <c r="AA1936" s="2">
        <f>ProductionData[[#This Row],[Rejected_Qty]]*ProductionData[[#This Row],[Unit_Cost_INR]]</f>
        <v>8611</v>
      </c>
      <c r="AB1936" s="4">
        <v>5483</v>
      </c>
      <c r="AC1936" s="4">
        <v>4560</v>
      </c>
      <c r="AD1936" s="4">
        <v>4560</v>
      </c>
      <c r="AE1936" s="4">
        <v>5424</v>
      </c>
      <c r="AF1936" s="4">
        <v>6750</v>
      </c>
    </row>
    <row r="1937" spans="1:32">
      <c r="A1937" s="2" t="s">
        <v>4006</v>
      </c>
      <c r="B1937" s="3">
        <v>46267</v>
      </c>
      <c r="C1937" s="36" t="s">
        <v>64</v>
      </c>
      <c r="D1937" s="2">
        <f>MONTH(ProductionData[[#This Row],[Month]])</f>
        <v>9</v>
      </c>
      <c r="E1937" s="2" t="s">
        <v>79</v>
      </c>
      <c r="F1937" s="2" t="s">
        <v>80</v>
      </c>
      <c r="G1937" s="2" t="s">
        <v>67</v>
      </c>
      <c r="H1937" s="2" t="s">
        <v>68</v>
      </c>
      <c r="I1937" s="2" t="s">
        <v>69</v>
      </c>
      <c r="J1937" s="2" t="s">
        <v>683</v>
      </c>
      <c r="K1937" s="2" t="s">
        <v>684</v>
      </c>
      <c r="L1937" s="2" t="s">
        <v>4007</v>
      </c>
      <c r="M1937" s="2" t="s">
        <v>102</v>
      </c>
      <c r="N1937" s="2" t="s">
        <v>74</v>
      </c>
      <c r="O1937" s="2">
        <v>16</v>
      </c>
      <c r="P1937" s="2">
        <v>13</v>
      </c>
      <c r="Q1937" s="4">
        <v>4990</v>
      </c>
      <c r="R1937" s="4">
        <v>4630</v>
      </c>
      <c r="S1937" s="4">
        <v>513</v>
      </c>
      <c r="T1937" s="19">
        <f>(ProductionData[[#This Row],[Rejected_Qty]])/ProductionData[[#This Row],[Produced_Qty]]</f>
        <v>0.11079913606911447</v>
      </c>
      <c r="U1937" s="19">
        <f>ProductionData[[#This Row],[Produced_Qty]]/ProductionData[[#This Row],[Planned_Qty]]</f>
        <v>0.92785571142284573</v>
      </c>
      <c r="V1937" s="2" t="s">
        <v>2284</v>
      </c>
      <c r="W1937" s="11">
        <v>0</v>
      </c>
      <c r="X1937" s="13">
        <f>W1937/60</f>
        <v>0</v>
      </c>
      <c r="Y1937" s="2" t="s">
        <v>90</v>
      </c>
      <c r="Z1937" s="2">
        <v>79</v>
      </c>
      <c r="AA1937" s="2">
        <f>ProductionData[[#This Row],[Rejected_Qty]]*ProductionData[[#This Row],[Unit_Cost_INR]]</f>
        <v>40527</v>
      </c>
      <c r="AB1937" s="4">
        <v>6234</v>
      </c>
      <c r="AC1937" s="4">
        <v>4960</v>
      </c>
      <c r="AD1937" s="4">
        <v>4960</v>
      </c>
      <c r="AE1937" s="4">
        <v>5391</v>
      </c>
      <c r="AF1937" s="4">
        <v>6750</v>
      </c>
    </row>
    <row r="1938" spans="1:32">
      <c r="A1938" s="2" t="s">
        <v>4008</v>
      </c>
      <c r="B1938" s="3">
        <v>46272</v>
      </c>
      <c r="C1938" s="36" t="s">
        <v>64</v>
      </c>
      <c r="D1938" s="2">
        <f>MONTH(ProductionData[[#This Row],[Month]])</f>
        <v>9</v>
      </c>
      <c r="E1938" s="2" t="s">
        <v>116</v>
      </c>
      <c r="F1938" s="2" t="s">
        <v>66</v>
      </c>
      <c r="G1938" s="2" t="s">
        <v>67</v>
      </c>
      <c r="H1938" s="2" t="s">
        <v>68</v>
      </c>
      <c r="I1938" s="2" t="s">
        <v>69</v>
      </c>
      <c r="J1938" s="2" t="s">
        <v>683</v>
      </c>
      <c r="K1938" s="2" t="s">
        <v>684</v>
      </c>
      <c r="L1938" s="2" t="s">
        <v>4009</v>
      </c>
      <c r="M1938" s="2" t="s">
        <v>73</v>
      </c>
      <c r="N1938" s="2" t="s">
        <v>88</v>
      </c>
      <c r="O1938" s="2">
        <v>16</v>
      </c>
      <c r="P1938" s="2">
        <v>15</v>
      </c>
      <c r="Q1938" s="4">
        <v>5130</v>
      </c>
      <c r="R1938" s="4">
        <v>4890</v>
      </c>
      <c r="S1938" s="4">
        <v>183</v>
      </c>
      <c r="T1938" s="19">
        <f>(ProductionData[[#This Row],[Rejected_Qty]])/ProductionData[[#This Row],[Produced_Qty]]</f>
        <v>3.7423312883435582E-2</v>
      </c>
      <c r="U1938" s="19">
        <f>ProductionData[[#This Row],[Produced_Qty]]/ProductionData[[#This Row],[Planned_Qty]]</f>
        <v>0.95321637426900585</v>
      </c>
      <c r="V1938" s="2" t="s">
        <v>75</v>
      </c>
      <c r="W1938" s="11">
        <v>20</v>
      </c>
      <c r="X1938" s="13">
        <f>W1938/60</f>
        <v>0.33333333333333331</v>
      </c>
      <c r="Y1938" s="2" t="s">
        <v>110</v>
      </c>
      <c r="Z1938" s="2">
        <v>79</v>
      </c>
      <c r="AA1938" s="2">
        <f>ProductionData[[#This Row],[Rejected_Qty]]*ProductionData[[#This Row],[Unit_Cost_INR]]</f>
        <v>14457</v>
      </c>
      <c r="AB1938" s="4">
        <v>5071</v>
      </c>
      <c r="AC1938" s="4">
        <v>4560</v>
      </c>
      <c r="AD1938" s="4">
        <v>4560</v>
      </c>
      <c r="AE1938" s="4">
        <v>5218</v>
      </c>
      <c r="AF1938" s="4">
        <v>6750</v>
      </c>
    </row>
    <row r="1939" spans="1:32">
      <c r="A1939" s="2" t="s">
        <v>4010</v>
      </c>
      <c r="B1939" s="3">
        <v>46270</v>
      </c>
      <c r="C1939" s="36" t="s">
        <v>64</v>
      </c>
      <c r="D1939" s="2">
        <f>MONTH(ProductionData[[#This Row],[Month]])</f>
        <v>9</v>
      </c>
      <c r="E1939" s="2" t="s">
        <v>65</v>
      </c>
      <c r="F1939" s="2" t="s">
        <v>93</v>
      </c>
      <c r="G1939" s="2" t="s">
        <v>67</v>
      </c>
      <c r="H1939" s="2" t="s">
        <v>68</v>
      </c>
      <c r="I1939" s="2" t="s">
        <v>69</v>
      </c>
      <c r="J1939" s="2" t="s">
        <v>683</v>
      </c>
      <c r="K1939" s="2" t="s">
        <v>684</v>
      </c>
      <c r="L1939" s="2" t="s">
        <v>4011</v>
      </c>
      <c r="M1939" s="2" t="s">
        <v>95</v>
      </c>
      <c r="N1939" s="2" t="s">
        <v>74</v>
      </c>
      <c r="O1939" s="2">
        <v>16</v>
      </c>
      <c r="P1939" s="2">
        <v>13</v>
      </c>
      <c r="Q1939" s="4">
        <v>4500</v>
      </c>
      <c r="R1939" s="4">
        <v>4090</v>
      </c>
      <c r="S1939" s="4">
        <v>453</v>
      </c>
      <c r="T1939" s="19">
        <f>(ProductionData[[#This Row],[Rejected_Qty]])/ProductionData[[#This Row],[Produced_Qty]]</f>
        <v>0.11075794621026895</v>
      </c>
      <c r="U1939" s="19">
        <f>ProductionData[[#This Row],[Produced_Qty]]/ProductionData[[#This Row],[Planned_Qty]]</f>
        <v>0.90888888888888886</v>
      </c>
      <c r="V1939" s="2" t="s">
        <v>2284</v>
      </c>
      <c r="W1939" s="11">
        <v>0</v>
      </c>
      <c r="X1939" s="13">
        <f>W1939/60</f>
        <v>0</v>
      </c>
      <c r="Y1939" s="2" t="s">
        <v>90</v>
      </c>
      <c r="Z1939" s="2">
        <v>79</v>
      </c>
      <c r="AA1939" s="2">
        <f>ProductionData[[#This Row],[Rejected_Qty]]*ProductionData[[#This Row],[Unit_Cost_INR]]</f>
        <v>35787</v>
      </c>
      <c r="AB1939" s="4">
        <v>5424</v>
      </c>
      <c r="AC1939" s="4">
        <v>3990</v>
      </c>
      <c r="AD1939" s="4">
        <v>3990</v>
      </c>
      <c r="AE1939" s="4">
        <v>5071</v>
      </c>
      <c r="AF1939" s="4">
        <v>6750</v>
      </c>
    </row>
    <row r="1940" spans="1:32">
      <c r="A1940" s="2" t="s">
        <v>4012</v>
      </c>
      <c r="B1940" s="3">
        <v>46273</v>
      </c>
      <c r="C1940" s="36" t="s">
        <v>64</v>
      </c>
      <c r="D1940" s="2">
        <f>MONTH(ProductionData[[#This Row],[Month]])</f>
        <v>9</v>
      </c>
      <c r="E1940" s="2" t="s">
        <v>92</v>
      </c>
      <c r="F1940" s="2" t="s">
        <v>93</v>
      </c>
      <c r="G1940" s="2" t="s">
        <v>67</v>
      </c>
      <c r="H1940" s="2" t="s">
        <v>68</v>
      </c>
      <c r="I1940" s="2" t="s">
        <v>69</v>
      </c>
      <c r="J1940" s="2" t="s">
        <v>683</v>
      </c>
      <c r="K1940" s="2" t="s">
        <v>684</v>
      </c>
      <c r="L1940" s="2" t="s">
        <v>4013</v>
      </c>
      <c r="M1940" s="2" t="s">
        <v>133</v>
      </c>
      <c r="N1940" s="2" t="s">
        <v>74</v>
      </c>
      <c r="O1940" s="2">
        <v>16</v>
      </c>
      <c r="P1940" s="2">
        <v>15</v>
      </c>
      <c r="Q1940" s="4">
        <v>4650</v>
      </c>
      <c r="R1940" s="4">
        <v>4160</v>
      </c>
      <c r="S1940" s="4">
        <v>473</v>
      </c>
      <c r="T1940" s="19">
        <f>(ProductionData[[#This Row],[Rejected_Qty]])/ProductionData[[#This Row],[Produced_Qty]]</f>
        <v>0.11370192307692308</v>
      </c>
      <c r="U1940" s="19">
        <f>ProductionData[[#This Row],[Produced_Qty]]/ProductionData[[#This Row],[Planned_Qty]]</f>
        <v>0.89462365591397852</v>
      </c>
      <c r="V1940" s="2" t="s">
        <v>2284</v>
      </c>
      <c r="W1940" s="11">
        <v>35</v>
      </c>
      <c r="X1940" s="13">
        <f>W1940/60</f>
        <v>0.58333333333333337</v>
      </c>
      <c r="Y1940" s="2" t="s">
        <v>76</v>
      </c>
      <c r="Z1940" s="2">
        <v>79</v>
      </c>
      <c r="AA1940" s="2">
        <f>ProductionData[[#This Row],[Rejected_Qty]]*ProductionData[[#This Row],[Unit_Cost_INR]]</f>
        <v>37367</v>
      </c>
      <c r="AB1940" s="4">
        <v>5218</v>
      </c>
      <c r="AC1940" s="4">
        <v>4150</v>
      </c>
      <c r="AD1940" s="4">
        <v>4150</v>
      </c>
      <c r="AE1940" s="4">
        <v>4755</v>
      </c>
      <c r="AF1940" s="4">
        <v>6750</v>
      </c>
    </row>
    <row r="1941" spans="1:32">
      <c r="A1941" s="2" t="s">
        <v>4014</v>
      </c>
      <c r="B1941" s="3">
        <v>46279</v>
      </c>
      <c r="C1941" s="36" t="s">
        <v>64</v>
      </c>
      <c r="D1941" s="2">
        <f>MONTH(ProductionData[[#This Row],[Month]])</f>
        <v>9</v>
      </c>
      <c r="E1941" s="2" t="s">
        <v>116</v>
      </c>
      <c r="F1941" s="2" t="s">
        <v>93</v>
      </c>
      <c r="G1941" s="2" t="s">
        <v>67</v>
      </c>
      <c r="H1941" s="2" t="s">
        <v>68</v>
      </c>
      <c r="I1941" s="2" t="s">
        <v>69</v>
      </c>
      <c r="J1941" s="2" t="s">
        <v>403</v>
      </c>
      <c r="K1941" s="2" t="s">
        <v>404</v>
      </c>
      <c r="L1941" s="2" t="s">
        <v>4015</v>
      </c>
      <c r="M1941" s="2" t="s">
        <v>133</v>
      </c>
      <c r="N1941" s="2" t="s">
        <v>74</v>
      </c>
      <c r="O1941" s="2">
        <v>16</v>
      </c>
      <c r="P1941" s="2">
        <v>14</v>
      </c>
      <c r="Q1941" s="4">
        <v>6100</v>
      </c>
      <c r="R1941" s="4">
        <v>5740</v>
      </c>
      <c r="S1941" s="4">
        <v>655</v>
      </c>
      <c r="T1941" s="19">
        <f>(ProductionData[[#This Row],[Rejected_Qty]])/ProductionData[[#This Row],[Produced_Qty]]</f>
        <v>0.11411149825783973</v>
      </c>
      <c r="U1941" s="19">
        <f>ProductionData[[#This Row],[Produced_Qty]]/ProductionData[[#This Row],[Planned_Qty]]</f>
        <v>0.94098360655737701</v>
      </c>
      <c r="V1941" s="2" t="s">
        <v>2284</v>
      </c>
      <c r="W1941" s="11">
        <v>0</v>
      </c>
      <c r="X1941" s="13">
        <f>W1941/60</f>
        <v>0</v>
      </c>
      <c r="Y1941" s="2" t="s">
        <v>90</v>
      </c>
      <c r="Z1941" s="2">
        <v>58</v>
      </c>
      <c r="AA1941" s="2">
        <f>ProductionData[[#This Row],[Rejected_Qty]]*ProductionData[[#This Row],[Unit_Cost_INR]]</f>
        <v>37990</v>
      </c>
      <c r="AB1941" s="4">
        <v>5647</v>
      </c>
      <c r="AC1941" s="4">
        <v>6200</v>
      </c>
      <c r="AD1941" s="4">
        <v>6200</v>
      </c>
      <c r="AE1941" s="4">
        <v>4532</v>
      </c>
      <c r="AF1941" s="4">
        <v>9000</v>
      </c>
    </row>
    <row r="1942" spans="1:32">
      <c r="A1942" s="2" t="s">
        <v>4016</v>
      </c>
      <c r="B1942" s="3">
        <v>46274</v>
      </c>
      <c r="C1942" s="36" t="s">
        <v>64</v>
      </c>
      <c r="D1942" s="2">
        <f>MONTH(ProductionData[[#This Row],[Month]])</f>
        <v>9</v>
      </c>
      <c r="E1942" s="2" t="s">
        <v>79</v>
      </c>
      <c r="F1942" s="2" t="s">
        <v>93</v>
      </c>
      <c r="G1942" s="2" t="s">
        <v>67</v>
      </c>
      <c r="H1942" s="2" t="s">
        <v>68</v>
      </c>
      <c r="I1942" s="2" t="s">
        <v>69</v>
      </c>
      <c r="J1942" s="2" t="s">
        <v>683</v>
      </c>
      <c r="K1942" s="2" t="s">
        <v>684</v>
      </c>
      <c r="L1942" s="2" t="s">
        <v>4017</v>
      </c>
      <c r="M1942" s="2" t="s">
        <v>133</v>
      </c>
      <c r="N1942" s="2" t="s">
        <v>74</v>
      </c>
      <c r="O1942" s="2">
        <v>16</v>
      </c>
      <c r="P1942" s="2">
        <v>15</v>
      </c>
      <c r="Q1942" s="4">
        <v>4740</v>
      </c>
      <c r="R1942" s="4">
        <v>4460</v>
      </c>
      <c r="S1942" s="4">
        <v>413</v>
      </c>
      <c r="T1942" s="19">
        <f>(ProductionData[[#This Row],[Rejected_Qty]])/ProductionData[[#This Row],[Produced_Qty]]</f>
        <v>9.2600896860986548E-2</v>
      </c>
      <c r="U1942" s="19">
        <f>ProductionData[[#This Row],[Produced_Qty]]/ProductionData[[#This Row],[Planned_Qty]]</f>
        <v>0.94092827004219415</v>
      </c>
      <c r="V1942" s="2" t="s">
        <v>75</v>
      </c>
      <c r="W1942" s="11">
        <v>36</v>
      </c>
      <c r="X1942" s="13">
        <f>W1942/60</f>
        <v>0.6</v>
      </c>
      <c r="Y1942" s="2" t="s">
        <v>110</v>
      </c>
      <c r="Z1942" s="2">
        <v>79</v>
      </c>
      <c r="AA1942" s="2">
        <f>ProductionData[[#This Row],[Rejected_Qty]]*ProductionData[[#This Row],[Unit_Cost_INR]]</f>
        <v>32627</v>
      </c>
      <c r="AB1942" s="4">
        <v>4755</v>
      </c>
      <c r="AC1942" s="4">
        <v>4430</v>
      </c>
      <c r="AD1942" s="4">
        <v>4430</v>
      </c>
      <c r="AE1942" s="4">
        <v>4372</v>
      </c>
      <c r="AF1942" s="4">
        <v>6750</v>
      </c>
    </row>
    <row r="1943" spans="1:32">
      <c r="A1943" s="2" t="s">
        <v>4018</v>
      </c>
      <c r="B1943" s="3">
        <v>46279</v>
      </c>
      <c r="C1943" s="36" t="s">
        <v>64</v>
      </c>
      <c r="D1943" s="2">
        <f>MONTH(ProductionData[[#This Row],[Month]])</f>
        <v>9</v>
      </c>
      <c r="E1943" s="2" t="s">
        <v>116</v>
      </c>
      <c r="F1943" s="2" t="s">
        <v>80</v>
      </c>
      <c r="G1943" s="2" t="s">
        <v>67</v>
      </c>
      <c r="H1943" s="2" t="s">
        <v>68</v>
      </c>
      <c r="I1943" s="2" t="s">
        <v>69</v>
      </c>
      <c r="J1943" s="2" t="s">
        <v>683</v>
      </c>
      <c r="K1943" s="2" t="s">
        <v>684</v>
      </c>
      <c r="L1943" s="2" t="s">
        <v>4019</v>
      </c>
      <c r="M1943" s="2" t="s">
        <v>102</v>
      </c>
      <c r="N1943" s="2" t="s">
        <v>88</v>
      </c>
      <c r="O1943" s="2">
        <v>16</v>
      </c>
      <c r="P1943" s="2">
        <v>14</v>
      </c>
      <c r="Q1943" s="4">
        <v>4880</v>
      </c>
      <c r="R1943" s="4">
        <v>4510</v>
      </c>
      <c r="S1943" s="4">
        <v>134</v>
      </c>
      <c r="T1943" s="19">
        <f>(ProductionData[[#This Row],[Rejected_Qty]])/ProductionData[[#This Row],[Produced_Qty]]</f>
        <v>2.9711751662971176E-2</v>
      </c>
      <c r="U1943" s="19">
        <f>ProductionData[[#This Row],[Produced_Qty]]/ProductionData[[#This Row],[Planned_Qty]]</f>
        <v>0.92418032786885251</v>
      </c>
      <c r="V1943" s="2" t="s">
        <v>89</v>
      </c>
      <c r="W1943" s="11">
        <v>0</v>
      </c>
      <c r="X1943" s="13">
        <f>W1943/60</f>
        <v>0</v>
      </c>
      <c r="Y1943" s="2" t="s">
        <v>90</v>
      </c>
      <c r="Z1943" s="2">
        <v>79</v>
      </c>
      <c r="AA1943" s="2">
        <f>ProductionData[[#This Row],[Rejected_Qty]]*ProductionData[[#This Row],[Unit_Cost_INR]]</f>
        <v>10586</v>
      </c>
      <c r="AB1943" s="4">
        <v>3758</v>
      </c>
      <c r="AC1943" s="4">
        <v>4060</v>
      </c>
      <c r="AD1943" s="4">
        <v>4060</v>
      </c>
      <c r="AE1943" s="4">
        <v>4074</v>
      </c>
      <c r="AF1943" s="4">
        <v>6750</v>
      </c>
    </row>
    <row r="1944" spans="1:32">
      <c r="A1944" s="2" t="s">
        <v>4020</v>
      </c>
      <c r="B1944" s="3">
        <v>46283</v>
      </c>
      <c r="C1944" s="36" t="s">
        <v>64</v>
      </c>
      <c r="D1944" s="2">
        <f>MONTH(ProductionData[[#This Row],[Month]])</f>
        <v>9</v>
      </c>
      <c r="E1944" s="2" t="s">
        <v>125</v>
      </c>
      <c r="F1944" s="2" t="s">
        <v>66</v>
      </c>
      <c r="G1944" s="2" t="s">
        <v>67</v>
      </c>
      <c r="H1944" s="2" t="s">
        <v>68</v>
      </c>
      <c r="I1944" s="2" t="s">
        <v>69</v>
      </c>
      <c r="J1944" s="2" t="s">
        <v>403</v>
      </c>
      <c r="K1944" s="2" t="s">
        <v>404</v>
      </c>
      <c r="L1944" s="2" t="s">
        <v>4021</v>
      </c>
      <c r="M1944" s="2" t="s">
        <v>99</v>
      </c>
      <c r="N1944" s="2" t="s">
        <v>74</v>
      </c>
      <c r="O1944" s="2">
        <v>16</v>
      </c>
      <c r="P1944" s="2">
        <v>15</v>
      </c>
      <c r="Q1944" s="4">
        <v>6770</v>
      </c>
      <c r="R1944" s="4">
        <v>6770</v>
      </c>
      <c r="S1944" s="4">
        <v>836</v>
      </c>
      <c r="T1944" s="19">
        <f>(ProductionData[[#This Row],[Rejected_Qty]])/ProductionData[[#This Row],[Produced_Qty]]</f>
        <v>0.12348596750369276</v>
      </c>
      <c r="U1944" s="19">
        <f>ProductionData[[#This Row],[Produced_Qty]]/ProductionData[[#This Row],[Planned_Qty]]</f>
        <v>1</v>
      </c>
      <c r="V1944" s="2" t="s">
        <v>2284</v>
      </c>
      <c r="W1944" s="11">
        <v>23</v>
      </c>
      <c r="X1944" s="13">
        <f>W1944/60</f>
        <v>0.38333333333333336</v>
      </c>
      <c r="Y1944" s="2" t="s">
        <v>110</v>
      </c>
      <c r="Z1944" s="2">
        <v>58</v>
      </c>
      <c r="AA1944" s="2">
        <f>ProductionData[[#This Row],[Rejected_Qty]]*ProductionData[[#This Row],[Unit_Cost_INR]]</f>
        <v>48488</v>
      </c>
      <c r="AB1944" s="4">
        <v>3775</v>
      </c>
      <c r="AC1944" s="4">
        <v>5760</v>
      </c>
      <c r="AD1944" s="4">
        <v>5760</v>
      </c>
      <c r="AE1944" s="4">
        <v>3949</v>
      </c>
      <c r="AF1944" s="4">
        <v>9000</v>
      </c>
    </row>
    <row r="1945" spans="1:32">
      <c r="A1945" s="2" t="s">
        <v>4022</v>
      </c>
      <c r="B1945" s="3">
        <v>46280</v>
      </c>
      <c r="C1945" s="36" t="s">
        <v>64</v>
      </c>
      <c r="D1945" s="2">
        <f>MONTH(ProductionData[[#This Row],[Month]])</f>
        <v>9</v>
      </c>
      <c r="E1945" s="2" t="s">
        <v>92</v>
      </c>
      <c r="F1945" s="2" t="s">
        <v>66</v>
      </c>
      <c r="G1945" s="2" t="s">
        <v>67</v>
      </c>
      <c r="H1945" s="2" t="s">
        <v>68</v>
      </c>
      <c r="I1945" s="2" t="s">
        <v>69</v>
      </c>
      <c r="J1945" s="2" t="s">
        <v>683</v>
      </c>
      <c r="K1945" s="2" t="s">
        <v>684</v>
      </c>
      <c r="L1945" s="2" t="s">
        <v>4023</v>
      </c>
      <c r="M1945" s="2" t="s">
        <v>99</v>
      </c>
      <c r="N1945" s="2" t="s">
        <v>96</v>
      </c>
      <c r="O1945" s="2">
        <v>16</v>
      </c>
      <c r="P1945" s="2">
        <v>16</v>
      </c>
      <c r="Q1945" s="4">
        <v>4600</v>
      </c>
      <c r="R1945" s="4">
        <v>4400</v>
      </c>
      <c r="S1945" s="4">
        <v>136</v>
      </c>
      <c r="T1945" s="19">
        <f>(ProductionData[[#This Row],[Rejected_Qty]])/ProductionData[[#This Row],[Produced_Qty]]</f>
        <v>3.090909090909091E-2</v>
      </c>
      <c r="U1945" s="19">
        <f>ProductionData[[#This Row],[Produced_Qty]]/ProductionData[[#This Row],[Planned_Qty]]</f>
        <v>0.95652173913043481</v>
      </c>
      <c r="V1945" s="2" t="s">
        <v>89</v>
      </c>
      <c r="W1945" s="11">
        <v>0</v>
      </c>
      <c r="X1945" s="13">
        <f>W1945/60</f>
        <v>0</v>
      </c>
      <c r="Y1945" s="2" t="s">
        <v>90</v>
      </c>
      <c r="Z1945" s="2">
        <v>79</v>
      </c>
      <c r="AA1945" s="2">
        <f>ProductionData[[#This Row],[Rejected_Qty]]*ProductionData[[#This Row],[Unit_Cost_INR]]</f>
        <v>10744</v>
      </c>
      <c r="AB1945" s="4">
        <v>4074</v>
      </c>
      <c r="AC1945" s="4">
        <v>4410</v>
      </c>
      <c r="AD1945" s="4">
        <v>4410</v>
      </c>
      <c r="AE1945" s="4">
        <v>3928</v>
      </c>
      <c r="AF1945" s="4">
        <v>6750</v>
      </c>
    </row>
    <row r="1946" spans="1:32">
      <c r="A1946" s="2" t="s">
        <v>4024</v>
      </c>
      <c r="B1946" s="3">
        <v>46282</v>
      </c>
      <c r="C1946" s="36" t="s">
        <v>64</v>
      </c>
      <c r="D1946" s="2">
        <f>MONTH(ProductionData[[#This Row],[Month]])</f>
        <v>9</v>
      </c>
      <c r="E1946" s="2" t="s">
        <v>107</v>
      </c>
      <c r="F1946" s="2" t="s">
        <v>93</v>
      </c>
      <c r="G1946" s="2" t="s">
        <v>67</v>
      </c>
      <c r="H1946" s="2" t="s">
        <v>68</v>
      </c>
      <c r="I1946" s="2" t="s">
        <v>69</v>
      </c>
      <c r="J1946" s="2" t="s">
        <v>403</v>
      </c>
      <c r="K1946" s="2" t="s">
        <v>404</v>
      </c>
      <c r="L1946" s="2" t="s">
        <v>4025</v>
      </c>
      <c r="M1946" s="2" t="s">
        <v>95</v>
      </c>
      <c r="N1946" s="2" t="s">
        <v>88</v>
      </c>
      <c r="O1946" s="2">
        <v>16</v>
      </c>
      <c r="P1946" s="2">
        <v>16</v>
      </c>
      <c r="Q1946" s="4">
        <v>6640</v>
      </c>
      <c r="R1946" s="4">
        <v>6490</v>
      </c>
      <c r="S1946" s="4">
        <v>263</v>
      </c>
      <c r="T1946" s="19">
        <f>(ProductionData[[#This Row],[Rejected_Qty]])/ProductionData[[#This Row],[Produced_Qty]]</f>
        <v>4.052388289676425E-2</v>
      </c>
      <c r="U1946" s="19">
        <f>ProductionData[[#This Row],[Produced_Qty]]/ProductionData[[#This Row],[Planned_Qty]]</f>
        <v>0.97740963855421692</v>
      </c>
      <c r="V1946" s="2" t="s">
        <v>75</v>
      </c>
      <c r="W1946" s="11">
        <v>11</v>
      </c>
      <c r="X1946" s="13">
        <f>W1946/60</f>
        <v>0.18333333333333332</v>
      </c>
      <c r="Y1946" s="2" t="s">
        <v>76</v>
      </c>
      <c r="Z1946" s="2">
        <v>58</v>
      </c>
      <c r="AA1946" s="2">
        <f>ProductionData[[#This Row],[Rejected_Qty]]*ProductionData[[#This Row],[Unit_Cost_INR]]</f>
        <v>15254</v>
      </c>
      <c r="AB1946" s="4">
        <v>3518</v>
      </c>
      <c r="AC1946" s="4">
        <v>5970</v>
      </c>
      <c r="AD1946" s="4">
        <v>5970</v>
      </c>
      <c r="AE1946" s="4">
        <v>3775</v>
      </c>
      <c r="AF1946" s="4">
        <v>9000</v>
      </c>
    </row>
    <row r="1947" spans="1:32">
      <c r="A1947" s="2" t="s">
        <v>4026</v>
      </c>
      <c r="B1947" s="3">
        <v>46277</v>
      </c>
      <c r="C1947" s="36" t="s">
        <v>64</v>
      </c>
      <c r="D1947" s="2">
        <f>MONTH(ProductionData[[#This Row],[Month]])</f>
        <v>9</v>
      </c>
      <c r="E1947" s="2" t="s">
        <v>65</v>
      </c>
      <c r="F1947" s="2" t="s">
        <v>80</v>
      </c>
      <c r="G1947" s="2" t="s">
        <v>67</v>
      </c>
      <c r="H1947" s="2" t="s">
        <v>68</v>
      </c>
      <c r="I1947" s="2" t="s">
        <v>69</v>
      </c>
      <c r="J1947" s="2" t="s">
        <v>683</v>
      </c>
      <c r="K1947" s="2" t="s">
        <v>684</v>
      </c>
      <c r="L1947" s="2" t="s">
        <v>4027</v>
      </c>
      <c r="M1947" s="2" t="s">
        <v>102</v>
      </c>
      <c r="N1947" s="2" t="s">
        <v>88</v>
      </c>
      <c r="O1947" s="2">
        <v>16</v>
      </c>
      <c r="P1947" s="2">
        <v>15</v>
      </c>
      <c r="Q1947" s="4">
        <v>4870</v>
      </c>
      <c r="R1947" s="4">
        <v>4620</v>
      </c>
      <c r="S1947" s="4">
        <v>86</v>
      </c>
      <c r="T1947" s="19">
        <f>(ProductionData[[#This Row],[Rejected_Qty]])/ProductionData[[#This Row],[Produced_Qty]]</f>
        <v>1.8614718614718615E-2</v>
      </c>
      <c r="U1947" s="19">
        <f>ProductionData[[#This Row],[Produced_Qty]]/ProductionData[[#This Row],[Planned_Qty]]</f>
        <v>0.94866529774127306</v>
      </c>
      <c r="V1947" s="2" t="s">
        <v>109</v>
      </c>
      <c r="W1947" s="11">
        <v>0</v>
      </c>
      <c r="X1947" s="13">
        <f>W1947/60</f>
        <v>0</v>
      </c>
      <c r="Y1947" s="2" t="s">
        <v>90</v>
      </c>
      <c r="Z1947" s="2">
        <v>79</v>
      </c>
      <c r="AA1947" s="2">
        <f>ProductionData[[#This Row],[Rejected_Qty]]*ProductionData[[#This Row],[Unit_Cost_INR]]</f>
        <v>6794</v>
      </c>
      <c r="AB1947" s="4">
        <v>3484</v>
      </c>
      <c r="AC1947" s="4">
        <v>4260</v>
      </c>
      <c r="AD1947" s="4">
        <v>4260</v>
      </c>
      <c r="AE1947" s="4">
        <v>3758</v>
      </c>
      <c r="AF1947" s="4">
        <v>6750</v>
      </c>
    </row>
    <row r="1948" spans="1:32">
      <c r="A1948" s="2" t="s">
        <v>4028</v>
      </c>
      <c r="B1948" s="3">
        <v>46281</v>
      </c>
      <c r="C1948" s="36" t="s">
        <v>64</v>
      </c>
      <c r="D1948" s="2">
        <f>MONTH(ProductionData[[#This Row],[Month]])</f>
        <v>9</v>
      </c>
      <c r="E1948" s="2" t="s">
        <v>79</v>
      </c>
      <c r="F1948" s="2" t="s">
        <v>93</v>
      </c>
      <c r="G1948" s="2" t="s">
        <v>67</v>
      </c>
      <c r="H1948" s="2" t="s">
        <v>68</v>
      </c>
      <c r="I1948" s="2" t="s">
        <v>69</v>
      </c>
      <c r="J1948" s="2" t="s">
        <v>403</v>
      </c>
      <c r="K1948" s="2" t="s">
        <v>404</v>
      </c>
      <c r="L1948" s="2" t="s">
        <v>4029</v>
      </c>
      <c r="M1948" s="2" t="s">
        <v>95</v>
      </c>
      <c r="N1948" s="2" t="s">
        <v>74</v>
      </c>
      <c r="O1948" s="2">
        <v>16</v>
      </c>
      <c r="P1948" s="2">
        <v>16</v>
      </c>
      <c r="Q1948" s="4">
        <v>6000</v>
      </c>
      <c r="R1948" s="4">
        <v>5760</v>
      </c>
      <c r="S1948" s="4">
        <v>674</v>
      </c>
      <c r="T1948" s="19">
        <f>(ProductionData[[#This Row],[Rejected_Qty]])/ProductionData[[#This Row],[Produced_Qty]]</f>
        <v>0.11701388888888889</v>
      </c>
      <c r="U1948" s="19">
        <f>ProductionData[[#This Row],[Produced_Qty]]/ProductionData[[#This Row],[Planned_Qty]]</f>
        <v>0.96</v>
      </c>
      <c r="V1948" s="2" t="s">
        <v>2284</v>
      </c>
      <c r="W1948" s="11">
        <v>0</v>
      </c>
      <c r="X1948" s="13">
        <f>W1948/60</f>
        <v>0</v>
      </c>
      <c r="Y1948" s="2" t="s">
        <v>90</v>
      </c>
      <c r="Z1948" s="2">
        <v>58</v>
      </c>
      <c r="AA1948" s="2">
        <f>ProductionData[[#This Row],[Rejected_Qty]]*ProductionData[[#This Row],[Unit_Cost_INR]]</f>
        <v>39092</v>
      </c>
      <c r="AB1948" s="4">
        <v>4532</v>
      </c>
      <c r="AC1948" s="4">
        <v>6100</v>
      </c>
      <c r="AD1948" s="4">
        <v>6100</v>
      </c>
      <c r="AE1948" s="4">
        <v>3518</v>
      </c>
      <c r="AF1948" s="4">
        <v>9000</v>
      </c>
    </row>
    <row r="1949" spans="1:32">
      <c r="A1949" s="2" t="s">
        <v>4030</v>
      </c>
      <c r="B1949" s="3">
        <v>46276</v>
      </c>
      <c r="C1949" s="36" t="s">
        <v>64</v>
      </c>
      <c r="D1949" s="2">
        <f>MONTH(ProductionData[[#This Row],[Month]])</f>
        <v>9</v>
      </c>
      <c r="E1949" s="2" t="s">
        <v>125</v>
      </c>
      <c r="F1949" s="2" t="s">
        <v>93</v>
      </c>
      <c r="G1949" s="2" t="s">
        <v>67</v>
      </c>
      <c r="H1949" s="2" t="s">
        <v>68</v>
      </c>
      <c r="I1949" s="2" t="s">
        <v>69</v>
      </c>
      <c r="J1949" s="2" t="s">
        <v>683</v>
      </c>
      <c r="K1949" s="2" t="s">
        <v>684</v>
      </c>
      <c r="L1949" s="2" t="s">
        <v>4031</v>
      </c>
      <c r="M1949" s="2" t="s">
        <v>133</v>
      </c>
      <c r="N1949" s="2" t="s">
        <v>74</v>
      </c>
      <c r="O1949" s="2">
        <v>16</v>
      </c>
      <c r="P1949" s="2">
        <v>13</v>
      </c>
      <c r="Q1949" s="4">
        <v>4600</v>
      </c>
      <c r="R1949" s="4">
        <v>4020</v>
      </c>
      <c r="S1949" s="4">
        <v>408</v>
      </c>
      <c r="T1949" s="19">
        <f>(ProductionData[[#This Row],[Rejected_Qty]])/ProductionData[[#This Row],[Produced_Qty]]</f>
        <v>0.10149253731343283</v>
      </c>
      <c r="U1949" s="19">
        <f>ProductionData[[#This Row],[Produced_Qty]]/ProductionData[[#This Row],[Planned_Qty]]</f>
        <v>0.87391304347826082</v>
      </c>
      <c r="V1949" s="2" t="s">
        <v>2284</v>
      </c>
      <c r="W1949" s="11">
        <v>0</v>
      </c>
      <c r="X1949" s="13">
        <f>W1949/60</f>
        <v>0</v>
      </c>
      <c r="Y1949" s="2" t="s">
        <v>90</v>
      </c>
      <c r="Z1949" s="2">
        <v>79</v>
      </c>
      <c r="AA1949" s="2">
        <f>ProductionData[[#This Row],[Rejected_Qty]]*ProductionData[[#This Row],[Unit_Cost_INR]]</f>
        <v>32232</v>
      </c>
      <c r="AB1949" s="4">
        <v>4372</v>
      </c>
      <c r="AC1949" s="4">
        <v>4500</v>
      </c>
      <c r="AD1949" s="4">
        <v>4500</v>
      </c>
      <c r="AE1949" s="4">
        <v>3484</v>
      </c>
      <c r="AF1949" s="4">
        <v>6750</v>
      </c>
    </row>
    <row r="1950" spans="1:32">
      <c r="A1950" s="2" t="s">
        <v>4032</v>
      </c>
      <c r="B1950" s="3">
        <v>46283</v>
      </c>
      <c r="C1950" s="36" t="s">
        <v>64</v>
      </c>
      <c r="D1950" s="2">
        <f>MONTH(ProductionData[[#This Row],[Month]])</f>
        <v>9</v>
      </c>
      <c r="E1950" s="2" t="s">
        <v>125</v>
      </c>
      <c r="F1950" s="2" t="s">
        <v>80</v>
      </c>
      <c r="G1950" s="2" t="s">
        <v>67</v>
      </c>
      <c r="H1950" s="2" t="s">
        <v>68</v>
      </c>
      <c r="I1950" s="2" t="s">
        <v>69</v>
      </c>
      <c r="J1950" s="2" t="s">
        <v>683</v>
      </c>
      <c r="K1950" s="2" t="s">
        <v>684</v>
      </c>
      <c r="L1950" s="2" t="s">
        <v>4033</v>
      </c>
      <c r="M1950" s="2" t="s">
        <v>87</v>
      </c>
      <c r="N1950" s="2" t="s">
        <v>88</v>
      </c>
      <c r="O1950" s="2">
        <v>16</v>
      </c>
      <c r="P1950" s="2">
        <v>15</v>
      </c>
      <c r="Q1950" s="4">
        <v>5030</v>
      </c>
      <c r="R1950" s="4">
        <v>4710</v>
      </c>
      <c r="S1950" s="4">
        <v>103</v>
      </c>
      <c r="T1950" s="19">
        <f>(ProductionData[[#This Row],[Rejected_Qty]])/ProductionData[[#This Row],[Produced_Qty]]</f>
        <v>2.186836518046709E-2</v>
      </c>
      <c r="U1950" s="19">
        <f>ProductionData[[#This Row],[Produced_Qty]]/ProductionData[[#This Row],[Planned_Qty]]</f>
        <v>0.93638170974155066</v>
      </c>
      <c r="V1950" s="2" t="s">
        <v>75</v>
      </c>
      <c r="W1950" s="11">
        <v>0</v>
      </c>
      <c r="X1950" s="13">
        <f>W1950/60</f>
        <v>0</v>
      </c>
      <c r="Y1950" s="2" t="s">
        <v>90</v>
      </c>
      <c r="Z1950" s="2">
        <v>79</v>
      </c>
      <c r="AA1950" s="2">
        <f>ProductionData[[#This Row],[Rejected_Qty]]*ProductionData[[#This Row],[Unit_Cost_INR]]</f>
        <v>8137</v>
      </c>
      <c r="AB1950" s="4">
        <v>3137</v>
      </c>
      <c r="AC1950" s="4">
        <v>4430</v>
      </c>
      <c r="AD1950" s="4">
        <v>4430</v>
      </c>
      <c r="AE1950" s="4">
        <v>3314</v>
      </c>
      <c r="AF1950" s="4">
        <v>6750</v>
      </c>
    </row>
    <row r="1951" spans="1:32">
      <c r="A1951" s="2" t="s">
        <v>4034</v>
      </c>
      <c r="B1951" s="3">
        <v>46280</v>
      </c>
      <c r="C1951" s="36" t="s">
        <v>64</v>
      </c>
      <c r="D1951" s="2">
        <f>MONTH(ProductionData[[#This Row],[Month]])</f>
        <v>9</v>
      </c>
      <c r="E1951" s="2" t="s">
        <v>92</v>
      </c>
      <c r="F1951" s="2" t="s">
        <v>93</v>
      </c>
      <c r="G1951" s="2" t="s">
        <v>67</v>
      </c>
      <c r="H1951" s="2" t="s">
        <v>68</v>
      </c>
      <c r="I1951" s="2" t="s">
        <v>69</v>
      </c>
      <c r="J1951" s="2" t="s">
        <v>683</v>
      </c>
      <c r="K1951" s="2" t="s">
        <v>684</v>
      </c>
      <c r="L1951" s="2" t="s">
        <v>4035</v>
      </c>
      <c r="M1951" s="2" t="s">
        <v>133</v>
      </c>
      <c r="N1951" s="2" t="s">
        <v>74</v>
      </c>
      <c r="O1951" s="2">
        <v>16</v>
      </c>
      <c r="P1951" s="2">
        <v>15</v>
      </c>
      <c r="Q1951" s="4">
        <v>4970</v>
      </c>
      <c r="R1951" s="4">
        <v>4590</v>
      </c>
      <c r="S1951" s="4">
        <v>532</v>
      </c>
      <c r="T1951" s="19">
        <f>(ProductionData[[#This Row],[Rejected_Qty]])/ProductionData[[#This Row],[Produced_Qty]]</f>
        <v>0.1159041394335512</v>
      </c>
      <c r="U1951" s="19">
        <f>ProductionData[[#This Row],[Produced_Qty]]/ProductionData[[#This Row],[Planned_Qty]]</f>
        <v>0.92354124748490951</v>
      </c>
      <c r="V1951" s="2" t="s">
        <v>2284</v>
      </c>
      <c r="W1951" s="11">
        <v>40</v>
      </c>
      <c r="X1951" s="13">
        <f>W1951/60</f>
        <v>0.66666666666666663</v>
      </c>
      <c r="Y1951" s="2" t="s">
        <v>182</v>
      </c>
      <c r="Z1951" s="2">
        <v>79</v>
      </c>
      <c r="AA1951" s="2">
        <f>ProductionData[[#This Row],[Rejected_Qty]]*ProductionData[[#This Row],[Unit_Cost_INR]]</f>
        <v>42028</v>
      </c>
      <c r="AB1951" s="4">
        <v>3928</v>
      </c>
      <c r="AC1951" s="4">
        <v>4730</v>
      </c>
      <c r="AD1951" s="4">
        <v>4730</v>
      </c>
      <c r="AE1951" s="4">
        <v>3256</v>
      </c>
      <c r="AF1951" s="4">
        <v>6750</v>
      </c>
    </row>
    <row r="1952" spans="1:32">
      <c r="A1952" s="2" t="s">
        <v>4036</v>
      </c>
      <c r="B1952" s="3">
        <v>46281</v>
      </c>
      <c r="C1952" s="36" t="s">
        <v>64</v>
      </c>
      <c r="D1952" s="2">
        <f>MONTH(ProductionData[[#This Row],[Month]])</f>
        <v>9</v>
      </c>
      <c r="E1952" s="2" t="s">
        <v>79</v>
      </c>
      <c r="F1952" s="2" t="s">
        <v>66</v>
      </c>
      <c r="G1952" s="2" t="s">
        <v>67</v>
      </c>
      <c r="H1952" s="2" t="s">
        <v>68</v>
      </c>
      <c r="I1952" s="2" t="s">
        <v>69</v>
      </c>
      <c r="J1952" s="2" t="s">
        <v>683</v>
      </c>
      <c r="K1952" s="2" t="s">
        <v>684</v>
      </c>
      <c r="L1952" s="2" t="s">
        <v>4037</v>
      </c>
      <c r="M1952" s="2" t="s">
        <v>99</v>
      </c>
      <c r="N1952" s="2" t="s">
        <v>96</v>
      </c>
      <c r="O1952" s="2">
        <v>16</v>
      </c>
      <c r="P1952" s="2">
        <v>16</v>
      </c>
      <c r="Q1952" s="4">
        <v>5180</v>
      </c>
      <c r="R1952" s="4">
        <v>4710</v>
      </c>
      <c r="S1952" s="4">
        <v>73</v>
      </c>
      <c r="T1952" s="19">
        <f>(ProductionData[[#This Row],[Rejected_Qty]])/ProductionData[[#This Row],[Produced_Qty]]</f>
        <v>1.5498938428874735E-2</v>
      </c>
      <c r="U1952" s="19">
        <f>ProductionData[[#This Row],[Produced_Qty]]/ProductionData[[#This Row],[Planned_Qty]]</f>
        <v>0.90926640926640923</v>
      </c>
      <c r="V1952" s="2" t="s">
        <v>89</v>
      </c>
      <c r="W1952" s="11">
        <v>0</v>
      </c>
      <c r="X1952" s="13">
        <f>W1952/60</f>
        <v>0</v>
      </c>
      <c r="Y1952" s="2" t="s">
        <v>90</v>
      </c>
      <c r="Z1952" s="2">
        <v>79</v>
      </c>
      <c r="AA1952" s="2">
        <f>ProductionData[[#This Row],[Rejected_Qty]]*ProductionData[[#This Row],[Unit_Cost_INR]]</f>
        <v>5767</v>
      </c>
      <c r="AB1952" s="4">
        <v>3256</v>
      </c>
      <c r="AC1952" s="4">
        <v>4640</v>
      </c>
      <c r="AD1952" s="4">
        <v>4640</v>
      </c>
      <c r="AE1952" s="4">
        <v>3253</v>
      </c>
      <c r="AF1952" s="4">
        <v>6750</v>
      </c>
    </row>
    <row r="1953" spans="1:32">
      <c r="A1953" s="2" t="s">
        <v>4038</v>
      </c>
      <c r="B1953" s="3">
        <v>46287</v>
      </c>
      <c r="C1953" s="36" t="s">
        <v>64</v>
      </c>
      <c r="D1953" s="2">
        <f>MONTH(ProductionData[[#This Row],[Month]])</f>
        <v>9</v>
      </c>
      <c r="E1953" s="2" t="s">
        <v>92</v>
      </c>
      <c r="F1953" s="2" t="s">
        <v>66</v>
      </c>
      <c r="G1953" s="2" t="s">
        <v>67</v>
      </c>
      <c r="H1953" s="2" t="s">
        <v>68</v>
      </c>
      <c r="I1953" s="2" t="s">
        <v>69</v>
      </c>
      <c r="J1953" s="2" t="s">
        <v>403</v>
      </c>
      <c r="K1953" s="2" t="s">
        <v>404</v>
      </c>
      <c r="L1953" s="2" t="s">
        <v>4039</v>
      </c>
      <c r="M1953" s="2" t="s">
        <v>99</v>
      </c>
      <c r="N1953" s="2" t="s">
        <v>96</v>
      </c>
      <c r="O1953" s="2">
        <v>16</v>
      </c>
      <c r="P1953" s="2">
        <v>15</v>
      </c>
      <c r="Q1953" s="4">
        <v>6750</v>
      </c>
      <c r="R1953" s="4">
        <v>6430</v>
      </c>
      <c r="S1953" s="4">
        <v>160</v>
      </c>
      <c r="T1953" s="19">
        <f>(ProductionData[[#This Row],[Rejected_Qty]])/ProductionData[[#This Row],[Produced_Qty]]</f>
        <v>2.4883359253499222E-2</v>
      </c>
      <c r="U1953" s="19">
        <f>ProductionData[[#This Row],[Produced_Qty]]/ProductionData[[#This Row],[Planned_Qty]]</f>
        <v>0.95259259259259255</v>
      </c>
      <c r="V1953" s="2" t="s">
        <v>109</v>
      </c>
      <c r="W1953" s="11">
        <v>0</v>
      </c>
      <c r="X1953" s="13">
        <f>W1953/60</f>
        <v>0</v>
      </c>
      <c r="Y1953" s="2" t="s">
        <v>90</v>
      </c>
      <c r="Z1953" s="2">
        <v>58</v>
      </c>
      <c r="AA1953" s="2">
        <f>ProductionData[[#This Row],[Rejected_Qty]]*ProductionData[[#This Row],[Unit_Cost_INR]]</f>
        <v>9280</v>
      </c>
      <c r="AB1953" s="4">
        <v>3000</v>
      </c>
      <c r="AC1953" s="4">
        <v>6100</v>
      </c>
      <c r="AD1953" s="4">
        <v>6100</v>
      </c>
      <c r="AE1953" s="4">
        <v>3170</v>
      </c>
      <c r="AF1953" s="4">
        <v>9000</v>
      </c>
    </row>
    <row r="1954" spans="1:32">
      <c r="A1954" s="2" t="s">
        <v>4040</v>
      </c>
      <c r="B1954" s="3">
        <v>46282</v>
      </c>
      <c r="C1954" s="36" t="s">
        <v>64</v>
      </c>
      <c r="D1954" s="2">
        <f>MONTH(ProductionData[[#This Row],[Month]])</f>
        <v>9</v>
      </c>
      <c r="E1954" s="2" t="s">
        <v>107</v>
      </c>
      <c r="F1954" s="2" t="s">
        <v>80</v>
      </c>
      <c r="G1954" s="2" t="s">
        <v>67</v>
      </c>
      <c r="H1954" s="2" t="s">
        <v>68</v>
      </c>
      <c r="I1954" s="2" t="s">
        <v>69</v>
      </c>
      <c r="J1954" s="2" t="s">
        <v>683</v>
      </c>
      <c r="K1954" s="2" t="s">
        <v>684</v>
      </c>
      <c r="L1954" s="2" t="s">
        <v>4041</v>
      </c>
      <c r="M1954" s="2" t="s">
        <v>87</v>
      </c>
      <c r="N1954" s="2" t="s">
        <v>74</v>
      </c>
      <c r="O1954" s="2">
        <v>16</v>
      </c>
      <c r="P1954" s="2">
        <v>16</v>
      </c>
      <c r="Q1954" s="4">
        <v>5210</v>
      </c>
      <c r="R1954" s="4">
        <v>5000</v>
      </c>
      <c r="S1954" s="4">
        <v>456</v>
      </c>
      <c r="T1954" s="19">
        <f>(ProductionData[[#This Row],[Rejected_Qty]])/ProductionData[[#This Row],[Produced_Qty]]</f>
        <v>9.1200000000000003E-2</v>
      </c>
      <c r="U1954" s="19">
        <f>ProductionData[[#This Row],[Produced_Qty]]/ProductionData[[#This Row],[Planned_Qty]]</f>
        <v>0.95969289827255277</v>
      </c>
      <c r="V1954" s="2" t="s">
        <v>75</v>
      </c>
      <c r="W1954" s="11">
        <v>65</v>
      </c>
      <c r="X1954" s="13">
        <f>W1954/60</f>
        <v>1.0833333333333333</v>
      </c>
      <c r="Y1954" s="2" t="s">
        <v>110</v>
      </c>
      <c r="Z1954" s="2">
        <v>79</v>
      </c>
      <c r="AA1954" s="2">
        <f>ProductionData[[#This Row],[Rejected_Qty]]*ProductionData[[#This Row],[Unit_Cost_INR]]</f>
        <v>36024</v>
      </c>
      <c r="AB1954" s="4">
        <v>3253</v>
      </c>
      <c r="AC1954" s="4">
        <v>4660</v>
      </c>
      <c r="AD1954" s="4">
        <v>4660</v>
      </c>
      <c r="AE1954" s="4">
        <v>3137</v>
      </c>
      <c r="AF1954" s="4">
        <v>6750</v>
      </c>
    </row>
    <row r="1955" spans="1:32">
      <c r="A1955" s="2" t="s">
        <v>4042</v>
      </c>
      <c r="B1955" s="3">
        <v>46285</v>
      </c>
      <c r="C1955" s="36" t="s">
        <v>64</v>
      </c>
      <c r="D1955" s="2">
        <f>MONTH(ProductionData[[#This Row],[Month]])</f>
        <v>9</v>
      </c>
      <c r="E1955" s="2" t="s">
        <v>186</v>
      </c>
      <c r="F1955" s="2" t="s">
        <v>80</v>
      </c>
      <c r="G1955" s="2" t="s">
        <v>67</v>
      </c>
      <c r="H1955" s="2" t="s">
        <v>68</v>
      </c>
      <c r="I1955" s="2" t="s">
        <v>69</v>
      </c>
      <c r="J1955" s="2" t="s">
        <v>683</v>
      </c>
      <c r="K1955" s="2" t="s">
        <v>684</v>
      </c>
      <c r="L1955" s="2" t="s">
        <v>4043</v>
      </c>
      <c r="M1955" s="2" t="s">
        <v>102</v>
      </c>
      <c r="N1955" s="2" t="s">
        <v>96</v>
      </c>
      <c r="O1955" s="2">
        <v>16</v>
      </c>
      <c r="P1955" s="2">
        <v>16</v>
      </c>
      <c r="Q1955" s="4">
        <v>3220</v>
      </c>
      <c r="R1955" s="4">
        <v>2860</v>
      </c>
      <c r="S1955" s="4">
        <v>72</v>
      </c>
      <c r="T1955" s="19">
        <f>(ProductionData[[#This Row],[Rejected_Qty]])/ProductionData[[#This Row],[Produced_Qty]]</f>
        <v>2.5174825174825177E-2</v>
      </c>
      <c r="U1955" s="19">
        <f>ProductionData[[#This Row],[Produced_Qty]]/ProductionData[[#This Row],[Planned_Qty]]</f>
        <v>0.88819875776397517</v>
      </c>
      <c r="V1955" s="2" t="s">
        <v>113</v>
      </c>
      <c r="W1955" s="11">
        <v>56</v>
      </c>
      <c r="X1955" s="13">
        <f>W1955/60</f>
        <v>0.93333333333333335</v>
      </c>
      <c r="Y1955" s="2" t="s">
        <v>76</v>
      </c>
      <c r="Z1955" s="2">
        <v>79</v>
      </c>
      <c r="AA1955" s="2">
        <f>ProductionData[[#This Row],[Rejected_Qty]]*ProductionData[[#This Row],[Unit_Cost_INR]]</f>
        <v>5688</v>
      </c>
      <c r="AB1955" s="4">
        <v>3314</v>
      </c>
      <c r="AC1955" s="4">
        <v>3050</v>
      </c>
      <c r="AD1955" s="4">
        <v>3050</v>
      </c>
      <c r="AE1955" s="4">
        <v>3052</v>
      </c>
      <c r="AF1955" s="4">
        <v>6750</v>
      </c>
    </row>
    <row r="1956" spans="1:32">
      <c r="A1956" s="2" t="s">
        <v>4044</v>
      </c>
      <c r="B1956" s="3">
        <v>46284</v>
      </c>
      <c r="C1956" s="36" t="s">
        <v>64</v>
      </c>
      <c r="D1956" s="2">
        <f>MONTH(ProductionData[[#This Row],[Month]])</f>
        <v>9</v>
      </c>
      <c r="E1956" s="2" t="s">
        <v>65</v>
      </c>
      <c r="F1956" s="2" t="s">
        <v>93</v>
      </c>
      <c r="G1956" s="2" t="s">
        <v>67</v>
      </c>
      <c r="H1956" s="2" t="s">
        <v>68</v>
      </c>
      <c r="I1956" s="2" t="s">
        <v>69</v>
      </c>
      <c r="J1956" s="2" t="s">
        <v>403</v>
      </c>
      <c r="K1956" s="2" t="s">
        <v>404</v>
      </c>
      <c r="L1956" s="2" t="s">
        <v>4045</v>
      </c>
      <c r="M1956" s="2" t="s">
        <v>133</v>
      </c>
      <c r="N1956" s="2" t="s">
        <v>74</v>
      </c>
      <c r="O1956" s="2">
        <v>16</v>
      </c>
      <c r="P1956" s="2">
        <v>15</v>
      </c>
      <c r="Q1956" s="4">
        <v>6440</v>
      </c>
      <c r="R1956" s="4">
        <v>5850</v>
      </c>
      <c r="S1956" s="4">
        <v>539</v>
      </c>
      <c r="T1956" s="19">
        <f>(ProductionData[[#This Row],[Rejected_Qty]])/ProductionData[[#This Row],[Produced_Qty]]</f>
        <v>9.213675213675214E-2</v>
      </c>
      <c r="U1956" s="19">
        <f>ProductionData[[#This Row],[Produced_Qty]]/ProductionData[[#This Row],[Planned_Qty]]</f>
        <v>0.90838509316770188</v>
      </c>
      <c r="V1956" s="2" t="s">
        <v>2284</v>
      </c>
      <c r="W1956" s="11">
        <v>56</v>
      </c>
      <c r="X1956" s="13">
        <f>W1956/60</f>
        <v>0.93333333333333335</v>
      </c>
      <c r="Y1956" s="2" t="s">
        <v>110</v>
      </c>
      <c r="Z1956" s="2">
        <v>58</v>
      </c>
      <c r="AA1956" s="2">
        <f>ProductionData[[#This Row],[Rejected_Qty]]*ProductionData[[#This Row],[Unit_Cost_INR]]</f>
        <v>31262</v>
      </c>
      <c r="AB1956" s="4">
        <v>3949</v>
      </c>
      <c r="AC1956" s="4">
        <v>6260</v>
      </c>
      <c r="AD1956" s="4">
        <v>6260</v>
      </c>
      <c r="AE1956" s="4">
        <v>3000</v>
      </c>
      <c r="AF1956" s="4">
        <v>9000</v>
      </c>
    </row>
    <row r="1957" spans="1:32">
      <c r="A1957" s="2" t="s">
        <v>4046</v>
      </c>
      <c r="B1957" s="3">
        <v>46295</v>
      </c>
      <c r="C1957" s="36" t="s">
        <v>64</v>
      </c>
      <c r="D1957" s="2">
        <f>MONTH(ProductionData[[#This Row],[Month]])</f>
        <v>9</v>
      </c>
      <c r="E1957" s="2" t="s">
        <v>79</v>
      </c>
      <c r="F1957" s="2" t="s">
        <v>93</v>
      </c>
      <c r="G1957" s="2" t="s">
        <v>67</v>
      </c>
      <c r="H1957" s="2" t="s">
        <v>68</v>
      </c>
      <c r="I1957" s="2" t="s">
        <v>69</v>
      </c>
      <c r="J1957" s="2" t="s">
        <v>683</v>
      </c>
      <c r="K1957" s="2" t="s">
        <v>684</v>
      </c>
      <c r="L1957" s="2" t="s">
        <v>4047</v>
      </c>
      <c r="M1957" s="2" t="s">
        <v>133</v>
      </c>
      <c r="N1957" s="2" t="s">
        <v>74</v>
      </c>
      <c r="O1957" s="2">
        <v>16</v>
      </c>
      <c r="P1957" s="2">
        <v>16</v>
      </c>
      <c r="Q1957" s="4">
        <v>4980</v>
      </c>
      <c r="R1957" s="4">
        <v>4940</v>
      </c>
      <c r="S1957" s="4">
        <v>580</v>
      </c>
      <c r="T1957" s="19">
        <f>(ProductionData[[#This Row],[Rejected_Qty]])/ProductionData[[#This Row],[Produced_Qty]]</f>
        <v>0.11740890688259109</v>
      </c>
      <c r="U1957" s="19">
        <f>ProductionData[[#This Row],[Produced_Qty]]/ProductionData[[#This Row],[Planned_Qty]]</f>
        <v>0.99196787148594379</v>
      </c>
      <c r="V1957" s="2" t="s">
        <v>2284</v>
      </c>
      <c r="W1957" s="11">
        <v>0</v>
      </c>
      <c r="X1957" s="13">
        <f>W1957/60</f>
        <v>0</v>
      </c>
      <c r="Y1957" s="2" t="s">
        <v>90</v>
      </c>
      <c r="Z1957" s="2">
        <v>79</v>
      </c>
      <c r="AA1957" s="2">
        <f>ProductionData[[#This Row],[Rejected_Qty]]*ProductionData[[#This Row],[Unit_Cost_INR]]</f>
        <v>45820</v>
      </c>
      <c r="AB1957" s="4">
        <v>2435</v>
      </c>
      <c r="AC1957" s="4">
        <v>3910</v>
      </c>
      <c r="AD1957" s="4">
        <v>3910</v>
      </c>
      <c r="AE1957" s="4">
        <v>2885</v>
      </c>
      <c r="AF1957" s="4">
        <v>6750</v>
      </c>
    </row>
    <row r="1958" spans="1:32">
      <c r="A1958" s="2" t="s">
        <v>4048</v>
      </c>
      <c r="B1958" s="3">
        <v>46291</v>
      </c>
      <c r="C1958" s="36" t="s">
        <v>64</v>
      </c>
      <c r="D1958" s="2">
        <f>MONTH(ProductionData[[#This Row],[Month]])</f>
        <v>9</v>
      </c>
      <c r="E1958" s="2" t="s">
        <v>65</v>
      </c>
      <c r="F1958" s="2" t="s">
        <v>66</v>
      </c>
      <c r="G1958" s="2" t="s">
        <v>67</v>
      </c>
      <c r="H1958" s="2" t="s">
        <v>68</v>
      </c>
      <c r="I1958" s="2" t="s">
        <v>69</v>
      </c>
      <c r="J1958" s="2" t="s">
        <v>683</v>
      </c>
      <c r="K1958" s="2" t="s">
        <v>684</v>
      </c>
      <c r="L1958" s="2" t="s">
        <v>4049</v>
      </c>
      <c r="M1958" s="2" t="s">
        <v>99</v>
      </c>
      <c r="N1958" s="2" t="s">
        <v>88</v>
      </c>
      <c r="O1958" s="2">
        <v>16</v>
      </c>
      <c r="P1958" s="2">
        <v>16</v>
      </c>
      <c r="Q1958" s="4">
        <v>5070</v>
      </c>
      <c r="R1958" s="4">
        <v>4920</v>
      </c>
      <c r="S1958" s="4">
        <v>132</v>
      </c>
      <c r="T1958" s="19">
        <f>(ProductionData[[#This Row],[Rejected_Qty]])/ProductionData[[#This Row],[Produced_Qty]]</f>
        <v>2.6829268292682926E-2</v>
      </c>
      <c r="U1958" s="19">
        <f>ProductionData[[#This Row],[Produced_Qty]]/ProductionData[[#This Row],[Planned_Qty]]</f>
        <v>0.97041420118343191</v>
      </c>
      <c r="V1958" s="2" t="s">
        <v>103</v>
      </c>
      <c r="W1958" s="11">
        <v>34</v>
      </c>
      <c r="X1958" s="13">
        <f>W1958/60</f>
        <v>0.56666666666666665</v>
      </c>
      <c r="Y1958" s="2" t="s">
        <v>136</v>
      </c>
      <c r="Z1958" s="2">
        <v>79</v>
      </c>
      <c r="AA1958" s="2">
        <f>ProductionData[[#This Row],[Rejected_Qty]]*ProductionData[[#This Row],[Unit_Cost_INR]]</f>
        <v>10428</v>
      </c>
      <c r="AB1958" s="4">
        <v>2619</v>
      </c>
      <c r="AC1958" s="4">
        <v>4530</v>
      </c>
      <c r="AD1958" s="4">
        <v>4530</v>
      </c>
      <c r="AE1958" s="4">
        <v>2877</v>
      </c>
      <c r="AF1958" s="4">
        <v>6750</v>
      </c>
    </row>
    <row r="1959" spans="1:32">
      <c r="A1959" s="2" t="s">
        <v>4050</v>
      </c>
      <c r="B1959" s="3">
        <v>46286</v>
      </c>
      <c r="C1959" s="36" t="s">
        <v>64</v>
      </c>
      <c r="D1959" s="2">
        <f>MONTH(ProductionData[[#This Row],[Month]])</f>
        <v>9</v>
      </c>
      <c r="E1959" s="2" t="s">
        <v>116</v>
      </c>
      <c r="F1959" s="2" t="s">
        <v>93</v>
      </c>
      <c r="G1959" s="2" t="s">
        <v>67</v>
      </c>
      <c r="H1959" s="2" t="s">
        <v>68</v>
      </c>
      <c r="I1959" s="2" t="s">
        <v>69</v>
      </c>
      <c r="J1959" s="2" t="s">
        <v>683</v>
      </c>
      <c r="K1959" s="2" t="s">
        <v>684</v>
      </c>
      <c r="L1959" s="2" t="s">
        <v>4051</v>
      </c>
      <c r="M1959" s="2" t="s">
        <v>133</v>
      </c>
      <c r="N1959" s="2" t="s">
        <v>74</v>
      </c>
      <c r="O1959" s="2">
        <v>16</v>
      </c>
      <c r="P1959" s="2">
        <v>14</v>
      </c>
      <c r="Q1959" s="4">
        <v>4650</v>
      </c>
      <c r="R1959" s="4">
        <v>4100</v>
      </c>
      <c r="S1959" s="4">
        <v>375</v>
      </c>
      <c r="T1959" s="19">
        <f>(ProductionData[[#This Row],[Rejected_Qty]])/ProductionData[[#This Row],[Produced_Qty]]</f>
        <v>9.1463414634146339E-2</v>
      </c>
      <c r="U1959" s="19">
        <f>ProductionData[[#This Row],[Produced_Qty]]/ProductionData[[#This Row],[Planned_Qty]]</f>
        <v>0.88172043010752688</v>
      </c>
      <c r="V1959" s="2" t="s">
        <v>2284</v>
      </c>
      <c r="W1959" s="11">
        <v>0</v>
      </c>
      <c r="X1959" s="13">
        <f>W1959/60</f>
        <v>0</v>
      </c>
      <c r="Y1959" s="2" t="s">
        <v>90</v>
      </c>
      <c r="Z1959" s="2">
        <v>79</v>
      </c>
      <c r="AA1959" s="2">
        <f>ProductionData[[#This Row],[Rejected_Qty]]*ProductionData[[#This Row],[Unit_Cost_INR]]</f>
        <v>29625</v>
      </c>
      <c r="AB1959" s="4">
        <v>3052</v>
      </c>
      <c r="AC1959" s="4">
        <v>4050</v>
      </c>
      <c r="AD1959" s="4">
        <v>4050</v>
      </c>
      <c r="AE1959" s="4">
        <v>2727</v>
      </c>
      <c r="AF1959" s="4">
        <v>6750</v>
      </c>
    </row>
    <row r="1960" spans="1:32">
      <c r="A1960" s="2" t="s">
        <v>4052</v>
      </c>
      <c r="B1960" s="3">
        <v>46290</v>
      </c>
      <c r="C1960" s="36" t="s">
        <v>64</v>
      </c>
      <c r="D1960" s="2">
        <f>MONTH(ProductionData[[#This Row],[Month]])</f>
        <v>9</v>
      </c>
      <c r="E1960" s="2" t="s">
        <v>125</v>
      </c>
      <c r="F1960" s="2" t="s">
        <v>80</v>
      </c>
      <c r="G1960" s="2" t="s">
        <v>67</v>
      </c>
      <c r="H1960" s="2" t="s">
        <v>68</v>
      </c>
      <c r="I1960" s="2" t="s">
        <v>69</v>
      </c>
      <c r="J1960" s="2" t="s">
        <v>683</v>
      </c>
      <c r="K1960" s="2" t="s">
        <v>684</v>
      </c>
      <c r="L1960" s="2" t="s">
        <v>4053</v>
      </c>
      <c r="M1960" s="2" t="s">
        <v>102</v>
      </c>
      <c r="N1960" s="2" t="s">
        <v>96</v>
      </c>
      <c r="O1960" s="2">
        <v>16</v>
      </c>
      <c r="P1960" s="2">
        <v>15</v>
      </c>
      <c r="Q1960" s="4">
        <v>4810</v>
      </c>
      <c r="R1960" s="4">
        <v>4580</v>
      </c>
      <c r="S1960" s="4">
        <v>140</v>
      </c>
      <c r="T1960" s="19">
        <f>(ProductionData[[#This Row],[Rejected_Qty]])/ProductionData[[#This Row],[Produced_Qty]]</f>
        <v>3.0567685589519649E-2</v>
      </c>
      <c r="U1960" s="19">
        <f>ProductionData[[#This Row],[Produced_Qty]]/ProductionData[[#This Row],[Planned_Qty]]</f>
        <v>0.95218295218295224</v>
      </c>
      <c r="V1960" s="2" t="s">
        <v>103</v>
      </c>
      <c r="W1960" s="11">
        <v>0</v>
      </c>
      <c r="X1960" s="13">
        <f>W1960/60</f>
        <v>0</v>
      </c>
      <c r="Y1960" s="2" t="s">
        <v>90</v>
      </c>
      <c r="Z1960" s="2">
        <v>79</v>
      </c>
      <c r="AA1960" s="2">
        <f>ProductionData[[#This Row],[Rejected_Qty]]*ProductionData[[#This Row],[Unit_Cost_INR]]</f>
        <v>11060</v>
      </c>
      <c r="AB1960" s="4">
        <v>2569</v>
      </c>
      <c r="AC1960" s="4">
        <v>4390</v>
      </c>
      <c r="AD1960" s="4">
        <v>4390</v>
      </c>
      <c r="AE1960" s="4">
        <v>2619</v>
      </c>
      <c r="AF1960" s="4">
        <v>6750</v>
      </c>
    </row>
    <row r="1961" spans="1:32">
      <c r="A1961" s="2" t="s">
        <v>4054</v>
      </c>
      <c r="B1961" s="3">
        <v>46290</v>
      </c>
      <c r="C1961" s="36" t="s">
        <v>64</v>
      </c>
      <c r="D1961" s="2">
        <f>MONTH(ProductionData[[#This Row],[Month]])</f>
        <v>9</v>
      </c>
      <c r="E1961" s="2" t="s">
        <v>125</v>
      </c>
      <c r="F1961" s="2" t="s">
        <v>66</v>
      </c>
      <c r="G1961" s="2" t="s">
        <v>67</v>
      </c>
      <c r="H1961" s="2" t="s">
        <v>68</v>
      </c>
      <c r="I1961" s="2" t="s">
        <v>69</v>
      </c>
      <c r="J1961" s="2" t="s">
        <v>683</v>
      </c>
      <c r="K1961" s="2" t="s">
        <v>684</v>
      </c>
      <c r="L1961" s="2" t="s">
        <v>4055</v>
      </c>
      <c r="M1961" s="2" t="s">
        <v>99</v>
      </c>
      <c r="N1961" s="2" t="s">
        <v>96</v>
      </c>
      <c r="O1961" s="2">
        <v>16</v>
      </c>
      <c r="P1961" s="2">
        <v>15</v>
      </c>
      <c r="Q1961" s="4">
        <v>5040</v>
      </c>
      <c r="R1961" s="4">
        <v>5090</v>
      </c>
      <c r="S1961" s="4">
        <v>101</v>
      </c>
      <c r="T1961" s="19">
        <f>(ProductionData[[#This Row],[Rejected_Qty]])/ProductionData[[#This Row],[Produced_Qty]]</f>
        <v>1.9842829076620824E-2</v>
      </c>
      <c r="U1961" s="19">
        <f>ProductionData[[#This Row],[Produced_Qty]]/ProductionData[[#This Row],[Planned_Qty]]</f>
        <v>1.0099206349206349</v>
      </c>
      <c r="V1961" s="2" t="s">
        <v>75</v>
      </c>
      <c r="W1961" s="11">
        <v>0</v>
      </c>
      <c r="X1961" s="13">
        <f>W1961/60</f>
        <v>0</v>
      </c>
      <c r="Y1961" s="2" t="s">
        <v>90</v>
      </c>
      <c r="Z1961" s="2">
        <v>79</v>
      </c>
      <c r="AA1961" s="2">
        <f>ProductionData[[#This Row],[Rejected_Qty]]*ProductionData[[#This Row],[Unit_Cost_INR]]</f>
        <v>7979</v>
      </c>
      <c r="AB1961" s="4">
        <v>2070</v>
      </c>
      <c r="AC1961" s="4">
        <v>4490</v>
      </c>
      <c r="AD1961" s="4">
        <v>4490</v>
      </c>
      <c r="AE1961" s="4">
        <v>2569</v>
      </c>
      <c r="AF1961" s="4">
        <v>6750</v>
      </c>
    </row>
    <row r="1962" spans="1:32">
      <c r="A1962" s="2" t="s">
        <v>4056</v>
      </c>
      <c r="B1962" s="3">
        <v>46268</v>
      </c>
      <c r="C1962" s="36" t="s">
        <v>64</v>
      </c>
      <c r="D1962" s="2">
        <f>MONTH(ProductionData[[#This Row],[Month]])</f>
        <v>9</v>
      </c>
      <c r="E1962" s="2" t="s">
        <v>107</v>
      </c>
      <c r="F1962" s="2" t="s">
        <v>66</v>
      </c>
      <c r="G1962" s="2" t="s">
        <v>67</v>
      </c>
      <c r="H1962" s="2" t="s">
        <v>68</v>
      </c>
      <c r="I1962" s="2" t="s">
        <v>69</v>
      </c>
      <c r="J1962" s="2" t="s">
        <v>70</v>
      </c>
      <c r="K1962" s="2" t="s">
        <v>71</v>
      </c>
      <c r="L1962" s="2" t="s">
        <v>4057</v>
      </c>
      <c r="M1962" s="2" t="s">
        <v>73</v>
      </c>
      <c r="N1962" s="2" t="s">
        <v>88</v>
      </c>
      <c r="O1962" s="2">
        <v>16</v>
      </c>
      <c r="P1962" s="2">
        <v>16</v>
      </c>
      <c r="Q1962" s="4">
        <v>7200</v>
      </c>
      <c r="R1962" s="4">
        <v>6900</v>
      </c>
      <c r="S1962" s="4">
        <v>245</v>
      </c>
      <c r="T1962" s="19">
        <f>(ProductionData[[#This Row],[Rejected_Qty]])/ProductionData[[#This Row],[Produced_Qty]]</f>
        <v>3.5507246376811595E-2</v>
      </c>
      <c r="U1962" s="19">
        <f>ProductionData[[#This Row],[Produced_Qty]]/ProductionData[[#This Row],[Planned_Qty]]</f>
        <v>0.95833333333333337</v>
      </c>
      <c r="V1962" s="2" t="s">
        <v>75</v>
      </c>
      <c r="W1962" s="11">
        <v>0</v>
      </c>
      <c r="X1962" s="13">
        <f>W1962/60</f>
        <v>0</v>
      </c>
      <c r="Y1962" s="2" t="s">
        <v>90</v>
      </c>
      <c r="Z1962" s="2">
        <v>46</v>
      </c>
      <c r="AA1962" s="2">
        <f>ProductionData[[#This Row],[Rejected_Qty]]*ProductionData[[#This Row],[Unit_Cost_INR]]</f>
        <v>11270</v>
      </c>
      <c r="AB1962" s="4">
        <v>2213</v>
      </c>
      <c r="AC1962" s="4">
        <v>6300</v>
      </c>
      <c r="AD1962" s="4">
        <v>6300</v>
      </c>
      <c r="AE1962" s="4">
        <v>2568</v>
      </c>
      <c r="AF1962" s="4">
        <v>10500</v>
      </c>
    </row>
    <row r="1963" spans="1:32">
      <c r="A1963" s="2" t="s">
        <v>4058</v>
      </c>
      <c r="B1963" s="3">
        <v>46293</v>
      </c>
      <c r="C1963" s="36" t="s">
        <v>64</v>
      </c>
      <c r="D1963" s="2">
        <f>MONTH(ProductionData[[#This Row],[Month]])</f>
        <v>9</v>
      </c>
      <c r="E1963" s="2" t="s">
        <v>116</v>
      </c>
      <c r="F1963" s="2" t="s">
        <v>93</v>
      </c>
      <c r="G1963" s="2" t="s">
        <v>67</v>
      </c>
      <c r="H1963" s="2" t="s">
        <v>68</v>
      </c>
      <c r="I1963" s="2" t="s">
        <v>69</v>
      </c>
      <c r="J1963" s="2" t="s">
        <v>683</v>
      </c>
      <c r="K1963" s="2" t="s">
        <v>684</v>
      </c>
      <c r="L1963" s="2" t="s">
        <v>4059</v>
      </c>
      <c r="M1963" s="2" t="s">
        <v>133</v>
      </c>
      <c r="N1963" s="2" t="s">
        <v>74</v>
      </c>
      <c r="O1963" s="2">
        <v>16</v>
      </c>
      <c r="P1963" s="2">
        <v>14</v>
      </c>
      <c r="Q1963" s="4">
        <v>4690</v>
      </c>
      <c r="R1963" s="4">
        <v>4320</v>
      </c>
      <c r="S1963" s="4">
        <v>515</v>
      </c>
      <c r="T1963" s="19">
        <f>(ProductionData[[#This Row],[Rejected_Qty]])/ProductionData[[#This Row],[Produced_Qty]]</f>
        <v>0.11921296296296297</v>
      </c>
      <c r="U1963" s="19">
        <f>ProductionData[[#This Row],[Produced_Qty]]/ProductionData[[#This Row],[Planned_Qty]]</f>
        <v>0.9211087420042644</v>
      </c>
      <c r="V1963" s="2" t="s">
        <v>2284</v>
      </c>
      <c r="W1963" s="11">
        <v>0</v>
      </c>
      <c r="X1963" s="13">
        <f>W1963/60</f>
        <v>0</v>
      </c>
      <c r="Y1963" s="2" t="s">
        <v>90</v>
      </c>
      <c r="Z1963" s="2">
        <v>79</v>
      </c>
      <c r="AA1963" s="2">
        <f>ProductionData[[#This Row],[Rejected_Qty]]*ProductionData[[#This Row],[Unit_Cost_INR]]</f>
        <v>40685</v>
      </c>
      <c r="AB1963" s="4">
        <v>2877</v>
      </c>
      <c r="AC1963" s="4">
        <v>4140</v>
      </c>
      <c r="AD1963" s="4">
        <v>4140</v>
      </c>
      <c r="AE1963" s="4">
        <v>2542</v>
      </c>
      <c r="AF1963" s="4">
        <v>6750</v>
      </c>
    </row>
    <row r="1964" spans="1:32">
      <c r="A1964" s="2" t="s">
        <v>4060</v>
      </c>
      <c r="B1964" s="3">
        <v>46295</v>
      </c>
      <c r="C1964" s="36" t="s">
        <v>64</v>
      </c>
      <c r="D1964" s="2">
        <f>MONTH(ProductionData[[#This Row],[Month]])</f>
        <v>9</v>
      </c>
      <c r="E1964" s="2" t="s">
        <v>79</v>
      </c>
      <c r="F1964" s="2" t="s">
        <v>80</v>
      </c>
      <c r="G1964" s="2" t="s">
        <v>67</v>
      </c>
      <c r="H1964" s="2" t="s">
        <v>68</v>
      </c>
      <c r="I1964" s="2" t="s">
        <v>69</v>
      </c>
      <c r="J1964" s="2" t="s">
        <v>683</v>
      </c>
      <c r="K1964" s="2" t="s">
        <v>684</v>
      </c>
      <c r="L1964" s="2" t="s">
        <v>4061</v>
      </c>
      <c r="M1964" s="2" t="s">
        <v>87</v>
      </c>
      <c r="N1964" s="2" t="s">
        <v>88</v>
      </c>
      <c r="O1964" s="2">
        <v>16</v>
      </c>
      <c r="P1964" s="2">
        <v>16</v>
      </c>
      <c r="Q1964" s="4">
        <v>5040</v>
      </c>
      <c r="R1964" s="4">
        <v>4770</v>
      </c>
      <c r="S1964" s="4">
        <v>127</v>
      </c>
      <c r="T1964" s="19">
        <f>(ProductionData[[#This Row],[Rejected_Qty]])/ProductionData[[#This Row],[Produced_Qty]]</f>
        <v>2.6624737945492662E-2</v>
      </c>
      <c r="U1964" s="19">
        <f>ProductionData[[#This Row],[Produced_Qty]]/ProductionData[[#This Row],[Planned_Qty]]</f>
        <v>0.9464285714285714</v>
      </c>
      <c r="V1964" s="2" t="s">
        <v>103</v>
      </c>
      <c r="W1964" s="11">
        <v>13</v>
      </c>
      <c r="X1964" s="13">
        <f>W1964/60</f>
        <v>0.21666666666666667</v>
      </c>
      <c r="Y1964" s="2" t="s">
        <v>182</v>
      </c>
      <c r="Z1964" s="2">
        <v>79</v>
      </c>
      <c r="AA1964" s="2">
        <f>ProductionData[[#This Row],[Rejected_Qty]]*ProductionData[[#This Row],[Unit_Cost_INR]]</f>
        <v>10033</v>
      </c>
      <c r="AB1964" s="4">
        <v>2542</v>
      </c>
      <c r="AC1964" s="4">
        <v>4750</v>
      </c>
      <c r="AD1964" s="4">
        <v>4750</v>
      </c>
      <c r="AE1964" s="4">
        <v>2435</v>
      </c>
      <c r="AF1964" s="4">
        <v>6750</v>
      </c>
    </row>
    <row r="1965" spans="1:32">
      <c r="A1965" s="2" t="s">
        <v>4062</v>
      </c>
      <c r="B1965" s="3">
        <v>46287</v>
      </c>
      <c r="C1965" s="36" t="s">
        <v>64</v>
      </c>
      <c r="D1965" s="2">
        <f>MONTH(ProductionData[[#This Row],[Month]])</f>
        <v>9</v>
      </c>
      <c r="E1965" s="2" t="s">
        <v>92</v>
      </c>
      <c r="F1965" s="2" t="s">
        <v>80</v>
      </c>
      <c r="G1965" s="2" t="s">
        <v>67</v>
      </c>
      <c r="H1965" s="2" t="s">
        <v>68</v>
      </c>
      <c r="I1965" s="2" t="s">
        <v>69</v>
      </c>
      <c r="J1965" s="2" t="s">
        <v>683</v>
      </c>
      <c r="K1965" s="2" t="s">
        <v>684</v>
      </c>
      <c r="L1965" s="2" t="s">
        <v>4063</v>
      </c>
      <c r="M1965" s="2" t="s">
        <v>87</v>
      </c>
      <c r="N1965" s="2" t="s">
        <v>96</v>
      </c>
      <c r="O1965" s="2">
        <v>16</v>
      </c>
      <c r="P1965" s="2">
        <v>16</v>
      </c>
      <c r="Q1965" s="4">
        <v>5050</v>
      </c>
      <c r="R1965" s="4">
        <v>4650</v>
      </c>
      <c r="S1965" s="4">
        <v>167</v>
      </c>
      <c r="T1965" s="19">
        <f>(ProductionData[[#This Row],[Rejected_Qty]])/ProductionData[[#This Row],[Produced_Qty]]</f>
        <v>3.5913978494623654E-2</v>
      </c>
      <c r="U1965" s="19">
        <f>ProductionData[[#This Row],[Produced_Qty]]/ProductionData[[#This Row],[Planned_Qty]]</f>
        <v>0.92079207920792083</v>
      </c>
      <c r="V1965" s="2" t="s">
        <v>109</v>
      </c>
      <c r="W1965" s="11">
        <v>0</v>
      </c>
      <c r="X1965" s="13">
        <f>W1965/60</f>
        <v>0</v>
      </c>
      <c r="Y1965" s="2" t="s">
        <v>90</v>
      </c>
      <c r="Z1965" s="2">
        <v>79</v>
      </c>
      <c r="AA1965" s="2">
        <f>ProductionData[[#This Row],[Rejected_Qty]]*ProductionData[[#This Row],[Unit_Cost_INR]]</f>
        <v>13193</v>
      </c>
      <c r="AB1965" s="4">
        <v>2727</v>
      </c>
      <c r="AC1965" s="4">
        <v>4800</v>
      </c>
      <c r="AD1965" s="4">
        <v>4800</v>
      </c>
      <c r="AE1965" s="4">
        <v>2410</v>
      </c>
      <c r="AF1965" s="4">
        <v>6750</v>
      </c>
    </row>
    <row r="1966" spans="1:32">
      <c r="A1966" s="2" t="s">
        <v>4064</v>
      </c>
      <c r="B1966" s="3">
        <v>46288</v>
      </c>
      <c r="C1966" s="36" t="s">
        <v>64</v>
      </c>
      <c r="D1966" s="2">
        <f>MONTH(ProductionData[[#This Row],[Month]])</f>
        <v>9</v>
      </c>
      <c r="E1966" s="2" t="s">
        <v>79</v>
      </c>
      <c r="F1966" s="2" t="s">
        <v>66</v>
      </c>
      <c r="G1966" s="2" t="s">
        <v>67</v>
      </c>
      <c r="H1966" s="2" t="s">
        <v>68</v>
      </c>
      <c r="I1966" s="2" t="s">
        <v>69</v>
      </c>
      <c r="J1966" s="2" t="s">
        <v>403</v>
      </c>
      <c r="K1966" s="2" t="s">
        <v>404</v>
      </c>
      <c r="L1966" s="2" t="s">
        <v>4065</v>
      </c>
      <c r="M1966" s="2" t="s">
        <v>99</v>
      </c>
      <c r="N1966" s="2" t="s">
        <v>74</v>
      </c>
      <c r="O1966" s="2">
        <v>16</v>
      </c>
      <c r="P1966" s="2">
        <v>16</v>
      </c>
      <c r="Q1966" s="4">
        <v>6880</v>
      </c>
      <c r="R1966" s="4">
        <v>6680</v>
      </c>
      <c r="S1966" s="4">
        <v>772</v>
      </c>
      <c r="T1966" s="19">
        <f>(ProductionData[[#This Row],[Rejected_Qty]])/ProductionData[[#This Row],[Produced_Qty]]</f>
        <v>0.1155688622754491</v>
      </c>
      <c r="U1966" s="19">
        <f>ProductionData[[#This Row],[Produced_Qty]]/ProductionData[[#This Row],[Planned_Qty]]</f>
        <v>0.97093023255813948</v>
      </c>
      <c r="V1966" s="2" t="s">
        <v>2284</v>
      </c>
      <c r="W1966" s="11">
        <v>0</v>
      </c>
      <c r="X1966" s="13">
        <f>W1966/60</f>
        <v>0</v>
      </c>
      <c r="Y1966" s="2" t="s">
        <v>90</v>
      </c>
      <c r="Z1966" s="2">
        <v>58</v>
      </c>
      <c r="AA1966" s="2">
        <f>ProductionData[[#This Row],[Rejected_Qty]]*ProductionData[[#This Row],[Unit_Cost_INR]]</f>
        <v>44776</v>
      </c>
      <c r="AB1966" s="4">
        <v>3170</v>
      </c>
      <c r="AC1966" s="4">
        <v>6670</v>
      </c>
      <c r="AD1966" s="4">
        <v>6670</v>
      </c>
      <c r="AE1966" s="4">
        <v>2408</v>
      </c>
      <c r="AF1966" s="4">
        <v>9000</v>
      </c>
    </row>
    <row r="1967" spans="1:32">
      <c r="A1967" s="2" t="s">
        <v>4066</v>
      </c>
      <c r="B1967" s="3">
        <v>46288</v>
      </c>
      <c r="C1967" s="36" t="s">
        <v>64</v>
      </c>
      <c r="D1967" s="2">
        <f>MONTH(ProductionData[[#This Row],[Month]])</f>
        <v>9</v>
      </c>
      <c r="E1967" s="2" t="s">
        <v>79</v>
      </c>
      <c r="F1967" s="2" t="s">
        <v>93</v>
      </c>
      <c r="G1967" s="2" t="s">
        <v>67</v>
      </c>
      <c r="H1967" s="2" t="s">
        <v>68</v>
      </c>
      <c r="I1967" s="2" t="s">
        <v>69</v>
      </c>
      <c r="J1967" s="2" t="s">
        <v>683</v>
      </c>
      <c r="K1967" s="2" t="s">
        <v>684</v>
      </c>
      <c r="L1967" s="2" t="s">
        <v>4067</v>
      </c>
      <c r="M1967" s="2" t="s">
        <v>95</v>
      </c>
      <c r="N1967" s="2" t="s">
        <v>74</v>
      </c>
      <c r="O1967" s="2">
        <v>16</v>
      </c>
      <c r="P1967" s="2">
        <v>15</v>
      </c>
      <c r="Q1967" s="4">
        <v>4530</v>
      </c>
      <c r="R1967" s="4">
        <v>4050</v>
      </c>
      <c r="S1967" s="4">
        <v>410</v>
      </c>
      <c r="T1967" s="19">
        <f>(ProductionData[[#This Row],[Rejected_Qty]])/ProductionData[[#This Row],[Produced_Qty]]</f>
        <v>0.10123456790123457</v>
      </c>
      <c r="U1967" s="19">
        <f>ProductionData[[#This Row],[Produced_Qty]]/ProductionData[[#This Row],[Planned_Qty]]</f>
        <v>0.89403973509933776</v>
      </c>
      <c r="V1967" s="2" t="s">
        <v>2284</v>
      </c>
      <c r="W1967" s="11">
        <v>0</v>
      </c>
      <c r="X1967" s="13">
        <f>W1967/60</f>
        <v>0</v>
      </c>
      <c r="Y1967" s="2" t="s">
        <v>90</v>
      </c>
      <c r="Z1967" s="2">
        <v>79</v>
      </c>
      <c r="AA1967" s="2">
        <f>ProductionData[[#This Row],[Rejected_Qty]]*ProductionData[[#This Row],[Unit_Cost_INR]]</f>
        <v>32390</v>
      </c>
      <c r="AB1967" s="4">
        <v>2410</v>
      </c>
      <c r="AC1967" s="4">
        <v>3980</v>
      </c>
      <c r="AD1967" s="4">
        <v>3980</v>
      </c>
      <c r="AE1967" s="4">
        <v>2070</v>
      </c>
      <c r="AF1967" s="4">
        <v>6750</v>
      </c>
    </row>
    <row r="1968" spans="1:32">
      <c r="A1968" s="2" t="s">
        <v>4068</v>
      </c>
      <c r="B1968" s="3">
        <v>46289</v>
      </c>
      <c r="C1968" s="36" t="s">
        <v>64</v>
      </c>
      <c r="D1968" s="2">
        <f>MONTH(ProductionData[[#This Row],[Month]])</f>
        <v>9</v>
      </c>
      <c r="E1968" s="2" t="s">
        <v>107</v>
      </c>
      <c r="F1968" s="2" t="s">
        <v>80</v>
      </c>
      <c r="G1968" s="2" t="s">
        <v>67</v>
      </c>
      <c r="H1968" s="2" t="s">
        <v>68</v>
      </c>
      <c r="I1968" s="2" t="s">
        <v>69</v>
      </c>
      <c r="J1968" s="2" t="s">
        <v>403</v>
      </c>
      <c r="K1968" s="2" t="s">
        <v>404</v>
      </c>
      <c r="L1968" s="2" t="s">
        <v>4069</v>
      </c>
      <c r="M1968" s="2" t="s">
        <v>87</v>
      </c>
      <c r="N1968" s="2" t="s">
        <v>74</v>
      </c>
      <c r="O1968" s="2">
        <v>16</v>
      </c>
      <c r="P1968" s="2">
        <v>16</v>
      </c>
      <c r="Q1968" s="4">
        <v>6760</v>
      </c>
      <c r="R1968" s="4">
        <v>6720</v>
      </c>
      <c r="S1968" s="4">
        <v>668</v>
      </c>
      <c r="T1968" s="19">
        <f>(ProductionData[[#This Row],[Rejected_Qty]])/ProductionData[[#This Row],[Produced_Qty]]</f>
        <v>9.9404761904761899E-2</v>
      </c>
      <c r="U1968" s="19">
        <f>ProductionData[[#This Row],[Produced_Qty]]/ProductionData[[#This Row],[Planned_Qty]]</f>
        <v>0.99408284023668636</v>
      </c>
      <c r="V1968" s="2" t="s">
        <v>109</v>
      </c>
      <c r="W1968" s="11">
        <v>0</v>
      </c>
      <c r="X1968" s="13">
        <f>W1968/60</f>
        <v>0</v>
      </c>
      <c r="Y1968" s="2" t="s">
        <v>90</v>
      </c>
      <c r="Z1968" s="2">
        <v>58</v>
      </c>
      <c r="AA1968" s="2">
        <f>ProductionData[[#This Row],[Rejected_Qty]]*ProductionData[[#This Row],[Unit_Cost_INR]]</f>
        <v>38744</v>
      </c>
      <c r="AB1968" s="4">
        <v>2408</v>
      </c>
      <c r="AC1968" s="4">
        <v>6900</v>
      </c>
      <c r="AD1968" s="4">
        <v>6900</v>
      </c>
      <c r="AE1968" s="4">
        <v>1560</v>
      </c>
      <c r="AF1968" s="4">
        <v>9000</v>
      </c>
    </row>
    <row r="1969" spans="1:32">
      <c r="A1969" s="2" t="s">
        <v>4070</v>
      </c>
      <c r="B1969" s="3">
        <v>46293</v>
      </c>
      <c r="C1969" s="36" t="s">
        <v>64</v>
      </c>
      <c r="D1969" s="2">
        <f>MONTH(ProductionData[[#This Row],[Month]])</f>
        <v>9</v>
      </c>
      <c r="E1969" s="2" t="s">
        <v>116</v>
      </c>
      <c r="F1969" s="2" t="s">
        <v>80</v>
      </c>
      <c r="G1969" s="2" t="s">
        <v>67</v>
      </c>
      <c r="H1969" s="2" t="s">
        <v>68</v>
      </c>
      <c r="I1969" s="2" t="s">
        <v>69</v>
      </c>
      <c r="J1969" s="2" t="s">
        <v>403</v>
      </c>
      <c r="K1969" s="2" t="s">
        <v>404</v>
      </c>
      <c r="L1969" s="2" t="s">
        <v>4071</v>
      </c>
      <c r="M1969" s="2" t="s">
        <v>87</v>
      </c>
      <c r="N1969" s="2" t="s">
        <v>88</v>
      </c>
      <c r="O1969" s="2">
        <v>16</v>
      </c>
      <c r="P1969" s="2">
        <v>14</v>
      </c>
      <c r="Q1969" s="4">
        <v>6020</v>
      </c>
      <c r="R1969" s="4">
        <v>5580</v>
      </c>
      <c r="S1969" s="4">
        <v>143</v>
      </c>
      <c r="T1969" s="19">
        <f>(ProductionData[[#This Row],[Rejected_Qty]])/ProductionData[[#This Row],[Produced_Qty]]</f>
        <v>2.5627240143369177E-2</v>
      </c>
      <c r="U1969" s="19">
        <f>ProductionData[[#This Row],[Produced_Qty]]/ProductionData[[#This Row],[Planned_Qty]]</f>
        <v>0.92691029900332222</v>
      </c>
      <c r="V1969" s="2" t="s">
        <v>75</v>
      </c>
      <c r="W1969" s="11">
        <v>16</v>
      </c>
      <c r="X1969" s="13">
        <f>W1969/60</f>
        <v>0.26666666666666666</v>
      </c>
      <c r="Y1969" s="2" t="s">
        <v>259</v>
      </c>
      <c r="Z1969" s="2">
        <v>58</v>
      </c>
      <c r="AA1969" s="2">
        <f>ProductionData[[#This Row],[Rejected_Qty]]*ProductionData[[#This Row],[Unit_Cost_INR]]</f>
        <v>8294</v>
      </c>
      <c r="AB1969" s="4">
        <v>553</v>
      </c>
      <c r="AC1969" s="4">
        <v>5140</v>
      </c>
      <c r="AD1969" s="4">
        <v>5140</v>
      </c>
      <c r="AE1969" s="4">
        <v>850</v>
      </c>
      <c r="AF1969" s="4">
        <v>9000</v>
      </c>
    </row>
    <row r="1970" spans="1:32">
      <c r="A1970" s="2" t="s">
        <v>4072</v>
      </c>
      <c r="B1970" s="3">
        <v>46294</v>
      </c>
      <c r="C1970" s="36" t="s">
        <v>64</v>
      </c>
      <c r="D1970" s="2">
        <f>MONTH(ProductionData[[#This Row],[Month]])</f>
        <v>9</v>
      </c>
      <c r="E1970" s="2" t="s">
        <v>92</v>
      </c>
      <c r="F1970" s="2" t="s">
        <v>66</v>
      </c>
      <c r="G1970" s="2" t="s">
        <v>67</v>
      </c>
      <c r="H1970" s="2" t="s">
        <v>68</v>
      </c>
      <c r="I1970" s="2" t="s">
        <v>69</v>
      </c>
      <c r="J1970" s="2" t="s">
        <v>70</v>
      </c>
      <c r="K1970" s="2" t="s">
        <v>71</v>
      </c>
      <c r="L1970" s="2" t="s">
        <v>4073</v>
      </c>
      <c r="M1970" s="2" t="s">
        <v>73</v>
      </c>
      <c r="N1970" s="2" t="s">
        <v>88</v>
      </c>
      <c r="O1970" s="2">
        <v>16</v>
      </c>
      <c r="P1970" s="2">
        <v>15</v>
      </c>
      <c r="Q1970" s="4">
        <v>7780</v>
      </c>
      <c r="R1970" s="4">
        <v>7420</v>
      </c>
      <c r="S1970" s="4">
        <v>101</v>
      </c>
      <c r="T1970" s="19">
        <f>(ProductionData[[#This Row],[Rejected_Qty]])/ProductionData[[#This Row],[Produced_Qty]]</f>
        <v>1.3611859838274933E-2</v>
      </c>
      <c r="U1970" s="19">
        <f>ProductionData[[#This Row],[Produced_Qty]]/ProductionData[[#This Row],[Planned_Qty]]</f>
        <v>0.95372750642673521</v>
      </c>
      <c r="V1970" s="2" t="s">
        <v>75</v>
      </c>
      <c r="W1970" s="11">
        <v>71</v>
      </c>
      <c r="X1970" s="13">
        <f>W1970/60</f>
        <v>1.1833333333333333</v>
      </c>
      <c r="Y1970" s="2" t="s">
        <v>110</v>
      </c>
      <c r="Z1970" s="2">
        <v>46</v>
      </c>
      <c r="AA1970" s="2">
        <f>ProductionData[[#This Row],[Rejected_Qty]]*ProductionData[[#This Row],[Unit_Cost_INR]]</f>
        <v>4646</v>
      </c>
      <c r="AB1970" s="4">
        <v>52</v>
      </c>
      <c r="AC1970" s="4">
        <v>6640</v>
      </c>
      <c r="AD1970" s="4">
        <v>6640</v>
      </c>
      <c r="AE1970" s="4">
        <v>731</v>
      </c>
      <c r="AF1970" s="4">
        <v>10500</v>
      </c>
    </row>
    <row r="1971" spans="1:32">
      <c r="A1971" s="2" t="s">
        <v>4074</v>
      </c>
      <c r="B1971" s="3">
        <v>46293</v>
      </c>
      <c r="C1971" s="36" t="s">
        <v>64</v>
      </c>
      <c r="D1971" s="2">
        <f>MONTH(ProductionData[[#This Row],[Month]])</f>
        <v>9</v>
      </c>
      <c r="E1971" s="2" t="s">
        <v>116</v>
      </c>
      <c r="F1971" s="2" t="s">
        <v>66</v>
      </c>
      <c r="G1971" s="2" t="s">
        <v>67</v>
      </c>
      <c r="H1971" s="2" t="s">
        <v>68</v>
      </c>
      <c r="I1971" s="2" t="s">
        <v>69</v>
      </c>
      <c r="J1971" s="2" t="s">
        <v>403</v>
      </c>
      <c r="K1971" s="2" t="s">
        <v>404</v>
      </c>
      <c r="L1971" s="2" t="s">
        <v>4075</v>
      </c>
      <c r="M1971" s="2" t="s">
        <v>73</v>
      </c>
      <c r="N1971" s="2" t="s">
        <v>74</v>
      </c>
      <c r="O1971" s="2">
        <v>16</v>
      </c>
      <c r="P1971" s="2">
        <v>14</v>
      </c>
      <c r="Q1971" s="4">
        <v>6500</v>
      </c>
      <c r="R1971" s="4">
        <v>6190</v>
      </c>
      <c r="S1971" s="4">
        <v>597</v>
      </c>
      <c r="T1971" s="19">
        <f>(ProductionData[[#This Row],[Rejected_Qty]])/ProductionData[[#This Row],[Produced_Qty]]</f>
        <v>9.6445880452342495E-2</v>
      </c>
      <c r="U1971" s="19">
        <f>ProductionData[[#This Row],[Produced_Qty]]/ProductionData[[#This Row],[Planned_Qty]]</f>
        <v>0.9523076923076923</v>
      </c>
      <c r="V1971" s="2" t="s">
        <v>2284</v>
      </c>
      <c r="W1971" s="11">
        <v>47</v>
      </c>
      <c r="X1971" s="13">
        <f>W1971/60</f>
        <v>0.78333333333333333</v>
      </c>
      <c r="Y1971" s="2" t="s">
        <v>76</v>
      </c>
      <c r="Z1971" s="2">
        <v>58</v>
      </c>
      <c r="AA1971" s="2">
        <f>ProductionData[[#This Row],[Rejected_Qty]]*ProductionData[[#This Row],[Unit_Cost_INR]]</f>
        <v>34626</v>
      </c>
      <c r="AB1971" s="4">
        <v>0</v>
      </c>
      <c r="AC1971" s="4">
        <v>5040</v>
      </c>
      <c r="AD1971" s="4">
        <v>5040</v>
      </c>
      <c r="AE1971" s="4">
        <v>553</v>
      </c>
      <c r="AF1971" s="4">
        <v>9000</v>
      </c>
    </row>
    <row r="1972" spans="1:32">
      <c r="A1972" s="2" t="s">
        <v>4076</v>
      </c>
      <c r="B1972" s="3">
        <v>46288</v>
      </c>
      <c r="C1972" s="36" t="s">
        <v>64</v>
      </c>
      <c r="D1972" s="2">
        <f>MONTH(ProductionData[[#This Row],[Month]])</f>
        <v>9</v>
      </c>
      <c r="E1972" s="2" t="s">
        <v>79</v>
      </c>
      <c r="F1972" s="2" t="s">
        <v>80</v>
      </c>
      <c r="G1972" s="2" t="s">
        <v>67</v>
      </c>
      <c r="H1972" s="2" t="s">
        <v>68</v>
      </c>
      <c r="I1972" s="2" t="s">
        <v>69</v>
      </c>
      <c r="J1972" s="2" t="s">
        <v>70</v>
      </c>
      <c r="K1972" s="2" t="s">
        <v>71</v>
      </c>
      <c r="L1972" s="2" t="s">
        <v>4077</v>
      </c>
      <c r="M1972" s="2" t="s">
        <v>87</v>
      </c>
      <c r="N1972" s="2" t="s">
        <v>96</v>
      </c>
      <c r="O1972" s="2">
        <v>16</v>
      </c>
      <c r="P1972" s="2">
        <v>15</v>
      </c>
      <c r="Q1972" s="4">
        <v>7770</v>
      </c>
      <c r="R1972" s="4">
        <v>7270</v>
      </c>
      <c r="S1972" s="4">
        <v>173</v>
      </c>
      <c r="T1972" s="19">
        <f>(ProductionData[[#This Row],[Rejected_Qty]])/ProductionData[[#This Row],[Produced_Qty]]</f>
        <v>2.3796423658872076E-2</v>
      </c>
      <c r="U1972" s="19">
        <f>ProductionData[[#This Row],[Produced_Qty]]/ProductionData[[#This Row],[Planned_Qty]]</f>
        <v>0.9356499356499357</v>
      </c>
      <c r="V1972" s="2" t="s">
        <v>75</v>
      </c>
      <c r="W1972" s="11">
        <v>0</v>
      </c>
      <c r="X1972" s="13">
        <f>W1972/60</f>
        <v>0</v>
      </c>
      <c r="Y1972" s="2" t="s">
        <v>90</v>
      </c>
      <c r="Z1972" s="2">
        <v>46</v>
      </c>
      <c r="AA1972" s="2">
        <f>ProductionData[[#This Row],[Rejected_Qty]]*ProductionData[[#This Row],[Unit_Cost_INR]]</f>
        <v>7958</v>
      </c>
      <c r="AB1972" s="4">
        <v>259</v>
      </c>
      <c r="AC1972" s="4">
        <v>6930</v>
      </c>
      <c r="AD1972" s="4">
        <v>6930</v>
      </c>
      <c r="AE1972" s="4">
        <v>426</v>
      </c>
      <c r="AF1972" s="4">
        <v>10500</v>
      </c>
    </row>
    <row r="1973" spans="1:32">
      <c r="A1973" s="2" t="s">
        <v>4078</v>
      </c>
      <c r="B1973" s="3">
        <v>46289</v>
      </c>
      <c r="C1973" s="36" t="s">
        <v>64</v>
      </c>
      <c r="D1973" s="2">
        <f>MONTH(ProductionData[[#This Row],[Month]])</f>
        <v>9</v>
      </c>
      <c r="E1973" s="2" t="s">
        <v>107</v>
      </c>
      <c r="F1973" s="2" t="s">
        <v>66</v>
      </c>
      <c r="G1973" s="2" t="s">
        <v>67</v>
      </c>
      <c r="H1973" s="2" t="s">
        <v>68</v>
      </c>
      <c r="I1973" s="2" t="s">
        <v>69</v>
      </c>
      <c r="J1973" s="2" t="s">
        <v>70</v>
      </c>
      <c r="K1973" s="2" t="s">
        <v>71</v>
      </c>
      <c r="L1973" s="2" t="s">
        <v>4079</v>
      </c>
      <c r="M1973" s="2" t="s">
        <v>73</v>
      </c>
      <c r="N1973" s="2" t="s">
        <v>96</v>
      </c>
      <c r="O1973" s="2">
        <v>16</v>
      </c>
      <c r="P1973" s="2">
        <v>16</v>
      </c>
      <c r="Q1973" s="4">
        <v>6970</v>
      </c>
      <c r="R1973" s="4">
        <v>6520</v>
      </c>
      <c r="S1973" s="4">
        <v>202</v>
      </c>
      <c r="T1973" s="19">
        <f>(ProductionData[[#This Row],[Rejected_Qty]])/ProductionData[[#This Row],[Produced_Qty]]</f>
        <v>3.0981595092024541E-2</v>
      </c>
      <c r="U1973" s="19">
        <f>ProductionData[[#This Row],[Produced_Qty]]/ProductionData[[#This Row],[Planned_Qty]]</f>
        <v>0.93543758967001434</v>
      </c>
      <c r="V1973" s="2" t="s">
        <v>89</v>
      </c>
      <c r="W1973" s="11">
        <v>0</v>
      </c>
      <c r="X1973" s="13">
        <f>W1973/60</f>
        <v>0</v>
      </c>
      <c r="Y1973" s="2" t="s">
        <v>90</v>
      </c>
      <c r="Z1973" s="2">
        <v>46</v>
      </c>
      <c r="AA1973" s="2">
        <f>ProductionData[[#This Row],[Rejected_Qty]]*ProductionData[[#This Row],[Unit_Cost_INR]]</f>
        <v>9292</v>
      </c>
      <c r="AB1973" s="4">
        <v>426</v>
      </c>
      <c r="AC1973" s="4">
        <v>6380</v>
      </c>
      <c r="AD1973" s="4">
        <v>6380</v>
      </c>
      <c r="AE1973" s="4">
        <v>364</v>
      </c>
      <c r="AF1973" s="4">
        <v>10500</v>
      </c>
    </row>
    <row r="1974" spans="1:32">
      <c r="A1974" s="2" t="s">
        <v>4080</v>
      </c>
      <c r="B1974" s="3">
        <v>46290</v>
      </c>
      <c r="C1974" s="36" t="s">
        <v>64</v>
      </c>
      <c r="D1974" s="2">
        <f>MONTH(ProductionData[[#This Row],[Month]])</f>
        <v>9</v>
      </c>
      <c r="E1974" s="2" t="s">
        <v>125</v>
      </c>
      <c r="F1974" s="2" t="s">
        <v>93</v>
      </c>
      <c r="G1974" s="2" t="s">
        <v>67</v>
      </c>
      <c r="H1974" s="2" t="s">
        <v>68</v>
      </c>
      <c r="I1974" s="2" t="s">
        <v>69</v>
      </c>
      <c r="J1974" s="2" t="s">
        <v>403</v>
      </c>
      <c r="K1974" s="2" t="s">
        <v>404</v>
      </c>
      <c r="L1974" s="2" t="s">
        <v>4081</v>
      </c>
      <c r="M1974" s="2" t="s">
        <v>95</v>
      </c>
      <c r="N1974" s="2" t="s">
        <v>74</v>
      </c>
      <c r="O1974" s="2">
        <v>16</v>
      </c>
      <c r="P1974" s="2">
        <v>15</v>
      </c>
      <c r="Q1974" s="4">
        <v>5930</v>
      </c>
      <c r="R1974" s="4">
        <v>5410</v>
      </c>
      <c r="S1974" s="4">
        <v>683</v>
      </c>
      <c r="T1974" s="19">
        <f>(ProductionData[[#This Row],[Rejected_Qty]])/ProductionData[[#This Row],[Produced_Qty]]</f>
        <v>0.12624768946395565</v>
      </c>
      <c r="U1974" s="19">
        <f>ProductionData[[#This Row],[Produced_Qty]]/ProductionData[[#This Row],[Planned_Qty]]</f>
        <v>0.91231028667790892</v>
      </c>
      <c r="V1974" s="2" t="s">
        <v>2284</v>
      </c>
      <c r="W1974" s="11">
        <v>0</v>
      </c>
      <c r="X1974" s="13">
        <f>W1974/60</f>
        <v>0</v>
      </c>
      <c r="Y1974" s="2" t="s">
        <v>90</v>
      </c>
      <c r="Z1974" s="2">
        <v>58</v>
      </c>
      <c r="AA1974" s="2">
        <f>ProductionData[[#This Row],[Rejected_Qty]]*ProductionData[[#This Row],[Unit_Cost_INR]]</f>
        <v>39614</v>
      </c>
      <c r="AB1974" s="4">
        <v>1560</v>
      </c>
      <c r="AC1974" s="4">
        <v>5950</v>
      </c>
      <c r="AD1974" s="4">
        <v>5950</v>
      </c>
      <c r="AE1974" s="4">
        <v>337</v>
      </c>
      <c r="AF1974" s="4">
        <v>9000</v>
      </c>
    </row>
    <row r="1975" spans="1:32">
      <c r="A1975" s="2" t="s">
        <v>4082</v>
      </c>
      <c r="B1975" s="3">
        <v>46274</v>
      </c>
      <c r="C1975" s="36" t="s">
        <v>64</v>
      </c>
      <c r="D1975" s="2">
        <f>MONTH(ProductionData[[#This Row],[Month]])</f>
        <v>9</v>
      </c>
      <c r="E1975" s="2" t="s">
        <v>79</v>
      </c>
      <c r="F1975" s="2" t="s">
        <v>80</v>
      </c>
      <c r="G1975" s="2" t="s">
        <v>67</v>
      </c>
      <c r="H1975" s="2" t="s">
        <v>68</v>
      </c>
      <c r="I1975" s="2" t="s">
        <v>69</v>
      </c>
      <c r="J1975" s="2" t="s">
        <v>70</v>
      </c>
      <c r="K1975" s="2" t="s">
        <v>71</v>
      </c>
      <c r="L1975" s="2" t="s">
        <v>4083</v>
      </c>
      <c r="M1975" s="2" t="s">
        <v>102</v>
      </c>
      <c r="N1975" s="2" t="s">
        <v>96</v>
      </c>
      <c r="O1975" s="2">
        <v>16</v>
      </c>
      <c r="P1975" s="2">
        <v>16</v>
      </c>
      <c r="Q1975" s="4">
        <v>7880</v>
      </c>
      <c r="R1975" s="4">
        <v>6870</v>
      </c>
      <c r="S1975" s="4">
        <v>204</v>
      </c>
      <c r="T1975" s="19">
        <f>(ProductionData[[#This Row],[Rejected_Qty]])/ProductionData[[#This Row],[Produced_Qty]]</f>
        <v>2.9694323144104803E-2</v>
      </c>
      <c r="U1975" s="19">
        <f>ProductionData[[#This Row],[Produced_Qty]]/ProductionData[[#This Row],[Planned_Qty]]</f>
        <v>0.87182741116751272</v>
      </c>
      <c r="V1975" s="2" t="s">
        <v>113</v>
      </c>
      <c r="W1975" s="11">
        <v>64</v>
      </c>
      <c r="X1975" s="13">
        <f>W1975/60</f>
        <v>1.0666666666666667</v>
      </c>
      <c r="Y1975" s="2" t="s">
        <v>76</v>
      </c>
      <c r="Z1975" s="2">
        <v>46</v>
      </c>
      <c r="AA1975" s="2">
        <f>ProductionData[[#This Row],[Rejected_Qty]]*ProductionData[[#This Row],[Unit_Cost_INR]]</f>
        <v>9384</v>
      </c>
      <c r="AB1975" s="4">
        <v>0</v>
      </c>
      <c r="AC1975" s="4">
        <v>6340</v>
      </c>
      <c r="AD1975" s="4">
        <v>6340</v>
      </c>
      <c r="AE1975" s="4">
        <v>326</v>
      </c>
      <c r="AF1975" s="4">
        <v>10500</v>
      </c>
    </row>
    <row r="1976" spans="1:32">
      <c r="A1976" s="2" t="s">
        <v>4084</v>
      </c>
      <c r="B1976" s="3">
        <v>46269</v>
      </c>
      <c r="C1976" s="36" t="s">
        <v>64</v>
      </c>
      <c r="D1976" s="2">
        <f>MONTH(ProductionData[[#This Row],[Month]])</f>
        <v>9</v>
      </c>
      <c r="E1976" s="2" t="s">
        <v>125</v>
      </c>
      <c r="F1976" s="2" t="s">
        <v>93</v>
      </c>
      <c r="G1976" s="2" t="s">
        <v>67</v>
      </c>
      <c r="H1976" s="2" t="s">
        <v>68</v>
      </c>
      <c r="I1976" s="2" t="s">
        <v>69</v>
      </c>
      <c r="J1976" s="2" t="s">
        <v>70</v>
      </c>
      <c r="K1976" s="2" t="s">
        <v>71</v>
      </c>
      <c r="L1976" s="2" t="s">
        <v>4085</v>
      </c>
      <c r="M1976" s="2" t="s">
        <v>95</v>
      </c>
      <c r="N1976" s="2" t="s">
        <v>74</v>
      </c>
      <c r="O1976" s="2">
        <v>16</v>
      </c>
      <c r="P1976" s="2">
        <v>12</v>
      </c>
      <c r="Q1976" s="4">
        <v>7570</v>
      </c>
      <c r="R1976" s="4">
        <v>6220</v>
      </c>
      <c r="S1976" s="4">
        <v>713</v>
      </c>
      <c r="T1976" s="19">
        <f>(ProductionData[[#This Row],[Rejected_Qty]])/ProductionData[[#This Row],[Produced_Qty]]</f>
        <v>0.11463022508038585</v>
      </c>
      <c r="U1976" s="19">
        <f>ProductionData[[#This Row],[Produced_Qty]]/ProductionData[[#This Row],[Planned_Qty]]</f>
        <v>0.82166446499339496</v>
      </c>
      <c r="V1976" s="2" t="s">
        <v>2284</v>
      </c>
      <c r="W1976" s="11">
        <v>0</v>
      </c>
      <c r="X1976" s="13">
        <f>W1976/60</f>
        <v>0</v>
      </c>
      <c r="Y1976" s="2" t="s">
        <v>90</v>
      </c>
      <c r="Z1976" s="2">
        <v>46</v>
      </c>
      <c r="AA1976" s="2">
        <f>ProductionData[[#This Row],[Rejected_Qty]]*ProductionData[[#This Row],[Unit_Cost_INR]]</f>
        <v>32798</v>
      </c>
      <c r="AB1976" s="4">
        <v>2568</v>
      </c>
      <c r="AC1976" s="4">
        <v>7810</v>
      </c>
      <c r="AD1976" s="4">
        <v>7810</v>
      </c>
      <c r="AE1976" s="4">
        <v>265</v>
      </c>
      <c r="AF1976" s="4">
        <v>10500</v>
      </c>
    </row>
    <row r="1977" spans="1:32">
      <c r="A1977" s="2" t="s">
        <v>4086</v>
      </c>
      <c r="B1977" s="3">
        <v>46287</v>
      </c>
      <c r="C1977" s="36" t="s">
        <v>64</v>
      </c>
      <c r="D1977" s="2">
        <f>MONTH(ProductionData[[#This Row],[Month]])</f>
        <v>9</v>
      </c>
      <c r="E1977" s="2" t="s">
        <v>92</v>
      </c>
      <c r="F1977" s="2" t="s">
        <v>93</v>
      </c>
      <c r="G1977" s="2" t="s">
        <v>67</v>
      </c>
      <c r="H1977" s="2" t="s">
        <v>68</v>
      </c>
      <c r="I1977" s="2" t="s">
        <v>69</v>
      </c>
      <c r="J1977" s="2" t="s">
        <v>70</v>
      </c>
      <c r="K1977" s="2" t="s">
        <v>71</v>
      </c>
      <c r="L1977" s="2" t="s">
        <v>4087</v>
      </c>
      <c r="M1977" s="2" t="s">
        <v>95</v>
      </c>
      <c r="N1977" s="2" t="s">
        <v>74</v>
      </c>
      <c r="O1977" s="2">
        <v>16</v>
      </c>
      <c r="P1977" s="2">
        <v>13</v>
      </c>
      <c r="Q1977" s="4">
        <v>7540</v>
      </c>
      <c r="R1977" s="4">
        <v>6790</v>
      </c>
      <c r="S1977" s="4">
        <v>594</v>
      </c>
      <c r="T1977" s="19">
        <f>(ProductionData[[#This Row],[Rejected_Qty]])/ProductionData[[#This Row],[Produced_Qty]]</f>
        <v>8.7481590574374074E-2</v>
      </c>
      <c r="U1977" s="19">
        <f>ProductionData[[#This Row],[Produced_Qty]]/ProductionData[[#This Row],[Planned_Qty]]</f>
        <v>0.90053050397877987</v>
      </c>
      <c r="V1977" s="2" t="s">
        <v>2284</v>
      </c>
      <c r="W1977" s="11">
        <v>0</v>
      </c>
      <c r="X1977" s="13">
        <f>W1977/60</f>
        <v>0</v>
      </c>
      <c r="Y1977" s="2" t="s">
        <v>90</v>
      </c>
      <c r="Z1977" s="2">
        <v>46</v>
      </c>
      <c r="AA1977" s="2">
        <f>ProductionData[[#This Row],[Rejected_Qty]]*ProductionData[[#This Row],[Unit_Cost_INR]]</f>
        <v>27324</v>
      </c>
      <c r="AB1977" s="4">
        <v>3</v>
      </c>
      <c r="AC1977" s="4">
        <v>5940</v>
      </c>
      <c r="AD1977" s="4">
        <v>5940</v>
      </c>
      <c r="AE1977" s="4">
        <v>259</v>
      </c>
      <c r="AF1977" s="4">
        <v>10500</v>
      </c>
    </row>
    <row r="1978" spans="1:32">
      <c r="A1978" s="2" t="s">
        <v>4088</v>
      </c>
      <c r="B1978" s="3">
        <v>46291</v>
      </c>
      <c r="C1978" s="36" t="s">
        <v>64</v>
      </c>
      <c r="D1978" s="2">
        <f>MONTH(ProductionData[[#This Row],[Month]])</f>
        <v>9</v>
      </c>
      <c r="E1978" s="2" t="s">
        <v>65</v>
      </c>
      <c r="F1978" s="2" t="s">
        <v>80</v>
      </c>
      <c r="G1978" s="2" t="s">
        <v>67</v>
      </c>
      <c r="H1978" s="2" t="s">
        <v>68</v>
      </c>
      <c r="I1978" s="2" t="s">
        <v>69</v>
      </c>
      <c r="J1978" s="2" t="s">
        <v>403</v>
      </c>
      <c r="K1978" s="2" t="s">
        <v>404</v>
      </c>
      <c r="L1978" s="2" t="s">
        <v>4089</v>
      </c>
      <c r="M1978" s="2" t="s">
        <v>102</v>
      </c>
      <c r="N1978" s="2" t="s">
        <v>96</v>
      </c>
      <c r="O1978" s="2">
        <v>16</v>
      </c>
      <c r="P1978" s="2">
        <v>14</v>
      </c>
      <c r="Q1978" s="4">
        <v>6560</v>
      </c>
      <c r="R1978" s="4">
        <v>5900</v>
      </c>
      <c r="S1978" s="4">
        <v>81</v>
      </c>
      <c r="T1978" s="19">
        <f>(ProductionData[[#This Row],[Rejected_Qty]])/ProductionData[[#This Row],[Produced_Qty]]</f>
        <v>1.3728813559322034E-2</v>
      </c>
      <c r="U1978" s="19">
        <f>ProductionData[[#This Row],[Produced_Qty]]/ProductionData[[#This Row],[Planned_Qty]]</f>
        <v>0.89939024390243905</v>
      </c>
      <c r="V1978" s="2" t="s">
        <v>109</v>
      </c>
      <c r="W1978" s="11">
        <v>64</v>
      </c>
      <c r="X1978" s="13">
        <f>W1978/60</f>
        <v>1.0666666666666667</v>
      </c>
      <c r="Y1978" s="2" t="s">
        <v>182</v>
      </c>
      <c r="Z1978" s="2">
        <v>58</v>
      </c>
      <c r="AA1978" s="2">
        <f>ProductionData[[#This Row],[Rejected_Qty]]*ProductionData[[#This Row],[Unit_Cost_INR]]</f>
        <v>4698</v>
      </c>
      <c r="AB1978" s="4">
        <v>337</v>
      </c>
      <c r="AC1978" s="4">
        <v>5990</v>
      </c>
      <c r="AD1978" s="4">
        <v>5990</v>
      </c>
      <c r="AE1978" s="4">
        <v>166</v>
      </c>
      <c r="AF1978" s="4">
        <v>9000</v>
      </c>
    </row>
    <row r="1979" spans="1:32">
      <c r="A1979" s="2" t="s">
        <v>4090</v>
      </c>
      <c r="B1979" s="3">
        <v>46271</v>
      </c>
      <c r="C1979" s="36" t="s">
        <v>64</v>
      </c>
      <c r="D1979" s="2">
        <f>MONTH(ProductionData[[#This Row],[Month]])</f>
        <v>9</v>
      </c>
      <c r="E1979" s="2" t="s">
        <v>186</v>
      </c>
      <c r="F1979" s="2" t="s">
        <v>66</v>
      </c>
      <c r="G1979" s="2" t="s">
        <v>67</v>
      </c>
      <c r="H1979" s="2" t="s">
        <v>68</v>
      </c>
      <c r="I1979" s="2" t="s">
        <v>69</v>
      </c>
      <c r="J1979" s="2" t="s">
        <v>70</v>
      </c>
      <c r="K1979" s="2" t="s">
        <v>71</v>
      </c>
      <c r="L1979" s="2" t="s">
        <v>4091</v>
      </c>
      <c r="M1979" s="2" t="s">
        <v>73</v>
      </c>
      <c r="N1979" s="2" t="s">
        <v>88</v>
      </c>
      <c r="O1979" s="2">
        <v>16</v>
      </c>
      <c r="P1979" s="2">
        <v>15</v>
      </c>
      <c r="Q1979" s="4">
        <v>4900</v>
      </c>
      <c r="R1979" s="4">
        <v>4840</v>
      </c>
      <c r="S1979" s="4">
        <v>114</v>
      </c>
      <c r="T1979" s="19">
        <f>(ProductionData[[#This Row],[Rejected_Qty]])/ProductionData[[#This Row],[Produced_Qty]]</f>
        <v>2.3553719008264463E-2</v>
      </c>
      <c r="U1979" s="19">
        <f>ProductionData[[#This Row],[Produced_Qty]]/ProductionData[[#This Row],[Planned_Qty]]</f>
        <v>0.98775510204081629</v>
      </c>
      <c r="V1979" s="2" t="s">
        <v>113</v>
      </c>
      <c r="W1979" s="11">
        <v>0</v>
      </c>
      <c r="X1979" s="13">
        <f>W1979/60</f>
        <v>0</v>
      </c>
      <c r="Y1979" s="2" t="s">
        <v>90</v>
      </c>
      <c r="Z1979" s="2">
        <v>46</v>
      </c>
      <c r="AA1979" s="2">
        <f>ProductionData[[#This Row],[Rejected_Qty]]*ProductionData[[#This Row],[Unit_Cost_INR]]</f>
        <v>5244</v>
      </c>
      <c r="AB1979" s="4">
        <v>0</v>
      </c>
      <c r="AC1979" s="4">
        <v>4590</v>
      </c>
      <c r="AD1979" s="4">
        <v>4590</v>
      </c>
      <c r="AE1979" s="4">
        <v>136</v>
      </c>
      <c r="AF1979" s="4">
        <v>10500</v>
      </c>
    </row>
    <row r="1980" spans="1:32">
      <c r="A1980" s="2" t="s">
        <v>4092</v>
      </c>
      <c r="B1980" s="3">
        <v>46289</v>
      </c>
      <c r="C1980" s="36" t="s">
        <v>64</v>
      </c>
      <c r="D1980" s="2">
        <f>MONTH(ProductionData[[#This Row],[Month]])</f>
        <v>9</v>
      </c>
      <c r="E1980" s="2" t="s">
        <v>107</v>
      </c>
      <c r="F1980" s="2" t="s">
        <v>93</v>
      </c>
      <c r="G1980" s="2" t="s">
        <v>67</v>
      </c>
      <c r="H1980" s="2" t="s">
        <v>68</v>
      </c>
      <c r="I1980" s="2" t="s">
        <v>69</v>
      </c>
      <c r="J1980" s="2" t="s">
        <v>70</v>
      </c>
      <c r="K1980" s="2" t="s">
        <v>71</v>
      </c>
      <c r="L1980" s="2" t="s">
        <v>4093</v>
      </c>
      <c r="M1980" s="2" t="s">
        <v>95</v>
      </c>
      <c r="N1980" s="2" t="s">
        <v>74</v>
      </c>
      <c r="O1980" s="2">
        <v>16</v>
      </c>
      <c r="P1980" s="2">
        <v>15</v>
      </c>
      <c r="Q1980" s="4">
        <v>7180</v>
      </c>
      <c r="R1980" s="4">
        <v>7040</v>
      </c>
      <c r="S1980" s="4">
        <v>942</v>
      </c>
      <c r="T1980" s="19">
        <f>(ProductionData[[#This Row],[Rejected_Qty]])/ProductionData[[#This Row],[Produced_Qty]]</f>
        <v>0.13380681818181819</v>
      </c>
      <c r="U1980" s="19">
        <f>ProductionData[[#This Row],[Produced_Qty]]/ProductionData[[#This Row],[Planned_Qty]]</f>
        <v>0.98050139275766013</v>
      </c>
      <c r="V1980" s="2" t="s">
        <v>2284</v>
      </c>
      <c r="W1980" s="11">
        <v>0</v>
      </c>
      <c r="X1980" s="13">
        <f>W1980/60</f>
        <v>0</v>
      </c>
      <c r="Y1980" s="2" t="s">
        <v>90</v>
      </c>
      <c r="Z1980" s="2">
        <v>46</v>
      </c>
      <c r="AA1980" s="2">
        <f>ProductionData[[#This Row],[Rejected_Qty]]*ProductionData[[#This Row],[Unit_Cost_INR]]</f>
        <v>43332</v>
      </c>
      <c r="AB1980" s="4">
        <v>364</v>
      </c>
      <c r="AC1980" s="4">
        <v>6410</v>
      </c>
      <c r="AD1980" s="4">
        <v>6410</v>
      </c>
      <c r="AE1980" s="4">
        <v>52</v>
      </c>
      <c r="AF1980" s="4">
        <v>10500</v>
      </c>
    </row>
    <row r="1981" spans="1:32">
      <c r="A1981" s="2" t="s">
        <v>4094</v>
      </c>
      <c r="B1981" s="3">
        <v>46294</v>
      </c>
      <c r="C1981" s="36" t="s">
        <v>64</v>
      </c>
      <c r="D1981" s="2">
        <f>MONTH(ProductionData[[#This Row],[Month]])</f>
        <v>9</v>
      </c>
      <c r="E1981" s="2" t="s">
        <v>92</v>
      </c>
      <c r="F1981" s="2" t="s">
        <v>93</v>
      </c>
      <c r="G1981" s="2" t="s">
        <v>67</v>
      </c>
      <c r="H1981" s="2" t="s">
        <v>68</v>
      </c>
      <c r="I1981" s="2" t="s">
        <v>69</v>
      </c>
      <c r="J1981" s="2" t="s">
        <v>403</v>
      </c>
      <c r="K1981" s="2" t="s">
        <v>404</v>
      </c>
      <c r="L1981" s="2" t="s">
        <v>4095</v>
      </c>
      <c r="M1981" s="2" t="s">
        <v>95</v>
      </c>
      <c r="N1981" s="2" t="s">
        <v>96</v>
      </c>
      <c r="O1981" s="2">
        <v>16</v>
      </c>
      <c r="P1981" s="2">
        <v>15</v>
      </c>
      <c r="Q1981" s="4">
        <v>6370</v>
      </c>
      <c r="R1981" s="4">
        <v>5970</v>
      </c>
      <c r="S1981" s="4">
        <v>240</v>
      </c>
      <c r="T1981" s="19">
        <f>(ProductionData[[#This Row],[Rejected_Qty]])/ProductionData[[#This Row],[Produced_Qty]]</f>
        <v>4.0201005025125629E-2</v>
      </c>
      <c r="U1981" s="19">
        <f>ProductionData[[#This Row],[Produced_Qty]]/ProductionData[[#This Row],[Planned_Qty]]</f>
        <v>0.93720565149136581</v>
      </c>
      <c r="V1981" s="2" t="s">
        <v>75</v>
      </c>
      <c r="W1981" s="11">
        <v>0</v>
      </c>
      <c r="X1981" s="13">
        <f>W1981/60</f>
        <v>0</v>
      </c>
      <c r="Y1981" s="2" t="s">
        <v>90</v>
      </c>
      <c r="Z1981" s="2">
        <v>58</v>
      </c>
      <c r="AA1981" s="2">
        <f>ProductionData[[#This Row],[Rejected_Qty]]*ProductionData[[#This Row],[Unit_Cost_INR]]</f>
        <v>13920</v>
      </c>
      <c r="AB1981" s="4">
        <v>0</v>
      </c>
      <c r="AC1981" s="4">
        <v>5700</v>
      </c>
      <c r="AD1981" s="4">
        <v>5700</v>
      </c>
      <c r="AE1981" s="4">
        <v>30</v>
      </c>
      <c r="AF1981" s="4">
        <v>9000</v>
      </c>
    </row>
    <row r="1982" spans="1:32">
      <c r="A1982" s="2" t="s">
        <v>4096</v>
      </c>
      <c r="B1982" s="3">
        <v>46286</v>
      </c>
      <c r="C1982" s="36" t="s">
        <v>64</v>
      </c>
      <c r="D1982" s="2">
        <f>MONTH(ProductionData[[#This Row],[Month]])</f>
        <v>9</v>
      </c>
      <c r="E1982" s="2" t="s">
        <v>116</v>
      </c>
      <c r="F1982" s="2" t="s">
        <v>80</v>
      </c>
      <c r="G1982" s="2" t="s">
        <v>67</v>
      </c>
      <c r="H1982" s="2" t="s">
        <v>68</v>
      </c>
      <c r="I1982" s="2" t="s">
        <v>69</v>
      </c>
      <c r="J1982" s="2" t="s">
        <v>70</v>
      </c>
      <c r="K1982" s="2" t="s">
        <v>71</v>
      </c>
      <c r="L1982" s="2" t="s">
        <v>4097</v>
      </c>
      <c r="M1982" s="2" t="s">
        <v>102</v>
      </c>
      <c r="N1982" s="2" t="s">
        <v>96</v>
      </c>
      <c r="O1982" s="2">
        <v>16</v>
      </c>
      <c r="P1982" s="2">
        <v>16</v>
      </c>
      <c r="Q1982" s="4">
        <v>7050</v>
      </c>
      <c r="R1982" s="4">
        <v>6790</v>
      </c>
      <c r="S1982" s="4">
        <v>167</v>
      </c>
      <c r="T1982" s="19">
        <f>(ProductionData[[#This Row],[Rejected_Qty]])/ProductionData[[#This Row],[Produced_Qty]]</f>
        <v>2.4594992636229749E-2</v>
      </c>
      <c r="U1982" s="19">
        <f>ProductionData[[#This Row],[Produced_Qty]]/ProductionData[[#This Row],[Planned_Qty]]</f>
        <v>0.96312056737588647</v>
      </c>
      <c r="V1982" s="2" t="s">
        <v>89</v>
      </c>
      <c r="W1982" s="11">
        <v>0</v>
      </c>
      <c r="X1982" s="13">
        <f>W1982/60</f>
        <v>0</v>
      </c>
      <c r="Y1982" s="2" t="s">
        <v>90</v>
      </c>
      <c r="Z1982" s="2">
        <v>46</v>
      </c>
      <c r="AA1982" s="2">
        <f>ProductionData[[#This Row],[Rejected_Qty]]*ProductionData[[#This Row],[Unit_Cost_INR]]</f>
        <v>7682</v>
      </c>
      <c r="AB1982" s="4">
        <v>0</v>
      </c>
      <c r="AC1982" s="4">
        <v>6620</v>
      </c>
      <c r="AD1982" s="4">
        <v>6620</v>
      </c>
      <c r="AE1982" s="4">
        <v>3</v>
      </c>
      <c r="AF1982" s="4">
        <v>10500</v>
      </c>
    </row>
    <row r="1983" spans="1:32">
      <c r="A1983" s="2" t="s">
        <v>4098</v>
      </c>
      <c r="B1983" s="3">
        <v>46270</v>
      </c>
      <c r="C1983" s="36" t="s">
        <v>64</v>
      </c>
      <c r="D1983" s="2">
        <f>MONTH(ProductionData[[#This Row],[Month]])</f>
        <v>9</v>
      </c>
      <c r="E1983" s="2" t="s">
        <v>65</v>
      </c>
      <c r="F1983" s="2" t="s">
        <v>80</v>
      </c>
      <c r="G1983" s="2" t="s">
        <v>67</v>
      </c>
      <c r="H1983" s="2" t="s">
        <v>68</v>
      </c>
      <c r="I1983" s="2" t="s">
        <v>69</v>
      </c>
      <c r="J1983" s="2" t="s">
        <v>70</v>
      </c>
      <c r="K1983" s="2" t="s">
        <v>71</v>
      </c>
      <c r="L1983" s="2" t="s">
        <v>4099</v>
      </c>
      <c r="M1983" s="2" t="s">
        <v>102</v>
      </c>
      <c r="N1983" s="2" t="s">
        <v>74</v>
      </c>
      <c r="O1983" s="2">
        <v>16</v>
      </c>
      <c r="P1983" s="2">
        <v>15</v>
      </c>
      <c r="Q1983" s="4">
        <v>8140</v>
      </c>
      <c r="R1983" s="4">
        <v>7810</v>
      </c>
      <c r="S1983" s="4">
        <v>848</v>
      </c>
      <c r="T1983" s="19">
        <f>(ProductionData[[#This Row],[Rejected_Qty]])/ProductionData[[#This Row],[Produced_Qty]]</f>
        <v>0.10857874519846351</v>
      </c>
      <c r="U1983" s="19">
        <f>ProductionData[[#This Row],[Produced_Qty]]/ProductionData[[#This Row],[Planned_Qty]]</f>
        <v>0.95945945945945943</v>
      </c>
      <c r="V1983" s="2" t="s">
        <v>2284</v>
      </c>
      <c r="W1983" s="11">
        <v>0</v>
      </c>
      <c r="X1983" s="13">
        <f>W1983/60</f>
        <v>0</v>
      </c>
      <c r="Y1983" s="2" t="s">
        <v>90</v>
      </c>
      <c r="Z1983" s="2">
        <v>46</v>
      </c>
      <c r="AA1983" s="2">
        <f>ProductionData[[#This Row],[Rejected_Qty]]*ProductionData[[#This Row],[Unit_Cost_INR]]</f>
        <v>39008</v>
      </c>
      <c r="AB1983" s="4">
        <v>0</v>
      </c>
      <c r="AC1983" s="4">
        <v>7590</v>
      </c>
      <c r="AD1983" s="4">
        <v>6962</v>
      </c>
      <c r="AE1983" s="4">
        <v>0</v>
      </c>
      <c r="AF1983" s="4">
        <v>10500</v>
      </c>
    </row>
    <row r="1984" spans="1:32">
      <c r="A1984" s="2" t="s">
        <v>4100</v>
      </c>
      <c r="B1984" s="3">
        <v>46272</v>
      </c>
      <c r="C1984" s="36" t="s">
        <v>64</v>
      </c>
      <c r="D1984" s="2">
        <f>MONTH(ProductionData[[#This Row],[Month]])</f>
        <v>9</v>
      </c>
      <c r="E1984" s="2" t="s">
        <v>116</v>
      </c>
      <c r="F1984" s="2" t="s">
        <v>93</v>
      </c>
      <c r="G1984" s="2" t="s">
        <v>67</v>
      </c>
      <c r="H1984" s="2" t="s">
        <v>68</v>
      </c>
      <c r="I1984" s="2" t="s">
        <v>69</v>
      </c>
      <c r="J1984" s="2" t="s">
        <v>70</v>
      </c>
      <c r="K1984" s="2" t="s">
        <v>71</v>
      </c>
      <c r="L1984" s="2" t="s">
        <v>4101</v>
      </c>
      <c r="M1984" s="2" t="s">
        <v>133</v>
      </c>
      <c r="N1984" s="2" t="s">
        <v>74</v>
      </c>
      <c r="O1984" s="2">
        <v>16</v>
      </c>
      <c r="P1984" s="2">
        <v>14</v>
      </c>
      <c r="Q1984" s="4">
        <v>7520</v>
      </c>
      <c r="R1984" s="4">
        <v>7010</v>
      </c>
      <c r="S1984" s="4">
        <v>908</v>
      </c>
      <c r="T1984" s="19">
        <f>(ProductionData[[#This Row],[Rejected_Qty]])/ProductionData[[#This Row],[Produced_Qty]]</f>
        <v>0.12952924393723253</v>
      </c>
      <c r="U1984" s="19">
        <f>ProductionData[[#This Row],[Produced_Qty]]/ProductionData[[#This Row],[Planned_Qty]]</f>
        <v>0.93218085106382975</v>
      </c>
      <c r="V1984" s="2" t="s">
        <v>2284</v>
      </c>
      <c r="W1984" s="11">
        <v>0</v>
      </c>
      <c r="X1984" s="13">
        <f>W1984/60</f>
        <v>0</v>
      </c>
      <c r="Y1984" s="2" t="s">
        <v>90</v>
      </c>
      <c r="Z1984" s="2">
        <v>46</v>
      </c>
      <c r="AA1984" s="2">
        <f>ProductionData[[#This Row],[Rejected_Qty]]*ProductionData[[#This Row],[Unit_Cost_INR]]</f>
        <v>41768</v>
      </c>
      <c r="AB1984" s="4">
        <v>136</v>
      </c>
      <c r="AC1984" s="4">
        <v>7320</v>
      </c>
      <c r="AD1984" s="4">
        <v>6238</v>
      </c>
      <c r="AE1984" s="4">
        <v>0</v>
      </c>
      <c r="AF1984" s="4">
        <v>10500</v>
      </c>
    </row>
    <row r="1985" spans="1:32">
      <c r="A1985" s="2" t="s">
        <v>4102</v>
      </c>
      <c r="B1985" s="3">
        <v>46273</v>
      </c>
      <c r="C1985" s="36" t="s">
        <v>64</v>
      </c>
      <c r="D1985" s="2">
        <f>MONTH(ProductionData[[#This Row],[Month]])</f>
        <v>9</v>
      </c>
      <c r="E1985" s="2" t="s">
        <v>92</v>
      </c>
      <c r="F1985" s="2" t="s">
        <v>80</v>
      </c>
      <c r="G1985" s="2" t="s">
        <v>67</v>
      </c>
      <c r="H1985" s="2" t="s">
        <v>68</v>
      </c>
      <c r="I1985" s="2" t="s">
        <v>69</v>
      </c>
      <c r="J1985" s="2" t="s">
        <v>70</v>
      </c>
      <c r="K1985" s="2" t="s">
        <v>71</v>
      </c>
      <c r="L1985" s="2" t="s">
        <v>4103</v>
      </c>
      <c r="M1985" s="2" t="s">
        <v>87</v>
      </c>
      <c r="N1985" s="2" t="s">
        <v>96</v>
      </c>
      <c r="O1985" s="2">
        <v>16</v>
      </c>
      <c r="P1985" s="2">
        <v>15</v>
      </c>
      <c r="Q1985" s="4">
        <v>7250</v>
      </c>
      <c r="R1985" s="4">
        <v>6850</v>
      </c>
      <c r="S1985" s="4">
        <v>98</v>
      </c>
      <c r="T1985" s="19">
        <f>(ProductionData[[#This Row],[Rejected_Qty]])/ProductionData[[#This Row],[Produced_Qty]]</f>
        <v>1.4306569343065694E-2</v>
      </c>
      <c r="U1985" s="19">
        <f>ProductionData[[#This Row],[Produced_Qty]]/ProductionData[[#This Row],[Planned_Qty]]</f>
        <v>0.94482758620689655</v>
      </c>
      <c r="V1985" s="2" t="s">
        <v>109</v>
      </c>
      <c r="W1985" s="11">
        <v>70</v>
      </c>
      <c r="X1985" s="13">
        <f>W1985/60</f>
        <v>1.1666666666666667</v>
      </c>
      <c r="Y1985" s="2" t="s">
        <v>110</v>
      </c>
      <c r="Z1985" s="2">
        <v>46</v>
      </c>
      <c r="AA1985" s="2">
        <f>ProductionData[[#This Row],[Rejected_Qty]]*ProductionData[[#This Row],[Unit_Cost_INR]]</f>
        <v>4508</v>
      </c>
      <c r="AB1985" s="4">
        <v>0</v>
      </c>
      <c r="AC1985" s="4">
        <v>7550</v>
      </c>
      <c r="AD1985" s="4">
        <v>6752</v>
      </c>
      <c r="AE1985" s="4">
        <v>0</v>
      </c>
      <c r="AF1985" s="4">
        <v>10500</v>
      </c>
    </row>
    <row r="1986" spans="1:32">
      <c r="A1986" s="2" t="s">
        <v>4104</v>
      </c>
      <c r="B1986" s="3">
        <v>46274</v>
      </c>
      <c r="C1986" s="36" t="s">
        <v>64</v>
      </c>
      <c r="D1986" s="2">
        <f>MONTH(ProductionData[[#This Row],[Month]])</f>
        <v>9</v>
      </c>
      <c r="E1986" s="2" t="s">
        <v>79</v>
      </c>
      <c r="F1986" s="2" t="s">
        <v>66</v>
      </c>
      <c r="G1986" s="2" t="s">
        <v>67</v>
      </c>
      <c r="H1986" s="2" t="s">
        <v>68</v>
      </c>
      <c r="I1986" s="2" t="s">
        <v>69</v>
      </c>
      <c r="J1986" s="2" t="s">
        <v>70</v>
      </c>
      <c r="K1986" s="2" t="s">
        <v>71</v>
      </c>
      <c r="L1986" s="2" t="s">
        <v>4105</v>
      </c>
      <c r="M1986" s="2" t="s">
        <v>99</v>
      </c>
      <c r="N1986" s="2" t="s">
        <v>96</v>
      </c>
      <c r="O1986" s="2">
        <v>16</v>
      </c>
      <c r="P1986" s="2">
        <v>16</v>
      </c>
      <c r="Q1986" s="4">
        <v>7370</v>
      </c>
      <c r="R1986" s="4">
        <v>7080</v>
      </c>
      <c r="S1986" s="4">
        <v>190</v>
      </c>
      <c r="T1986" s="19">
        <f>(ProductionData[[#This Row],[Rejected_Qty]])/ProductionData[[#This Row],[Produced_Qty]]</f>
        <v>2.6836158192090395E-2</v>
      </c>
      <c r="U1986" s="19">
        <f>ProductionData[[#This Row],[Produced_Qty]]/ProductionData[[#This Row],[Planned_Qty]]</f>
        <v>0.96065128900949792</v>
      </c>
      <c r="V1986" s="2" t="s">
        <v>103</v>
      </c>
      <c r="W1986" s="11">
        <v>0</v>
      </c>
      <c r="X1986" s="13">
        <f>W1986/60</f>
        <v>0</v>
      </c>
      <c r="Y1986" s="2" t="s">
        <v>90</v>
      </c>
      <c r="Z1986" s="2">
        <v>46</v>
      </c>
      <c r="AA1986" s="2">
        <f>ProductionData[[#This Row],[Rejected_Qty]]*ProductionData[[#This Row],[Unit_Cost_INR]]</f>
        <v>8740</v>
      </c>
      <c r="AB1986" s="4">
        <v>0</v>
      </c>
      <c r="AC1986" s="4">
        <v>7150</v>
      </c>
      <c r="AD1986" s="4">
        <v>6890</v>
      </c>
      <c r="AE1986" s="4">
        <v>0</v>
      </c>
      <c r="AF1986" s="4">
        <v>10500</v>
      </c>
    </row>
    <row r="1987" spans="1:32">
      <c r="A1987" s="2" t="s">
        <v>4106</v>
      </c>
      <c r="B1987" s="3">
        <v>46276</v>
      </c>
      <c r="C1987" s="36" t="s">
        <v>64</v>
      </c>
      <c r="D1987" s="2">
        <f>MONTH(ProductionData[[#This Row],[Month]])</f>
        <v>9</v>
      </c>
      <c r="E1987" s="2" t="s">
        <v>125</v>
      </c>
      <c r="F1987" s="2" t="s">
        <v>66</v>
      </c>
      <c r="G1987" s="2" t="s">
        <v>67</v>
      </c>
      <c r="H1987" s="2" t="s">
        <v>68</v>
      </c>
      <c r="I1987" s="2" t="s">
        <v>69</v>
      </c>
      <c r="J1987" s="2" t="s">
        <v>70</v>
      </c>
      <c r="K1987" s="2" t="s">
        <v>71</v>
      </c>
      <c r="L1987" s="2" t="s">
        <v>4107</v>
      </c>
      <c r="M1987" s="2" t="s">
        <v>99</v>
      </c>
      <c r="N1987" s="2" t="s">
        <v>74</v>
      </c>
      <c r="O1987" s="2">
        <v>16</v>
      </c>
      <c r="P1987" s="2">
        <v>15</v>
      </c>
      <c r="Q1987" s="4">
        <v>7970</v>
      </c>
      <c r="R1987" s="4">
        <v>7170</v>
      </c>
      <c r="S1987" s="4">
        <v>471</v>
      </c>
      <c r="T1987" s="19">
        <f>(ProductionData[[#This Row],[Rejected_Qty]])/ProductionData[[#This Row],[Produced_Qty]]</f>
        <v>6.5690376569037659E-2</v>
      </c>
      <c r="U1987" s="19">
        <f>ProductionData[[#This Row],[Produced_Qty]]/ProductionData[[#This Row],[Planned_Qty]]</f>
        <v>0.89962358845671264</v>
      </c>
      <c r="V1987" s="2" t="s">
        <v>2284</v>
      </c>
      <c r="W1987" s="11">
        <v>0</v>
      </c>
      <c r="X1987" s="13">
        <f>W1987/60</f>
        <v>0</v>
      </c>
      <c r="Y1987" s="2" t="s">
        <v>90</v>
      </c>
      <c r="Z1987" s="2">
        <v>46</v>
      </c>
      <c r="AA1987" s="2">
        <f>ProductionData[[#This Row],[Rejected_Qty]]*ProductionData[[#This Row],[Unit_Cost_INR]]</f>
        <v>21666</v>
      </c>
      <c r="AB1987" s="4">
        <v>326</v>
      </c>
      <c r="AC1987" s="4">
        <v>7600</v>
      </c>
      <c r="AD1987" s="4">
        <v>7025</v>
      </c>
      <c r="AE1987" s="4">
        <v>0</v>
      </c>
      <c r="AF1987" s="4">
        <v>10500</v>
      </c>
    </row>
    <row r="1988" spans="1:32">
      <c r="A1988" s="2" t="s">
        <v>4108</v>
      </c>
      <c r="B1988" s="3">
        <v>46276</v>
      </c>
      <c r="C1988" s="36" t="s">
        <v>64</v>
      </c>
      <c r="D1988" s="2">
        <f>MONTH(ProductionData[[#This Row],[Month]])</f>
        <v>9</v>
      </c>
      <c r="E1988" s="2" t="s">
        <v>125</v>
      </c>
      <c r="F1988" s="2" t="s">
        <v>80</v>
      </c>
      <c r="G1988" s="2" t="s">
        <v>67</v>
      </c>
      <c r="H1988" s="2" t="s">
        <v>68</v>
      </c>
      <c r="I1988" s="2" t="s">
        <v>69</v>
      </c>
      <c r="J1988" s="2" t="s">
        <v>70</v>
      </c>
      <c r="K1988" s="2" t="s">
        <v>71</v>
      </c>
      <c r="L1988" s="2" t="s">
        <v>4109</v>
      </c>
      <c r="M1988" s="2" t="s">
        <v>87</v>
      </c>
      <c r="N1988" s="2" t="s">
        <v>88</v>
      </c>
      <c r="O1988" s="2">
        <v>16</v>
      </c>
      <c r="P1988" s="2">
        <v>15</v>
      </c>
      <c r="Q1988" s="4">
        <v>7200</v>
      </c>
      <c r="R1988" s="4">
        <v>6570</v>
      </c>
      <c r="S1988" s="4">
        <v>165</v>
      </c>
      <c r="T1988" s="19">
        <f>(ProductionData[[#This Row],[Rejected_Qty]])/ProductionData[[#This Row],[Produced_Qty]]</f>
        <v>2.5114155251141551E-2</v>
      </c>
      <c r="U1988" s="19">
        <f>ProductionData[[#This Row],[Produced_Qty]]/ProductionData[[#This Row],[Planned_Qty]]</f>
        <v>0.91249999999999998</v>
      </c>
      <c r="V1988" s="2" t="s">
        <v>109</v>
      </c>
      <c r="W1988" s="11">
        <v>0</v>
      </c>
      <c r="X1988" s="13">
        <f>W1988/60</f>
        <v>0</v>
      </c>
      <c r="Y1988" s="2" t="s">
        <v>90</v>
      </c>
      <c r="Z1988" s="2">
        <v>46</v>
      </c>
      <c r="AA1988" s="2">
        <f>ProductionData[[#This Row],[Rejected_Qty]]*ProductionData[[#This Row],[Unit_Cost_INR]]</f>
        <v>7590</v>
      </c>
      <c r="AB1988" s="4">
        <v>0</v>
      </c>
      <c r="AC1988" s="4">
        <v>6950</v>
      </c>
      <c r="AD1988" s="4">
        <v>6405</v>
      </c>
      <c r="AE1988" s="4">
        <v>0</v>
      </c>
      <c r="AF1988" s="4">
        <v>10500</v>
      </c>
    </row>
    <row r="1989" spans="1:32">
      <c r="A1989" s="2" t="s">
        <v>4110</v>
      </c>
      <c r="B1989" s="3">
        <v>46278</v>
      </c>
      <c r="C1989" s="36" t="s">
        <v>64</v>
      </c>
      <c r="D1989" s="2">
        <f>MONTH(ProductionData[[#This Row],[Month]])</f>
        <v>9</v>
      </c>
      <c r="E1989" s="2" t="s">
        <v>186</v>
      </c>
      <c r="F1989" s="2" t="s">
        <v>80</v>
      </c>
      <c r="G1989" s="2" t="s">
        <v>67</v>
      </c>
      <c r="H1989" s="2" t="s">
        <v>68</v>
      </c>
      <c r="I1989" s="2" t="s">
        <v>69</v>
      </c>
      <c r="J1989" s="2" t="s">
        <v>70</v>
      </c>
      <c r="K1989" s="2" t="s">
        <v>71</v>
      </c>
      <c r="L1989" s="2" t="s">
        <v>4111</v>
      </c>
      <c r="M1989" s="2" t="s">
        <v>102</v>
      </c>
      <c r="N1989" s="2" t="s">
        <v>74</v>
      </c>
      <c r="O1989" s="2">
        <v>16</v>
      </c>
      <c r="P1989" s="2">
        <v>13</v>
      </c>
      <c r="Q1989" s="4">
        <v>5240</v>
      </c>
      <c r="R1989" s="4">
        <v>4310</v>
      </c>
      <c r="S1989" s="4">
        <v>676</v>
      </c>
      <c r="T1989" s="19">
        <f>(ProductionData[[#This Row],[Rejected_Qty]])/ProductionData[[#This Row],[Produced_Qty]]</f>
        <v>0.15684454756380511</v>
      </c>
      <c r="U1989" s="19">
        <f>ProductionData[[#This Row],[Produced_Qty]]/ProductionData[[#This Row],[Planned_Qty]]</f>
        <v>0.8225190839694656</v>
      </c>
      <c r="V1989" s="2" t="s">
        <v>2284</v>
      </c>
      <c r="W1989" s="11">
        <v>0</v>
      </c>
      <c r="X1989" s="13">
        <f>W1989/60</f>
        <v>0</v>
      </c>
      <c r="Y1989" s="2" t="s">
        <v>90</v>
      </c>
      <c r="Z1989" s="2">
        <v>46</v>
      </c>
      <c r="AA1989" s="2">
        <f>ProductionData[[#This Row],[Rejected_Qty]]*ProductionData[[#This Row],[Unit_Cost_INR]]</f>
        <v>31096</v>
      </c>
      <c r="AB1989" s="4">
        <v>0</v>
      </c>
      <c r="AC1989" s="4">
        <v>4860</v>
      </c>
      <c r="AD1989" s="4">
        <v>3634</v>
      </c>
      <c r="AE1989" s="4">
        <v>0</v>
      </c>
      <c r="AF1989" s="4">
        <v>10500</v>
      </c>
    </row>
    <row r="1990" spans="1:32">
      <c r="A1990" s="2" t="s">
        <v>4112</v>
      </c>
      <c r="B1990" s="3">
        <v>46280</v>
      </c>
      <c r="C1990" s="36" t="s">
        <v>64</v>
      </c>
      <c r="D1990" s="2">
        <f>MONTH(ProductionData[[#This Row],[Month]])</f>
        <v>9</v>
      </c>
      <c r="E1990" s="2" t="s">
        <v>92</v>
      </c>
      <c r="F1990" s="2" t="s">
        <v>80</v>
      </c>
      <c r="G1990" s="2" t="s">
        <v>67</v>
      </c>
      <c r="H1990" s="2" t="s">
        <v>68</v>
      </c>
      <c r="I1990" s="2" t="s">
        <v>69</v>
      </c>
      <c r="J1990" s="2" t="s">
        <v>70</v>
      </c>
      <c r="K1990" s="2" t="s">
        <v>71</v>
      </c>
      <c r="L1990" s="2" t="s">
        <v>4113</v>
      </c>
      <c r="M1990" s="2" t="s">
        <v>102</v>
      </c>
      <c r="N1990" s="2" t="s">
        <v>88</v>
      </c>
      <c r="O1990" s="2">
        <v>16</v>
      </c>
      <c r="P1990" s="2">
        <v>16</v>
      </c>
      <c r="Q1990" s="4">
        <v>7060</v>
      </c>
      <c r="R1990" s="4">
        <v>6800</v>
      </c>
      <c r="S1990" s="4">
        <v>194</v>
      </c>
      <c r="T1990" s="19">
        <f>(ProductionData[[#This Row],[Rejected_Qty]])/ProductionData[[#This Row],[Produced_Qty]]</f>
        <v>2.8529411764705883E-2</v>
      </c>
      <c r="U1990" s="19">
        <f>ProductionData[[#This Row],[Produced_Qty]]/ProductionData[[#This Row],[Planned_Qty]]</f>
        <v>0.96317280453257792</v>
      </c>
      <c r="V1990" s="2" t="s">
        <v>75</v>
      </c>
      <c r="W1990" s="11">
        <v>11</v>
      </c>
      <c r="X1990" s="13">
        <f>W1990/60</f>
        <v>0.18333333333333332</v>
      </c>
      <c r="Y1990" s="2" t="s">
        <v>76</v>
      </c>
      <c r="Z1990" s="2">
        <v>46</v>
      </c>
      <c r="AA1990" s="2">
        <f>ProductionData[[#This Row],[Rejected_Qty]]*ProductionData[[#This Row],[Unit_Cost_INR]]</f>
        <v>8924</v>
      </c>
      <c r="AB1990" s="4">
        <v>0</v>
      </c>
      <c r="AC1990" s="4">
        <v>6710</v>
      </c>
      <c r="AD1990" s="4">
        <v>6606</v>
      </c>
      <c r="AE1990" s="4">
        <v>0</v>
      </c>
      <c r="AF1990" s="4">
        <v>10500</v>
      </c>
    </row>
    <row r="1991" spans="1:32">
      <c r="A1991" s="2" t="s">
        <v>4114</v>
      </c>
      <c r="B1991" s="3">
        <v>46281</v>
      </c>
      <c r="C1991" s="36" t="s">
        <v>64</v>
      </c>
      <c r="D1991" s="2">
        <f>MONTH(ProductionData[[#This Row],[Month]])</f>
        <v>9</v>
      </c>
      <c r="E1991" s="2" t="s">
        <v>79</v>
      </c>
      <c r="F1991" s="2" t="s">
        <v>80</v>
      </c>
      <c r="G1991" s="2" t="s">
        <v>67</v>
      </c>
      <c r="H1991" s="2" t="s">
        <v>68</v>
      </c>
      <c r="I1991" s="2" t="s">
        <v>69</v>
      </c>
      <c r="J1991" s="2" t="s">
        <v>70</v>
      </c>
      <c r="K1991" s="2" t="s">
        <v>71</v>
      </c>
      <c r="L1991" s="2" t="s">
        <v>4115</v>
      </c>
      <c r="M1991" s="2" t="s">
        <v>87</v>
      </c>
      <c r="N1991" s="2" t="s">
        <v>96</v>
      </c>
      <c r="O1991" s="2">
        <v>16</v>
      </c>
      <c r="P1991" s="2">
        <v>16</v>
      </c>
      <c r="Q1991" s="4">
        <v>7270</v>
      </c>
      <c r="R1991" s="4">
        <v>7180</v>
      </c>
      <c r="S1991" s="4">
        <v>153</v>
      </c>
      <c r="T1991" s="19">
        <f>(ProductionData[[#This Row],[Rejected_Qty]])/ProductionData[[#This Row],[Produced_Qty]]</f>
        <v>2.1309192200557103E-2</v>
      </c>
      <c r="U1991" s="19">
        <f>ProductionData[[#This Row],[Produced_Qty]]/ProductionData[[#This Row],[Planned_Qty]]</f>
        <v>0.98762035763411282</v>
      </c>
      <c r="V1991" s="2" t="s">
        <v>75</v>
      </c>
      <c r="W1991" s="11">
        <v>0</v>
      </c>
      <c r="X1991" s="13">
        <f>W1991/60</f>
        <v>0</v>
      </c>
      <c r="Y1991" s="2" t="s">
        <v>90</v>
      </c>
      <c r="Z1991" s="2">
        <v>46</v>
      </c>
      <c r="AA1991" s="2">
        <f>ProductionData[[#This Row],[Rejected_Qty]]*ProductionData[[#This Row],[Unit_Cost_INR]]</f>
        <v>7038</v>
      </c>
      <c r="AB1991" s="4">
        <v>0</v>
      </c>
      <c r="AC1991" s="4">
        <v>7540</v>
      </c>
      <c r="AD1991" s="4">
        <v>7027</v>
      </c>
      <c r="AE1991" s="4">
        <v>0</v>
      </c>
      <c r="AF1991" s="4">
        <v>10500</v>
      </c>
    </row>
    <row r="1992" spans="1:32">
      <c r="A1992" s="2" t="s">
        <v>4116</v>
      </c>
      <c r="B1992" s="3">
        <v>46282</v>
      </c>
      <c r="C1992" s="36" t="s">
        <v>64</v>
      </c>
      <c r="D1992" s="2">
        <f>MONTH(ProductionData[[#This Row],[Month]])</f>
        <v>9</v>
      </c>
      <c r="E1992" s="2" t="s">
        <v>107</v>
      </c>
      <c r="F1992" s="2" t="s">
        <v>66</v>
      </c>
      <c r="G1992" s="2" t="s">
        <v>67</v>
      </c>
      <c r="H1992" s="2" t="s">
        <v>68</v>
      </c>
      <c r="I1992" s="2" t="s">
        <v>69</v>
      </c>
      <c r="J1992" s="2" t="s">
        <v>70</v>
      </c>
      <c r="K1992" s="2" t="s">
        <v>71</v>
      </c>
      <c r="L1992" s="2" t="s">
        <v>4117</v>
      </c>
      <c r="M1992" s="2" t="s">
        <v>73</v>
      </c>
      <c r="N1992" s="2" t="s">
        <v>74</v>
      </c>
      <c r="O1992" s="2">
        <v>16</v>
      </c>
      <c r="P1992" s="2">
        <v>16</v>
      </c>
      <c r="Q1992" s="4">
        <v>7620</v>
      </c>
      <c r="R1992" s="4">
        <v>7450</v>
      </c>
      <c r="S1992" s="4">
        <v>604</v>
      </c>
      <c r="T1992" s="19">
        <f>(ProductionData[[#This Row],[Rejected_Qty]])/ProductionData[[#This Row],[Produced_Qty]]</f>
        <v>8.1073825503355706E-2</v>
      </c>
      <c r="U1992" s="19">
        <f>ProductionData[[#This Row],[Produced_Qty]]/ProductionData[[#This Row],[Planned_Qty]]</f>
        <v>0.97769028871391073</v>
      </c>
      <c r="V1992" s="2" t="s">
        <v>2284</v>
      </c>
      <c r="W1992" s="11">
        <v>0</v>
      </c>
      <c r="X1992" s="13">
        <f>W1992/60</f>
        <v>0</v>
      </c>
      <c r="Y1992" s="2" t="s">
        <v>90</v>
      </c>
      <c r="Z1992" s="2">
        <v>46</v>
      </c>
      <c r="AA1992" s="2">
        <f>ProductionData[[#This Row],[Rejected_Qty]]*ProductionData[[#This Row],[Unit_Cost_INR]]</f>
        <v>27784</v>
      </c>
      <c r="AB1992" s="4">
        <v>0</v>
      </c>
      <c r="AC1992" s="4">
        <v>7390</v>
      </c>
      <c r="AD1992" s="4">
        <v>6846</v>
      </c>
      <c r="AE1992" s="4">
        <v>0</v>
      </c>
      <c r="AF1992" s="4">
        <v>10500</v>
      </c>
    </row>
    <row r="1993" spans="1:32">
      <c r="A1993" s="2" t="s">
        <v>4118</v>
      </c>
      <c r="B1993" s="3">
        <v>46283</v>
      </c>
      <c r="C1993" s="36" t="s">
        <v>64</v>
      </c>
      <c r="D1993" s="2">
        <f>MONTH(ProductionData[[#This Row],[Month]])</f>
        <v>9</v>
      </c>
      <c r="E1993" s="2" t="s">
        <v>125</v>
      </c>
      <c r="F1993" s="2" t="s">
        <v>93</v>
      </c>
      <c r="G1993" s="2" t="s">
        <v>67</v>
      </c>
      <c r="H1993" s="2" t="s">
        <v>68</v>
      </c>
      <c r="I1993" s="2" t="s">
        <v>69</v>
      </c>
      <c r="J1993" s="2" t="s">
        <v>70</v>
      </c>
      <c r="K1993" s="2" t="s">
        <v>71</v>
      </c>
      <c r="L1993" s="2" t="s">
        <v>4119</v>
      </c>
      <c r="M1993" s="2" t="s">
        <v>133</v>
      </c>
      <c r="N1993" s="2" t="s">
        <v>74</v>
      </c>
      <c r="O1993" s="2">
        <v>16</v>
      </c>
      <c r="P1993" s="2">
        <v>13</v>
      </c>
      <c r="Q1993" s="4">
        <v>7700</v>
      </c>
      <c r="R1993" s="4">
        <v>7170</v>
      </c>
      <c r="S1993" s="4">
        <v>799</v>
      </c>
      <c r="T1993" s="19">
        <f>(ProductionData[[#This Row],[Rejected_Qty]])/ProductionData[[#This Row],[Produced_Qty]]</f>
        <v>0.11143654114365412</v>
      </c>
      <c r="U1993" s="19">
        <f>ProductionData[[#This Row],[Produced_Qty]]/ProductionData[[#This Row],[Planned_Qty]]</f>
        <v>0.9311688311688312</v>
      </c>
      <c r="V1993" s="2" t="s">
        <v>2284</v>
      </c>
      <c r="W1993" s="11">
        <v>0</v>
      </c>
      <c r="X1993" s="13">
        <f>W1993/60</f>
        <v>0</v>
      </c>
      <c r="Y1993" s="2" t="s">
        <v>90</v>
      </c>
      <c r="Z1993" s="2">
        <v>46</v>
      </c>
      <c r="AA1993" s="2">
        <f>ProductionData[[#This Row],[Rejected_Qty]]*ProductionData[[#This Row],[Unit_Cost_INR]]</f>
        <v>36754</v>
      </c>
      <c r="AB1993" s="4">
        <v>0</v>
      </c>
      <c r="AC1993" s="4">
        <v>7860</v>
      </c>
      <c r="AD1993" s="4">
        <v>6371</v>
      </c>
      <c r="AE1993" s="4">
        <v>0</v>
      </c>
      <c r="AF1993" s="4">
        <v>10500</v>
      </c>
    </row>
    <row r="1994" spans="1:32">
      <c r="A1994" s="2" t="s">
        <v>4120</v>
      </c>
      <c r="B1994" s="3">
        <v>46284</v>
      </c>
      <c r="C1994" s="36" t="s">
        <v>64</v>
      </c>
      <c r="D1994" s="2">
        <f>MONTH(ProductionData[[#This Row],[Month]])</f>
        <v>9</v>
      </c>
      <c r="E1994" s="2" t="s">
        <v>65</v>
      </c>
      <c r="F1994" s="2" t="s">
        <v>66</v>
      </c>
      <c r="G1994" s="2" t="s">
        <v>67</v>
      </c>
      <c r="H1994" s="2" t="s">
        <v>68</v>
      </c>
      <c r="I1994" s="2" t="s">
        <v>69</v>
      </c>
      <c r="J1994" s="2" t="s">
        <v>70</v>
      </c>
      <c r="K1994" s="2" t="s">
        <v>71</v>
      </c>
      <c r="L1994" s="2" t="s">
        <v>4121</v>
      </c>
      <c r="M1994" s="2" t="s">
        <v>73</v>
      </c>
      <c r="N1994" s="2" t="s">
        <v>74</v>
      </c>
      <c r="O1994" s="2">
        <v>16</v>
      </c>
      <c r="P1994" s="2">
        <v>16</v>
      </c>
      <c r="Q1994" s="4">
        <v>7640</v>
      </c>
      <c r="R1994" s="4">
        <v>7310</v>
      </c>
      <c r="S1994" s="4">
        <v>679</v>
      </c>
      <c r="T1994" s="19">
        <f>(ProductionData[[#This Row],[Rejected_Qty]])/ProductionData[[#This Row],[Produced_Qty]]</f>
        <v>9.2886456908344739E-2</v>
      </c>
      <c r="U1994" s="19">
        <f>ProductionData[[#This Row],[Produced_Qty]]/ProductionData[[#This Row],[Planned_Qty]]</f>
        <v>0.95680628272251311</v>
      </c>
      <c r="V1994" s="2" t="s">
        <v>2284</v>
      </c>
      <c r="W1994" s="11">
        <v>0</v>
      </c>
      <c r="X1994" s="13">
        <f>W1994/60</f>
        <v>0</v>
      </c>
      <c r="Y1994" s="2" t="s">
        <v>90</v>
      </c>
      <c r="Z1994" s="2">
        <v>46</v>
      </c>
      <c r="AA1994" s="2">
        <f>ProductionData[[#This Row],[Rejected_Qty]]*ProductionData[[#This Row],[Unit_Cost_INR]]</f>
        <v>31234</v>
      </c>
      <c r="AB1994" s="4">
        <v>0</v>
      </c>
      <c r="AC1994" s="4">
        <v>8430</v>
      </c>
      <c r="AD1994" s="4">
        <v>6631</v>
      </c>
      <c r="AE1994" s="4">
        <v>0</v>
      </c>
      <c r="AF1994" s="4">
        <v>10500</v>
      </c>
    </row>
    <row r="1995" spans="1:32">
      <c r="A1995" s="2" t="s">
        <v>4122</v>
      </c>
      <c r="B1995" s="3">
        <v>46284</v>
      </c>
      <c r="C1995" s="36" t="s">
        <v>64</v>
      </c>
      <c r="D1995" s="2">
        <f>MONTH(ProductionData[[#This Row],[Month]])</f>
        <v>9</v>
      </c>
      <c r="E1995" s="2" t="s">
        <v>65</v>
      </c>
      <c r="F1995" s="2" t="s">
        <v>80</v>
      </c>
      <c r="G1995" s="2" t="s">
        <v>67</v>
      </c>
      <c r="H1995" s="2" t="s">
        <v>68</v>
      </c>
      <c r="I1995" s="2" t="s">
        <v>69</v>
      </c>
      <c r="J1995" s="2" t="s">
        <v>70</v>
      </c>
      <c r="K1995" s="2" t="s">
        <v>71</v>
      </c>
      <c r="L1995" s="2" t="s">
        <v>4123</v>
      </c>
      <c r="M1995" s="2" t="s">
        <v>102</v>
      </c>
      <c r="N1995" s="2" t="s">
        <v>88</v>
      </c>
      <c r="O1995" s="2">
        <v>16</v>
      </c>
      <c r="P1995" s="2">
        <v>15</v>
      </c>
      <c r="Q1995" s="4">
        <v>7960</v>
      </c>
      <c r="R1995" s="4">
        <v>7390</v>
      </c>
      <c r="S1995" s="4">
        <v>114</v>
      </c>
      <c r="T1995" s="19">
        <f>(ProductionData[[#This Row],[Rejected_Qty]])/ProductionData[[#This Row],[Produced_Qty]]</f>
        <v>1.5426251691474966E-2</v>
      </c>
      <c r="U1995" s="19">
        <f>ProductionData[[#This Row],[Produced_Qty]]/ProductionData[[#This Row],[Planned_Qty]]</f>
        <v>0.92839195979899503</v>
      </c>
      <c r="V1995" s="2" t="s">
        <v>89</v>
      </c>
      <c r="W1995" s="11">
        <v>0</v>
      </c>
      <c r="X1995" s="13">
        <f>W1995/60</f>
        <v>0</v>
      </c>
      <c r="Y1995" s="2" t="s">
        <v>90</v>
      </c>
      <c r="Z1995" s="2">
        <v>46</v>
      </c>
      <c r="AA1995" s="2">
        <f>ProductionData[[#This Row],[Rejected_Qty]]*ProductionData[[#This Row],[Unit_Cost_INR]]</f>
        <v>5244</v>
      </c>
      <c r="AB1995" s="4">
        <v>0</v>
      </c>
      <c r="AC1995" s="4">
        <v>7420</v>
      </c>
      <c r="AD1995" s="4">
        <v>7276</v>
      </c>
      <c r="AE1995" s="4">
        <v>0</v>
      </c>
      <c r="AF1995" s="4">
        <v>10500</v>
      </c>
    </row>
    <row r="1996" spans="1:32">
      <c r="A1996" s="2"/>
      <c r="B1996" s="3">
        <v>46285</v>
      </c>
      <c r="C1996" s="36" t="s">
        <v>64</v>
      </c>
      <c r="D1996" s="2">
        <f>MONTH(ProductionData[[#This Row],[Month]])</f>
        <v>9</v>
      </c>
      <c r="E1996" s="2" t="s">
        <v>186</v>
      </c>
      <c r="F1996" s="2" t="s">
        <v>66</v>
      </c>
      <c r="G1996" s="2" t="s">
        <v>67</v>
      </c>
      <c r="H1996" s="2" t="s">
        <v>68</v>
      </c>
      <c r="I1996" s="2" t="s">
        <v>69</v>
      </c>
      <c r="J1996" s="2" t="s">
        <v>70</v>
      </c>
      <c r="K1996" s="2" t="s">
        <v>71</v>
      </c>
      <c r="L1996" s="2" t="s">
        <v>4124</v>
      </c>
      <c r="M1996" s="2" t="s">
        <v>73</v>
      </c>
      <c r="N1996" s="2" t="s">
        <v>88</v>
      </c>
      <c r="O1996" s="2">
        <v>16</v>
      </c>
      <c r="P1996" s="2">
        <v>15</v>
      </c>
      <c r="Q1996" s="4">
        <v>4950</v>
      </c>
      <c r="R1996" s="4">
        <v>4890</v>
      </c>
      <c r="S1996" s="4">
        <v>159</v>
      </c>
      <c r="T1996" s="19">
        <f>(ProductionData[[#This Row],[Rejected_Qty]])/ProductionData[[#This Row],[Produced_Qty]]</f>
        <v>3.2515337423312883E-2</v>
      </c>
      <c r="U1996" s="19">
        <f>ProductionData[[#This Row],[Produced_Qty]]/ProductionData[[#This Row],[Planned_Qty]]</f>
        <v>0.98787878787878791</v>
      </c>
      <c r="V1996" s="2" t="s">
        <v>103</v>
      </c>
      <c r="W1996" s="11">
        <v>26</v>
      </c>
      <c r="X1996" s="13">
        <f>W1996/60</f>
        <v>0.43333333333333335</v>
      </c>
      <c r="Y1996" s="2" t="s">
        <v>110</v>
      </c>
      <c r="Z1996" s="2">
        <v>46</v>
      </c>
      <c r="AA1996" s="2">
        <f>ProductionData[[#This Row],[Rejected_Qty]]*ProductionData[[#This Row],[Unit_Cost_INR]]</f>
        <v>7314</v>
      </c>
      <c r="AB1996" s="4">
        <v>0</v>
      </c>
      <c r="AC1996" s="4">
        <v>4860</v>
      </c>
      <c r="AD1996" s="4">
        <v>4731</v>
      </c>
      <c r="AE1996" s="4">
        <v>0</v>
      </c>
      <c r="AF1996" s="4">
        <v>10500</v>
      </c>
    </row>
    <row r="1997" spans="1:32">
      <c r="A1997" s="2" t="s">
        <v>4125</v>
      </c>
      <c r="B1997" s="3">
        <v>46286</v>
      </c>
      <c r="C1997" s="36" t="s">
        <v>64</v>
      </c>
      <c r="D1997" s="2">
        <f>MONTH(ProductionData[[#This Row],[Month]])</f>
        <v>9</v>
      </c>
      <c r="E1997" s="2" t="s">
        <v>116</v>
      </c>
      <c r="F1997" s="2" t="s">
        <v>66</v>
      </c>
      <c r="G1997" s="2" t="s">
        <v>67</v>
      </c>
      <c r="H1997" s="2" t="s">
        <v>68</v>
      </c>
      <c r="I1997" s="2" t="s">
        <v>69</v>
      </c>
      <c r="J1997" s="2" t="s">
        <v>70</v>
      </c>
      <c r="K1997" s="2" t="s">
        <v>71</v>
      </c>
      <c r="L1997" s="2" t="s">
        <v>4126</v>
      </c>
      <c r="M1997" s="2" t="s">
        <v>99</v>
      </c>
      <c r="N1997" s="2" t="s">
        <v>74</v>
      </c>
      <c r="O1997" s="2">
        <v>16</v>
      </c>
      <c r="P1997" s="2">
        <v>14</v>
      </c>
      <c r="Q1997" s="4">
        <v>7340</v>
      </c>
      <c r="R1997" s="4">
        <v>6650</v>
      </c>
      <c r="S1997" s="4">
        <v>783</v>
      </c>
      <c r="T1997" s="19">
        <f>(ProductionData[[#This Row],[Rejected_Qty]])/ProductionData[[#This Row],[Produced_Qty]]</f>
        <v>0.11774436090225564</v>
      </c>
      <c r="U1997" s="19">
        <f>ProductionData[[#This Row],[Produced_Qty]]/ProductionData[[#This Row],[Planned_Qty]]</f>
        <v>0.90599455040871935</v>
      </c>
      <c r="V1997" s="2" t="s">
        <v>2284</v>
      </c>
      <c r="W1997" s="11">
        <v>0</v>
      </c>
      <c r="X1997" s="13">
        <f>W1997/60</f>
        <v>0</v>
      </c>
      <c r="Y1997" s="2" t="s">
        <v>90</v>
      </c>
      <c r="Z1997" s="2">
        <v>46</v>
      </c>
      <c r="AA1997" s="2">
        <f>ProductionData[[#This Row],[Rejected_Qty]]*ProductionData[[#This Row],[Unit_Cost_INR]]</f>
        <v>36018</v>
      </c>
      <c r="AB1997" s="4">
        <v>0</v>
      </c>
      <c r="AC1997" s="4">
        <v>6310</v>
      </c>
      <c r="AD1997" s="4">
        <v>5867</v>
      </c>
      <c r="AE1997" s="4">
        <v>0</v>
      </c>
      <c r="AF1997" s="4">
        <v>10500</v>
      </c>
    </row>
    <row r="1998" spans="1:32">
      <c r="A1998" s="2" t="s">
        <v>4127</v>
      </c>
      <c r="B1998" s="3">
        <v>46291</v>
      </c>
      <c r="C1998" s="36" t="s">
        <v>64</v>
      </c>
      <c r="D1998" s="2">
        <f>MONTH(ProductionData[[#This Row],[Month]])</f>
        <v>9</v>
      </c>
      <c r="E1998" s="2" t="s">
        <v>65</v>
      </c>
      <c r="F1998" s="2" t="s">
        <v>93</v>
      </c>
      <c r="G1998" s="2" t="s">
        <v>67</v>
      </c>
      <c r="H1998" s="2" t="s">
        <v>68</v>
      </c>
      <c r="I1998" s="2" t="s">
        <v>69</v>
      </c>
      <c r="J1998" s="2" t="s">
        <v>403</v>
      </c>
      <c r="K1998" s="2" t="s">
        <v>404</v>
      </c>
      <c r="L1998" s="2" t="s">
        <v>4128</v>
      </c>
      <c r="M1998" s="2" t="s">
        <v>95</v>
      </c>
      <c r="N1998" s="2" t="s">
        <v>74</v>
      </c>
      <c r="O1998" s="2">
        <v>16</v>
      </c>
      <c r="P1998" s="2">
        <v>15</v>
      </c>
      <c r="Q1998" s="4">
        <v>6450</v>
      </c>
      <c r="R1998" s="4">
        <v>5750</v>
      </c>
      <c r="S1998" s="4">
        <v>488</v>
      </c>
      <c r="T1998" s="19">
        <f>(ProductionData[[#This Row],[Rejected_Qty]])/ProductionData[[#This Row],[Produced_Qty]]</f>
        <v>8.4869565217391307E-2</v>
      </c>
      <c r="U1998" s="19">
        <f>ProductionData[[#This Row],[Produced_Qty]]/ProductionData[[#This Row],[Planned_Qty]]</f>
        <v>0.89147286821705429</v>
      </c>
      <c r="V1998" s="2" t="s">
        <v>2284</v>
      </c>
      <c r="W1998" s="11">
        <v>54</v>
      </c>
      <c r="X1998" s="13">
        <f>W1998/60</f>
        <v>0.9</v>
      </c>
      <c r="Y1998" s="2" t="s">
        <v>110</v>
      </c>
      <c r="Z1998" s="2">
        <v>58</v>
      </c>
      <c r="AA1998" s="2">
        <f>ProductionData[[#This Row],[Rejected_Qty]]*ProductionData[[#This Row],[Unit_Cost_INR]]</f>
        <v>28304</v>
      </c>
      <c r="AB1998" s="4">
        <v>166</v>
      </c>
      <c r="AC1998" s="4">
        <v>6460</v>
      </c>
      <c r="AD1998" s="4">
        <v>5428</v>
      </c>
      <c r="AE1998" s="4">
        <v>0</v>
      </c>
      <c r="AF1998" s="4">
        <v>9000</v>
      </c>
    </row>
    <row r="1999" spans="1:32">
      <c r="A1999" s="2" t="s">
        <v>4129</v>
      </c>
      <c r="B1999" s="3">
        <v>46292</v>
      </c>
      <c r="C1999" s="36" t="s">
        <v>64</v>
      </c>
      <c r="D1999" s="2">
        <f>MONTH(ProductionData[[#This Row],[Month]])</f>
        <v>9</v>
      </c>
      <c r="E1999" s="2" t="s">
        <v>186</v>
      </c>
      <c r="F1999" s="2" t="s">
        <v>66</v>
      </c>
      <c r="G1999" s="2" t="s">
        <v>67</v>
      </c>
      <c r="H1999" s="2" t="s">
        <v>68</v>
      </c>
      <c r="I1999" s="2" t="s">
        <v>69</v>
      </c>
      <c r="J1999" s="2" t="s">
        <v>403</v>
      </c>
      <c r="K1999" s="2" t="s">
        <v>404</v>
      </c>
      <c r="L1999" s="2" t="s">
        <v>4130</v>
      </c>
      <c r="M1999" s="2" t="s">
        <v>73</v>
      </c>
      <c r="N1999" s="2" t="s">
        <v>74</v>
      </c>
      <c r="O1999" s="2">
        <v>16</v>
      </c>
      <c r="P1999" s="2">
        <v>14</v>
      </c>
      <c r="Q1999" s="4">
        <v>4180</v>
      </c>
      <c r="R1999" s="4">
        <v>3810</v>
      </c>
      <c r="S1999" s="4">
        <v>449</v>
      </c>
      <c r="T1999" s="19">
        <f>(ProductionData[[#This Row],[Rejected_Qty]])/ProductionData[[#This Row],[Produced_Qty]]</f>
        <v>0.1178477690288714</v>
      </c>
      <c r="U1999" s="19">
        <f>ProductionData[[#This Row],[Produced_Qty]]/ProductionData[[#This Row],[Planned_Qty]]</f>
        <v>0.91148325358851678</v>
      </c>
      <c r="V1999" s="2" t="s">
        <v>2284</v>
      </c>
      <c r="W1999" s="11">
        <v>0</v>
      </c>
      <c r="X1999" s="13">
        <f>W1999/60</f>
        <v>0</v>
      </c>
      <c r="Y1999" s="2" t="s">
        <v>90</v>
      </c>
      <c r="Z1999" s="2">
        <v>58</v>
      </c>
      <c r="AA1999" s="2">
        <f>ProductionData[[#This Row],[Rejected_Qty]]*ProductionData[[#This Row],[Unit_Cost_INR]]</f>
        <v>26042</v>
      </c>
      <c r="AB1999" s="4">
        <v>0</v>
      </c>
      <c r="AC1999" s="4">
        <v>4090</v>
      </c>
      <c r="AD1999" s="4">
        <v>3361</v>
      </c>
      <c r="AE1999" s="4">
        <v>0</v>
      </c>
      <c r="AF1999" s="4">
        <v>9000</v>
      </c>
    </row>
    <row r="2000" spans="1:32">
      <c r="A2000" s="2" t="s">
        <v>4131</v>
      </c>
      <c r="B2000" s="3">
        <v>46294</v>
      </c>
      <c r="C2000" s="36" t="s">
        <v>64</v>
      </c>
      <c r="D2000" s="2">
        <f>MONTH(ProductionData[[#This Row],[Month]])</f>
        <v>9</v>
      </c>
      <c r="E2000" s="2" t="s">
        <v>92</v>
      </c>
      <c r="F2000" s="2" t="s">
        <v>80</v>
      </c>
      <c r="G2000" s="2" t="s">
        <v>67</v>
      </c>
      <c r="H2000" s="2" t="s">
        <v>68</v>
      </c>
      <c r="I2000" s="2" t="s">
        <v>69</v>
      </c>
      <c r="J2000" s="2" t="s">
        <v>403</v>
      </c>
      <c r="K2000" s="2" t="s">
        <v>404</v>
      </c>
      <c r="L2000" s="2" t="s">
        <v>4132</v>
      </c>
      <c r="M2000" s="2" t="s">
        <v>87</v>
      </c>
      <c r="N2000" s="2" t="s">
        <v>74</v>
      </c>
      <c r="O2000" s="2">
        <v>16</v>
      </c>
      <c r="P2000" s="2">
        <v>14</v>
      </c>
      <c r="Q2000" s="4">
        <v>6960</v>
      </c>
      <c r="R2000" s="4">
        <v>6400</v>
      </c>
      <c r="S2000" s="4">
        <v>698</v>
      </c>
      <c r="T2000" s="19">
        <f>(ProductionData[[#This Row],[Rejected_Qty]])/ProductionData[[#This Row],[Produced_Qty]]</f>
        <v>0.10906250000000001</v>
      </c>
      <c r="U2000" s="19">
        <f>ProductionData[[#This Row],[Produced_Qty]]/ProductionData[[#This Row],[Planned_Qty]]</f>
        <v>0.91954022988505746</v>
      </c>
      <c r="V2000" s="2" t="s">
        <v>89</v>
      </c>
      <c r="W2000" s="11">
        <v>0</v>
      </c>
      <c r="X2000" s="13">
        <f>W2000/60</f>
        <v>0</v>
      </c>
      <c r="Y2000" s="2" t="s">
        <v>90</v>
      </c>
      <c r="Z2000" s="2">
        <v>58</v>
      </c>
      <c r="AA2000" s="2">
        <f>ProductionData[[#This Row],[Rejected_Qty]]*ProductionData[[#This Row],[Unit_Cost_INR]]</f>
        <v>40484</v>
      </c>
      <c r="AB2000" s="4">
        <v>850</v>
      </c>
      <c r="AC2000" s="4">
        <v>6670</v>
      </c>
      <c r="AD2000" s="4">
        <v>6552</v>
      </c>
      <c r="AE2000" s="4">
        <v>0</v>
      </c>
      <c r="AF2000" s="4">
        <v>9000</v>
      </c>
    </row>
    <row r="2001" spans="1:32">
      <c r="A2001" s="2" t="s">
        <v>4133</v>
      </c>
      <c r="B2001" s="3">
        <v>46295</v>
      </c>
      <c r="C2001" s="36" t="s">
        <v>64</v>
      </c>
      <c r="D2001" s="2">
        <f>MONTH(ProductionData[[#This Row],[Month]])</f>
        <v>9</v>
      </c>
      <c r="E2001" s="2" t="s">
        <v>79</v>
      </c>
      <c r="F2001" s="2" t="s">
        <v>66</v>
      </c>
      <c r="G2001" s="2" t="s">
        <v>67</v>
      </c>
      <c r="H2001" s="2" t="s">
        <v>68</v>
      </c>
      <c r="I2001" s="2" t="s">
        <v>69</v>
      </c>
      <c r="J2001" s="2" t="s">
        <v>70</v>
      </c>
      <c r="K2001" s="2" t="s">
        <v>71</v>
      </c>
      <c r="L2001" s="2" t="s">
        <v>4134</v>
      </c>
      <c r="M2001" s="2" t="s">
        <v>73</v>
      </c>
      <c r="N2001" s="2" t="s">
        <v>74</v>
      </c>
      <c r="O2001" s="2">
        <v>16</v>
      </c>
      <c r="P2001" s="2">
        <v>16</v>
      </c>
      <c r="Q2001" s="4">
        <v>7730</v>
      </c>
      <c r="R2001" s="4">
        <v>7550</v>
      </c>
      <c r="S2001" s="4">
        <v>635</v>
      </c>
      <c r="T2001" s="19">
        <f>(ProductionData[[#This Row],[Rejected_Qty]])/ProductionData[[#This Row],[Produced_Qty]]</f>
        <v>8.4105960264900664E-2</v>
      </c>
      <c r="U2001" s="19">
        <f>ProductionData[[#This Row],[Produced_Qty]]/ProductionData[[#This Row],[Planned_Qty]]</f>
        <v>0.97671410090556277</v>
      </c>
      <c r="V2001" s="2" t="s">
        <v>2284</v>
      </c>
      <c r="W2001" s="11">
        <v>0</v>
      </c>
      <c r="X2001" s="13">
        <f>W2001/60</f>
        <v>0</v>
      </c>
      <c r="Y2001" s="2" t="s">
        <v>90</v>
      </c>
      <c r="Z2001" s="2">
        <v>46</v>
      </c>
      <c r="AA2001" s="2">
        <f>ProductionData[[#This Row],[Rejected_Qty]]*ProductionData[[#This Row],[Unit_Cost_INR]]</f>
        <v>29210</v>
      </c>
      <c r="AB2001" s="4">
        <v>731</v>
      </c>
      <c r="AC2001" s="4">
        <v>8170</v>
      </c>
      <c r="AD2001" s="4">
        <v>7646</v>
      </c>
      <c r="AE2001" s="4">
        <v>0</v>
      </c>
      <c r="AF2001" s="4">
        <v>10500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E1C7-BA97-4499-8A8D-BC0068D2E895}">
  <dimension ref="A1:L8220"/>
  <sheetViews>
    <sheetView showGridLines="0" topLeftCell="A318" workbookViewId="0">
      <selection activeCell="B335" sqref="B335"/>
    </sheetView>
  </sheetViews>
  <sheetFormatPr defaultRowHeight="15"/>
  <cols>
    <col min="1" max="1" width="13.7109375" style="9" bestFit="1" customWidth="1"/>
    <col min="2" max="2" width="11" bestFit="1" customWidth="1"/>
    <col min="3" max="3" width="21.5703125" bestFit="1" customWidth="1"/>
    <col min="4" max="4" width="18.42578125" bestFit="1" customWidth="1"/>
    <col min="5" max="5" width="20.140625" customWidth="1"/>
    <col min="6" max="6" width="19.5703125" customWidth="1"/>
    <col min="7" max="7" width="17.140625" customWidth="1"/>
    <col min="8" max="8" width="11.7109375" customWidth="1"/>
    <col min="9" max="9" width="22.28515625" customWidth="1"/>
    <col min="10" max="10" width="28.85546875" customWidth="1"/>
    <col min="11" max="11" width="26.28515625" bestFit="1" customWidth="1"/>
    <col min="12" max="12" width="15" customWidth="1"/>
    <col min="13" max="13" width="5.42578125" bestFit="1" customWidth="1"/>
    <col min="14" max="14" width="21.5703125" bestFit="1" customWidth="1"/>
    <col min="15" max="26" width="6.42578125" bestFit="1" customWidth="1"/>
    <col min="27" max="27" width="31.7109375" bestFit="1" customWidth="1"/>
    <col min="28" max="28" width="26.7109375" bestFit="1" customWidth="1"/>
    <col min="29" max="29" width="20.85546875" bestFit="1" customWidth="1"/>
    <col min="30" max="30" width="20.140625" bestFit="1" customWidth="1"/>
    <col min="31" max="31" width="19.7109375" bestFit="1" customWidth="1"/>
    <col min="32" max="32" width="20.85546875" bestFit="1" customWidth="1"/>
    <col min="33" max="33" width="20.140625" bestFit="1" customWidth="1"/>
    <col min="34" max="34" width="19.7109375" bestFit="1" customWidth="1"/>
    <col min="35" max="35" width="20.85546875" bestFit="1" customWidth="1"/>
    <col min="36" max="36" width="20.140625" bestFit="1" customWidth="1"/>
    <col min="37" max="37" width="19.7109375" bestFit="1" customWidth="1"/>
    <col min="38" max="38" width="20.85546875" bestFit="1" customWidth="1"/>
    <col min="39" max="39" width="20.140625" bestFit="1" customWidth="1"/>
    <col min="40" max="40" width="19.7109375" bestFit="1" customWidth="1"/>
    <col min="41" max="41" width="20.85546875" bestFit="1" customWidth="1"/>
    <col min="42" max="42" width="20.140625" bestFit="1" customWidth="1"/>
    <col min="43" max="43" width="19.7109375" bestFit="1" customWidth="1"/>
    <col min="44" max="44" width="20.85546875" bestFit="1" customWidth="1"/>
    <col min="45" max="45" width="20.140625" bestFit="1" customWidth="1"/>
    <col min="46" max="46" width="19.7109375" bestFit="1" customWidth="1"/>
    <col min="47" max="47" width="20.85546875" bestFit="1" customWidth="1"/>
    <col min="48" max="48" width="20.140625" bestFit="1" customWidth="1"/>
    <col min="49" max="49" width="19.7109375" bestFit="1" customWidth="1"/>
    <col min="50" max="50" width="20.85546875" bestFit="1" customWidth="1"/>
    <col min="51" max="51" width="20.140625" bestFit="1" customWidth="1"/>
    <col min="52" max="52" width="19.7109375" bestFit="1" customWidth="1"/>
    <col min="53" max="53" width="20.85546875" bestFit="1" customWidth="1"/>
    <col min="54" max="54" width="20.140625" bestFit="1" customWidth="1"/>
    <col min="55" max="55" width="19.7109375" bestFit="1" customWidth="1"/>
    <col min="56" max="56" width="20.85546875" bestFit="1" customWidth="1"/>
    <col min="57" max="57" width="20.140625" bestFit="1" customWidth="1"/>
    <col min="58" max="58" width="19.7109375" bestFit="1" customWidth="1"/>
    <col min="59" max="59" width="20.85546875" bestFit="1" customWidth="1"/>
    <col min="60" max="60" width="20.140625" bestFit="1" customWidth="1"/>
    <col min="61" max="61" width="19.7109375" bestFit="1" customWidth="1"/>
    <col min="62" max="62" width="20.85546875" bestFit="1" customWidth="1"/>
    <col min="63" max="63" width="20.140625" bestFit="1" customWidth="1"/>
    <col min="64" max="64" width="19.7109375" bestFit="1" customWidth="1"/>
    <col min="65" max="65" width="20.85546875" bestFit="1" customWidth="1"/>
    <col min="66" max="66" width="20.140625" bestFit="1" customWidth="1"/>
    <col min="67" max="67" width="19.7109375" bestFit="1" customWidth="1"/>
    <col min="68" max="68" width="20.85546875" bestFit="1" customWidth="1"/>
    <col min="69" max="69" width="20.140625" bestFit="1" customWidth="1"/>
    <col min="70" max="70" width="19.7109375" bestFit="1" customWidth="1"/>
    <col min="71" max="71" width="20.85546875" bestFit="1" customWidth="1"/>
    <col min="72" max="72" width="20.140625" bestFit="1" customWidth="1"/>
    <col min="73" max="73" width="19.7109375" bestFit="1" customWidth="1"/>
    <col min="74" max="74" width="20.85546875" bestFit="1" customWidth="1"/>
    <col min="75" max="75" width="20.140625" bestFit="1" customWidth="1"/>
    <col min="76" max="76" width="19.7109375" bestFit="1" customWidth="1"/>
    <col min="77" max="77" width="20.85546875" bestFit="1" customWidth="1"/>
    <col min="78" max="78" width="20.140625" bestFit="1" customWidth="1"/>
    <col min="79" max="79" width="19.7109375" bestFit="1" customWidth="1"/>
    <col min="80" max="80" width="20.85546875" bestFit="1" customWidth="1"/>
    <col min="81" max="81" width="20.140625" bestFit="1" customWidth="1"/>
    <col min="82" max="82" width="19.7109375" bestFit="1" customWidth="1"/>
    <col min="83" max="83" width="20.85546875" bestFit="1" customWidth="1"/>
    <col min="84" max="84" width="20.140625" bestFit="1" customWidth="1"/>
    <col min="85" max="85" width="19.7109375" bestFit="1" customWidth="1"/>
    <col min="86" max="86" width="20.85546875" bestFit="1" customWidth="1"/>
    <col min="87" max="87" width="20.140625" bestFit="1" customWidth="1"/>
    <col min="88" max="88" width="19.7109375" bestFit="1" customWidth="1"/>
    <col min="89" max="89" width="20.85546875" bestFit="1" customWidth="1"/>
    <col min="90" max="90" width="20.140625" bestFit="1" customWidth="1"/>
    <col min="91" max="91" width="19.7109375" bestFit="1" customWidth="1"/>
    <col min="92" max="92" width="20.85546875" bestFit="1" customWidth="1"/>
    <col min="93" max="93" width="20.140625" bestFit="1" customWidth="1"/>
    <col min="94" max="94" width="19.7109375" bestFit="1" customWidth="1"/>
    <col min="95" max="95" width="20.85546875" bestFit="1" customWidth="1"/>
    <col min="96" max="96" width="20.140625" bestFit="1" customWidth="1"/>
    <col min="97" max="97" width="19.7109375" bestFit="1" customWidth="1"/>
    <col min="98" max="98" width="20.85546875" bestFit="1" customWidth="1"/>
    <col min="99" max="99" width="20.140625" bestFit="1" customWidth="1"/>
    <col min="100" max="100" width="19.7109375" bestFit="1" customWidth="1"/>
    <col min="101" max="101" width="20.85546875" bestFit="1" customWidth="1"/>
    <col min="102" max="102" width="20.140625" bestFit="1" customWidth="1"/>
    <col min="103" max="103" width="19.7109375" bestFit="1" customWidth="1"/>
    <col min="104" max="104" width="20.85546875" bestFit="1" customWidth="1"/>
    <col min="105" max="105" width="20.140625" bestFit="1" customWidth="1"/>
    <col min="106" max="106" width="19.7109375" bestFit="1" customWidth="1"/>
    <col min="107" max="107" width="20.85546875" bestFit="1" customWidth="1"/>
    <col min="108" max="108" width="20.140625" bestFit="1" customWidth="1"/>
    <col min="109" max="109" width="19.7109375" bestFit="1" customWidth="1"/>
    <col min="110" max="110" width="20.85546875" bestFit="1" customWidth="1"/>
    <col min="111" max="111" width="20.140625" bestFit="1" customWidth="1"/>
    <col min="112" max="112" width="19.7109375" bestFit="1" customWidth="1"/>
    <col min="113" max="113" width="20.85546875" bestFit="1" customWidth="1"/>
    <col min="114" max="114" width="20.140625" bestFit="1" customWidth="1"/>
    <col min="115" max="115" width="19.7109375" bestFit="1" customWidth="1"/>
    <col min="116" max="116" width="20.85546875" bestFit="1" customWidth="1"/>
    <col min="117" max="117" width="20.140625" bestFit="1" customWidth="1"/>
    <col min="118" max="118" width="19.7109375" bestFit="1" customWidth="1"/>
    <col min="119" max="119" width="20.85546875" bestFit="1" customWidth="1"/>
    <col min="120" max="120" width="20.140625" bestFit="1" customWidth="1"/>
    <col min="121" max="121" width="19.7109375" bestFit="1" customWidth="1"/>
    <col min="122" max="122" width="20.85546875" bestFit="1" customWidth="1"/>
    <col min="123" max="123" width="20.140625" bestFit="1" customWidth="1"/>
    <col min="124" max="124" width="19.7109375" bestFit="1" customWidth="1"/>
    <col min="125" max="125" width="20.85546875" bestFit="1" customWidth="1"/>
    <col min="126" max="126" width="20.140625" bestFit="1" customWidth="1"/>
    <col min="127" max="127" width="19.7109375" bestFit="1" customWidth="1"/>
    <col min="128" max="128" width="20.85546875" bestFit="1" customWidth="1"/>
    <col min="129" max="129" width="20.140625" bestFit="1" customWidth="1"/>
    <col min="130" max="130" width="19.7109375" bestFit="1" customWidth="1"/>
    <col min="131" max="131" width="20.85546875" bestFit="1" customWidth="1"/>
    <col min="132" max="132" width="20.140625" bestFit="1" customWidth="1"/>
    <col min="133" max="133" width="19.7109375" bestFit="1" customWidth="1"/>
    <col min="134" max="134" width="20.85546875" bestFit="1" customWidth="1"/>
    <col min="135" max="135" width="20.140625" bestFit="1" customWidth="1"/>
    <col min="136" max="136" width="19.7109375" bestFit="1" customWidth="1"/>
    <col min="137" max="137" width="20.85546875" bestFit="1" customWidth="1"/>
    <col min="138" max="138" width="20.140625" bestFit="1" customWidth="1"/>
    <col min="139" max="139" width="19.7109375" bestFit="1" customWidth="1"/>
    <col min="140" max="140" width="20.85546875" bestFit="1" customWidth="1"/>
    <col min="141" max="141" width="20.140625" bestFit="1" customWidth="1"/>
    <col min="142" max="142" width="19.7109375" bestFit="1" customWidth="1"/>
    <col min="143" max="143" width="20.85546875" bestFit="1" customWidth="1"/>
    <col min="144" max="144" width="20.140625" bestFit="1" customWidth="1"/>
    <col min="145" max="145" width="19.7109375" bestFit="1" customWidth="1"/>
    <col min="146" max="146" width="20.85546875" bestFit="1" customWidth="1"/>
    <col min="147" max="147" width="20.140625" bestFit="1" customWidth="1"/>
    <col min="148" max="148" width="19.7109375" bestFit="1" customWidth="1"/>
    <col min="149" max="149" width="20.85546875" bestFit="1" customWidth="1"/>
    <col min="150" max="150" width="20.140625" bestFit="1" customWidth="1"/>
    <col min="151" max="151" width="19.7109375" bestFit="1" customWidth="1"/>
    <col min="152" max="152" width="20.85546875" bestFit="1" customWidth="1"/>
    <col min="153" max="153" width="20.140625" bestFit="1" customWidth="1"/>
    <col min="154" max="154" width="19.7109375" bestFit="1" customWidth="1"/>
    <col min="155" max="155" width="20.85546875" bestFit="1" customWidth="1"/>
    <col min="156" max="156" width="20.140625" bestFit="1" customWidth="1"/>
    <col min="157" max="157" width="19.7109375" bestFit="1" customWidth="1"/>
    <col min="158" max="158" width="20.85546875" bestFit="1" customWidth="1"/>
    <col min="159" max="159" width="20.140625" bestFit="1" customWidth="1"/>
    <col min="160" max="160" width="19.7109375" bestFit="1" customWidth="1"/>
    <col min="161" max="161" width="20.85546875" bestFit="1" customWidth="1"/>
    <col min="162" max="162" width="20.140625" bestFit="1" customWidth="1"/>
    <col min="163" max="163" width="19.7109375" bestFit="1" customWidth="1"/>
    <col min="164" max="164" width="20.85546875" bestFit="1" customWidth="1"/>
    <col min="165" max="165" width="20.140625" bestFit="1" customWidth="1"/>
    <col min="166" max="166" width="19.7109375" bestFit="1" customWidth="1"/>
    <col min="167" max="167" width="20.85546875" bestFit="1" customWidth="1"/>
    <col min="168" max="168" width="20.140625" bestFit="1" customWidth="1"/>
    <col min="169" max="169" width="19.7109375" bestFit="1" customWidth="1"/>
    <col min="170" max="170" width="20.85546875" bestFit="1" customWidth="1"/>
    <col min="171" max="171" width="20.140625" bestFit="1" customWidth="1"/>
    <col min="172" max="172" width="19.7109375" bestFit="1" customWidth="1"/>
    <col min="173" max="173" width="20.85546875" bestFit="1" customWidth="1"/>
    <col min="174" max="174" width="20.140625" bestFit="1" customWidth="1"/>
    <col min="175" max="175" width="19.7109375" bestFit="1" customWidth="1"/>
    <col min="176" max="176" width="20.85546875" bestFit="1" customWidth="1"/>
    <col min="177" max="177" width="20.140625" bestFit="1" customWidth="1"/>
    <col min="178" max="178" width="19.7109375" bestFit="1" customWidth="1"/>
    <col min="179" max="179" width="20.85546875" bestFit="1" customWidth="1"/>
    <col min="180" max="180" width="20.140625" bestFit="1" customWidth="1"/>
    <col min="181" max="181" width="19.7109375" bestFit="1" customWidth="1"/>
    <col min="182" max="182" width="20.85546875" bestFit="1" customWidth="1"/>
    <col min="183" max="183" width="20.140625" bestFit="1" customWidth="1"/>
    <col min="184" max="184" width="19.7109375" bestFit="1" customWidth="1"/>
    <col min="185" max="185" width="20.85546875" bestFit="1" customWidth="1"/>
    <col min="186" max="186" width="20.140625" bestFit="1" customWidth="1"/>
    <col min="187" max="187" width="19.7109375" bestFit="1" customWidth="1"/>
    <col min="188" max="188" width="20.85546875" bestFit="1" customWidth="1"/>
    <col min="189" max="189" width="20.140625" bestFit="1" customWidth="1"/>
    <col min="190" max="190" width="19.7109375" bestFit="1" customWidth="1"/>
    <col min="191" max="191" width="20.85546875" bestFit="1" customWidth="1"/>
    <col min="192" max="192" width="20.140625" bestFit="1" customWidth="1"/>
    <col min="193" max="193" width="19.7109375" bestFit="1" customWidth="1"/>
    <col min="194" max="194" width="20.85546875" bestFit="1" customWidth="1"/>
    <col min="195" max="195" width="20.140625" bestFit="1" customWidth="1"/>
    <col min="196" max="196" width="19.7109375" bestFit="1" customWidth="1"/>
    <col min="197" max="197" width="20.85546875" bestFit="1" customWidth="1"/>
    <col min="198" max="198" width="20.140625" bestFit="1" customWidth="1"/>
    <col min="199" max="199" width="19.7109375" bestFit="1" customWidth="1"/>
    <col min="200" max="200" width="20.85546875" bestFit="1" customWidth="1"/>
    <col min="201" max="201" width="20.140625" bestFit="1" customWidth="1"/>
    <col min="202" max="202" width="19.7109375" bestFit="1" customWidth="1"/>
    <col min="203" max="203" width="20.85546875" bestFit="1" customWidth="1"/>
    <col min="204" max="204" width="20.140625" bestFit="1" customWidth="1"/>
    <col min="205" max="205" width="19.7109375" bestFit="1" customWidth="1"/>
    <col min="206" max="206" width="20.85546875" bestFit="1" customWidth="1"/>
    <col min="207" max="207" width="20.140625" bestFit="1" customWidth="1"/>
    <col min="208" max="208" width="19.7109375" bestFit="1" customWidth="1"/>
    <col min="209" max="209" width="20.85546875" bestFit="1" customWidth="1"/>
    <col min="210" max="210" width="20.140625" bestFit="1" customWidth="1"/>
    <col min="211" max="211" width="19.7109375" bestFit="1" customWidth="1"/>
    <col min="212" max="212" width="20.85546875" bestFit="1" customWidth="1"/>
    <col min="213" max="213" width="20.140625" bestFit="1" customWidth="1"/>
    <col min="214" max="214" width="19.7109375" bestFit="1" customWidth="1"/>
    <col min="215" max="215" width="20.85546875" bestFit="1" customWidth="1"/>
    <col min="216" max="216" width="20.140625" bestFit="1" customWidth="1"/>
    <col min="217" max="217" width="19.7109375" bestFit="1" customWidth="1"/>
    <col min="218" max="218" width="20.85546875" bestFit="1" customWidth="1"/>
    <col min="219" max="219" width="20.140625" bestFit="1" customWidth="1"/>
    <col min="220" max="220" width="19.7109375" bestFit="1" customWidth="1"/>
    <col min="221" max="221" width="20.85546875" bestFit="1" customWidth="1"/>
    <col min="222" max="222" width="20.140625" bestFit="1" customWidth="1"/>
    <col min="223" max="223" width="19.7109375" bestFit="1" customWidth="1"/>
    <col min="224" max="224" width="20.85546875" bestFit="1" customWidth="1"/>
    <col min="225" max="225" width="20.140625" bestFit="1" customWidth="1"/>
    <col min="226" max="226" width="19.7109375" bestFit="1" customWidth="1"/>
    <col min="227" max="227" width="20.85546875" bestFit="1" customWidth="1"/>
    <col min="228" max="228" width="20.140625" bestFit="1" customWidth="1"/>
    <col min="229" max="229" width="19.7109375" bestFit="1" customWidth="1"/>
    <col min="230" max="230" width="20.85546875" bestFit="1" customWidth="1"/>
    <col min="231" max="231" width="20.140625" bestFit="1" customWidth="1"/>
    <col min="232" max="232" width="19.7109375" bestFit="1" customWidth="1"/>
    <col min="233" max="233" width="20.85546875" bestFit="1" customWidth="1"/>
    <col min="234" max="234" width="20.140625" bestFit="1" customWidth="1"/>
    <col min="235" max="235" width="19.7109375" bestFit="1" customWidth="1"/>
    <col min="236" max="236" width="20.85546875" bestFit="1" customWidth="1"/>
    <col min="237" max="237" width="20.140625" bestFit="1" customWidth="1"/>
    <col min="238" max="238" width="19.7109375" bestFit="1" customWidth="1"/>
    <col min="239" max="239" width="20.85546875" bestFit="1" customWidth="1"/>
    <col min="240" max="240" width="20.140625" bestFit="1" customWidth="1"/>
    <col min="241" max="241" width="19.7109375" bestFit="1" customWidth="1"/>
    <col min="242" max="242" width="20.85546875" bestFit="1" customWidth="1"/>
    <col min="243" max="243" width="20.140625" bestFit="1" customWidth="1"/>
    <col min="244" max="244" width="19.7109375" bestFit="1" customWidth="1"/>
    <col min="245" max="245" width="20.85546875" bestFit="1" customWidth="1"/>
    <col min="246" max="246" width="20.140625" bestFit="1" customWidth="1"/>
    <col min="247" max="247" width="19.7109375" bestFit="1" customWidth="1"/>
    <col min="248" max="248" width="20.85546875" bestFit="1" customWidth="1"/>
    <col min="249" max="249" width="20.140625" bestFit="1" customWidth="1"/>
    <col min="250" max="250" width="19.7109375" bestFit="1" customWidth="1"/>
    <col min="251" max="251" width="20.85546875" bestFit="1" customWidth="1"/>
    <col min="252" max="252" width="20.140625" bestFit="1" customWidth="1"/>
    <col min="253" max="253" width="19.7109375" bestFit="1" customWidth="1"/>
    <col min="254" max="254" width="20.85546875" bestFit="1" customWidth="1"/>
    <col min="255" max="255" width="20.140625" bestFit="1" customWidth="1"/>
    <col min="256" max="256" width="19.7109375" bestFit="1" customWidth="1"/>
    <col min="257" max="257" width="20.85546875" bestFit="1" customWidth="1"/>
    <col min="258" max="258" width="20.140625" bestFit="1" customWidth="1"/>
    <col min="259" max="259" width="19.7109375" bestFit="1" customWidth="1"/>
    <col min="260" max="260" width="20.85546875" bestFit="1" customWidth="1"/>
    <col min="261" max="261" width="20.140625" bestFit="1" customWidth="1"/>
    <col min="262" max="262" width="19.7109375" bestFit="1" customWidth="1"/>
    <col min="263" max="263" width="20.85546875" bestFit="1" customWidth="1"/>
    <col min="264" max="264" width="20.140625" bestFit="1" customWidth="1"/>
    <col min="265" max="265" width="19.7109375" bestFit="1" customWidth="1"/>
    <col min="266" max="266" width="20.85546875" bestFit="1" customWidth="1"/>
    <col min="267" max="267" width="20.140625" bestFit="1" customWidth="1"/>
    <col min="268" max="268" width="19.7109375" bestFit="1" customWidth="1"/>
    <col min="269" max="269" width="20.85546875" bestFit="1" customWidth="1"/>
    <col min="270" max="270" width="20.140625" bestFit="1" customWidth="1"/>
    <col min="271" max="271" width="19.7109375" bestFit="1" customWidth="1"/>
    <col min="272" max="272" width="20.85546875" bestFit="1" customWidth="1"/>
    <col min="273" max="273" width="20.140625" bestFit="1" customWidth="1"/>
    <col min="274" max="274" width="19.7109375" bestFit="1" customWidth="1"/>
    <col min="275" max="275" width="20.85546875" bestFit="1" customWidth="1"/>
    <col min="276" max="276" width="20.140625" bestFit="1" customWidth="1"/>
    <col min="277" max="277" width="19.7109375" bestFit="1" customWidth="1"/>
    <col min="278" max="278" width="20.85546875" bestFit="1" customWidth="1"/>
    <col min="279" max="279" width="20.140625" bestFit="1" customWidth="1"/>
    <col min="280" max="280" width="19.7109375" bestFit="1" customWidth="1"/>
    <col min="281" max="281" width="20.85546875" bestFit="1" customWidth="1"/>
    <col min="282" max="282" width="20.140625" bestFit="1" customWidth="1"/>
    <col min="283" max="283" width="19.7109375" bestFit="1" customWidth="1"/>
    <col min="284" max="284" width="20.85546875" bestFit="1" customWidth="1"/>
    <col min="285" max="285" width="20.140625" bestFit="1" customWidth="1"/>
    <col min="286" max="286" width="19.7109375" bestFit="1" customWidth="1"/>
    <col min="287" max="287" width="20.85546875" bestFit="1" customWidth="1"/>
    <col min="288" max="288" width="20.140625" bestFit="1" customWidth="1"/>
    <col min="289" max="289" width="19.7109375" bestFit="1" customWidth="1"/>
    <col min="290" max="290" width="20.85546875" bestFit="1" customWidth="1"/>
    <col min="291" max="291" width="20.140625" bestFit="1" customWidth="1"/>
    <col min="292" max="292" width="19.7109375" bestFit="1" customWidth="1"/>
    <col min="293" max="293" width="20.85546875" bestFit="1" customWidth="1"/>
    <col min="294" max="294" width="20.140625" bestFit="1" customWidth="1"/>
    <col min="295" max="295" width="19.7109375" bestFit="1" customWidth="1"/>
    <col min="296" max="296" width="20.85546875" bestFit="1" customWidth="1"/>
    <col min="297" max="297" width="20.140625" bestFit="1" customWidth="1"/>
    <col min="298" max="298" width="19.7109375" bestFit="1" customWidth="1"/>
    <col min="299" max="299" width="20.85546875" bestFit="1" customWidth="1"/>
    <col min="300" max="300" width="20.140625" bestFit="1" customWidth="1"/>
    <col min="301" max="301" width="19.7109375" bestFit="1" customWidth="1"/>
    <col min="302" max="302" width="20.85546875" bestFit="1" customWidth="1"/>
    <col min="303" max="303" width="20.140625" bestFit="1" customWidth="1"/>
    <col min="304" max="304" width="19.7109375" bestFit="1" customWidth="1"/>
    <col min="305" max="305" width="20.85546875" bestFit="1" customWidth="1"/>
    <col min="306" max="306" width="20.140625" bestFit="1" customWidth="1"/>
    <col min="307" max="307" width="19.7109375" bestFit="1" customWidth="1"/>
    <col min="308" max="308" width="20.85546875" bestFit="1" customWidth="1"/>
    <col min="309" max="309" width="20.140625" bestFit="1" customWidth="1"/>
    <col min="310" max="310" width="19.7109375" bestFit="1" customWidth="1"/>
    <col min="311" max="311" width="20.85546875" bestFit="1" customWidth="1"/>
    <col min="312" max="312" width="20.140625" bestFit="1" customWidth="1"/>
    <col min="313" max="313" width="19.7109375" bestFit="1" customWidth="1"/>
    <col min="314" max="314" width="20.85546875" bestFit="1" customWidth="1"/>
    <col min="315" max="315" width="20.140625" bestFit="1" customWidth="1"/>
    <col min="316" max="316" width="19.7109375" bestFit="1" customWidth="1"/>
    <col min="317" max="317" width="20.85546875" bestFit="1" customWidth="1"/>
    <col min="318" max="318" width="20.140625" bestFit="1" customWidth="1"/>
    <col min="319" max="319" width="19.7109375" bestFit="1" customWidth="1"/>
    <col min="320" max="320" width="20.85546875" bestFit="1" customWidth="1"/>
    <col min="321" max="321" width="20.140625" bestFit="1" customWidth="1"/>
    <col min="322" max="322" width="19.7109375" bestFit="1" customWidth="1"/>
    <col min="323" max="323" width="20.85546875" bestFit="1" customWidth="1"/>
    <col min="324" max="324" width="20.140625" bestFit="1" customWidth="1"/>
    <col min="325" max="325" width="19.7109375" bestFit="1" customWidth="1"/>
    <col min="326" max="326" width="20.85546875" bestFit="1" customWidth="1"/>
    <col min="327" max="327" width="20.140625" bestFit="1" customWidth="1"/>
    <col min="328" max="328" width="19.7109375" bestFit="1" customWidth="1"/>
    <col min="329" max="329" width="20.85546875" bestFit="1" customWidth="1"/>
    <col min="330" max="330" width="20.140625" bestFit="1" customWidth="1"/>
    <col min="331" max="331" width="19.7109375" bestFit="1" customWidth="1"/>
    <col min="332" max="332" width="20.85546875" bestFit="1" customWidth="1"/>
    <col min="333" max="333" width="20.140625" bestFit="1" customWidth="1"/>
    <col min="334" max="334" width="19.7109375" bestFit="1" customWidth="1"/>
    <col min="335" max="335" width="20.85546875" bestFit="1" customWidth="1"/>
    <col min="336" max="336" width="20.140625" bestFit="1" customWidth="1"/>
    <col min="337" max="337" width="19.7109375" bestFit="1" customWidth="1"/>
    <col min="338" max="338" width="20.85546875" bestFit="1" customWidth="1"/>
    <col min="339" max="339" width="20.140625" bestFit="1" customWidth="1"/>
    <col min="340" max="340" width="19.7109375" bestFit="1" customWidth="1"/>
    <col min="341" max="341" width="20.85546875" bestFit="1" customWidth="1"/>
    <col min="342" max="342" width="20.140625" bestFit="1" customWidth="1"/>
    <col min="343" max="343" width="19.7109375" bestFit="1" customWidth="1"/>
    <col min="344" max="344" width="20.85546875" bestFit="1" customWidth="1"/>
    <col min="345" max="345" width="20.140625" bestFit="1" customWidth="1"/>
    <col min="346" max="346" width="19.7109375" bestFit="1" customWidth="1"/>
    <col min="347" max="347" width="20.85546875" bestFit="1" customWidth="1"/>
    <col min="348" max="348" width="20.140625" bestFit="1" customWidth="1"/>
    <col min="349" max="349" width="19.7109375" bestFit="1" customWidth="1"/>
    <col min="350" max="350" width="20.85546875" bestFit="1" customWidth="1"/>
    <col min="351" max="351" width="20.140625" bestFit="1" customWidth="1"/>
    <col min="352" max="352" width="19.7109375" bestFit="1" customWidth="1"/>
    <col min="353" max="353" width="20.85546875" bestFit="1" customWidth="1"/>
    <col min="354" max="354" width="20.140625" bestFit="1" customWidth="1"/>
    <col min="355" max="355" width="19.7109375" bestFit="1" customWidth="1"/>
    <col min="356" max="356" width="20.85546875" bestFit="1" customWidth="1"/>
    <col min="357" max="357" width="20.140625" bestFit="1" customWidth="1"/>
    <col min="358" max="358" width="19.7109375" bestFit="1" customWidth="1"/>
    <col min="359" max="359" width="20.85546875" bestFit="1" customWidth="1"/>
    <col min="360" max="360" width="20.140625" bestFit="1" customWidth="1"/>
    <col min="361" max="361" width="19.7109375" bestFit="1" customWidth="1"/>
    <col min="362" max="362" width="20.85546875" bestFit="1" customWidth="1"/>
    <col min="363" max="363" width="20.140625" bestFit="1" customWidth="1"/>
    <col min="364" max="364" width="19.7109375" bestFit="1" customWidth="1"/>
    <col min="365" max="365" width="20.85546875" bestFit="1" customWidth="1"/>
    <col min="366" max="366" width="20.140625" bestFit="1" customWidth="1"/>
    <col min="367" max="367" width="19.7109375" bestFit="1" customWidth="1"/>
    <col min="368" max="368" width="20.85546875" bestFit="1" customWidth="1"/>
    <col min="369" max="369" width="20.140625" bestFit="1" customWidth="1"/>
    <col min="370" max="370" width="19.7109375" bestFit="1" customWidth="1"/>
    <col min="371" max="371" width="20.85546875" bestFit="1" customWidth="1"/>
    <col min="372" max="372" width="20.140625" bestFit="1" customWidth="1"/>
    <col min="373" max="373" width="19.7109375" bestFit="1" customWidth="1"/>
    <col min="374" max="374" width="20.85546875" bestFit="1" customWidth="1"/>
    <col min="375" max="375" width="20.140625" bestFit="1" customWidth="1"/>
    <col min="376" max="376" width="19.7109375" bestFit="1" customWidth="1"/>
    <col min="377" max="377" width="20.85546875" bestFit="1" customWidth="1"/>
    <col min="378" max="378" width="20.140625" bestFit="1" customWidth="1"/>
    <col min="379" max="379" width="19.7109375" bestFit="1" customWidth="1"/>
    <col min="380" max="380" width="20.85546875" bestFit="1" customWidth="1"/>
    <col min="381" max="381" width="20.140625" bestFit="1" customWidth="1"/>
    <col min="382" max="382" width="19.7109375" bestFit="1" customWidth="1"/>
    <col min="383" max="383" width="20.85546875" bestFit="1" customWidth="1"/>
    <col min="384" max="384" width="20.140625" bestFit="1" customWidth="1"/>
    <col min="385" max="385" width="19.7109375" bestFit="1" customWidth="1"/>
    <col min="386" max="386" width="20.85546875" bestFit="1" customWidth="1"/>
    <col min="387" max="387" width="20.140625" bestFit="1" customWidth="1"/>
    <col min="388" max="388" width="19.7109375" bestFit="1" customWidth="1"/>
    <col min="389" max="389" width="20.85546875" bestFit="1" customWidth="1"/>
    <col min="390" max="390" width="20.140625" bestFit="1" customWidth="1"/>
    <col min="391" max="391" width="19.7109375" bestFit="1" customWidth="1"/>
    <col min="392" max="392" width="20.85546875" bestFit="1" customWidth="1"/>
    <col min="393" max="393" width="20.140625" bestFit="1" customWidth="1"/>
    <col min="394" max="394" width="19.7109375" bestFit="1" customWidth="1"/>
    <col min="395" max="395" width="20.85546875" bestFit="1" customWidth="1"/>
    <col min="396" max="396" width="20.140625" bestFit="1" customWidth="1"/>
    <col min="397" max="397" width="19.7109375" bestFit="1" customWidth="1"/>
    <col min="398" max="398" width="20.85546875" bestFit="1" customWidth="1"/>
    <col min="399" max="399" width="20.140625" bestFit="1" customWidth="1"/>
    <col min="400" max="400" width="19.7109375" bestFit="1" customWidth="1"/>
    <col min="401" max="401" width="20.85546875" bestFit="1" customWidth="1"/>
    <col min="402" max="402" width="20.140625" bestFit="1" customWidth="1"/>
    <col min="403" max="403" width="19.7109375" bestFit="1" customWidth="1"/>
    <col min="404" max="404" width="20.85546875" bestFit="1" customWidth="1"/>
    <col min="405" max="405" width="20.140625" bestFit="1" customWidth="1"/>
    <col min="406" max="406" width="19.7109375" bestFit="1" customWidth="1"/>
    <col min="407" max="407" width="20.85546875" bestFit="1" customWidth="1"/>
    <col min="408" max="408" width="20.140625" bestFit="1" customWidth="1"/>
    <col min="409" max="409" width="19.7109375" bestFit="1" customWidth="1"/>
    <col min="410" max="410" width="20.85546875" bestFit="1" customWidth="1"/>
    <col min="411" max="411" width="20.140625" bestFit="1" customWidth="1"/>
    <col min="412" max="412" width="19.7109375" bestFit="1" customWidth="1"/>
    <col min="413" max="413" width="20.85546875" bestFit="1" customWidth="1"/>
    <col min="414" max="414" width="20.140625" bestFit="1" customWidth="1"/>
    <col min="415" max="415" width="19.7109375" bestFit="1" customWidth="1"/>
    <col min="416" max="416" width="20.85546875" bestFit="1" customWidth="1"/>
    <col min="417" max="417" width="20.140625" bestFit="1" customWidth="1"/>
    <col min="418" max="418" width="19.7109375" bestFit="1" customWidth="1"/>
    <col min="419" max="419" width="20.85546875" bestFit="1" customWidth="1"/>
    <col min="420" max="420" width="20.140625" bestFit="1" customWidth="1"/>
    <col min="421" max="421" width="19.7109375" bestFit="1" customWidth="1"/>
    <col min="422" max="422" width="20.85546875" bestFit="1" customWidth="1"/>
    <col min="423" max="423" width="20.140625" bestFit="1" customWidth="1"/>
    <col min="424" max="424" width="19.7109375" bestFit="1" customWidth="1"/>
    <col min="425" max="425" width="20.85546875" bestFit="1" customWidth="1"/>
    <col min="426" max="426" width="20.140625" bestFit="1" customWidth="1"/>
    <col min="427" max="427" width="19.7109375" bestFit="1" customWidth="1"/>
    <col min="428" max="428" width="20.85546875" bestFit="1" customWidth="1"/>
    <col min="429" max="429" width="20.140625" bestFit="1" customWidth="1"/>
    <col min="430" max="430" width="19.7109375" bestFit="1" customWidth="1"/>
    <col min="431" max="431" width="20.85546875" bestFit="1" customWidth="1"/>
    <col min="432" max="432" width="20.140625" bestFit="1" customWidth="1"/>
    <col min="433" max="433" width="19.7109375" bestFit="1" customWidth="1"/>
    <col min="434" max="434" width="20.85546875" bestFit="1" customWidth="1"/>
    <col min="435" max="435" width="20.140625" bestFit="1" customWidth="1"/>
    <col min="436" max="436" width="19.7109375" bestFit="1" customWidth="1"/>
    <col min="437" max="437" width="20.85546875" bestFit="1" customWidth="1"/>
    <col min="438" max="438" width="20.140625" bestFit="1" customWidth="1"/>
    <col min="439" max="439" width="19.7109375" bestFit="1" customWidth="1"/>
    <col min="440" max="440" width="20.85546875" bestFit="1" customWidth="1"/>
    <col min="441" max="441" width="20.140625" bestFit="1" customWidth="1"/>
    <col min="442" max="442" width="19.7109375" bestFit="1" customWidth="1"/>
    <col min="443" max="443" width="20.85546875" bestFit="1" customWidth="1"/>
    <col min="444" max="444" width="20.140625" bestFit="1" customWidth="1"/>
    <col min="445" max="445" width="19.7109375" bestFit="1" customWidth="1"/>
    <col min="446" max="446" width="20.85546875" bestFit="1" customWidth="1"/>
    <col min="447" max="447" width="20.140625" bestFit="1" customWidth="1"/>
    <col min="448" max="448" width="19.7109375" bestFit="1" customWidth="1"/>
    <col min="449" max="449" width="20.85546875" bestFit="1" customWidth="1"/>
    <col min="450" max="450" width="20.140625" bestFit="1" customWidth="1"/>
    <col min="451" max="451" width="19.7109375" bestFit="1" customWidth="1"/>
    <col min="452" max="452" width="20.85546875" bestFit="1" customWidth="1"/>
    <col min="453" max="453" width="20.140625" bestFit="1" customWidth="1"/>
    <col min="454" max="454" width="19.7109375" bestFit="1" customWidth="1"/>
    <col min="455" max="455" width="20.85546875" bestFit="1" customWidth="1"/>
    <col min="456" max="456" width="20.140625" bestFit="1" customWidth="1"/>
    <col min="457" max="457" width="19.7109375" bestFit="1" customWidth="1"/>
    <col min="458" max="458" width="20.85546875" bestFit="1" customWidth="1"/>
    <col min="459" max="459" width="20.140625" bestFit="1" customWidth="1"/>
    <col min="460" max="460" width="19.7109375" bestFit="1" customWidth="1"/>
    <col min="461" max="461" width="20.85546875" bestFit="1" customWidth="1"/>
    <col min="462" max="462" width="20.140625" bestFit="1" customWidth="1"/>
    <col min="463" max="463" width="19.7109375" bestFit="1" customWidth="1"/>
    <col min="464" max="464" width="20.85546875" bestFit="1" customWidth="1"/>
    <col min="465" max="465" width="20.140625" bestFit="1" customWidth="1"/>
    <col min="466" max="466" width="19.7109375" bestFit="1" customWidth="1"/>
    <col min="467" max="467" width="20.85546875" bestFit="1" customWidth="1"/>
    <col min="468" max="468" width="20.140625" bestFit="1" customWidth="1"/>
    <col min="469" max="469" width="19.7109375" bestFit="1" customWidth="1"/>
    <col min="470" max="470" width="20.85546875" bestFit="1" customWidth="1"/>
    <col min="471" max="471" width="20.140625" bestFit="1" customWidth="1"/>
    <col min="472" max="472" width="19.7109375" bestFit="1" customWidth="1"/>
    <col min="473" max="473" width="20.85546875" bestFit="1" customWidth="1"/>
    <col min="474" max="474" width="20.140625" bestFit="1" customWidth="1"/>
    <col min="475" max="475" width="19.7109375" bestFit="1" customWidth="1"/>
    <col min="476" max="476" width="20.85546875" bestFit="1" customWidth="1"/>
    <col min="477" max="477" width="20.140625" bestFit="1" customWidth="1"/>
    <col min="478" max="478" width="19.7109375" bestFit="1" customWidth="1"/>
    <col min="479" max="479" width="20.85546875" bestFit="1" customWidth="1"/>
    <col min="480" max="480" width="20.140625" bestFit="1" customWidth="1"/>
    <col min="481" max="481" width="19.7109375" bestFit="1" customWidth="1"/>
    <col min="482" max="482" width="20.85546875" bestFit="1" customWidth="1"/>
    <col min="483" max="483" width="20.140625" bestFit="1" customWidth="1"/>
    <col min="484" max="484" width="19.7109375" bestFit="1" customWidth="1"/>
    <col min="485" max="485" width="20.85546875" bestFit="1" customWidth="1"/>
    <col min="486" max="486" width="20.140625" bestFit="1" customWidth="1"/>
    <col min="487" max="487" width="19.7109375" bestFit="1" customWidth="1"/>
    <col min="488" max="488" width="20.85546875" bestFit="1" customWidth="1"/>
    <col min="489" max="489" width="20.140625" bestFit="1" customWidth="1"/>
    <col min="490" max="490" width="19.7109375" bestFit="1" customWidth="1"/>
    <col min="491" max="491" width="20.85546875" bestFit="1" customWidth="1"/>
    <col min="492" max="492" width="20.140625" bestFit="1" customWidth="1"/>
    <col min="493" max="493" width="19.7109375" bestFit="1" customWidth="1"/>
    <col min="494" max="494" width="20.85546875" bestFit="1" customWidth="1"/>
    <col min="495" max="495" width="20.140625" bestFit="1" customWidth="1"/>
    <col min="496" max="496" width="19.7109375" bestFit="1" customWidth="1"/>
    <col min="497" max="497" width="20.85546875" bestFit="1" customWidth="1"/>
    <col min="498" max="498" width="20.140625" bestFit="1" customWidth="1"/>
    <col min="499" max="499" width="19.7109375" bestFit="1" customWidth="1"/>
    <col min="500" max="500" width="20.85546875" bestFit="1" customWidth="1"/>
    <col min="501" max="501" width="20.140625" bestFit="1" customWidth="1"/>
    <col min="502" max="502" width="19.7109375" bestFit="1" customWidth="1"/>
    <col min="503" max="503" width="20.85546875" bestFit="1" customWidth="1"/>
    <col min="504" max="504" width="20.140625" bestFit="1" customWidth="1"/>
    <col min="505" max="505" width="19.7109375" bestFit="1" customWidth="1"/>
    <col min="506" max="506" width="20.85546875" bestFit="1" customWidth="1"/>
    <col min="507" max="507" width="20.140625" bestFit="1" customWidth="1"/>
    <col min="508" max="508" width="19.7109375" bestFit="1" customWidth="1"/>
    <col min="509" max="509" width="20.85546875" bestFit="1" customWidth="1"/>
    <col min="510" max="510" width="20.140625" bestFit="1" customWidth="1"/>
    <col min="511" max="511" width="19.7109375" bestFit="1" customWidth="1"/>
    <col min="512" max="512" width="20.85546875" bestFit="1" customWidth="1"/>
    <col min="513" max="513" width="20.140625" bestFit="1" customWidth="1"/>
    <col min="514" max="514" width="19.7109375" bestFit="1" customWidth="1"/>
    <col min="515" max="515" width="20.85546875" bestFit="1" customWidth="1"/>
    <col min="516" max="516" width="20.140625" bestFit="1" customWidth="1"/>
    <col min="517" max="517" width="19.7109375" bestFit="1" customWidth="1"/>
    <col min="518" max="518" width="20.85546875" bestFit="1" customWidth="1"/>
    <col min="519" max="519" width="20.140625" bestFit="1" customWidth="1"/>
    <col min="520" max="520" width="19.7109375" bestFit="1" customWidth="1"/>
    <col min="521" max="521" width="20.85546875" bestFit="1" customWidth="1"/>
    <col min="522" max="522" width="20.140625" bestFit="1" customWidth="1"/>
    <col min="523" max="523" width="19.7109375" bestFit="1" customWidth="1"/>
    <col min="524" max="524" width="20.85546875" bestFit="1" customWidth="1"/>
    <col min="525" max="525" width="20.140625" bestFit="1" customWidth="1"/>
    <col min="526" max="526" width="19.7109375" bestFit="1" customWidth="1"/>
    <col min="527" max="527" width="20.85546875" bestFit="1" customWidth="1"/>
    <col min="528" max="528" width="20.140625" bestFit="1" customWidth="1"/>
    <col min="529" max="529" width="19.7109375" bestFit="1" customWidth="1"/>
    <col min="530" max="530" width="20.85546875" bestFit="1" customWidth="1"/>
    <col min="531" max="531" width="20.140625" bestFit="1" customWidth="1"/>
    <col min="532" max="532" width="19.7109375" bestFit="1" customWidth="1"/>
    <col min="533" max="533" width="20.85546875" bestFit="1" customWidth="1"/>
    <col min="534" max="534" width="20.140625" bestFit="1" customWidth="1"/>
    <col min="535" max="535" width="19.7109375" bestFit="1" customWidth="1"/>
    <col min="536" max="536" width="20.85546875" bestFit="1" customWidth="1"/>
    <col min="537" max="537" width="20.140625" bestFit="1" customWidth="1"/>
    <col min="538" max="538" width="19.7109375" bestFit="1" customWidth="1"/>
    <col min="539" max="539" width="20.85546875" bestFit="1" customWidth="1"/>
    <col min="540" max="540" width="20.140625" bestFit="1" customWidth="1"/>
    <col min="541" max="541" width="19.7109375" bestFit="1" customWidth="1"/>
    <col min="542" max="542" width="20.85546875" bestFit="1" customWidth="1"/>
    <col min="543" max="543" width="20.140625" bestFit="1" customWidth="1"/>
    <col min="544" max="544" width="19.7109375" bestFit="1" customWidth="1"/>
    <col min="545" max="545" width="20.85546875" bestFit="1" customWidth="1"/>
    <col min="546" max="546" width="20.140625" bestFit="1" customWidth="1"/>
    <col min="547" max="547" width="19.7109375" bestFit="1" customWidth="1"/>
    <col min="548" max="548" width="20.85546875" bestFit="1" customWidth="1"/>
    <col min="549" max="549" width="20.140625" bestFit="1" customWidth="1"/>
    <col min="550" max="550" width="24.85546875" bestFit="1" customWidth="1"/>
    <col min="551" max="551" width="26.28515625" bestFit="1" customWidth="1"/>
    <col min="552" max="552" width="25.42578125" bestFit="1" customWidth="1"/>
  </cols>
  <sheetData>
    <row r="1" spans="1:7">
      <c r="A1" s="9" t="s">
        <v>4135</v>
      </c>
    </row>
    <row r="2" spans="1:7">
      <c r="A2" s="7" t="s">
        <v>6</v>
      </c>
      <c r="B2" t="s">
        <v>4136</v>
      </c>
      <c r="C2" t="s">
        <v>4137</v>
      </c>
      <c r="D2" t="s">
        <v>4138</v>
      </c>
      <c r="E2" t="s">
        <v>4139</v>
      </c>
      <c r="F2" t="s">
        <v>4140</v>
      </c>
      <c r="G2" t="s">
        <v>4141</v>
      </c>
    </row>
    <row r="3" spans="1:7">
      <c r="A3" s="10" t="s">
        <v>78</v>
      </c>
      <c r="B3" s="6">
        <v>2204500</v>
      </c>
      <c r="C3" s="6">
        <v>2059110</v>
      </c>
      <c r="D3" s="6">
        <v>49199</v>
      </c>
      <c r="E3" s="17">
        <v>2.3937049834470876E-2</v>
      </c>
      <c r="F3" s="17">
        <v>0.93375047051168836</v>
      </c>
      <c r="G3" s="15">
        <v>79.199999999999989</v>
      </c>
    </row>
    <row r="4" spans="1:7">
      <c r="A4" s="10" t="s">
        <v>790</v>
      </c>
      <c r="B4" s="6">
        <v>2213150</v>
      </c>
      <c r="C4" s="6">
        <v>2066070</v>
      </c>
      <c r="D4" s="6">
        <v>53056</v>
      </c>
      <c r="E4" s="17">
        <v>2.5725993707377128E-2</v>
      </c>
      <c r="F4" s="17">
        <v>0.93252682598090608</v>
      </c>
      <c r="G4" s="15">
        <v>84.916666666666714</v>
      </c>
    </row>
    <row r="5" spans="1:7">
      <c r="A5" s="10" t="s">
        <v>1459</v>
      </c>
      <c r="B5" s="6">
        <v>2234830</v>
      </c>
      <c r="C5" s="6">
        <v>2096700</v>
      </c>
      <c r="D5" s="6">
        <v>52334</v>
      </c>
      <c r="E5" s="17">
        <v>2.4853197812754798E-2</v>
      </c>
      <c r="F5" s="17">
        <v>0.93699485978404995</v>
      </c>
      <c r="G5" s="15">
        <v>86.216666666666598</v>
      </c>
    </row>
    <row r="6" spans="1:7">
      <c r="A6" s="10" t="s">
        <v>2128</v>
      </c>
      <c r="B6" s="6">
        <v>2240760</v>
      </c>
      <c r="C6" s="6">
        <v>2088630</v>
      </c>
      <c r="D6" s="6">
        <v>70102</v>
      </c>
      <c r="E6" s="17">
        <v>3.4713629740145011E-2</v>
      </c>
      <c r="F6" s="17">
        <v>0.93167163572283074</v>
      </c>
      <c r="G6" s="15">
        <v>95.31666666666672</v>
      </c>
    </row>
    <row r="7" spans="1:7">
      <c r="A7" s="10" t="s">
        <v>2816</v>
      </c>
      <c r="B7" s="6">
        <v>2178630</v>
      </c>
      <c r="C7" s="6">
        <v>2042700</v>
      </c>
      <c r="D7" s="6">
        <v>66815</v>
      </c>
      <c r="E7" s="17">
        <v>3.4210621599150309E-2</v>
      </c>
      <c r="F7" s="17">
        <v>0.93634096892794449</v>
      </c>
      <c r="G7" s="15">
        <v>86.350000000000051</v>
      </c>
    </row>
    <row r="8" spans="1:7">
      <c r="A8" s="10" t="s">
        <v>64</v>
      </c>
      <c r="B8" s="6">
        <v>2153940</v>
      </c>
      <c r="C8" s="6">
        <v>2020610</v>
      </c>
      <c r="D8" s="6">
        <v>70000</v>
      </c>
      <c r="E8" s="17">
        <v>3.5359208457764413E-2</v>
      </c>
      <c r="F8" s="17">
        <v>0.936203236287802</v>
      </c>
      <c r="G8" s="15">
        <v>79.6666666666667</v>
      </c>
    </row>
    <row r="9" spans="1:7">
      <c r="A9" s="9" t="s">
        <v>4142</v>
      </c>
      <c r="B9" s="6">
        <v>13225810</v>
      </c>
      <c r="C9" s="6">
        <v>12373820</v>
      </c>
      <c r="D9" s="6">
        <v>361506</v>
      </c>
      <c r="E9" s="17">
        <v>2.9820767340482026E-2</v>
      </c>
      <c r="F9" s="31">
        <v>0.93456498629083218</v>
      </c>
      <c r="G9" s="15">
        <v>511.66666666666578</v>
      </c>
    </row>
    <row r="10" spans="1:7">
      <c r="A10"/>
    </row>
    <row r="11" spans="1:7">
      <c r="A11"/>
    </row>
    <row r="12" spans="1:7">
      <c r="A12"/>
    </row>
    <row r="13" spans="1:7">
      <c r="A13"/>
    </row>
    <row r="14" spans="1:7">
      <c r="A14" s="20" t="s">
        <v>4143</v>
      </c>
      <c r="B14" s="21"/>
    </row>
    <row r="15" spans="1:7" s="16" customFormat="1">
      <c r="A15" s="22" t="s">
        <v>4144</v>
      </c>
      <c r="B15" s="22"/>
      <c r="C15" s="22"/>
      <c r="D15" s="22"/>
      <c r="E15" s="39"/>
      <c r="F15" s="39"/>
      <c r="G15" s="39"/>
    </row>
    <row r="16" spans="1:7">
      <c r="A16" cm="1">
        <f t="array" ref="A16">SUMPRODUCT(Data!AE2:AE2001 &lt;&gt; Data!AB2:AB2001 + Data!R2:R2001 -Data!S2:S2001 -Data!AD2:AD2001)</f>
        <v>0</v>
      </c>
    </row>
    <row r="17" spans="1:3">
      <c r="A17"/>
    </row>
    <row r="18" spans="1:3">
      <c r="A18" s="23" t="s">
        <v>4145</v>
      </c>
      <c r="B18" s="23"/>
      <c r="C18" s="23"/>
    </row>
    <row r="19" spans="1:3">
      <c r="A19" cm="1">
        <f t="array" ref="A19">SUMPRODUCT(--(Data!S2:S2001 &gt; Data!R2:R2001))</f>
        <v>0</v>
      </c>
    </row>
    <row r="20" spans="1:3">
      <c r="A20"/>
    </row>
    <row r="21" spans="1:3" s="23" customFormat="1">
      <c r="A21" s="23" t="s">
        <v>4146</v>
      </c>
    </row>
    <row r="22" spans="1:3">
      <c r="A22" cm="1">
        <f t="array" ref="A22">SUMPRODUCT(--(Data!P2:P2001 &gt;Data!O2:O2001) )</f>
        <v>0</v>
      </c>
    </row>
    <row r="23" spans="1:3">
      <c r="A23"/>
    </row>
    <row r="24" spans="1:3" s="23" customFormat="1">
      <c r="A24" s="23" t="s">
        <v>4147</v>
      </c>
    </row>
    <row r="25" spans="1:3">
      <c r="A25" cm="1">
        <f t="array" ref="A25">SUMPRODUCT(--(COUNTIF(Data!A2:A2001,Data!A2:A2001)&gt;1))</f>
        <v>0</v>
      </c>
    </row>
    <row r="26" spans="1:3">
      <c r="A26"/>
    </row>
    <row r="27" spans="1:3" s="23" customFormat="1">
      <c r="A27" s="23" t="s">
        <v>4148</v>
      </c>
    </row>
    <row r="28" spans="1:3">
      <c r="A28" cm="1">
        <f t="array" ref="A28">SUMPRODUCT(--(COUNTIF(Data!L2:L2001,Data!L2:L2001)&gt;1))</f>
        <v>0</v>
      </c>
    </row>
    <row r="29" spans="1:3">
      <c r="A29"/>
    </row>
    <row r="30" spans="1:3">
      <c r="A30"/>
    </row>
    <row r="31" spans="1:3">
      <c r="A31"/>
    </row>
    <row r="32" spans="1:3" s="23" customFormat="1">
      <c r="A32" s="24" t="s">
        <v>4149</v>
      </c>
    </row>
    <row r="33" spans="1:7" s="23" customFormat="1">
      <c r="A33" s="24"/>
    </row>
    <row r="34" spans="1:7" s="23" customFormat="1">
      <c r="A34" s="24"/>
    </row>
    <row r="35" spans="1:7">
      <c r="A35" s="7" t="s">
        <v>4139</v>
      </c>
      <c r="C35" s="7" t="s">
        <v>12</v>
      </c>
    </row>
    <row r="36" spans="1:7">
      <c r="A36" s="7" t="s">
        <v>58</v>
      </c>
      <c r="B36" s="7" t="s">
        <v>6</v>
      </c>
      <c r="C36" t="s">
        <v>195</v>
      </c>
      <c r="D36" t="s">
        <v>67</v>
      </c>
      <c r="E36" t="s">
        <v>174</v>
      </c>
      <c r="F36" t="s">
        <v>81</v>
      </c>
      <c r="G36" t="s">
        <v>4142</v>
      </c>
    </row>
    <row r="37" spans="1:7">
      <c r="A37">
        <v>4</v>
      </c>
      <c r="B37" t="s">
        <v>78</v>
      </c>
      <c r="C37" s="17">
        <v>2.3400662550517683E-2</v>
      </c>
      <c r="D37" s="17">
        <v>2.3874114306422247E-2</v>
      </c>
      <c r="E37" s="17">
        <v>2.405450400333151E-2</v>
      </c>
      <c r="F37" s="17">
        <v>2.4410944801358248E-2</v>
      </c>
      <c r="G37" s="17">
        <v>2.3937049834470883E-2</v>
      </c>
    </row>
    <row r="38" spans="1:7">
      <c r="A38" t="s">
        <v>4150</v>
      </c>
      <c r="C38" s="17">
        <v>2.3400662550517683E-2</v>
      </c>
      <c r="D38" s="17">
        <v>2.3874114306422247E-2</v>
      </c>
      <c r="E38" s="17">
        <v>2.405450400333151E-2</v>
      </c>
      <c r="F38" s="17">
        <v>2.4410944801358248E-2</v>
      </c>
      <c r="G38" s="17">
        <v>2.3937049834470883E-2</v>
      </c>
    </row>
    <row r="39" spans="1:7">
      <c r="A39">
        <v>5</v>
      </c>
      <c r="B39" t="s">
        <v>790</v>
      </c>
      <c r="C39" s="17">
        <v>2.5455747711959464E-2</v>
      </c>
      <c r="D39" s="17">
        <v>2.5900515935398289E-2</v>
      </c>
      <c r="E39" s="17">
        <v>2.5575152768210794E-2</v>
      </c>
      <c r="F39" s="17">
        <v>2.5977222026101768E-2</v>
      </c>
      <c r="G39" s="17">
        <v>2.5725993707377118E-2</v>
      </c>
    </row>
    <row r="40" spans="1:7">
      <c r="A40" t="s">
        <v>4151</v>
      </c>
      <c r="C40" s="17">
        <v>2.5455747711959464E-2</v>
      </c>
      <c r="D40" s="17">
        <v>2.5900515935398289E-2</v>
      </c>
      <c r="E40" s="17">
        <v>2.5575152768210794E-2</v>
      </c>
      <c r="F40" s="17">
        <v>2.5977222026101768E-2</v>
      </c>
      <c r="G40" s="17">
        <v>2.5725993707377118E-2</v>
      </c>
    </row>
    <row r="41" spans="1:7">
      <c r="A41">
        <v>6</v>
      </c>
      <c r="B41" t="s">
        <v>1459</v>
      </c>
      <c r="C41" s="17">
        <v>2.3903496834582545E-2</v>
      </c>
      <c r="D41" s="17">
        <v>2.5052130988041942E-2</v>
      </c>
      <c r="E41" s="17">
        <v>2.5014338706911835E-2</v>
      </c>
      <c r="F41" s="17">
        <v>2.541976288532256E-2</v>
      </c>
      <c r="G41" s="17">
        <v>2.4853197812754808E-2</v>
      </c>
    </row>
    <row r="42" spans="1:7">
      <c r="A42" t="s">
        <v>4152</v>
      </c>
      <c r="C42" s="17">
        <v>2.3903496834582545E-2</v>
      </c>
      <c r="D42" s="17">
        <v>2.5052130988041942E-2</v>
      </c>
      <c r="E42" s="17">
        <v>2.5014338706911835E-2</v>
      </c>
      <c r="F42" s="17">
        <v>2.541976288532256E-2</v>
      </c>
      <c r="G42" s="17">
        <v>2.4853197812754808E-2</v>
      </c>
    </row>
    <row r="43" spans="1:7">
      <c r="A43">
        <v>7</v>
      </c>
      <c r="B43" t="s">
        <v>2128</v>
      </c>
      <c r="C43" s="17">
        <v>2.5225824557875809E-2</v>
      </c>
      <c r="D43" s="17">
        <v>6.3972517035168097E-2</v>
      </c>
      <c r="E43" s="17">
        <v>2.4982457495331165E-2</v>
      </c>
      <c r="F43" s="17">
        <v>2.4096896702701674E-2</v>
      </c>
      <c r="G43" s="17">
        <v>3.471362974014499E-2</v>
      </c>
    </row>
    <row r="44" spans="1:7">
      <c r="A44" t="s">
        <v>4153</v>
      </c>
      <c r="C44" s="17">
        <v>2.5225824557875809E-2</v>
      </c>
      <c r="D44" s="17">
        <v>6.3972517035168097E-2</v>
      </c>
      <c r="E44" s="17">
        <v>2.4982457495331165E-2</v>
      </c>
      <c r="F44" s="17">
        <v>2.4096896702701674E-2</v>
      </c>
      <c r="G44" s="17">
        <v>3.471362974014499E-2</v>
      </c>
    </row>
    <row r="45" spans="1:7">
      <c r="A45">
        <v>8</v>
      </c>
      <c r="B45" t="s">
        <v>2816</v>
      </c>
      <c r="C45" s="17">
        <v>2.407421842211354E-2</v>
      </c>
      <c r="D45" s="17">
        <v>6.3035660079753669E-2</v>
      </c>
      <c r="E45" s="17">
        <v>2.4635577788756316E-2</v>
      </c>
      <c r="F45" s="17">
        <v>2.4757978559676107E-2</v>
      </c>
      <c r="G45" s="17">
        <v>3.4210621599150323E-2</v>
      </c>
    </row>
    <row r="46" spans="1:7">
      <c r="A46" t="s">
        <v>4154</v>
      </c>
      <c r="C46" s="17">
        <v>2.407421842211354E-2</v>
      </c>
      <c r="D46" s="17">
        <v>6.3035660079753669E-2</v>
      </c>
      <c r="E46" s="17">
        <v>2.4635577788756316E-2</v>
      </c>
      <c r="F46" s="17">
        <v>2.4757978559676107E-2</v>
      </c>
      <c r="G46" s="17">
        <v>3.4210621599150323E-2</v>
      </c>
    </row>
    <row r="47" spans="1:7">
      <c r="A47">
        <v>9</v>
      </c>
      <c r="B47" t="s">
        <v>64</v>
      </c>
      <c r="C47" s="17">
        <v>2.3887272887806128E-2</v>
      </c>
      <c r="D47" s="17">
        <v>6.7346625259948556E-2</v>
      </c>
      <c r="E47" s="17">
        <v>2.565580114622289E-2</v>
      </c>
      <c r="F47" s="17">
        <v>2.3976175967199594E-2</v>
      </c>
      <c r="G47" s="17">
        <v>3.5359208457764399E-2</v>
      </c>
    </row>
    <row r="48" spans="1:7">
      <c r="A48" t="s">
        <v>4155</v>
      </c>
      <c r="C48" s="17">
        <v>2.3887272887806128E-2</v>
      </c>
      <c r="D48" s="17">
        <v>6.7346625259948556E-2</v>
      </c>
      <c r="E48" s="17">
        <v>2.565580114622289E-2</v>
      </c>
      <c r="F48" s="17">
        <v>2.3976175967199594E-2</v>
      </c>
      <c r="G48" s="17">
        <v>3.5359208457764399E-2</v>
      </c>
    </row>
    <row r="49" spans="1:7">
      <c r="A49" t="s">
        <v>4142</v>
      </c>
      <c r="C49" s="17">
        <v>2.4340287226235272E-2</v>
      </c>
      <c r="D49" s="17">
        <v>4.5090487297235304E-2</v>
      </c>
      <c r="E49" s="17">
        <v>2.4987626276575536E-2</v>
      </c>
      <c r="F49" s="17">
        <v>2.4782140496578661E-2</v>
      </c>
      <c r="G49" s="17">
        <v>2.9820767340482012E-2</v>
      </c>
    </row>
    <row r="50" spans="1:7">
      <c r="A50"/>
    </row>
    <row r="51" spans="1:7">
      <c r="A51"/>
    </row>
    <row r="52" spans="1:7">
      <c r="A52"/>
    </row>
    <row r="53" spans="1:7">
      <c r="A53"/>
    </row>
    <row r="54" spans="1:7">
      <c r="A54"/>
    </row>
    <row r="55" spans="1:7">
      <c r="A55"/>
    </row>
    <row r="56" spans="1:7">
      <c r="A56"/>
    </row>
    <row r="57" spans="1:7">
      <c r="A57"/>
    </row>
    <row r="58" spans="1:7">
      <c r="A58"/>
    </row>
    <row r="59" spans="1:7">
      <c r="A59"/>
    </row>
    <row r="60" spans="1:7">
      <c r="A60"/>
    </row>
    <row r="61" spans="1:7">
      <c r="A61"/>
    </row>
    <row r="62" spans="1:7">
      <c r="A62"/>
    </row>
    <row r="63" spans="1:7">
      <c r="A63"/>
    </row>
    <row r="64" spans="1:7">
      <c r="A64"/>
    </row>
    <row r="65" spans="1:2">
      <c r="A65"/>
    </row>
    <row r="66" spans="1:2">
      <c r="A66"/>
    </row>
    <row r="67" spans="1:2">
      <c r="A67"/>
    </row>
    <row r="68" spans="1:2">
      <c r="A68"/>
    </row>
    <row r="69" spans="1:2">
      <c r="A69"/>
    </row>
    <row r="70" spans="1:2">
      <c r="A70"/>
    </row>
    <row r="71" spans="1:2">
      <c r="A71"/>
    </row>
    <row r="72" spans="1:2">
      <c r="A72"/>
    </row>
    <row r="73" spans="1:2">
      <c r="A73" t="s">
        <v>4156</v>
      </c>
    </row>
    <row r="74" spans="1:2">
      <c r="A74"/>
    </row>
    <row r="75" spans="1:2">
      <c r="A75"/>
    </row>
    <row r="76" spans="1:2" s="23" customFormat="1">
      <c r="A76" s="24" t="s">
        <v>4157</v>
      </c>
    </row>
    <row r="77" spans="1:2">
      <c r="A77"/>
    </row>
    <row r="78" spans="1:2">
      <c r="A78" s="7" t="s">
        <v>10</v>
      </c>
      <c r="B78" t="s">
        <v>4139</v>
      </c>
    </row>
    <row r="79" spans="1:2">
      <c r="A79" t="s">
        <v>66</v>
      </c>
      <c r="B79" s="17">
        <v>2.8173328567134857E-2</v>
      </c>
    </row>
    <row r="80" spans="1:2">
      <c r="A80" t="s">
        <v>80</v>
      </c>
      <c r="B80" s="17">
        <v>2.7855325591632812E-2</v>
      </c>
    </row>
    <row r="81" spans="1:3" s="29" customFormat="1">
      <c r="A81" s="25" t="s">
        <v>93</v>
      </c>
      <c r="B81" s="26">
        <v>3.3766308793150332E-2</v>
      </c>
    </row>
    <row r="82" spans="1:3">
      <c r="A82" t="s">
        <v>4142</v>
      </c>
      <c r="B82" s="17">
        <v>2.9820767340482005E-2</v>
      </c>
    </row>
    <row r="83" spans="1:3">
      <c r="A83"/>
    </row>
    <row r="84" spans="1:3">
      <c r="A84"/>
    </row>
    <row r="85" spans="1:3">
      <c r="A85"/>
    </row>
    <row r="86" spans="1:3" s="23" customFormat="1">
      <c r="A86" s="27" t="s">
        <v>4158</v>
      </c>
    </row>
    <row r="87" spans="1:3">
      <c r="A87" s="7" t="s">
        <v>28</v>
      </c>
      <c r="B87" s="7" t="s">
        <v>30</v>
      </c>
      <c r="C87" t="s">
        <v>4139</v>
      </c>
    </row>
    <row r="88" spans="1:3">
      <c r="A88">
        <v>10</v>
      </c>
      <c r="B88">
        <v>6</v>
      </c>
      <c r="C88" s="17">
        <v>1.7627332882067717E-2</v>
      </c>
    </row>
    <row r="89" spans="1:3">
      <c r="A89"/>
      <c r="B89">
        <v>7</v>
      </c>
      <c r="C89" s="17">
        <v>2.7445200735417848E-2</v>
      </c>
    </row>
    <row r="90" spans="1:3">
      <c r="A90"/>
      <c r="B90">
        <v>8</v>
      </c>
      <c r="C90" s="17">
        <v>2.559084005615609E-2</v>
      </c>
    </row>
    <row r="91" spans="1:3">
      <c r="A91"/>
      <c r="B91">
        <v>9</v>
      </c>
      <c r="C91" s="17">
        <v>2.4979044253834407E-2</v>
      </c>
    </row>
    <row r="92" spans="1:3">
      <c r="A92"/>
      <c r="B92">
        <v>10</v>
      </c>
      <c r="C92" s="17">
        <v>2.4715751280627241E-2</v>
      </c>
    </row>
    <row r="93" spans="1:3">
      <c r="A93" t="s">
        <v>4159</v>
      </c>
      <c r="C93" s="17">
        <v>2.4987626276575529E-2</v>
      </c>
    </row>
    <row r="94" spans="1:3">
      <c r="A94">
        <v>14</v>
      </c>
      <c r="B94">
        <v>9</v>
      </c>
      <c r="C94" s="17">
        <v>2.8609818341665275E-2</v>
      </c>
    </row>
    <row r="95" spans="1:3">
      <c r="A95"/>
      <c r="B95">
        <v>10</v>
      </c>
      <c r="C95" s="17">
        <v>2.4680578407472262E-2</v>
      </c>
    </row>
    <row r="96" spans="1:3">
      <c r="A96"/>
      <c r="B96">
        <v>11</v>
      </c>
      <c r="C96" s="17">
        <v>2.4575004082984516E-2</v>
      </c>
    </row>
    <row r="97" spans="1:3">
      <c r="A97"/>
      <c r="B97">
        <v>12</v>
      </c>
      <c r="C97" s="17">
        <v>2.4453535432420122E-2</v>
      </c>
    </row>
    <row r="98" spans="1:3">
      <c r="A98"/>
      <c r="B98">
        <v>13</v>
      </c>
      <c r="C98" s="17">
        <v>2.4646277192353645E-2</v>
      </c>
    </row>
    <row r="99" spans="1:3">
      <c r="A99"/>
      <c r="B99">
        <v>14</v>
      </c>
      <c r="C99" s="17">
        <v>2.3891205071505529E-2</v>
      </c>
    </row>
    <row r="100" spans="1:3">
      <c r="A100" t="s">
        <v>4160</v>
      </c>
      <c r="C100" s="17">
        <v>2.4340287226235307E-2</v>
      </c>
    </row>
    <row r="101" spans="1:3">
      <c r="A101">
        <v>16</v>
      </c>
      <c r="B101">
        <v>11</v>
      </c>
      <c r="C101" s="17">
        <v>6.4859948657861155E-2</v>
      </c>
    </row>
    <row r="102" spans="1:3">
      <c r="A102"/>
      <c r="B102">
        <v>12</v>
      </c>
      <c r="C102" s="17">
        <v>5.8993803961064621E-2</v>
      </c>
    </row>
    <row r="103" spans="1:3">
      <c r="A103"/>
      <c r="B103">
        <v>13</v>
      </c>
      <c r="C103" s="17">
        <v>5.1033526144336247E-2</v>
      </c>
    </row>
    <row r="104" spans="1:3">
      <c r="A104"/>
      <c r="B104">
        <v>14</v>
      </c>
      <c r="C104" s="17">
        <v>5.1641663679812294E-2</v>
      </c>
    </row>
    <row r="105" spans="1:3">
      <c r="A105"/>
      <c r="B105">
        <v>15</v>
      </c>
      <c r="C105" s="17">
        <v>4.2524019645909038E-2</v>
      </c>
    </row>
    <row r="106" spans="1:3">
      <c r="A106"/>
      <c r="B106">
        <v>16</v>
      </c>
      <c r="C106" s="17">
        <v>3.9763382208175838E-2</v>
      </c>
    </row>
    <row r="107" spans="1:3">
      <c r="A107" t="s">
        <v>4161</v>
      </c>
      <c r="C107" s="17">
        <v>4.5090487297235304E-2</v>
      </c>
    </row>
    <row r="108" spans="1:3">
      <c r="A108">
        <v>18</v>
      </c>
      <c r="B108">
        <v>13</v>
      </c>
      <c r="C108" s="17">
        <v>2.531872923219591E-2</v>
      </c>
    </row>
    <row r="109" spans="1:3">
      <c r="A109"/>
      <c r="B109">
        <v>14</v>
      </c>
      <c r="C109" s="17">
        <v>2.3389407781602853E-2</v>
      </c>
    </row>
    <row r="110" spans="1:3">
      <c r="A110"/>
      <c r="B110">
        <v>15</v>
      </c>
      <c r="C110" s="17">
        <v>2.553119456778502E-2</v>
      </c>
    </row>
    <row r="111" spans="1:3">
      <c r="A111"/>
      <c r="B111">
        <v>16</v>
      </c>
      <c r="C111" s="17">
        <v>2.4882355232417063E-2</v>
      </c>
    </row>
    <row r="112" spans="1:3">
      <c r="A112"/>
      <c r="B112">
        <v>17</v>
      </c>
      <c r="C112" s="17">
        <v>2.4737297895243444E-2</v>
      </c>
    </row>
    <row r="113" spans="1:3">
      <c r="A113"/>
      <c r="B113">
        <v>18</v>
      </c>
      <c r="C113" s="17">
        <v>2.4758426098525129E-2</v>
      </c>
    </row>
    <row r="114" spans="1:3">
      <c r="A114" t="s">
        <v>4162</v>
      </c>
      <c r="C114" s="17">
        <v>2.4782140496578644E-2</v>
      </c>
    </row>
    <row r="115" spans="1:3">
      <c r="A115" t="s">
        <v>4142</v>
      </c>
      <c r="C115" s="17">
        <v>2.9820767340481971E-2</v>
      </c>
    </row>
    <row r="116" spans="1:3">
      <c r="A116" t="s">
        <v>4163</v>
      </c>
    </row>
    <row r="117" spans="1:3">
      <c r="A117"/>
    </row>
    <row r="118" spans="1:3">
      <c r="A118"/>
    </row>
    <row r="119" spans="1:3">
      <c r="A119"/>
    </row>
    <row r="120" spans="1:3">
      <c r="A120"/>
    </row>
    <row r="121" spans="1:3">
      <c r="A121"/>
    </row>
    <row r="122" spans="1:3">
      <c r="A122"/>
    </row>
    <row r="123" spans="1:3">
      <c r="A123"/>
    </row>
    <row r="124" spans="1:3">
      <c r="A124"/>
    </row>
    <row r="125" spans="1:3">
      <c r="A125" t="s">
        <v>4163</v>
      </c>
    </row>
    <row r="126" spans="1:3">
      <c r="A126"/>
    </row>
    <row r="127" spans="1:3">
      <c r="A127"/>
    </row>
    <row r="128" spans="1:3" s="23" customFormat="1">
      <c r="A128" s="27" t="s">
        <v>4164</v>
      </c>
    </row>
    <row r="129" spans="1:3">
      <c r="A129"/>
    </row>
    <row r="130" spans="1:3">
      <c r="A130" s="7" t="s">
        <v>14</v>
      </c>
      <c r="B130" s="7" t="s">
        <v>26</v>
      </c>
      <c r="C130" t="s">
        <v>4139</v>
      </c>
    </row>
    <row r="131" spans="1:3">
      <c r="A131" t="s">
        <v>175</v>
      </c>
      <c r="B131" t="s">
        <v>96</v>
      </c>
      <c r="C131" s="17">
        <v>2.5591204376993845E-2</v>
      </c>
    </row>
    <row r="132" spans="1:3">
      <c r="A132"/>
      <c r="B132" t="s">
        <v>88</v>
      </c>
      <c r="C132" s="17">
        <v>2.441913992618152E-2</v>
      </c>
    </row>
    <row r="133" spans="1:3">
      <c r="A133" t="s">
        <v>4165</v>
      </c>
      <c r="C133" s="17">
        <v>2.4987626276575532E-2</v>
      </c>
    </row>
    <row r="134" spans="1:3">
      <c r="A134" t="s">
        <v>68</v>
      </c>
      <c r="B134" t="s">
        <v>96</v>
      </c>
      <c r="C134" s="17">
        <v>2.422831372457682E-2</v>
      </c>
    </row>
    <row r="135" spans="1:3">
      <c r="A135" s="25"/>
      <c r="B135" s="25" t="s">
        <v>74</v>
      </c>
      <c r="C135" s="26">
        <v>0.10381515868473037</v>
      </c>
    </row>
    <row r="136" spans="1:3">
      <c r="A136"/>
      <c r="B136" t="s">
        <v>88</v>
      </c>
      <c r="C136" s="17">
        <v>2.5301793587153596E-2</v>
      </c>
    </row>
    <row r="137" spans="1:3">
      <c r="A137" t="s">
        <v>4166</v>
      </c>
      <c r="C137" s="17">
        <v>4.5090487297235277E-2</v>
      </c>
    </row>
    <row r="138" spans="1:3">
      <c r="A138" t="s">
        <v>82</v>
      </c>
      <c r="B138" t="s">
        <v>96</v>
      </c>
      <c r="C138" s="17">
        <v>2.4822411675073472E-2</v>
      </c>
    </row>
    <row r="139" spans="1:3">
      <c r="A139"/>
      <c r="B139" t="s">
        <v>88</v>
      </c>
      <c r="C139" s="17">
        <v>2.474251108985269E-2</v>
      </c>
    </row>
    <row r="140" spans="1:3">
      <c r="A140" t="s">
        <v>4167</v>
      </c>
      <c r="C140" s="17">
        <v>2.4782140496578668E-2</v>
      </c>
    </row>
    <row r="141" spans="1:3">
      <c r="A141" t="s">
        <v>196</v>
      </c>
      <c r="B141" t="s">
        <v>96</v>
      </c>
      <c r="C141" s="17">
        <v>2.4089147114175407E-2</v>
      </c>
    </row>
    <row r="142" spans="1:3">
      <c r="A142"/>
      <c r="B142" t="s">
        <v>88</v>
      </c>
      <c r="C142" s="17">
        <v>2.4594465323521709E-2</v>
      </c>
    </row>
    <row r="143" spans="1:3">
      <c r="A143" t="s">
        <v>4168</v>
      </c>
      <c r="C143" s="17">
        <v>2.4340287226235331E-2</v>
      </c>
    </row>
    <row r="144" spans="1:3">
      <c r="A144" t="s">
        <v>4142</v>
      </c>
      <c r="C144" s="17">
        <v>2.9820767340481991E-2</v>
      </c>
    </row>
    <row r="145" spans="1:5">
      <c r="A145" t="s">
        <v>4169</v>
      </c>
    </row>
    <row r="146" spans="1:5">
      <c r="A146"/>
    </row>
    <row r="147" spans="1:5">
      <c r="A147"/>
    </row>
    <row r="148" spans="1:5">
      <c r="A148"/>
    </row>
    <row r="149" spans="1:5" s="23" customFormat="1">
      <c r="A149" s="24" t="s">
        <v>4170</v>
      </c>
    </row>
    <row r="150" spans="1:5">
      <c r="A150"/>
    </row>
    <row r="151" spans="1:5">
      <c r="A151" s="7" t="s">
        <v>14</v>
      </c>
      <c r="B151" s="7" t="s">
        <v>58</v>
      </c>
      <c r="C151" s="7" t="s">
        <v>6</v>
      </c>
      <c r="D151" s="7" t="s">
        <v>38</v>
      </c>
      <c r="E151" t="s">
        <v>4138</v>
      </c>
    </row>
    <row r="152" spans="1:5">
      <c r="A152" t="s">
        <v>68</v>
      </c>
      <c r="B152">
        <v>7</v>
      </c>
      <c r="C152" t="s">
        <v>2128</v>
      </c>
      <c r="D152" s="25" t="s">
        <v>2284</v>
      </c>
      <c r="E152" s="28">
        <v>22855</v>
      </c>
    </row>
    <row r="153" spans="1:5">
      <c r="A153"/>
      <c r="D153" t="s">
        <v>103</v>
      </c>
      <c r="E153" s="6">
        <v>1219</v>
      </c>
    </row>
    <row r="154" spans="1:5">
      <c r="A154"/>
      <c r="D154" t="s">
        <v>89</v>
      </c>
      <c r="E154" s="6">
        <v>1011</v>
      </c>
    </row>
    <row r="155" spans="1:5">
      <c r="A155"/>
      <c r="D155" t="s">
        <v>113</v>
      </c>
      <c r="E155" s="6">
        <v>2081</v>
      </c>
    </row>
    <row r="156" spans="1:5">
      <c r="A156"/>
      <c r="D156" t="s">
        <v>109</v>
      </c>
      <c r="E156" s="6">
        <v>753</v>
      </c>
    </row>
    <row r="157" spans="1:5">
      <c r="A157"/>
      <c r="D157" t="s">
        <v>75</v>
      </c>
      <c r="E157" s="6">
        <v>1657</v>
      </c>
    </row>
    <row r="158" spans="1:5">
      <c r="A158"/>
      <c r="C158" t="s">
        <v>4171</v>
      </c>
      <c r="E158" s="6">
        <v>29576</v>
      </c>
    </row>
    <row r="159" spans="1:5">
      <c r="A159"/>
      <c r="B159" t="s">
        <v>4153</v>
      </c>
      <c r="E159" s="6">
        <v>29576</v>
      </c>
    </row>
    <row r="160" spans="1:5">
      <c r="A160"/>
      <c r="B160">
        <v>8</v>
      </c>
      <c r="C160" t="s">
        <v>2816</v>
      </c>
      <c r="D160" s="25" t="s">
        <v>2284</v>
      </c>
      <c r="E160" s="28">
        <v>19992</v>
      </c>
    </row>
    <row r="161" spans="1:5">
      <c r="A161"/>
      <c r="D161" t="s">
        <v>103</v>
      </c>
      <c r="E161" s="6">
        <v>1835</v>
      </c>
    </row>
    <row r="162" spans="1:5">
      <c r="A162"/>
      <c r="D162" t="s">
        <v>89</v>
      </c>
      <c r="E162" s="6">
        <v>1363</v>
      </c>
    </row>
    <row r="163" spans="1:5">
      <c r="A163"/>
      <c r="D163" t="s">
        <v>113</v>
      </c>
      <c r="E163" s="6">
        <v>1489</v>
      </c>
    </row>
    <row r="164" spans="1:5">
      <c r="A164"/>
      <c r="D164" t="s">
        <v>109</v>
      </c>
      <c r="E164" s="6">
        <v>1742</v>
      </c>
    </row>
    <row r="165" spans="1:5">
      <c r="A165"/>
      <c r="D165" t="s">
        <v>75</v>
      </c>
      <c r="E165" s="6">
        <v>1338</v>
      </c>
    </row>
    <row r="166" spans="1:5">
      <c r="A166"/>
      <c r="C166" t="s">
        <v>4172</v>
      </c>
      <c r="E166" s="6">
        <v>27759</v>
      </c>
    </row>
    <row r="167" spans="1:5">
      <c r="A167"/>
      <c r="B167" t="s">
        <v>4154</v>
      </c>
      <c r="E167" s="6">
        <v>27759</v>
      </c>
    </row>
    <row r="168" spans="1:5">
      <c r="A168"/>
      <c r="B168">
        <v>9</v>
      </c>
      <c r="C168" t="s">
        <v>64</v>
      </c>
      <c r="D168" s="25" t="s">
        <v>2284</v>
      </c>
      <c r="E168" s="28">
        <v>22736</v>
      </c>
    </row>
    <row r="169" spans="1:5">
      <c r="A169"/>
      <c r="D169" t="s">
        <v>103</v>
      </c>
      <c r="E169" s="6">
        <v>1019</v>
      </c>
    </row>
    <row r="170" spans="1:5">
      <c r="A170"/>
      <c r="D170" t="s">
        <v>89</v>
      </c>
      <c r="E170" s="6">
        <v>1784</v>
      </c>
    </row>
    <row r="171" spans="1:5">
      <c r="A171"/>
      <c r="D171" t="s">
        <v>113</v>
      </c>
      <c r="E171" s="6">
        <v>695</v>
      </c>
    </row>
    <row r="172" spans="1:5">
      <c r="A172"/>
      <c r="D172" t="s">
        <v>109</v>
      </c>
      <c r="E172" s="6">
        <v>2258</v>
      </c>
    </row>
    <row r="173" spans="1:5">
      <c r="A173"/>
      <c r="D173" t="s">
        <v>75</v>
      </c>
      <c r="E173" s="6">
        <v>3424</v>
      </c>
    </row>
    <row r="174" spans="1:5">
      <c r="A174"/>
      <c r="C174" t="s">
        <v>4173</v>
      </c>
      <c r="E174" s="6">
        <v>31916</v>
      </c>
    </row>
    <row r="175" spans="1:5">
      <c r="A175"/>
      <c r="B175" t="s">
        <v>4155</v>
      </c>
      <c r="E175" s="6">
        <v>31916</v>
      </c>
    </row>
    <row r="176" spans="1:5">
      <c r="A176" t="s">
        <v>4166</v>
      </c>
      <c r="E176" s="6">
        <v>89251</v>
      </c>
    </row>
    <row r="177" spans="1:5">
      <c r="A177" t="s">
        <v>4142</v>
      </c>
      <c r="E177" s="6">
        <v>89251</v>
      </c>
    </row>
    <row r="178" spans="1:5">
      <c r="A178" t="s">
        <v>4174</v>
      </c>
    </row>
    <row r="179" spans="1:5">
      <c r="A179"/>
    </row>
    <row r="180" spans="1:5">
      <c r="A180"/>
    </row>
    <row r="181" spans="1:5" s="23" customFormat="1">
      <c r="A181" s="24" t="s">
        <v>4175</v>
      </c>
    </row>
    <row r="182" spans="1:5">
      <c r="A182"/>
    </row>
    <row r="183" spans="1:5">
      <c r="A183" s="7" t="s">
        <v>14</v>
      </c>
      <c r="B183" s="7" t="s">
        <v>26</v>
      </c>
      <c r="C183" s="7" t="s">
        <v>10</v>
      </c>
      <c r="D183" t="s">
        <v>4139</v>
      </c>
    </row>
    <row r="184" spans="1:5">
      <c r="A184" t="s">
        <v>68</v>
      </c>
      <c r="B184" t="s">
        <v>96</v>
      </c>
      <c r="C184" t="s">
        <v>66</v>
      </c>
      <c r="D184" s="17">
        <v>2.4594803270717714E-2</v>
      </c>
    </row>
    <row r="185" spans="1:5">
      <c r="A185"/>
      <c r="C185" t="s">
        <v>80</v>
      </c>
      <c r="D185" s="17">
        <v>2.4287649014485945E-2</v>
      </c>
    </row>
    <row r="186" spans="1:5">
      <c r="A186"/>
      <c r="C186" t="s">
        <v>93</v>
      </c>
      <c r="D186" s="17">
        <v>2.3503879241856474E-2</v>
      </c>
    </row>
    <row r="187" spans="1:5">
      <c r="A187"/>
      <c r="B187" t="s">
        <v>4176</v>
      </c>
      <c r="D187" s="17">
        <v>2.4228313724576841E-2</v>
      </c>
    </row>
    <row r="188" spans="1:5">
      <c r="A188"/>
      <c r="B188" t="s">
        <v>74</v>
      </c>
      <c r="C188" t="s">
        <v>66</v>
      </c>
      <c r="D188" s="17">
        <v>0.10174857438342998</v>
      </c>
    </row>
    <row r="189" spans="1:5">
      <c r="A189"/>
      <c r="C189" t="s">
        <v>80</v>
      </c>
      <c r="D189" s="17">
        <v>0.1062366083395898</v>
      </c>
    </row>
    <row r="190" spans="1:5">
      <c r="A190"/>
      <c r="C190" t="s">
        <v>93</v>
      </c>
      <c r="D190" s="17">
        <v>0.10383490581537257</v>
      </c>
    </row>
    <row r="191" spans="1:5">
      <c r="A191"/>
      <c r="B191" t="s">
        <v>4177</v>
      </c>
      <c r="D191" s="17">
        <v>0.10381515868473039</v>
      </c>
    </row>
    <row r="192" spans="1:5">
      <c r="A192"/>
      <c r="B192" t="s">
        <v>88</v>
      </c>
      <c r="C192" t="s">
        <v>66</v>
      </c>
      <c r="D192" s="17">
        <v>2.6064366456067765E-2</v>
      </c>
    </row>
    <row r="193" spans="1:8">
      <c r="A193"/>
      <c r="C193" t="s">
        <v>80</v>
      </c>
      <c r="D193" s="17">
        <v>2.4916753692232174E-2</v>
      </c>
    </row>
    <row r="194" spans="1:8">
      <c r="A194"/>
      <c r="C194" t="s">
        <v>93</v>
      </c>
      <c r="D194" s="17">
        <v>2.4493887602326181E-2</v>
      </c>
    </row>
    <row r="195" spans="1:8">
      <c r="A195"/>
      <c r="B195" t="s">
        <v>4178</v>
      </c>
      <c r="D195" s="17">
        <v>2.5301793587153603E-2</v>
      </c>
    </row>
    <row r="196" spans="1:8">
      <c r="A196" t="s">
        <v>4166</v>
      </c>
      <c r="D196" s="17">
        <v>4.5090487297235277E-2</v>
      </c>
    </row>
    <row r="197" spans="1:8">
      <c r="A197" t="s">
        <v>4142</v>
      </c>
      <c r="D197" s="17">
        <v>4.5090487297235277E-2</v>
      </c>
    </row>
    <row r="198" spans="1:8">
      <c r="A198" t="s">
        <v>4179</v>
      </c>
    </row>
    <row r="199" spans="1:8">
      <c r="A199" s="30" t="s">
        <v>4180</v>
      </c>
    </row>
    <row r="200" spans="1:8">
      <c r="A200" s="30" t="s">
        <v>4181</v>
      </c>
    </row>
    <row r="201" spans="1:8">
      <c r="A201"/>
    </row>
    <row r="202" spans="1:8">
      <c r="A202"/>
    </row>
    <row r="203" spans="1:8" s="23" customFormat="1">
      <c r="A203" s="23" t="s">
        <v>4182</v>
      </c>
    </row>
    <row r="204" spans="1:8">
      <c r="A204" s="7" t="s">
        <v>4183</v>
      </c>
      <c r="E204" s="7" t="s">
        <v>26</v>
      </c>
    </row>
    <row r="205" spans="1:8">
      <c r="A205" s="7" t="s">
        <v>14</v>
      </c>
      <c r="B205" s="7" t="s">
        <v>10</v>
      </c>
      <c r="C205" s="7" t="s">
        <v>58</v>
      </c>
      <c r="D205" s="7" t="s">
        <v>6</v>
      </c>
      <c r="E205" t="s">
        <v>96</v>
      </c>
      <c r="F205" t="s">
        <v>74</v>
      </c>
      <c r="G205" t="s">
        <v>88</v>
      </c>
      <c r="H205" t="s">
        <v>4142</v>
      </c>
    </row>
    <row r="206" spans="1:8">
      <c r="A206" t="s">
        <v>68</v>
      </c>
      <c r="B206" t="s">
        <v>66</v>
      </c>
      <c r="C206">
        <v>7</v>
      </c>
      <c r="D206" t="s">
        <v>2128</v>
      </c>
      <c r="E206" s="17">
        <v>0.26666666666666666</v>
      </c>
      <c r="F206" s="17">
        <v>0.4</v>
      </c>
      <c r="G206" s="17">
        <v>0.33333333333333331</v>
      </c>
      <c r="H206" s="17">
        <v>1</v>
      </c>
    </row>
    <row r="207" spans="1:8">
      <c r="A207"/>
      <c r="C207" t="s">
        <v>4153</v>
      </c>
      <c r="E207" s="17">
        <v>0.26666666666666666</v>
      </c>
      <c r="F207" s="17">
        <v>0.4</v>
      </c>
      <c r="G207" s="17">
        <v>0.33333333333333331</v>
      </c>
      <c r="H207" s="17">
        <v>1</v>
      </c>
    </row>
    <row r="208" spans="1:8">
      <c r="A208"/>
      <c r="C208">
        <v>8</v>
      </c>
      <c r="D208" t="s">
        <v>2816</v>
      </c>
      <c r="E208" s="17">
        <v>0.27586206896551724</v>
      </c>
      <c r="F208" s="17">
        <v>0.2413793103448276</v>
      </c>
      <c r="G208" s="17">
        <v>0.48275862068965519</v>
      </c>
      <c r="H208" s="17">
        <v>1</v>
      </c>
    </row>
    <row r="209" spans="1:8">
      <c r="A209"/>
      <c r="C209" t="s">
        <v>4154</v>
      </c>
      <c r="E209" s="17">
        <v>0.27586206896551724</v>
      </c>
      <c r="F209" s="17">
        <v>0.2413793103448276</v>
      </c>
      <c r="G209" s="17">
        <v>0.48275862068965519</v>
      </c>
      <c r="H209" s="17">
        <v>1</v>
      </c>
    </row>
    <row r="210" spans="1:8">
      <c r="A210"/>
      <c r="C210">
        <v>9</v>
      </c>
      <c r="D210" t="s">
        <v>64</v>
      </c>
      <c r="E210" s="17">
        <v>0.31034482758620691</v>
      </c>
      <c r="F210" s="17">
        <v>0.37931034482758619</v>
      </c>
      <c r="G210" s="17">
        <v>0.31034482758620691</v>
      </c>
      <c r="H210" s="17">
        <v>1</v>
      </c>
    </row>
    <row r="211" spans="1:8">
      <c r="A211"/>
      <c r="C211" t="s">
        <v>4155</v>
      </c>
      <c r="E211" s="17">
        <v>0.31034482758620691</v>
      </c>
      <c r="F211" s="17">
        <v>0.37931034482758619</v>
      </c>
      <c r="G211" s="17">
        <v>0.31034482758620691</v>
      </c>
      <c r="H211" s="17">
        <v>1</v>
      </c>
    </row>
    <row r="212" spans="1:8">
      <c r="A212"/>
      <c r="B212" t="s">
        <v>4184</v>
      </c>
      <c r="E212" s="17">
        <v>0.28409090909090912</v>
      </c>
      <c r="F212" s="17">
        <v>0.34090909090909088</v>
      </c>
      <c r="G212" s="17">
        <v>0.375</v>
      </c>
      <c r="H212" s="17">
        <v>1</v>
      </c>
    </row>
    <row r="213" spans="1:8">
      <c r="A213"/>
      <c r="B213" t="s">
        <v>80</v>
      </c>
      <c r="C213">
        <v>7</v>
      </c>
      <c r="D213" t="s">
        <v>2128</v>
      </c>
      <c r="E213" s="17">
        <v>0.56666666666666665</v>
      </c>
      <c r="F213" s="17">
        <v>0.2</v>
      </c>
      <c r="G213" s="17">
        <v>0.23333333333333334</v>
      </c>
      <c r="H213" s="17">
        <v>1</v>
      </c>
    </row>
    <row r="214" spans="1:8">
      <c r="A214"/>
      <c r="C214" t="s">
        <v>4153</v>
      </c>
      <c r="E214" s="17">
        <v>0.56666666666666665</v>
      </c>
      <c r="F214" s="17">
        <v>0.2</v>
      </c>
      <c r="G214" s="17">
        <v>0.23333333333333334</v>
      </c>
      <c r="H214" s="17">
        <v>1</v>
      </c>
    </row>
    <row r="215" spans="1:8">
      <c r="A215"/>
      <c r="C215">
        <v>8</v>
      </c>
      <c r="D215" t="s">
        <v>2816</v>
      </c>
      <c r="E215" s="17">
        <v>0.31034482758620691</v>
      </c>
      <c r="F215" s="17">
        <v>0.37931034482758619</v>
      </c>
      <c r="G215" s="17">
        <v>0.31034482758620691</v>
      </c>
      <c r="H215" s="17">
        <v>1</v>
      </c>
    </row>
    <row r="216" spans="1:8">
      <c r="A216"/>
      <c r="C216" t="s">
        <v>4154</v>
      </c>
      <c r="E216" s="17">
        <v>0.31034482758620691</v>
      </c>
      <c r="F216" s="17">
        <v>0.37931034482758619</v>
      </c>
      <c r="G216" s="17">
        <v>0.31034482758620691</v>
      </c>
      <c r="H216" s="17">
        <v>1</v>
      </c>
    </row>
    <row r="217" spans="1:8">
      <c r="A217"/>
      <c r="C217">
        <v>9</v>
      </c>
      <c r="D217" t="s">
        <v>64</v>
      </c>
      <c r="E217" s="17">
        <v>0.35714285714285715</v>
      </c>
      <c r="F217" s="17">
        <v>0.2857142857142857</v>
      </c>
      <c r="G217" s="17">
        <v>0.35714285714285715</v>
      </c>
      <c r="H217" s="17">
        <v>1</v>
      </c>
    </row>
    <row r="218" spans="1:8">
      <c r="A218"/>
      <c r="C218" t="s">
        <v>4155</v>
      </c>
      <c r="E218" s="17">
        <v>0.35714285714285715</v>
      </c>
      <c r="F218" s="17">
        <v>0.2857142857142857</v>
      </c>
      <c r="G218" s="17">
        <v>0.35714285714285715</v>
      </c>
      <c r="H218" s="17">
        <v>1</v>
      </c>
    </row>
    <row r="219" spans="1:8">
      <c r="A219"/>
      <c r="B219" t="s">
        <v>4185</v>
      </c>
      <c r="E219" s="17">
        <v>0.41379310344827586</v>
      </c>
      <c r="F219" s="17">
        <v>0.28735632183908044</v>
      </c>
      <c r="G219" s="17">
        <v>0.2988505747126437</v>
      </c>
      <c r="H219" s="17">
        <v>1</v>
      </c>
    </row>
    <row r="220" spans="1:8">
      <c r="A220"/>
      <c r="B220" t="s">
        <v>93</v>
      </c>
      <c r="C220">
        <v>7</v>
      </c>
      <c r="D220" t="s">
        <v>2128</v>
      </c>
      <c r="E220" s="17">
        <v>0</v>
      </c>
      <c r="F220" s="17">
        <v>0.96296296296296291</v>
      </c>
      <c r="G220" s="17">
        <v>3.7037037037037035E-2</v>
      </c>
      <c r="H220" s="17">
        <v>1</v>
      </c>
    </row>
    <row r="221" spans="1:8">
      <c r="A221"/>
      <c r="C221" t="s">
        <v>4153</v>
      </c>
      <c r="E221" s="17">
        <v>0</v>
      </c>
      <c r="F221" s="17">
        <v>0.96296296296296291</v>
      </c>
      <c r="G221" s="17">
        <v>3.7037037037037035E-2</v>
      </c>
      <c r="H221" s="17">
        <v>1</v>
      </c>
    </row>
    <row r="222" spans="1:8">
      <c r="A222"/>
      <c r="C222">
        <v>8</v>
      </c>
      <c r="D222" t="s">
        <v>2816</v>
      </c>
      <c r="E222" s="17">
        <v>0</v>
      </c>
      <c r="F222" s="17">
        <v>0.92307692307692313</v>
      </c>
      <c r="G222" s="17">
        <v>7.6923076923076927E-2</v>
      </c>
      <c r="H222" s="17">
        <v>1</v>
      </c>
    </row>
    <row r="223" spans="1:8">
      <c r="A223"/>
      <c r="C223" t="s">
        <v>4154</v>
      </c>
      <c r="E223" s="17">
        <v>0</v>
      </c>
      <c r="F223" s="17">
        <v>0.92307692307692313</v>
      </c>
      <c r="G223" s="17">
        <v>7.6923076923076927E-2</v>
      </c>
      <c r="H223" s="17">
        <v>1</v>
      </c>
    </row>
    <row r="224" spans="1:8">
      <c r="A224"/>
      <c r="C224">
        <v>9</v>
      </c>
      <c r="D224" t="s">
        <v>64</v>
      </c>
      <c r="E224" s="17">
        <v>3.8461538461538464E-2</v>
      </c>
      <c r="F224" s="17">
        <v>0.92307692307692313</v>
      </c>
      <c r="G224" s="17">
        <v>3.8461538461538464E-2</v>
      </c>
      <c r="H224" s="17">
        <v>1</v>
      </c>
    </row>
    <row r="225" spans="1:12">
      <c r="A225"/>
      <c r="C225" t="s">
        <v>4155</v>
      </c>
      <c r="E225" s="17">
        <v>3.8461538461538464E-2</v>
      </c>
      <c r="F225" s="17">
        <v>0.92307692307692313</v>
      </c>
      <c r="G225" s="17">
        <v>3.8461538461538464E-2</v>
      </c>
      <c r="H225" s="17">
        <v>1</v>
      </c>
    </row>
    <row r="226" spans="1:12">
      <c r="A226"/>
      <c r="B226" t="s">
        <v>4186</v>
      </c>
      <c r="E226" s="17">
        <v>1.2658227848101266E-2</v>
      </c>
      <c r="F226" s="17">
        <v>0.93670886075949367</v>
      </c>
      <c r="G226" s="17">
        <v>5.0632911392405063E-2</v>
      </c>
      <c r="H226" s="17">
        <v>1</v>
      </c>
    </row>
    <row r="227" spans="1:12">
      <c r="A227" t="s">
        <v>4166</v>
      </c>
      <c r="E227" s="17">
        <v>0.24409448818897639</v>
      </c>
      <c r="F227" s="17">
        <v>0.50787401574803148</v>
      </c>
      <c r="G227" s="17">
        <v>0.24803149606299213</v>
      </c>
      <c r="H227" s="17">
        <v>1</v>
      </c>
    </row>
    <row r="228" spans="1:12">
      <c r="A228" t="s">
        <v>4142</v>
      </c>
      <c r="E228" s="17">
        <v>0.24409448818897639</v>
      </c>
      <c r="F228" s="17">
        <v>0.50787401574803148</v>
      </c>
      <c r="G228" s="17">
        <v>0.24803149606299213</v>
      </c>
      <c r="H228" s="17">
        <v>1</v>
      </c>
    </row>
    <row r="229" spans="1:12">
      <c r="A229" t="s">
        <v>4187</v>
      </c>
    </row>
    <row r="230" spans="1:12">
      <c r="A230"/>
    </row>
    <row r="231" spans="1:12">
      <c r="A231"/>
    </row>
    <row r="232" spans="1:12">
      <c r="A232"/>
    </row>
    <row r="233" spans="1:12" s="23" customFormat="1">
      <c r="A233" s="24" t="s">
        <v>4188</v>
      </c>
    </row>
    <row r="234" spans="1:12">
      <c r="A234"/>
    </row>
    <row r="235" spans="1:12">
      <c r="A235" s="7" t="s">
        <v>14</v>
      </c>
      <c r="B235" s="7" t="s">
        <v>58</v>
      </c>
      <c r="C235" s="7" t="s">
        <v>6</v>
      </c>
      <c r="D235" s="7" t="s">
        <v>18</v>
      </c>
      <c r="E235" t="s">
        <v>4189</v>
      </c>
      <c r="F235" t="s">
        <v>4190</v>
      </c>
      <c r="G235" t="s">
        <v>4136</v>
      </c>
      <c r="H235" t="s">
        <v>4137</v>
      </c>
      <c r="I235" t="s">
        <v>4138</v>
      </c>
      <c r="J235" t="s">
        <v>4139</v>
      </c>
      <c r="K235" t="s">
        <v>4191</v>
      </c>
      <c r="L235" t="s">
        <v>4192</v>
      </c>
    </row>
    <row r="236" spans="1:12">
      <c r="A236" t="s">
        <v>68</v>
      </c>
      <c r="B236">
        <v>4</v>
      </c>
      <c r="C236" t="s">
        <v>78</v>
      </c>
      <c r="D236" t="s">
        <v>403</v>
      </c>
      <c r="E236" s="6">
        <v>687948</v>
      </c>
      <c r="F236" s="6">
        <v>306000</v>
      </c>
      <c r="G236" s="6">
        <v>199560</v>
      </c>
      <c r="H236" s="6">
        <v>187770</v>
      </c>
      <c r="I236" s="6">
        <v>4258</v>
      </c>
      <c r="J236" s="17">
        <v>2.2695732715938017E-2</v>
      </c>
      <c r="K236" s="6">
        <v>682886</v>
      </c>
      <c r="L236" s="6">
        <v>178450</v>
      </c>
    </row>
    <row r="237" spans="1:12">
      <c r="A237"/>
      <c r="D237" t="s">
        <v>70</v>
      </c>
      <c r="E237" s="6">
        <v>600339</v>
      </c>
      <c r="F237" s="6">
        <v>294000</v>
      </c>
      <c r="G237" s="6">
        <v>188060</v>
      </c>
      <c r="H237" s="6">
        <v>174580</v>
      </c>
      <c r="I237" s="6">
        <v>4654</v>
      </c>
      <c r="J237" s="17">
        <v>2.6540519425501421E-2</v>
      </c>
      <c r="K237" s="6">
        <v>600023</v>
      </c>
      <c r="L237" s="6">
        <v>169610</v>
      </c>
    </row>
    <row r="238" spans="1:12">
      <c r="A238"/>
      <c r="D238" t="s">
        <v>683</v>
      </c>
      <c r="E238" s="6">
        <v>264692</v>
      </c>
      <c r="F238" s="6">
        <v>135000</v>
      </c>
      <c r="G238" s="6">
        <v>87410</v>
      </c>
      <c r="H238" s="6">
        <v>81580</v>
      </c>
      <c r="I238" s="6">
        <v>1804</v>
      </c>
      <c r="J238" s="17">
        <v>2.2144395843534632E-2</v>
      </c>
      <c r="K238" s="6">
        <v>263836</v>
      </c>
      <c r="L238" s="6">
        <v>78920</v>
      </c>
    </row>
    <row r="239" spans="1:12">
      <c r="A239"/>
      <c r="C239" t="s">
        <v>4193</v>
      </c>
      <c r="E239" s="6">
        <v>1552979</v>
      </c>
      <c r="F239" s="6">
        <v>735000</v>
      </c>
      <c r="G239" s="6">
        <v>475030</v>
      </c>
      <c r="H239" s="6">
        <v>443930</v>
      </c>
      <c r="I239" s="6">
        <v>10716</v>
      </c>
      <c r="J239" s="17">
        <v>2.3874114306422251E-2</v>
      </c>
      <c r="K239" s="6">
        <v>1546745</v>
      </c>
      <c r="L239" s="6">
        <v>426980</v>
      </c>
    </row>
    <row r="240" spans="1:12">
      <c r="A240"/>
      <c r="B240" t="s">
        <v>4150</v>
      </c>
      <c r="E240" s="6">
        <v>1552979</v>
      </c>
      <c r="F240" s="6">
        <v>735000</v>
      </c>
      <c r="G240" s="6">
        <v>475030</v>
      </c>
      <c r="H240" s="6">
        <v>443930</v>
      </c>
      <c r="I240" s="6">
        <v>10716</v>
      </c>
      <c r="J240" s="17">
        <v>2.3874114306422251E-2</v>
      </c>
      <c r="K240" s="6">
        <v>1546745</v>
      </c>
      <c r="L240" s="6">
        <v>426980</v>
      </c>
    </row>
    <row r="241" spans="1:12">
      <c r="A241"/>
      <c r="B241">
        <v>5</v>
      </c>
      <c r="C241" t="s">
        <v>790</v>
      </c>
      <c r="D241" t="s">
        <v>403</v>
      </c>
      <c r="E241" s="6">
        <v>620311</v>
      </c>
      <c r="F241" s="6">
        <v>252000</v>
      </c>
      <c r="G241" s="6">
        <v>168300</v>
      </c>
      <c r="H241" s="6">
        <v>155250</v>
      </c>
      <c r="I241" s="6">
        <v>4266</v>
      </c>
      <c r="J241" s="17">
        <v>2.7290970402206818E-2</v>
      </c>
      <c r="K241" s="6">
        <v>622697</v>
      </c>
      <c r="L241" s="6">
        <v>153370</v>
      </c>
    </row>
    <row r="242" spans="1:12">
      <c r="A242"/>
      <c r="D242" t="s">
        <v>70</v>
      </c>
      <c r="E242" s="6">
        <v>795503</v>
      </c>
      <c r="F242" s="6">
        <v>336000</v>
      </c>
      <c r="G242" s="6">
        <v>217310</v>
      </c>
      <c r="H242" s="6">
        <v>205060</v>
      </c>
      <c r="I242" s="6">
        <v>5337</v>
      </c>
      <c r="J242" s="17">
        <v>2.6078442393696166E-2</v>
      </c>
      <c r="K242" s="6">
        <v>788290</v>
      </c>
      <c r="L242" s="6">
        <v>192510</v>
      </c>
    </row>
    <row r="243" spans="1:12">
      <c r="A243"/>
      <c r="D243" t="s">
        <v>683</v>
      </c>
      <c r="E243" s="6">
        <v>321727</v>
      </c>
      <c r="F243" s="6">
        <v>141750</v>
      </c>
      <c r="G243" s="6">
        <v>91760</v>
      </c>
      <c r="H243" s="6">
        <v>86710</v>
      </c>
      <c r="I243" s="6">
        <v>2076</v>
      </c>
      <c r="J243" s="17">
        <v>2.3775450614628209E-2</v>
      </c>
      <c r="K243" s="6">
        <v>320393</v>
      </c>
      <c r="L243" s="6">
        <v>83300</v>
      </c>
    </row>
    <row r="244" spans="1:12">
      <c r="A244"/>
      <c r="C244" t="s">
        <v>4194</v>
      </c>
      <c r="E244" s="6">
        <v>1737541</v>
      </c>
      <c r="F244" s="6">
        <v>729750</v>
      </c>
      <c r="G244" s="6">
        <v>477370</v>
      </c>
      <c r="H244" s="6">
        <v>447020</v>
      </c>
      <c r="I244" s="6">
        <v>11679</v>
      </c>
      <c r="J244" s="17">
        <v>2.5900515935398289E-2</v>
      </c>
      <c r="K244" s="6">
        <v>1731380</v>
      </c>
      <c r="L244" s="6">
        <v>429180</v>
      </c>
    </row>
    <row r="245" spans="1:12">
      <c r="A245"/>
      <c r="B245" t="s">
        <v>4151</v>
      </c>
      <c r="E245" s="6">
        <v>1737541</v>
      </c>
      <c r="F245" s="6">
        <v>729750</v>
      </c>
      <c r="G245" s="6">
        <v>477370</v>
      </c>
      <c r="H245" s="6">
        <v>447020</v>
      </c>
      <c r="I245" s="6">
        <v>11679</v>
      </c>
      <c r="J245" s="17">
        <v>2.5900515935398289E-2</v>
      </c>
      <c r="K245" s="6">
        <v>1731380</v>
      </c>
      <c r="L245" s="6">
        <v>429180</v>
      </c>
    </row>
    <row r="246" spans="1:12">
      <c r="A246"/>
      <c r="B246">
        <v>6</v>
      </c>
      <c r="C246" t="s">
        <v>1459</v>
      </c>
      <c r="D246" t="s">
        <v>403</v>
      </c>
      <c r="E246" s="6">
        <v>584531</v>
      </c>
      <c r="F246" s="6">
        <v>243000</v>
      </c>
      <c r="G246" s="6">
        <v>155280</v>
      </c>
      <c r="H246" s="6">
        <v>145310</v>
      </c>
      <c r="I246" s="6">
        <v>3901</v>
      </c>
      <c r="J246" s="17">
        <v>2.6701589352157544E-2</v>
      </c>
      <c r="K246" s="6">
        <v>581202</v>
      </c>
      <c r="L246" s="6">
        <v>138080</v>
      </c>
    </row>
    <row r="247" spans="1:12">
      <c r="A247"/>
      <c r="D247" t="s">
        <v>70</v>
      </c>
      <c r="E247" s="6">
        <v>996189</v>
      </c>
      <c r="F247" s="6">
        <v>336000</v>
      </c>
      <c r="G247" s="6">
        <v>199090</v>
      </c>
      <c r="H247" s="6">
        <v>187150</v>
      </c>
      <c r="I247" s="6">
        <v>4578</v>
      </c>
      <c r="J247" s="17">
        <v>2.4524840126704348E-2</v>
      </c>
      <c r="K247" s="6">
        <v>992597</v>
      </c>
      <c r="L247" s="6">
        <v>178980</v>
      </c>
    </row>
    <row r="248" spans="1:12">
      <c r="A248"/>
      <c r="D248" t="s">
        <v>683</v>
      </c>
      <c r="E248" s="6">
        <v>462245</v>
      </c>
      <c r="F248" s="6">
        <v>175500</v>
      </c>
      <c r="G248" s="6">
        <v>111980</v>
      </c>
      <c r="H248" s="6">
        <v>103920</v>
      </c>
      <c r="I248" s="6">
        <v>2493</v>
      </c>
      <c r="J248" s="17">
        <v>2.3988205285414305E-2</v>
      </c>
      <c r="K248" s="6">
        <v>459138</v>
      </c>
      <c r="L248" s="6">
        <v>98320</v>
      </c>
    </row>
    <row r="249" spans="1:12">
      <c r="A249"/>
      <c r="C249" t="s">
        <v>4195</v>
      </c>
      <c r="E249" s="6">
        <v>2042965</v>
      </c>
      <c r="F249" s="6">
        <v>754500</v>
      </c>
      <c r="G249" s="6">
        <v>466350</v>
      </c>
      <c r="H249" s="6">
        <v>436380</v>
      </c>
      <c r="I249" s="6">
        <v>10972</v>
      </c>
      <c r="J249" s="17">
        <v>2.5052130988041946E-2</v>
      </c>
      <c r="K249" s="6">
        <v>2032937</v>
      </c>
      <c r="L249" s="6">
        <v>415380</v>
      </c>
    </row>
    <row r="250" spans="1:12">
      <c r="A250"/>
      <c r="B250" t="s">
        <v>4152</v>
      </c>
      <c r="E250" s="6">
        <v>2042965</v>
      </c>
      <c r="F250" s="6">
        <v>754500</v>
      </c>
      <c r="G250" s="6">
        <v>466350</v>
      </c>
      <c r="H250" s="6">
        <v>436380</v>
      </c>
      <c r="I250" s="6">
        <v>10972</v>
      </c>
      <c r="J250" s="17">
        <v>2.5052130988041946E-2</v>
      </c>
      <c r="K250" s="6">
        <v>2032937</v>
      </c>
      <c r="L250" s="6">
        <v>415380</v>
      </c>
    </row>
    <row r="251" spans="1:12">
      <c r="A251"/>
      <c r="B251">
        <v>7</v>
      </c>
      <c r="C251" t="s">
        <v>2128</v>
      </c>
      <c r="D251" t="s">
        <v>403</v>
      </c>
      <c r="E251" s="6">
        <v>578751</v>
      </c>
      <c r="F251" s="6">
        <v>279000</v>
      </c>
      <c r="G251" s="6">
        <v>182040</v>
      </c>
      <c r="H251" s="6">
        <v>171260</v>
      </c>
      <c r="I251" s="6">
        <v>9590</v>
      </c>
      <c r="J251" s="17">
        <v>5.6899522812075443E-2</v>
      </c>
      <c r="K251" s="6">
        <v>587961</v>
      </c>
      <c r="L251" s="6">
        <v>170880</v>
      </c>
    </row>
    <row r="252" spans="1:12">
      <c r="A252"/>
      <c r="D252" t="s">
        <v>70</v>
      </c>
      <c r="E252" s="6">
        <v>718716</v>
      </c>
      <c r="F252" s="6">
        <v>294000</v>
      </c>
      <c r="G252" s="6">
        <v>183460</v>
      </c>
      <c r="H252" s="6">
        <v>171040</v>
      </c>
      <c r="I252" s="6">
        <v>13729</v>
      </c>
      <c r="J252" s="17">
        <v>7.9844881475674562E-2</v>
      </c>
      <c r="K252" s="6">
        <v>733365</v>
      </c>
      <c r="L252" s="6">
        <v>171960</v>
      </c>
    </row>
    <row r="253" spans="1:12">
      <c r="A253"/>
      <c r="D253" t="s">
        <v>683</v>
      </c>
      <c r="E253" s="6">
        <v>416562</v>
      </c>
      <c r="F253" s="6">
        <v>189000</v>
      </c>
      <c r="G253" s="6">
        <v>120800</v>
      </c>
      <c r="H253" s="6">
        <v>111100</v>
      </c>
      <c r="I253" s="6">
        <v>6257</v>
      </c>
      <c r="J253" s="17">
        <v>5.5930967627371327E-2</v>
      </c>
      <c r="K253" s="6">
        <v>423709</v>
      </c>
      <c r="L253" s="6">
        <v>111990</v>
      </c>
    </row>
    <row r="254" spans="1:12">
      <c r="A254"/>
      <c r="C254" t="s">
        <v>4171</v>
      </c>
      <c r="E254" s="6">
        <v>1714029</v>
      </c>
      <c r="F254" s="6">
        <v>762000</v>
      </c>
      <c r="G254" s="6">
        <v>486300</v>
      </c>
      <c r="H254" s="6">
        <v>453400</v>
      </c>
      <c r="I254" s="6">
        <v>29576</v>
      </c>
      <c r="J254" s="17">
        <v>6.3972517035168097E-2</v>
      </c>
      <c r="K254" s="6">
        <v>1745035</v>
      </c>
      <c r="L254" s="6">
        <v>454830</v>
      </c>
    </row>
    <row r="255" spans="1:12">
      <c r="A255"/>
      <c r="B255" t="s">
        <v>4153</v>
      </c>
      <c r="E255" s="6">
        <v>1714029</v>
      </c>
      <c r="F255" s="6">
        <v>762000</v>
      </c>
      <c r="G255" s="6">
        <v>486300</v>
      </c>
      <c r="H255" s="6">
        <v>453400</v>
      </c>
      <c r="I255" s="6">
        <v>29576</v>
      </c>
      <c r="J255" s="17">
        <v>6.3972517035168097E-2</v>
      </c>
      <c r="K255" s="6">
        <v>1745035</v>
      </c>
      <c r="L255" s="6">
        <v>454830</v>
      </c>
    </row>
    <row r="256" spans="1:12">
      <c r="A256"/>
      <c r="B256">
        <v>8</v>
      </c>
      <c r="C256" t="s">
        <v>2816</v>
      </c>
      <c r="D256" t="s">
        <v>403</v>
      </c>
      <c r="E256" s="6">
        <v>320022</v>
      </c>
      <c r="F256" s="6">
        <v>225000</v>
      </c>
      <c r="G256" s="6">
        <v>149160</v>
      </c>
      <c r="H256" s="6">
        <v>139550</v>
      </c>
      <c r="I256" s="6">
        <v>7409</v>
      </c>
      <c r="J256" s="17">
        <v>5.4942006488911177E-2</v>
      </c>
      <c r="K256" s="6">
        <v>324431</v>
      </c>
      <c r="L256" s="6">
        <v>136550</v>
      </c>
    </row>
    <row r="257" spans="1:12">
      <c r="A257"/>
      <c r="D257" t="s">
        <v>70</v>
      </c>
      <c r="E257" s="6">
        <v>225423</v>
      </c>
      <c r="F257" s="6">
        <v>273000</v>
      </c>
      <c r="G257" s="6">
        <v>182600</v>
      </c>
      <c r="H257" s="6">
        <v>169840</v>
      </c>
      <c r="I257" s="6">
        <v>12319</v>
      </c>
      <c r="J257" s="17">
        <v>7.2297813146921838E-2</v>
      </c>
      <c r="K257" s="6">
        <v>240682</v>
      </c>
      <c r="L257" s="6">
        <v>172780</v>
      </c>
    </row>
    <row r="258" spans="1:12">
      <c r="A258"/>
      <c r="D258" t="s">
        <v>683</v>
      </c>
      <c r="E258" s="6">
        <v>285105</v>
      </c>
      <c r="F258" s="6">
        <v>222750</v>
      </c>
      <c r="G258" s="6">
        <v>143670</v>
      </c>
      <c r="H258" s="6">
        <v>132630</v>
      </c>
      <c r="I258" s="6">
        <v>8031</v>
      </c>
      <c r="J258" s="17">
        <v>6.186976189868363E-2</v>
      </c>
      <c r="K258" s="6">
        <v>290496</v>
      </c>
      <c r="L258" s="6">
        <v>129990</v>
      </c>
    </row>
    <row r="259" spans="1:12">
      <c r="A259"/>
      <c r="C259" t="s">
        <v>4172</v>
      </c>
      <c r="E259" s="6">
        <v>830550</v>
      </c>
      <c r="F259" s="6">
        <v>720750</v>
      </c>
      <c r="G259" s="6">
        <v>475430</v>
      </c>
      <c r="H259" s="6">
        <v>442020</v>
      </c>
      <c r="I259" s="6">
        <v>27759</v>
      </c>
      <c r="J259" s="17">
        <v>6.3035660079753641E-2</v>
      </c>
      <c r="K259" s="6">
        <v>855609</v>
      </c>
      <c r="L259" s="6">
        <v>439320</v>
      </c>
    </row>
    <row r="260" spans="1:12">
      <c r="A260"/>
      <c r="B260" t="s">
        <v>4154</v>
      </c>
      <c r="E260" s="6">
        <v>830550</v>
      </c>
      <c r="F260" s="6">
        <v>720750</v>
      </c>
      <c r="G260" s="6">
        <v>475430</v>
      </c>
      <c r="H260" s="6">
        <v>442020</v>
      </c>
      <c r="I260" s="6">
        <v>27759</v>
      </c>
      <c r="J260" s="17">
        <v>6.3035660079753641E-2</v>
      </c>
      <c r="K260" s="6">
        <v>855609</v>
      </c>
      <c r="L260" s="6">
        <v>439320</v>
      </c>
    </row>
    <row r="261" spans="1:12">
      <c r="A261"/>
      <c r="B261">
        <v>9</v>
      </c>
      <c r="C261" t="s">
        <v>64</v>
      </c>
      <c r="D261" t="s">
        <v>403</v>
      </c>
      <c r="E261" s="6">
        <v>126334</v>
      </c>
      <c r="F261" s="6">
        <v>261000</v>
      </c>
      <c r="G261" s="6">
        <v>183680</v>
      </c>
      <c r="H261" s="6">
        <v>173080</v>
      </c>
      <c r="I261" s="6">
        <v>12795</v>
      </c>
      <c r="J261" s="17">
        <v>7.459038494028894E-2</v>
      </c>
      <c r="K261" s="6">
        <v>136690</v>
      </c>
      <c r="L261" s="6">
        <v>170641</v>
      </c>
    </row>
    <row r="262" spans="1:12">
      <c r="A262"/>
      <c r="D262" t="s">
        <v>70</v>
      </c>
      <c r="E262" s="6">
        <v>5130</v>
      </c>
      <c r="F262" s="6">
        <v>283500</v>
      </c>
      <c r="G262" s="6">
        <v>195360</v>
      </c>
      <c r="H262" s="6">
        <v>183190</v>
      </c>
      <c r="I262" s="6">
        <v>11587</v>
      </c>
      <c r="J262" s="17">
        <v>6.3665156461158626E-2</v>
      </c>
      <c r="K262" s="6">
        <v>7343</v>
      </c>
      <c r="L262" s="6">
        <v>173816</v>
      </c>
    </row>
    <row r="263" spans="1:12">
      <c r="A263"/>
      <c r="D263" t="s">
        <v>683</v>
      </c>
      <c r="E263" s="6">
        <v>102474</v>
      </c>
      <c r="F263" s="6">
        <v>182250</v>
      </c>
      <c r="G263" s="6">
        <v>129270</v>
      </c>
      <c r="H263" s="6">
        <v>120770</v>
      </c>
      <c r="I263" s="6">
        <v>7534</v>
      </c>
      <c r="J263" s="17">
        <v>6.3247759587261851E-2</v>
      </c>
      <c r="K263" s="6">
        <v>105848</v>
      </c>
      <c r="L263" s="6">
        <v>116610</v>
      </c>
    </row>
    <row r="264" spans="1:12">
      <c r="A264"/>
      <c r="C264" t="s">
        <v>4173</v>
      </c>
      <c r="E264" s="6">
        <v>233938</v>
      </c>
      <c r="F264" s="6">
        <v>726750</v>
      </c>
      <c r="G264" s="6">
        <v>508310</v>
      </c>
      <c r="H264" s="6">
        <v>477040</v>
      </c>
      <c r="I264" s="6">
        <v>31916</v>
      </c>
      <c r="J264" s="17">
        <v>6.734662525994857E-2</v>
      </c>
      <c r="K264" s="6">
        <v>249881</v>
      </c>
      <c r="L264" s="6">
        <v>461067</v>
      </c>
    </row>
    <row r="265" spans="1:12">
      <c r="A265"/>
      <c r="B265" t="s">
        <v>4155</v>
      </c>
      <c r="E265" s="6">
        <v>233938</v>
      </c>
      <c r="F265" s="6">
        <v>726750</v>
      </c>
      <c r="G265" s="6">
        <v>508310</v>
      </c>
      <c r="H265" s="6">
        <v>477040</v>
      </c>
      <c r="I265" s="6">
        <v>31916</v>
      </c>
      <c r="J265" s="17">
        <v>6.734662525994857E-2</v>
      </c>
      <c r="K265" s="6">
        <v>249881</v>
      </c>
      <c r="L265" s="6">
        <v>461067</v>
      </c>
    </row>
    <row r="266" spans="1:12">
      <c r="A266" t="s">
        <v>4166</v>
      </c>
      <c r="E266" s="6">
        <v>8112002</v>
      </c>
      <c r="F266" s="6">
        <v>4428750</v>
      </c>
      <c r="G266" s="6">
        <v>2888790</v>
      </c>
      <c r="H266" s="6">
        <v>2699790</v>
      </c>
      <c r="I266" s="6">
        <v>122618</v>
      </c>
      <c r="J266" s="17">
        <v>4.5090487297235318E-2</v>
      </c>
      <c r="K266" s="6">
        <v>8161587</v>
      </c>
      <c r="L266" s="6">
        <v>2626757</v>
      </c>
    </row>
    <row r="267" spans="1:12">
      <c r="A267" t="s">
        <v>4142</v>
      </c>
      <c r="E267" s="6">
        <v>8112002</v>
      </c>
      <c r="F267" s="6">
        <v>4428750</v>
      </c>
      <c r="G267" s="6">
        <v>2888790</v>
      </c>
      <c r="H267" s="6">
        <v>2699790</v>
      </c>
      <c r="I267" s="6">
        <v>122618</v>
      </c>
      <c r="J267" s="17">
        <v>4.5090487297235318E-2</v>
      </c>
      <c r="K267" s="6">
        <v>8161587</v>
      </c>
      <c r="L267" s="6">
        <v>2626757</v>
      </c>
    </row>
    <row r="268" spans="1:12">
      <c r="A268" t="s">
        <v>4196</v>
      </c>
    </row>
    <row r="269" spans="1:12">
      <c r="A269" t="s">
        <v>4197</v>
      </c>
    </row>
    <row r="270" spans="1:12">
      <c r="A270"/>
    </row>
    <row r="271" spans="1:12">
      <c r="A271"/>
    </row>
    <row r="272" spans="1:12" s="23" customFormat="1">
      <c r="A272" s="24" t="s">
        <v>4198</v>
      </c>
    </row>
    <row r="273" spans="1:5">
      <c r="A273"/>
    </row>
    <row r="274" spans="1:5">
      <c r="A274" s="7" t="s">
        <v>18</v>
      </c>
      <c r="B274" s="7" t="s">
        <v>58</v>
      </c>
      <c r="C274" s="7" t="s">
        <v>6</v>
      </c>
      <c r="D274" s="7" t="s">
        <v>52</v>
      </c>
      <c r="E274" t="s">
        <v>4183</v>
      </c>
    </row>
    <row r="275" spans="1:5">
      <c r="A275" t="s">
        <v>403</v>
      </c>
      <c r="B275">
        <v>9</v>
      </c>
      <c r="C275" t="s">
        <v>64</v>
      </c>
      <c r="D275" s="6">
        <v>0</v>
      </c>
      <c r="E275" s="8">
        <v>3</v>
      </c>
    </row>
    <row r="276" spans="1:5">
      <c r="A276"/>
      <c r="C276" t="s">
        <v>4173</v>
      </c>
      <c r="E276" s="8">
        <v>3</v>
      </c>
    </row>
    <row r="277" spans="1:5">
      <c r="A277"/>
      <c r="B277" t="s">
        <v>4155</v>
      </c>
      <c r="E277" s="8">
        <v>3</v>
      </c>
    </row>
    <row r="278" spans="1:5">
      <c r="A278" t="s">
        <v>4199</v>
      </c>
      <c r="E278" s="8">
        <v>3</v>
      </c>
    </row>
    <row r="279" spans="1:5">
      <c r="A279" t="s">
        <v>70</v>
      </c>
      <c r="B279">
        <v>9</v>
      </c>
      <c r="C279" t="s">
        <v>64</v>
      </c>
      <c r="D279" s="6">
        <v>0</v>
      </c>
      <c r="E279" s="8">
        <v>17</v>
      </c>
    </row>
    <row r="280" spans="1:5">
      <c r="A280"/>
      <c r="C280" t="s">
        <v>4173</v>
      </c>
      <c r="E280" s="8">
        <v>17</v>
      </c>
    </row>
    <row r="281" spans="1:5">
      <c r="A281"/>
      <c r="B281" t="s">
        <v>4155</v>
      </c>
      <c r="E281" s="8">
        <v>17</v>
      </c>
    </row>
    <row r="282" spans="1:5">
      <c r="A282" t="s">
        <v>4200</v>
      </c>
      <c r="E282" s="8">
        <v>17</v>
      </c>
    </row>
    <row r="283" spans="1:5">
      <c r="A283" t="s">
        <v>4142</v>
      </c>
      <c r="E283" s="8">
        <v>20</v>
      </c>
    </row>
    <row r="284" spans="1:5">
      <c r="A284"/>
    </row>
    <row r="285" spans="1:5">
      <c r="A285"/>
    </row>
    <row r="286" spans="1:5">
      <c r="A286"/>
    </row>
    <row r="287" spans="1:5" s="23" customFormat="1">
      <c r="A287" s="24" t="s">
        <v>4201</v>
      </c>
    </row>
    <row r="288" spans="1:5">
      <c r="A288"/>
    </row>
    <row r="289" spans="1:4">
      <c r="A289" t="s">
        <v>18</v>
      </c>
      <c r="B289" t="s">
        <v>4202</v>
      </c>
      <c r="C289" t="s">
        <v>4203</v>
      </c>
    </row>
    <row r="290" spans="1:4">
      <c r="A290" t="s">
        <v>403</v>
      </c>
      <c r="B290" cm="1">
        <f t="array" ref="B290">SUM(IF(Data!J2:J2001 = "MW-AF-250",(Data!AC2:AC2001 -Data!AD2:AD2001),0))</f>
        <v>1879</v>
      </c>
      <c r="C290" cm="1">
        <f t="array" ref="C290">SUM(IF(Data!J2:J2001 = "MW-AF-250",(Data!AC2:AC2001 -Data!AD2:AD2001) *Data!Z2:Z2001,0))</f>
        <v>108982</v>
      </c>
    </row>
    <row r="291" spans="1:4">
      <c r="A291" t="s">
        <v>70</v>
      </c>
      <c r="B291" cm="1">
        <f t="array" ref="B291">SUM(IF(Data!J2:J2001 = "MW-MT-250",(Data!AC2:AC2001 -Data!AD2:AD2001),0))</f>
        <v>11054</v>
      </c>
      <c r="C291" cm="1">
        <f t="array" ref="C291">SUM(IF(Data!J2:J2001 = "MW-MT-250",(Data!AC2:AC2001 -Data!AD2:AD2001) *Data!Z2:Z2001,0))</f>
        <v>508484</v>
      </c>
    </row>
    <row r="292" spans="1:4">
      <c r="A292" t="s">
        <v>683</v>
      </c>
      <c r="B292" cm="1">
        <f t="array" ref="B292">SUM(IF(Data!J2:J2001 = "MW-MT-500",(Data!AC2:AC2001 -Data!AD2:AD2001),0))</f>
        <v>0</v>
      </c>
      <c r="C292" cm="1">
        <f t="array" ref="C292">SUM(IF(Data!J2:J2001 = "MW-MT-500",(Data!AC2:AC2001 -Data!AD2:AD2001) *Data!Z2:Z2001,0))</f>
        <v>0</v>
      </c>
    </row>
    <row r="293" spans="1:4">
      <c r="A293"/>
    </row>
    <row r="294" spans="1:4">
      <c r="A294"/>
    </row>
    <row r="295" spans="1:4" s="23" customFormat="1">
      <c r="A295" s="24" t="s">
        <v>4204</v>
      </c>
    </row>
    <row r="296" spans="1:4">
      <c r="A296" s="7" t="s">
        <v>14</v>
      </c>
      <c r="B296" s="7" t="s">
        <v>58</v>
      </c>
      <c r="C296" s="7" t="s">
        <v>6</v>
      </c>
      <c r="D296" t="s">
        <v>4205</v>
      </c>
    </row>
    <row r="297" spans="1:4">
      <c r="A297" t="s">
        <v>68</v>
      </c>
      <c r="B297">
        <v>4</v>
      </c>
      <c r="C297" t="s">
        <v>78</v>
      </c>
      <c r="D297" s="8">
        <v>603564</v>
      </c>
    </row>
    <row r="298" spans="1:4">
      <c r="A298"/>
      <c r="B298" t="s">
        <v>4150</v>
      </c>
      <c r="D298" s="8">
        <v>603564</v>
      </c>
    </row>
    <row r="299" spans="1:4">
      <c r="A299"/>
      <c r="B299">
        <v>5</v>
      </c>
      <c r="C299" t="s">
        <v>790</v>
      </c>
      <c r="D299" s="8">
        <v>656934</v>
      </c>
    </row>
    <row r="300" spans="1:4">
      <c r="A300"/>
      <c r="B300" t="s">
        <v>4151</v>
      </c>
      <c r="D300" s="8">
        <v>656934</v>
      </c>
    </row>
    <row r="301" spans="1:4">
      <c r="A301"/>
      <c r="B301">
        <v>6</v>
      </c>
      <c r="C301" t="s">
        <v>1459</v>
      </c>
      <c r="D301" s="8">
        <v>633793</v>
      </c>
    </row>
    <row r="302" spans="1:4">
      <c r="A302"/>
      <c r="B302" t="s">
        <v>4152</v>
      </c>
      <c r="D302" s="8">
        <v>633793</v>
      </c>
    </row>
    <row r="303" spans="1:4">
      <c r="A303"/>
      <c r="B303">
        <v>7</v>
      </c>
      <c r="C303" t="s">
        <v>2128</v>
      </c>
      <c r="D303" s="8">
        <v>1682057</v>
      </c>
    </row>
    <row r="304" spans="1:4">
      <c r="A304"/>
      <c r="B304" t="s">
        <v>4153</v>
      </c>
      <c r="D304" s="8">
        <v>1682057</v>
      </c>
    </row>
    <row r="305" spans="1:4">
      <c r="A305"/>
      <c r="B305">
        <v>8</v>
      </c>
      <c r="C305" t="s">
        <v>2816</v>
      </c>
      <c r="D305" s="8">
        <v>1630845</v>
      </c>
    </row>
    <row r="306" spans="1:4">
      <c r="A306"/>
      <c r="B306" t="s">
        <v>4154</v>
      </c>
      <c r="D306" s="8">
        <v>1630845</v>
      </c>
    </row>
    <row r="307" spans="1:4">
      <c r="A307"/>
      <c r="B307">
        <v>9</v>
      </c>
      <c r="C307" t="s">
        <v>64</v>
      </c>
      <c r="D307" s="8">
        <v>1870298</v>
      </c>
    </row>
    <row r="308" spans="1:4">
      <c r="A308"/>
      <c r="B308" t="s">
        <v>4155</v>
      </c>
      <c r="D308" s="8">
        <v>1870298</v>
      </c>
    </row>
    <row r="309" spans="1:4">
      <c r="A309" t="s">
        <v>4166</v>
      </c>
      <c r="D309" s="8">
        <v>7077491</v>
      </c>
    </row>
    <row r="310" spans="1:4">
      <c r="A310" t="s">
        <v>4142</v>
      </c>
      <c r="D310" s="8">
        <v>7077491</v>
      </c>
    </row>
    <row r="311" spans="1:4">
      <c r="A311"/>
    </row>
    <row r="312" spans="1:4">
      <c r="A312"/>
    </row>
    <row r="313" spans="1:4">
      <c r="A313"/>
    </row>
    <row r="314" spans="1:4" s="23" customFormat="1">
      <c r="A314" s="24" t="s">
        <v>4206</v>
      </c>
    </row>
    <row r="315" spans="1:4">
      <c r="A315"/>
    </row>
    <row r="316" spans="1:4">
      <c r="A316" t="s">
        <v>4207</v>
      </c>
    </row>
    <row r="317" spans="1:4">
      <c r="A317" s="32" cm="1">
        <f t="array" ref="A317">AVERAGE(IF((Data!G2:G2001 ="L2")*(Data!D2:D2001 &gt;6)*(Data!N2:N2001  &lt;&gt; "PackRight Industries"),Data!T2:T2001))</f>
        <v>2.4465750840035584E-2</v>
      </c>
    </row>
    <row r="318" spans="1:4">
      <c r="A318"/>
    </row>
    <row r="319" spans="1:4">
      <c r="A319" t="s">
        <v>4208</v>
      </c>
    </row>
    <row r="320" spans="1:4">
      <c r="A320" s="32" cm="1">
        <f t="array" ref="A320">AVERAGE(IF((Data!G2:G2001 ="L2")*(Data!D2:D2001 &gt;6),Data!T2:T2001))</f>
        <v>6.4765253249349064E-2</v>
      </c>
    </row>
    <row r="321" spans="1:1">
      <c r="A321"/>
    </row>
    <row r="322" spans="1:1">
      <c r="A322" t="s">
        <v>4209</v>
      </c>
    </row>
    <row r="323" spans="1:1">
      <c r="A323" s="32">
        <f>A320-A317</f>
        <v>4.029950240931348E-2</v>
      </c>
    </row>
    <row r="324" spans="1:1">
      <c r="A324"/>
    </row>
    <row r="325" spans="1:1">
      <c r="A325" t="s">
        <v>4210</v>
      </c>
    </row>
    <row r="326" spans="1:1">
      <c r="A326" s="15">
        <f>SUMIFS(Data!R2:R2001,Data!G2:G2001,"=L2",Data!D2:D2001,"&gt;6")*A323</f>
        <v>55309.455076686376</v>
      </c>
    </row>
    <row r="327" spans="1:1">
      <c r="A327"/>
    </row>
    <row r="328" spans="1:1">
      <c r="A328" t="s">
        <v>4211</v>
      </c>
    </row>
    <row r="329" spans="1:1">
      <c r="A329" cm="1">
        <f t="array" ref="A329">SUM(IF(Data!N2:N2001 ="Packright Industries",Data!AA2:AA2001,0))  -SUM(IF(Data!N2:N2001 = "PackRight Industries",Data!R2:R2001 *Data!Z2:Z2001,0))*0.025</f>
        <v>3180159.75</v>
      </c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  <row r="6275" spans="1:1">
      <c r="A6275"/>
    </row>
    <row r="6276" spans="1:1">
      <c r="A6276"/>
    </row>
    <row r="6277" spans="1:1">
      <c r="A6277"/>
    </row>
    <row r="6278" spans="1:1">
      <c r="A6278"/>
    </row>
    <row r="6279" spans="1:1">
      <c r="A6279"/>
    </row>
    <row r="6280" spans="1:1">
      <c r="A6280"/>
    </row>
    <row r="6281" spans="1:1">
      <c r="A6281"/>
    </row>
    <row r="6282" spans="1:1">
      <c r="A6282"/>
    </row>
    <row r="6283" spans="1:1">
      <c r="A6283"/>
    </row>
    <row r="6284" spans="1:1">
      <c r="A6284"/>
    </row>
    <row r="6285" spans="1:1">
      <c r="A6285"/>
    </row>
    <row r="6286" spans="1:1">
      <c r="A6286"/>
    </row>
    <row r="6287" spans="1:1">
      <c r="A6287"/>
    </row>
    <row r="6288" spans="1:1">
      <c r="A6288"/>
    </row>
    <row r="6289" spans="1:1">
      <c r="A6289"/>
    </row>
    <row r="6290" spans="1:1">
      <c r="A6290"/>
    </row>
    <row r="6291" spans="1:1">
      <c r="A6291"/>
    </row>
    <row r="6292" spans="1:1">
      <c r="A6292"/>
    </row>
    <row r="6293" spans="1:1">
      <c r="A6293"/>
    </row>
    <row r="6294" spans="1:1">
      <c r="A6294"/>
    </row>
    <row r="6295" spans="1:1">
      <c r="A6295"/>
    </row>
    <row r="6296" spans="1:1">
      <c r="A6296"/>
    </row>
    <row r="6297" spans="1:1">
      <c r="A6297"/>
    </row>
    <row r="6298" spans="1:1">
      <c r="A6298"/>
    </row>
    <row r="6299" spans="1:1">
      <c r="A6299"/>
    </row>
    <row r="6300" spans="1:1">
      <c r="A6300"/>
    </row>
    <row r="6301" spans="1:1">
      <c r="A6301"/>
    </row>
    <row r="6302" spans="1:1">
      <c r="A6302"/>
    </row>
    <row r="6303" spans="1:1">
      <c r="A6303"/>
    </row>
    <row r="6304" spans="1:1">
      <c r="A6304"/>
    </row>
    <row r="6305" spans="1:1">
      <c r="A6305"/>
    </row>
    <row r="6306" spans="1:1">
      <c r="A6306"/>
    </row>
    <row r="6307" spans="1:1">
      <c r="A6307"/>
    </row>
    <row r="6308" spans="1:1">
      <c r="A6308"/>
    </row>
    <row r="6309" spans="1:1">
      <c r="A6309"/>
    </row>
    <row r="6310" spans="1:1">
      <c r="A6310"/>
    </row>
    <row r="6311" spans="1:1">
      <c r="A6311"/>
    </row>
    <row r="6312" spans="1:1">
      <c r="A6312"/>
    </row>
    <row r="6313" spans="1:1">
      <c r="A6313"/>
    </row>
    <row r="6314" spans="1:1">
      <c r="A6314"/>
    </row>
    <row r="6315" spans="1:1">
      <c r="A6315"/>
    </row>
    <row r="6316" spans="1:1">
      <c r="A6316"/>
    </row>
    <row r="6317" spans="1:1">
      <c r="A6317"/>
    </row>
    <row r="6318" spans="1:1">
      <c r="A6318"/>
    </row>
    <row r="6319" spans="1:1">
      <c r="A6319"/>
    </row>
    <row r="6320" spans="1:1">
      <c r="A6320"/>
    </row>
    <row r="6321" spans="1:1">
      <c r="A6321"/>
    </row>
    <row r="6322" spans="1:1">
      <c r="A6322"/>
    </row>
    <row r="6323" spans="1:1">
      <c r="A6323"/>
    </row>
    <row r="6324" spans="1:1">
      <c r="A6324"/>
    </row>
    <row r="6325" spans="1:1">
      <c r="A6325"/>
    </row>
    <row r="6326" spans="1:1">
      <c r="A6326"/>
    </row>
    <row r="6327" spans="1:1">
      <c r="A6327"/>
    </row>
    <row r="6328" spans="1:1">
      <c r="A6328"/>
    </row>
    <row r="6329" spans="1:1">
      <c r="A6329"/>
    </row>
    <row r="6330" spans="1:1">
      <c r="A6330"/>
    </row>
    <row r="6331" spans="1:1">
      <c r="A6331"/>
    </row>
    <row r="6332" spans="1:1">
      <c r="A6332"/>
    </row>
    <row r="6333" spans="1:1">
      <c r="A6333"/>
    </row>
    <row r="6334" spans="1:1">
      <c r="A6334"/>
    </row>
    <row r="6335" spans="1:1">
      <c r="A6335"/>
    </row>
    <row r="6336" spans="1:1">
      <c r="A6336"/>
    </row>
    <row r="6337" spans="1:1">
      <c r="A6337"/>
    </row>
    <row r="6338" spans="1:1">
      <c r="A6338"/>
    </row>
    <row r="6339" spans="1:1">
      <c r="A6339"/>
    </row>
    <row r="6340" spans="1:1">
      <c r="A6340"/>
    </row>
    <row r="6341" spans="1:1">
      <c r="A6341"/>
    </row>
    <row r="6342" spans="1:1">
      <c r="A6342"/>
    </row>
    <row r="6343" spans="1:1">
      <c r="A6343"/>
    </row>
    <row r="6344" spans="1:1">
      <c r="A6344"/>
    </row>
    <row r="6345" spans="1:1">
      <c r="A6345"/>
    </row>
    <row r="6346" spans="1:1">
      <c r="A6346"/>
    </row>
    <row r="6347" spans="1:1">
      <c r="A6347"/>
    </row>
    <row r="6348" spans="1:1">
      <c r="A6348"/>
    </row>
    <row r="6349" spans="1:1">
      <c r="A6349"/>
    </row>
    <row r="6350" spans="1:1">
      <c r="A6350"/>
    </row>
    <row r="6351" spans="1:1">
      <c r="A6351"/>
    </row>
    <row r="6352" spans="1:1">
      <c r="A6352"/>
    </row>
    <row r="6353" spans="1:1">
      <c r="A6353"/>
    </row>
    <row r="6354" spans="1:1">
      <c r="A6354"/>
    </row>
    <row r="6355" spans="1:1">
      <c r="A6355"/>
    </row>
    <row r="6356" spans="1:1">
      <c r="A6356"/>
    </row>
    <row r="6357" spans="1:1">
      <c r="A6357"/>
    </row>
    <row r="6358" spans="1:1">
      <c r="A6358"/>
    </row>
    <row r="6359" spans="1:1">
      <c r="A6359"/>
    </row>
    <row r="6360" spans="1:1">
      <c r="A6360"/>
    </row>
    <row r="6361" spans="1:1">
      <c r="A6361"/>
    </row>
    <row r="6362" spans="1:1">
      <c r="A6362"/>
    </row>
    <row r="6363" spans="1:1">
      <c r="A6363"/>
    </row>
    <row r="6364" spans="1:1">
      <c r="A6364"/>
    </row>
    <row r="6365" spans="1:1">
      <c r="A6365"/>
    </row>
    <row r="6366" spans="1:1">
      <c r="A6366"/>
    </row>
    <row r="6367" spans="1:1">
      <c r="A6367"/>
    </row>
    <row r="6368" spans="1:1">
      <c r="A6368"/>
    </row>
    <row r="6369" spans="1:1">
      <c r="A6369"/>
    </row>
    <row r="6370" spans="1:1">
      <c r="A6370"/>
    </row>
    <row r="6371" spans="1:1">
      <c r="A6371"/>
    </row>
    <row r="6372" spans="1:1">
      <c r="A6372"/>
    </row>
    <row r="6373" spans="1:1">
      <c r="A6373"/>
    </row>
    <row r="6374" spans="1:1">
      <c r="A6374"/>
    </row>
    <row r="6375" spans="1:1">
      <c r="A6375"/>
    </row>
    <row r="6376" spans="1:1">
      <c r="A6376"/>
    </row>
    <row r="6377" spans="1:1">
      <c r="A6377"/>
    </row>
    <row r="6378" spans="1:1">
      <c r="A6378"/>
    </row>
    <row r="6379" spans="1:1">
      <c r="A6379"/>
    </row>
    <row r="6380" spans="1:1">
      <c r="A6380"/>
    </row>
    <row r="6381" spans="1:1">
      <c r="A6381"/>
    </row>
    <row r="6382" spans="1:1">
      <c r="A6382"/>
    </row>
    <row r="6383" spans="1:1">
      <c r="A6383"/>
    </row>
    <row r="6384" spans="1:1">
      <c r="A6384"/>
    </row>
    <row r="6385" spans="1:1">
      <c r="A6385"/>
    </row>
    <row r="6386" spans="1:1">
      <c r="A6386"/>
    </row>
    <row r="6387" spans="1:1">
      <c r="A6387"/>
    </row>
    <row r="6388" spans="1:1">
      <c r="A6388"/>
    </row>
    <row r="6389" spans="1:1">
      <c r="A6389"/>
    </row>
    <row r="6390" spans="1:1">
      <c r="A6390"/>
    </row>
    <row r="6391" spans="1:1">
      <c r="A6391"/>
    </row>
    <row r="6392" spans="1:1">
      <c r="A6392"/>
    </row>
    <row r="6393" spans="1:1">
      <c r="A6393"/>
    </row>
    <row r="6394" spans="1:1">
      <c r="A6394"/>
    </row>
    <row r="6395" spans="1:1">
      <c r="A6395"/>
    </row>
    <row r="6396" spans="1:1">
      <c r="A6396"/>
    </row>
    <row r="6397" spans="1:1">
      <c r="A6397"/>
    </row>
    <row r="6398" spans="1:1">
      <c r="A6398"/>
    </row>
    <row r="6399" spans="1:1">
      <c r="A6399"/>
    </row>
    <row r="6400" spans="1:1">
      <c r="A6400"/>
    </row>
    <row r="6401" spans="1:1">
      <c r="A6401"/>
    </row>
    <row r="6402" spans="1:1">
      <c r="A6402"/>
    </row>
    <row r="6403" spans="1:1">
      <c r="A6403"/>
    </row>
    <row r="6404" spans="1:1">
      <c r="A6404"/>
    </row>
    <row r="6405" spans="1:1">
      <c r="A6405"/>
    </row>
    <row r="6406" spans="1:1">
      <c r="A6406"/>
    </row>
    <row r="6407" spans="1:1">
      <c r="A6407"/>
    </row>
    <row r="6408" spans="1:1">
      <c r="A6408"/>
    </row>
    <row r="6409" spans="1:1">
      <c r="A6409"/>
    </row>
    <row r="6410" spans="1:1">
      <c r="A6410"/>
    </row>
    <row r="6411" spans="1:1">
      <c r="A6411"/>
    </row>
    <row r="6412" spans="1:1">
      <c r="A6412"/>
    </row>
    <row r="6413" spans="1:1">
      <c r="A6413"/>
    </row>
    <row r="6414" spans="1:1">
      <c r="A6414"/>
    </row>
    <row r="6415" spans="1:1">
      <c r="A6415"/>
    </row>
    <row r="6416" spans="1:1">
      <c r="A6416"/>
    </row>
    <row r="6417" spans="1:1">
      <c r="A6417"/>
    </row>
    <row r="6418" spans="1:1">
      <c r="A6418"/>
    </row>
    <row r="6419" spans="1:1">
      <c r="A6419"/>
    </row>
    <row r="6420" spans="1:1">
      <c r="A6420"/>
    </row>
    <row r="6421" spans="1:1">
      <c r="A6421"/>
    </row>
    <row r="6422" spans="1:1">
      <c r="A6422"/>
    </row>
    <row r="6423" spans="1:1">
      <c r="A6423"/>
    </row>
    <row r="6424" spans="1:1">
      <c r="A6424"/>
    </row>
    <row r="6425" spans="1:1">
      <c r="A6425"/>
    </row>
    <row r="6426" spans="1:1">
      <c r="A6426"/>
    </row>
    <row r="6427" spans="1:1">
      <c r="A6427"/>
    </row>
    <row r="6428" spans="1:1">
      <c r="A6428"/>
    </row>
    <row r="6429" spans="1:1">
      <c r="A6429"/>
    </row>
    <row r="6430" spans="1:1">
      <c r="A6430"/>
    </row>
    <row r="6431" spans="1:1">
      <c r="A6431"/>
    </row>
    <row r="6432" spans="1:1">
      <c r="A6432"/>
    </row>
    <row r="6433" spans="1:1">
      <c r="A6433"/>
    </row>
    <row r="6434" spans="1:1">
      <c r="A6434"/>
    </row>
    <row r="6435" spans="1:1">
      <c r="A6435"/>
    </row>
    <row r="6436" spans="1:1">
      <c r="A6436"/>
    </row>
    <row r="6437" spans="1:1">
      <c r="A6437"/>
    </row>
    <row r="6438" spans="1:1">
      <c r="A6438"/>
    </row>
    <row r="6439" spans="1:1">
      <c r="A6439"/>
    </row>
    <row r="6440" spans="1:1">
      <c r="A6440"/>
    </row>
    <row r="6441" spans="1:1">
      <c r="A6441"/>
    </row>
    <row r="6442" spans="1:1">
      <c r="A6442"/>
    </row>
    <row r="6443" spans="1:1">
      <c r="A6443"/>
    </row>
    <row r="6444" spans="1:1">
      <c r="A6444"/>
    </row>
    <row r="6445" spans="1:1">
      <c r="A6445"/>
    </row>
    <row r="6446" spans="1:1">
      <c r="A6446"/>
    </row>
    <row r="6447" spans="1:1">
      <c r="A6447"/>
    </row>
    <row r="6448" spans="1:1">
      <c r="A6448"/>
    </row>
    <row r="6449" spans="1:1">
      <c r="A6449"/>
    </row>
    <row r="6450" spans="1:1">
      <c r="A6450"/>
    </row>
    <row r="6451" spans="1:1">
      <c r="A6451"/>
    </row>
    <row r="6452" spans="1:1">
      <c r="A6452"/>
    </row>
    <row r="6453" spans="1:1">
      <c r="A6453"/>
    </row>
    <row r="6454" spans="1:1">
      <c r="A6454"/>
    </row>
    <row r="6455" spans="1:1">
      <c r="A6455"/>
    </row>
    <row r="6456" spans="1:1">
      <c r="A6456"/>
    </row>
    <row r="6457" spans="1:1">
      <c r="A6457"/>
    </row>
    <row r="6458" spans="1:1">
      <c r="A6458"/>
    </row>
    <row r="6459" spans="1:1">
      <c r="A6459"/>
    </row>
    <row r="6460" spans="1:1">
      <c r="A6460"/>
    </row>
    <row r="6461" spans="1:1">
      <c r="A6461"/>
    </row>
    <row r="6462" spans="1:1">
      <c r="A6462"/>
    </row>
    <row r="6463" spans="1:1">
      <c r="A6463"/>
    </row>
    <row r="6464" spans="1:1">
      <c r="A6464"/>
    </row>
    <row r="6465" spans="1:1">
      <c r="A6465"/>
    </row>
    <row r="6466" spans="1:1">
      <c r="A6466"/>
    </row>
    <row r="6467" spans="1:1">
      <c r="A6467"/>
    </row>
    <row r="6468" spans="1:1">
      <c r="A6468"/>
    </row>
    <row r="6469" spans="1:1">
      <c r="A6469"/>
    </row>
    <row r="6470" spans="1:1">
      <c r="A6470"/>
    </row>
    <row r="6471" spans="1:1">
      <c r="A6471"/>
    </row>
    <row r="6472" spans="1:1">
      <c r="A6472"/>
    </row>
    <row r="6473" spans="1:1">
      <c r="A6473"/>
    </row>
    <row r="6474" spans="1:1">
      <c r="A6474"/>
    </row>
    <row r="6475" spans="1:1">
      <c r="A6475"/>
    </row>
    <row r="6476" spans="1:1">
      <c r="A6476"/>
    </row>
    <row r="6477" spans="1:1">
      <c r="A6477"/>
    </row>
    <row r="6478" spans="1:1">
      <c r="A6478"/>
    </row>
    <row r="6479" spans="1:1">
      <c r="A6479"/>
    </row>
    <row r="6480" spans="1:1">
      <c r="A6480"/>
    </row>
    <row r="6481" spans="1:1">
      <c r="A6481"/>
    </row>
    <row r="6482" spans="1:1">
      <c r="A6482"/>
    </row>
    <row r="6483" spans="1:1">
      <c r="A6483"/>
    </row>
    <row r="6484" spans="1:1">
      <c r="A6484"/>
    </row>
    <row r="6485" spans="1:1">
      <c r="A6485"/>
    </row>
    <row r="6486" spans="1:1">
      <c r="A6486"/>
    </row>
    <row r="6487" spans="1:1">
      <c r="A6487"/>
    </row>
    <row r="6488" spans="1:1">
      <c r="A6488"/>
    </row>
    <row r="6489" spans="1:1">
      <c r="A6489"/>
    </row>
    <row r="6490" spans="1:1">
      <c r="A6490"/>
    </row>
    <row r="6491" spans="1:1">
      <c r="A6491"/>
    </row>
    <row r="6492" spans="1:1">
      <c r="A6492"/>
    </row>
    <row r="6493" spans="1:1">
      <c r="A6493"/>
    </row>
    <row r="6494" spans="1:1">
      <c r="A6494"/>
    </row>
    <row r="6495" spans="1:1">
      <c r="A6495"/>
    </row>
    <row r="6496" spans="1:1">
      <c r="A6496"/>
    </row>
    <row r="6497" spans="1:1">
      <c r="A6497"/>
    </row>
    <row r="6498" spans="1:1">
      <c r="A6498"/>
    </row>
    <row r="6499" spans="1:1">
      <c r="A6499"/>
    </row>
    <row r="6500" spans="1:1">
      <c r="A6500"/>
    </row>
    <row r="6501" spans="1:1">
      <c r="A6501"/>
    </row>
    <row r="6502" spans="1:1">
      <c r="A6502"/>
    </row>
    <row r="6503" spans="1:1">
      <c r="A6503"/>
    </row>
    <row r="6504" spans="1:1">
      <c r="A6504"/>
    </row>
    <row r="6505" spans="1:1">
      <c r="A6505"/>
    </row>
    <row r="6506" spans="1:1">
      <c r="A6506"/>
    </row>
    <row r="6507" spans="1:1">
      <c r="A6507"/>
    </row>
    <row r="6508" spans="1:1">
      <c r="A6508"/>
    </row>
    <row r="6509" spans="1:1">
      <c r="A6509"/>
    </row>
    <row r="6510" spans="1:1">
      <c r="A6510"/>
    </row>
    <row r="6511" spans="1:1">
      <c r="A6511"/>
    </row>
    <row r="6512" spans="1:1">
      <c r="A6512"/>
    </row>
    <row r="6513" spans="1:1">
      <c r="A6513"/>
    </row>
    <row r="6514" spans="1:1">
      <c r="A6514"/>
    </row>
    <row r="6515" spans="1:1">
      <c r="A6515"/>
    </row>
    <row r="6516" spans="1:1">
      <c r="A6516"/>
    </row>
    <row r="6517" spans="1:1">
      <c r="A6517"/>
    </row>
    <row r="6518" spans="1:1">
      <c r="A6518"/>
    </row>
    <row r="6519" spans="1:1">
      <c r="A6519"/>
    </row>
    <row r="6520" spans="1:1">
      <c r="A6520"/>
    </row>
    <row r="6521" spans="1:1">
      <c r="A6521"/>
    </row>
    <row r="6522" spans="1:1">
      <c r="A6522"/>
    </row>
    <row r="6523" spans="1:1">
      <c r="A6523"/>
    </row>
    <row r="6524" spans="1:1">
      <c r="A6524"/>
    </row>
    <row r="6525" spans="1:1">
      <c r="A6525"/>
    </row>
    <row r="6526" spans="1:1">
      <c r="A6526"/>
    </row>
    <row r="6527" spans="1:1">
      <c r="A6527"/>
    </row>
    <row r="6528" spans="1:1">
      <c r="A6528"/>
    </row>
    <row r="6529" spans="1:1">
      <c r="A6529"/>
    </row>
    <row r="6530" spans="1:1">
      <c r="A6530"/>
    </row>
    <row r="6531" spans="1:1">
      <c r="A6531"/>
    </row>
    <row r="6532" spans="1:1">
      <c r="A6532"/>
    </row>
    <row r="6533" spans="1:1">
      <c r="A6533"/>
    </row>
    <row r="6534" spans="1:1">
      <c r="A6534"/>
    </row>
    <row r="6535" spans="1:1">
      <c r="A6535"/>
    </row>
    <row r="6536" spans="1:1">
      <c r="A6536"/>
    </row>
    <row r="6537" spans="1:1">
      <c r="A6537"/>
    </row>
    <row r="6538" spans="1:1">
      <c r="A6538"/>
    </row>
    <row r="6539" spans="1:1">
      <c r="A6539"/>
    </row>
    <row r="6540" spans="1:1">
      <c r="A6540"/>
    </row>
    <row r="6541" spans="1:1">
      <c r="A6541"/>
    </row>
    <row r="6542" spans="1:1">
      <c r="A6542"/>
    </row>
    <row r="6543" spans="1:1">
      <c r="A6543"/>
    </row>
    <row r="6544" spans="1:1">
      <c r="A6544"/>
    </row>
    <row r="6545" spans="1:1">
      <c r="A6545"/>
    </row>
    <row r="6546" spans="1:1">
      <c r="A6546"/>
    </row>
    <row r="6547" spans="1:1">
      <c r="A6547"/>
    </row>
    <row r="6548" spans="1:1">
      <c r="A6548"/>
    </row>
    <row r="6549" spans="1:1">
      <c r="A6549"/>
    </row>
    <row r="6550" spans="1:1">
      <c r="A6550"/>
    </row>
    <row r="6551" spans="1:1">
      <c r="A6551"/>
    </row>
    <row r="6552" spans="1:1">
      <c r="A6552"/>
    </row>
    <row r="6553" spans="1:1">
      <c r="A6553"/>
    </row>
    <row r="6554" spans="1:1">
      <c r="A6554"/>
    </row>
    <row r="6555" spans="1:1">
      <c r="A6555"/>
    </row>
    <row r="6556" spans="1:1">
      <c r="A6556"/>
    </row>
    <row r="6557" spans="1:1">
      <c r="A6557"/>
    </row>
    <row r="6558" spans="1:1">
      <c r="A6558"/>
    </row>
    <row r="6559" spans="1:1">
      <c r="A6559"/>
    </row>
    <row r="6560" spans="1:1">
      <c r="A6560"/>
    </row>
    <row r="6561" spans="1:1">
      <c r="A6561"/>
    </row>
    <row r="6562" spans="1:1">
      <c r="A6562"/>
    </row>
    <row r="6563" spans="1:1">
      <c r="A6563"/>
    </row>
    <row r="6564" spans="1:1">
      <c r="A6564"/>
    </row>
    <row r="6565" spans="1:1">
      <c r="A6565"/>
    </row>
    <row r="6566" spans="1:1">
      <c r="A6566"/>
    </row>
    <row r="6567" spans="1:1">
      <c r="A6567"/>
    </row>
    <row r="6568" spans="1:1">
      <c r="A6568"/>
    </row>
    <row r="6569" spans="1:1">
      <c r="A6569"/>
    </row>
    <row r="6570" spans="1:1">
      <c r="A6570"/>
    </row>
    <row r="6571" spans="1:1">
      <c r="A6571"/>
    </row>
    <row r="6572" spans="1:1">
      <c r="A6572"/>
    </row>
    <row r="6573" spans="1:1">
      <c r="A6573"/>
    </row>
    <row r="6574" spans="1:1">
      <c r="A6574"/>
    </row>
    <row r="6575" spans="1:1">
      <c r="A6575"/>
    </row>
    <row r="6576" spans="1:1">
      <c r="A6576"/>
    </row>
    <row r="6577" spans="1:1">
      <c r="A6577"/>
    </row>
    <row r="6578" spans="1:1">
      <c r="A6578"/>
    </row>
    <row r="6579" spans="1:1">
      <c r="A6579"/>
    </row>
    <row r="6580" spans="1:1">
      <c r="A6580"/>
    </row>
    <row r="6581" spans="1:1">
      <c r="A6581"/>
    </row>
    <row r="6582" spans="1:1">
      <c r="A6582"/>
    </row>
    <row r="6583" spans="1:1">
      <c r="A6583"/>
    </row>
    <row r="6584" spans="1:1">
      <c r="A6584"/>
    </row>
    <row r="6585" spans="1:1">
      <c r="A6585"/>
    </row>
    <row r="6586" spans="1:1">
      <c r="A6586"/>
    </row>
    <row r="6587" spans="1:1">
      <c r="A6587"/>
    </row>
    <row r="6588" spans="1:1">
      <c r="A6588"/>
    </row>
    <row r="6589" spans="1:1">
      <c r="A6589"/>
    </row>
    <row r="6590" spans="1:1">
      <c r="A6590"/>
    </row>
    <row r="6591" spans="1:1">
      <c r="A6591"/>
    </row>
    <row r="6592" spans="1:1">
      <c r="A6592"/>
    </row>
    <row r="6593" spans="1:1">
      <c r="A6593"/>
    </row>
    <row r="6594" spans="1:1">
      <c r="A6594"/>
    </row>
    <row r="6595" spans="1:1">
      <c r="A6595"/>
    </row>
    <row r="6596" spans="1:1">
      <c r="A6596"/>
    </row>
    <row r="6597" spans="1:1">
      <c r="A6597"/>
    </row>
    <row r="6598" spans="1:1">
      <c r="A6598"/>
    </row>
    <row r="6599" spans="1:1">
      <c r="A6599"/>
    </row>
    <row r="6600" spans="1:1">
      <c r="A6600"/>
    </row>
    <row r="6601" spans="1:1">
      <c r="A6601"/>
    </row>
    <row r="6602" spans="1:1">
      <c r="A6602"/>
    </row>
    <row r="6603" spans="1:1">
      <c r="A6603"/>
    </row>
    <row r="6604" spans="1:1">
      <c r="A6604"/>
    </row>
    <row r="6605" spans="1:1">
      <c r="A6605"/>
    </row>
    <row r="6606" spans="1:1">
      <c r="A6606"/>
    </row>
    <row r="6607" spans="1:1">
      <c r="A6607"/>
    </row>
    <row r="6608" spans="1:1">
      <c r="A6608"/>
    </row>
    <row r="6609" spans="1:1">
      <c r="A6609"/>
    </row>
    <row r="6610" spans="1:1">
      <c r="A6610"/>
    </row>
    <row r="6611" spans="1:1">
      <c r="A6611"/>
    </row>
    <row r="6612" spans="1:1">
      <c r="A6612"/>
    </row>
    <row r="6613" spans="1:1">
      <c r="A6613"/>
    </row>
    <row r="6614" spans="1:1">
      <c r="A6614"/>
    </row>
    <row r="6615" spans="1:1">
      <c r="A6615"/>
    </row>
    <row r="6616" spans="1:1">
      <c r="A6616"/>
    </row>
    <row r="6617" spans="1:1">
      <c r="A6617"/>
    </row>
    <row r="6618" spans="1:1">
      <c r="A6618"/>
    </row>
    <row r="6619" spans="1:1">
      <c r="A6619"/>
    </row>
    <row r="6620" spans="1:1">
      <c r="A6620"/>
    </row>
    <row r="6621" spans="1:1">
      <c r="A6621"/>
    </row>
    <row r="6622" spans="1:1">
      <c r="A6622"/>
    </row>
    <row r="6623" spans="1:1">
      <c r="A6623"/>
    </row>
    <row r="6624" spans="1:1">
      <c r="A6624"/>
    </row>
    <row r="6625" spans="1:1">
      <c r="A6625"/>
    </row>
    <row r="6626" spans="1:1">
      <c r="A6626"/>
    </row>
    <row r="6627" spans="1:1">
      <c r="A6627"/>
    </row>
    <row r="6628" spans="1:1">
      <c r="A6628"/>
    </row>
    <row r="6629" spans="1:1">
      <c r="A6629"/>
    </row>
    <row r="6630" spans="1:1">
      <c r="A6630"/>
    </row>
    <row r="6631" spans="1:1">
      <c r="A6631"/>
    </row>
    <row r="6632" spans="1:1">
      <c r="A6632"/>
    </row>
    <row r="6633" spans="1:1">
      <c r="A6633"/>
    </row>
    <row r="6634" spans="1:1">
      <c r="A6634"/>
    </row>
    <row r="6635" spans="1:1">
      <c r="A6635"/>
    </row>
    <row r="6636" spans="1:1">
      <c r="A6636"/>
    </row>
    <row r="6637" spans="1:1">
      <c r="A6637"/>
    </row>
    <row r="6638" spans="1:1">
      <c r="A6638"/>
    </row>
    <row r="6639" spans="1:1">
      <c r="A6639"/>
    </row>
    <row r="6640" spans="1:1">
      <c r="A6640"/>
    </row>
    <row r="6641" spans="1:1">
      <c r="A6641"/>
    </row>
    <row r="6642" spans="1:1">
      <c r="A6642"/>
    </row>
    <row r="6643" spans="1:1">
      <c r="A6643"/>
    </row>
    <row r="6644" spans="1:1">
      <c r="A6644"/>
    </row>
    <row r="6645" spans="1:1">
      <c r="A6645"/>
    </row>
    <row r="6646" spans="1:1">
      <c r="A6646"/>
    </row>
    <row r="6647" spans="1:1">
      <c r="A6647"/>
    </row>
    <row r="6648" spans="1:1">
      <c r="A6648"/>
    </row>
    <row r="6649" spans="1:1">
      <c r="A6649"/>
    </row>
    <row r="6650" spans="1:1">
      <c r="A6650"/>
    </row>
    <row r="6651" spans="1:1">
      <c r="A6651"/>
    </row>
    <row r="6652" spans="1:1">
      <c r="A6652"/>
    </row>
    <row r="6653" spans="1:1">
      <c r="A6653"/>
    </row>
    <row r="6654" spans="1:1">
      <c r="A6654"/>
    </row>
    <row r="6655" spans="1:1">
      <c r="A6655"/>
    </row>
    <row r="6656" spans="1:1">
      <c r="A6656"/>
    </row>
    <row r="6657" spans="1:1">
      <c r="A6657"/>
    </row>
    <row r="6658" spans="1:1">
      <c r="A6658"/>
    </row>
    <row r="6659" spans="1:1">
      <c r="A6659"/>
    </row>
    <row r="6660" spans="1:1">
      <c r="A6660"/>
    </row>
    <row r="6661" spans="1:1">
      <c r="A6661"/>
    </row>
    <row r="6662" spans="1:1">
      <c r="A6662"/>
    </row>
    <row r="6663" spans="1:1">
      <c r="A6663"/>
    </row>
    <row r="6664" spans="1:1">
      <c r="A6664"/>
    </row>
    <row r="6665" spans="1:1">
      <c r="A6665"/>
    </row>
    <row r="6666" spans="1:1">
      <c r="A6666"/>
    </row>
    <row r="6667" spans="1:1">
      <c r="A6667"/>
    </row>
    <row r="6668" spans="1:1">
      <c r="A6668"/>
    </row>
    <row r="6669" spans="1:1">
      <c r="A6669"/>
    </row>
    <row r="6670" spans="1:1">
      <c r="A6670"/>
    </row>
    <row r="6671" spans="1:1">
      <c r="A6671"/>
    </row>
    <row r="6672" spans="1:1">
      <c r="A6672"/>
    </row>
    <row r="6673" spans="1:1">
      <c r="A6673"/>
    </row>
    <row r="6674" spans="1:1">
      <c r="A6674"/>
    </row>
    <row r="6675" spans="1:1">
      <c r="A6675"/>
    </row>
    <row r="6676" spans="1:1">
      <c r="A6676"/>
    </row>
    <row r="6677" spans="1:1">
      <c r="A6677"/>
    </row>
    <row r="6678" spans="1:1">
      <c r="A6678"/>
    </row>
    <row r="6679" spans="1:1">
      <c r="A6679"/>
    </row>
    <row r="6680" spans="1:1">
      <c r="A6680"/>
    </row>
    <row r="6681" spans="1:1">
      <c r="A6681"/>
    </row>
    <row r="6682" spans="1:1">
      <c r="A6682"/>
    </row>
    <row r="6683" spans="1:1">
      <c r="A6683"/>
    </row>
    <row r="6684" spans="1:1">
      <c r="A6684"/>
    </row>
    <row r="6685" spans="1:1">
      <c r="A6685"/>
    </row>
    <row r="6686" spans="1:1">
      <c r="A6686"/>
    </row>
    <row r="6687" spans="1:1">
      <c r="A6687"/>
    </row>
    <row r="6688" spans="1:1">
      <c r="A6688"/>
    </row>
    <row r="6689" spans="1:1">
      <c r="A6689"/>
    </row>
    <row r="6690" spans="1:1">
      <c r="A6690"/>
    </row>
    <row r="6691" spans="1:1">
      <c r="A6691"/>
    </row>
    <row r="6692" spans="1:1">
      <c r="A6692"/>
    </row>
    <row r="6693" spans="1:1">
      <c r="A6693"/>
    </row>
    <row r="6694" spans="1:1">
      <c r="A6694"/>
    </row>
    <row r="6695" spans="1:1">
      <c r="A6695"/>
    </row>
    <row r="6696" spans="1:1">
      <c r="A6696"/>
    </row>
    <row r="6697" spans="1:1">
      <c r="A6697"/>
    </row>
    <row r="6698" spans="1:1">
      <c r="A6698"/>
    </row>
    <row r="6699" spans="1:1">
      <c r="A6699"/>
    </row>
    <row r="6700" spans="1:1">
      <c r="A6700"/>
    </row>
    <row r="6701" spans="1:1">
      <c r="A6701"/>
    </row>
    <row r="6702" spans="1:1">
      <c r="A6702"/>
    </row>
    <row r="6703" spans="1:1">
      <c r="A6703"/>
    </row>
    <row r="6704" spans="1:1">
      <c r="A6704"/>
    </row>
    <row r="6705" spans="1:1">
      <c r="A6705"/>
    </row>
    <row r="6706" spans="1:1">
      <c r="A6706"/>
    </row>
    <row r="6707" spans="1:1">
      <c r="A6707"/>
    </row>
    <row r="6708" spans="1:1">
      <c r="A6708"/>
    </row>
    <row r="6709" spans="1:1">
      <c r="A6709"/>
    </row>
    <row r="6710" spans="1:1">
      <c r="A6710"/>
    </row>
    <row r="6711" spans="1:1">
      <c r="A6711"/>
    </row>
    <row r="6712" spans="1:1">
      <c r="A6712"/>
    </row>
    <row r="6713" spans="1:1">
      <c r="A6713"/>
    </row>
    <row r="6714" spans="1:1">
      <c r="A6714"/>
    </row>
    <row r="6715" spans="1:1">
      <c r="A6715"/>
    </row>
    <row r="6716" spans="1:1">
      <c r="A6716"/>
    </row>
    <row r="6717" spans="1:1">
      <c r="A6717"/>
    </row>
    <row r="6718" spans="1:1">
      <c r="A6718"/>
    </row>
    <row r="6719" spans="1:1">
      <c r="A6719"/>
    </row>
    <row r="6720" spans="1:1">
      <c r="A6720"/>
    </row>
    <row r="6721" spans="1:1">
      <c r="A6721"/>
    </row>
    <row r="6722" spans="1:1">
      <c r="A6722"/>
    </row>
    <row r="6723" spans="1:1">
      <c r="A6723"/>
    </row>
    <row r="6724" spans="1:1">
      <c r="A6724"/>
    </row>
    <row r="6725" spans="1:1">
      <c r="A6725"/>
    </row>
    <row r="6726" spans="1:1">
      <c r="A6726"/>
    </row>
    <row r="6727" spans="1:1">
      <c r="A6727"/>
    </row>
    <row r="6728" spans="1:1">
      <c r="A6728"/>
    </row>
    <row r="6729" spans="1:1">
      <c r="A6729"/>
    </row>
    <row r="6730" spans="1:1">
      <c r="A6730"/>
    </row>
    <row r="6731" spans="1:1">
      <c r="A6731"/>
    </row>
    <row r="6732" spans="1:1">
      <c r="A6732"/>
    </row>
    <row r="6733" spans="1:1">
      <c r="A6733"/>
    </row>
    <row r="6734" spans="1:1">
      <c r="A6734"/>
    </row>
    <row r="6735" spans="1:1">
      <c r="A6735"/>
    </row>
    <row r="6736" spans="1:1">
      <c r="A6736"/>
    </row>
    <row r="6737" spans="1:1">
      <c r="A6737"/>
    </row>
    <row r="6738" spans="1:1">
      <c r="A6738"/>
    </row>
    <row r="6739" spans="1:1">
      <c r="A6739"/>
    </row>
    <row r="6740" spans="1:1">
      <c r="A6740"/>
    </row>
    <row r="6741" spans="1:1">
      <c r="A6741"/>
    </row>
    <row r="6742" spans="1:1">
      <c r="A6742"/>
    </row>
    <row r="6743" spans="1:1">
      <c r="A6743"/>
    </row>
    <row r="6744" spans="1:1">
      <c r="A6744"/>
    </row>
    <row r="6745" spans="1:1">
      <c r="A6745"/>
    </row>
    <row r="6746" spans="1:1">
      <c r="A6746"/>
    </row>
    <row r="6747" spans="1:1">
      <c r="A6747"/>
    </row>
    <row r="6748" spans="1:1">
      <c r="A6748"/>
    </row>
    <row r="6749" spans="1:1">
      <c r="A6749"/>
    </row>
    <row r="6750" spans="1:1">
      <c r="A6750"/>
    </row>
    <row r="6751" spans="1:1">
      <c r="A6751"/>
    </row>
    <row r="6752" spans="1:1">
      <c r="A6752"/>
    </row>
    <row r="6753" spans="1:1">
      <c r="A6753"/>
    </row>
    <row r="6754" spans="1:1">
      <c r="A6754"/>
    </row>
    <row r="6755" spans="1:1">
      <c r="A6755"/>
    </row>
    <row r="6756" spans="1:1">
      <c r="A6756"/>
    </row>
    <row r="6757" spans="1:1">
      <c r="A6757"/>
    </row>
    <row r="6758" spans="1:1">
      <c r="A6758"/>
    </row>
    <row r="6759" spans="1:1">
      <c r="A6759"/>
    </row>
    <row r="6760" spans="1:1">
      <c r="A6760"/>
    </row>
    <row r="6761" spans="1:1">
      <c r="A6761"/>
    </row>
    <row r="6762" spans="1:1">
      <c r="A6762"/>
    </row>
    <row r="6763" spans="1:1">
      <c r="A6763"/>
    </row>
    <row r="6764" spans="1:1">
      <c r="A6764"/>
    </row>
    <row r="6765" spans="1:1">
      <c r="A6765"/>
    </row>
    <row r="6766" spans="1:1">
      <c r="A6766"/>
    </row>
    <row r="6767" spans="1:1">
      <c r="A6767"/>
    </row>
    <row r="6768" spans="1:1">
      <c r="A6768"/>
    </row>
    <row r="6769" spans="1:1">
      <c r="A6769"/>
    </row>
    <row r="6770" spans="1:1">
      <c r="A6770"/>
    </row>
    <row r="6771" spans="1:1">
      <c r="A6771"/>
    </row>
    <row r="6772" spans="1:1">
      <c r="A6772"/>
    </row>
    <row r="6773" spans="1:1">
      <c r="A6773"/>
    </row>
    <row r="6774" spans="1:1">
      <c r="A6774"/>
    </row>
    <row r="6775" spans="1:1">
      <c r="A6775"/>
    </row>
    <row r="6776" spans="1:1">
      <c r="A6776"/>
    </row>
    <row r="6777" spans="1:1">
      <c r="A6777"/>
    </row>
    <row r="6778" spans="1:1">
      <c r="A6778"/>
    </row>
    <row r="6779" spans="1:1">
      <c r="A6779"/>
    </row>
    <row r="6780" spans="1:1">
      <c r="A6780"/>
    </row>
    <row r="6781" spans="1:1">
      <c r="A6781"/>
    </row>
    <row r="6782" spans="1:1">
      <c r="A6782"/>
    </row>
    <row r="6783" spans="1:1">
      <c r="A6783"/>
    </row>
    <row r="6784" spans="1:1">
      <c r="A6784"/>
    </row>
    <row r="6785" spans="1:1">
      <c r="A6785"/>
    </row>
    <row r="6786" spans="1:1">
      <c r="A6786"/>
    </row>
    <row r="6787" spans="1:1">
      <c r="A6787"/>
    </row>
    <row r="6788" spans="1:1">
      <c r="A6788"/>
    </row>
    <row r="6789" spans="1:1">
      <c r="A6789"/>
    </row>
    <row r="6790" spans="1:1">
      <c r="A6790"/>
    </row>
    <row r="6791" spans="1:1">
      <c r="A6791"/>
    </row>
    <row r="6792" spans="1:1">
      <c r="A6792"/>
    </row>
    <row r="6793" spans="1:1">
      <c r="A6793"/>
    </row>
    <row r="6794" spans="1:1">
      <c r="A6794"/>
    </row>
    <row r="6795" spans="1:1">
      <c r="A6795"/>
    </row>
    <row r="6796" spans="1:1">
      <c r="A6796"/>
    </row>
    <row r="6797" spans="1:1">
      <c r="A6797"/>
    </row>
    <row r="6798" spans="1:1">
      <c r="A6798"/>
    </row>
    <row r="6799" spans="1:1">
      <c r="A6799"/>
    </row>
    <row r="6800" spans="1:1">
      <c r="A6800"/>
    </row>
    <row r="6801" spans="1:1">
      <c r="A6801"/>
    </row>
    <row r="6802" spans="1:1">
      <c r="A6802"/>
    </row>
    <row r="6803" spans="1:1">
      <c r="A6803"/>
    </row>
    <row r="6804" spans="1:1">
      <c r="A6804"/>
    </row>
    <row r="6805" spans="1:1">
      <c r="A6805"/>
    </row>
    <row r="6806" spans="1:1">
      <c r="A6806"/>
    </row>
    <row r="6807" spans="1:1">
      <c r="A6807"/>
    </row>
    <row r="6808" spans="1:1">
      <c r="A6808"/>
    </row>
    <row r="6809" spans="1:1">
      <c r="A6809"/>
    </row>
    <row r="6810" spans="1:1">
      <c r="A6810"/>
    </row>
    <row r="6811" spans="1:1">
      <c r="A6811"/>
    </row>
    <row r="6812" spans="1:1">
      <c r="A6812"/>
    </row>
    <row r="6813" spans="1:1">
      <c r="A6813"/>
    </row>
    <row r="6814" spans="1:1">
      <c r="A6814"/>
    </row>
    <row r="6815" spans="1:1">
      <c r="A6815"/>
    </row>
    <row r="6816" spans="1:1">
      <c r="A6816"/>
    </row>
    <row r="6817" spans="1:1">
      <c r="A6817"/>
    </row>
    <row r="6818" spans="1:1">
      <c r="A6818"/>
    </row>
    <row r="6819" spans="1:1">
      <c r="A6819"/>
    </row>
    <row r="6820" spans="1:1">
      <c r="A6820"/>
    </row>
    <row r="6821" spans="1:1">
      <c r="A6821"/>
    </row>
    <row r="6822" spans="1:1">
      <c r="A6822"/>
    </row>
    <row r="6823" spans="1:1">
      <c r="A6823"/>
    </row>
    <row r="6824" spans="1:1">
      <c r="A6824"/>
    </row>
    <row r="6825" spans="1:1">
      <c r="A6825"/>
    </row>
    <row r="6826" spans="1:1">
      <c r="A6826"/>
    </row>
    <row r="6827" spans="1:1">
      <c r="A6827"/>
    </row>
    <row r="6828" spans="1:1">
      <c r="A6828"/>
    </row>
    <row r="6829" spans="1:1">
      <c r="A6829"/>
    </row>
    <row r="6830" spans="1:1">
      <c r="A6830"/>
    </row>
    <row r="6831" spans="1:1">
      <c r="A6831"/>
    </row>
    <row r="6832" spans="1:1">
      <c r="A6832"/>
    </row>
    <row r="6833" spans="1:1">
      <c r="A6833"/>
    </row>
    <row r="6834" spans="1:1">
      <c r="A6834"/>
    </row>
    <row r="6835" spans="1:1">
      <c r="A6835"/>
    </row>
    <row r="6836" spans="1:1">
      <c r="A6836"/>
    </row>
    <row r="6837" spans="1:1">
      <c r="A6837"/>
    </row>
    <row r="6838" spans="1:1">
      <c r="A6838"/>
    </row>
    <row r="6839" spans="1:1">
      <c r="A6839"/>
    </row>
    <row r="6840" spans="1:1">
      <c r="A6840"/>
    </row>
    <row r="6841" spans="1:1">
      <c r="A6841"/>
    </row>
    <row r="6842" spans="1:1">
      <c r="A6842"/>
    </row>
    <row r="6843" spans="1:1">
      <c r="A6843"/>
    </row>
    <row r="6844" spans="1:1">
      <c r="A6844"/>
    </row>
    <row r="6845" spans="1:1">
      <c r="A6845"/>
    </row>
    <row r="6846" spans="1:1">
      <c r="A6846"/>
    </row>
    <row r="6847" spans="1:1">
      <c r="A6847"/>
    </row>
    <row r="6848" spans="1:1">
      <c r="A6848"/>
    </row>
    <row r="6849" spans="1:1">
      <c r="A6849"/>
    </row>
    <row r="6850" spans="1:1">
      <c r="A6850"/>
    </row>
    <row r="6851" spans="1:1">
      <c r="A6851"/>
    </row>
    <row r="6852" spans="1:1">
      <c r="A6852"/>
    </row>
    <row r="6853" spans="1:1">
      <c r="A6853"/>
    </row>
    <row r="6854" spans="1:1">
      <c r="A6854"/>
    </row>
    <row r="6855" spans="1:1">
      <c r="A6855"/>
    </row>
    <row r="6856" spans="1:1">
      <c r="A6856"/>
    </row>
    <row r="6857" spans="1:1">
      <c r="A6857"/>
    </row>
    <row r="6858" spans="1:1">
      <c r="A6858"/>
    </row>
    <row r="6859" spans="1:1">
      <c r="A6859"/>
    </row>
    <row r="6860" spans="1:1">
      <c r="A6860"/>
    </row>
    <row r="6861" spans="1:1">
      <c r="A6861"/>
    </row>
    <row r="6862" spans="1:1">
      <c r="A6862"/>
    </row>
    <row r="6863" spans="1:1">
      <c r="A6863"/>
    </row>
    <row r="6864" spans="1:1">
      <c r="A6864"/>
    </row>
    <row r="6865" spans="1:1">
      <c r="A6865"/>
    </row>
    <row r="6866" spans="1:1">
      <c r="A6866"/>
    </row>
    <row r="6867" spans="1:1">
      <c r="A6867"/>
    </row>
    <row r="6868" spans="1:1">
      <c r="A6868"/>
    </row>
    <row r="6869" spans="1:1">
      <c r="A6869"/>
    </row>
    <row r="6870" spans="1:1">
      <c r="A6870"/>
    </row>
    <row r="6871" spans="1:1">
      <c r="A6871"/>
    </row>
    <row r="6872" spans="1:1">
      <c r="A6872"/>
    </row>
    <row r="6873" spans="1:1">
      <c r="A6873"/>
    </row>
    <row r="6874" spans="1:1">
      <c r="A6874"/>
    </row>
    <row r="6875" spans="1:1">
      <c r="A6875"/>
    </row>
    <row r="6876" spans="1:1">
      <c r="A6876"/>
    </row>
    <row r="6877" spans="1:1">
      <c r="A6877"/>
    </row>
    <row r="6878" spans="1:1">
      <c r="A6878"/>
    </row>
    <row r="6879" spans="1:1">
      <c r="A6879"/>
    </row>
    <row r="6880" spans="1:1">
      <c r="A6880"/>
    </row>
    <row r="6881" spans="1:1">
      <c r="A6881"/>
    </row>
    <row r="6882" spans="1:1">
      <c r="A6882"/>
    </row>
    <row r="6883" spans="1:1">
      <c r="A6883"/>
    </row>
    <row r="6884" spans="1:1">
      <c r="A6884"/>
    </row>
    <row r="6885" spans="1:1">
      <c r="A6885"/>
    </row>
    <row r="6886" spans="1:1">
      <c r="A6886"/>
    </row>
    <row r="6887" spans="1:1">
      <c r="A6887"/>
    </row>
    <row r="6888" spans="1:1">
      <c r="A6888"/>
    </row>
    <row r="6889" spans="1:1">
      <c r="A6889"/>
    </row>
    <row r="6890" spans="1:1">
      <c r="A6890"/>
    </row>
    <row r="6891" spans="1:1">
      <c r="A6891"/>
    </row>
    <row r="6892" spans="1:1">
      <c r="A6892"/>
    </row>
    <row r="6893" spans="1:1">
      <c r="A6893"/>
    </row>
    <row r="6894" spans="1:1">
      <c r="A6894"/>
    </row>
    <row r="6895" spans="1:1">
      <c r="A6895"/>
    </row>
    <row r="6896" spans="1:1">
      <c r="A6896"/>
    </row>
    <row r="6897" spans="1:1">
      <c r="A6897"/>
    </row>
    <row r="6898" spans="1:1">
      <c r="A6898"/>
    </row>
    <row r="6899" spans="1:1">
      <c r="A6899"/>
    </row>
    <row r="6900" spans="1:1">
      <c r="A6900"/>
    </row>
    <row r="6901" spans="1:1">
      <c r="A6901"/>
    </row>
    <row r="6902" spans="1:1">
      <c r="A6902"/>
    </row>
    <row r="6903" spans="1:1">
      <c r="A6903"/>
    </row>
    <row r="6904" spans="1:1">
      <c r="A6904"/>
    </row>
    <row r="6905" spans="1:1">
      <c r="A6905"/>
    </row>
    <row r="6906" spans="1:1">
      <c r="A6906"/>
    </row>
    <row r="6907" spans="1:1">
      <c r="A6907"/>
    </row>
    <row r="6908" spans="1:1">
      <c r="A6908"/>
    </row>
    <row r="6909" spans="1:1">
      <c r="A6909"/>
    </row>
    <row r="6910" spans="1:1">
      <c r="A6910"/>
    </row>
    <row r="6911" spans="1:1">
      <c r="A6911"/>
    </row>
    <row r="6912" spans="1:1">
      <c r="A6912"/>
    </row>
    <row r="6913" spans="1:1">
      <c r="A6913"/>
    </row>
    <row r="6914" spans="1:1">
      <c r="A6914"/>
    </row>
    <row r="6915" spans="1:1">
      <c r="A6915"/>
    </row>
    <row r="6916" spans="1:1">
      <c r="A6916"/>
    </row>
    <row r="6917" spans="1:1">
      <c r="A6917"/>
    </row>
    <row r="6918" spans="1:1">
      <c r="A6918"/>
    </row>
    <row r="6919" spans="1:1">
      <c r="A6919"/>
    </row>
    <row r="6920" spans="1:1">
      <c r="A6920"/>
    </row>
    <row r="6921" spans="1:1">
      <c r="A6921"/>
    </row>
    <row r="6922" spans="1:1">
      <c r="A6922"/>
    </row>
    <row r="6923" spans="1:1">
      <c r="A6923"/>
    </row>
    <row r="6924" spans="1:1">
      <c r="A6924"/>
    </row>
    <row r="6925" spans="1:1">
      <c r="A6925"/>
    </row>
    <row r="6926" spans="1:1">
      <c r="A6926"/>
    </row>
    <row r="6927" spans="1:1">
      <c r="A6927"/>
    </row>
    <row r="6928" spans="1:1">
      <c r="A6928"/>
    </row>
    <row r="6929" spans="1:1">
      <c r="A6929"/>
    </row>
    <row r="6930" spans="1:1">
      <c r="A6930"/>
    </row>
    <row r="6931" spans="1:1">
      <c r="A6931"/>
    </row>
    <row r="6932" spans="1:1">
      <c r="A6932"/>
    </row>
    <row r="6933" spans="1:1">
      <c r="A6933"/>
    </row>
    <row r="6934" spans="1:1">
      <c r="A6934"/>
    </row>
    <row r="6935" spans="1:1">
      <c r="A6935"/>
    </row>
    <row r="6936" spans="1:1">
      <c r="A6936"/>
    </row>
    <row r="6937" spans="1:1">
      <c r="A6937"/>
    </row>
    <row r="6938" spans="1:1">
      <c r="A6938"/>
    </row>
    <row r="6939" spans="1:1">
      <c r="A6939"/>
    </row>
    <row r="6940" spans="1:1">
      <c r="A6940"/>
    </row>
    <row r="6941" spans="1:1">
      <c r="A6941"/>
    </row>
    <row r="6942" spans="1:1">
      <c r="A6942"/>
    </row>
    <row r="6943" spans="1:1">
      <c r="A6943"/>
    </row>
    <row r="6944" spans="1:1">
      <c r="A6944"/>
    </row>
    <row r="6945" spans="1:1">
      <c r="A6945"/>
    </row>
    <row r="6946" spans="1:1">
      <c r="A6946"/>
    </row>
    <row r="6947" spans="1:1">
      <c r="A6947"/>
    </row>
    <row r="6948" spans="1:1">
      <c r="A6948"/>
    </row>
    <row r="6949" spans="1:1">
      <c r="A6949"/>
    </row>
    <row r="6950" spans="1:1">
      <c r="A6950"/>
    </row>
    <row r="6951" spans="1:1">
      <c r="A6951"/>
    </row>
    <row r="6952" spans="1:1">
      <c r="A6952"/>
    </row>
    <row r="6953" spans="1:1">
      <c r="A6953"/>
    </row>
    <row r="6954" spans="1:1">
      <c r="A6954"/>
    </row>
    <row r="6955" spans="1:1">
      <c r="A6955"/>
    </row>
    <row r="6956" spans="1:1">
      <c r="A6956"/>
    </row>
    <row r="6957" spans="1:1">
      <c r="A6957"/>
    </row>
    <row r="6958" spans="1:1">
      <c r="A6958"/>
    </row>
    <row r="6959" spans="1:1">
      <c r="A6959"/>
    </row>
    <row r="6960" spans="1:1">
      <c r="A6960"/>
    </row>
    <row r="6961" spans="1:1">
      <c r="A6961"/>
    </row>
    <row r="6962" spans="1:1">
      <c r="A6962"/>
    </row>
    <row r="6963" spans="1:1">
      <c r="A6963"/>
    </row>
    <row r="6964" spans="1:1">
      <c r="A6964"/>
    </row>
    <row r="6965" spans="1:1">
      <c r="A6965"/>
    </row>
    <row r="6966" spans="1:1">
      <c r="A6966"/>
    </row>
    <row r="6967" spans="1:1">
      <c r="A6967"/>
    </row>
    <row r="6968" spans="1:1">
      <c r="A6968"/>
    </row>
    <row r="6969" spans="1:1">
      <c r="A6969"/>
    </row>
    <row r="6970" spans="1:1">
      <c r="A6970"/>
    </row>
    <row r="6971" spans="1:1">
      <c r="A6971"/>
    </row>
    <row r="6972" spans="1:1">
      <c r="A6972"/>
    </row>
    <row r="6973" spans="1:1">
      <c r="A6973"/>
    </row>
    <row r="6974" spans="1:1">
      <c r="A6974"/>
    </row>
    <row r="6975" spans="1:1">
      <c r="A6975"/>
    </row>
    <row r="6976" spans="1:1">
      <c r="A6976"/>
    </row>
    <row r="6977" spans="1:1">
      <c r="A6977"/>
    </row>
    <row r="6978" spans="1:1">
      <c r="A6978"/>
    </row>
    <row r="6979" spans="1:1">
      <c r="A6979"/>
    </row>
    <row r="6980" spans="1:1">
      <c r="A6980"/>
    </row>
    <row r="6981" spans="1:1">
      <c r="A6981"/>
    </row>
    <row r="6982" spans="1:1">
      <c r="A6982"/>
    </row>
    <row r="6983" spans="1:1">
      <c r="A6983"/>
    </row>
    <row r="6984" spans="1:1">
      <c r="A6984"/>
    </row>
    <row r="6985" spans="1:1">
      <c r="A6985"/>
    </row>
    <row r="6986" spans="1:1">
      <c r="A6986"/>
    </row>
    <row r="6987" spans="1:1">
      <c r="A6987"/>
    </row>
    <row r="6988" spans="1:1">
      <c r="A6988"/>
    </row>
    <row r="6989" spans="1:1">
      <c r="A6989"/>
    </row>
    <row r="6990" spans="1:1">
      <c r="A6990"/>
    </row>
    <row r="6991" spans="1:1">
      <c r="A6991"/>
    </row>
    <row r="6992" spans="1:1">
      <c r="A6992"/>
    </row>
    <row r="6993" spans="1:1">
      <c r="A6993"/>
    </row>
    <row r="6994" spans="1:1">
      <c r="A6994"/>
    </row>
    <row r="6995" spans="1:1">
      <c r="A6995"/>
    </row>
    <row r="6996" spans="1:1">
      <c r="A6996"/>
    </row>
    <row r="6997" spans="1:1">
      <c r="A6997"/>
    </row>
    <row r="6998" spans="1:1">
      <c r="A6998"/>
    </row>
    <row r="6999" spans="1:1">
      <c r="A6999"/>
    </row>
    <row r="7000" spans="1:1">
      <c r="A7000"/>
    </row>
    <row r="7001" spans="1:1">
      <c r="A7001"/>
    </row>
    <row r="7002" spans="1:1">
      <c r="A7002"/>
    </row>
    <row r="7003" spans="1:1">
      <c r="A7003"/>
    </row>
    <row r="7004" spans="1:1">
      <c r="A7004"/>
    </row>
    <row r="7005" spans="1:1">
      <c r="A7005"/>
    </row>
    <row r="7006" spans="1:1">
      <c r="A7006"/>
    </row>
    <row r="7007" spans="1:1">
      <c r="A7007"/>
    </row>
    <row r="7008" spans="1:1">
      <c r="A7008"/>
    </row>
    <row r="7009" spans="1:1">
      <c r="A7009"/>
    </row>
    <row r="7010" spans="1:1">
      <c r="A7010"/>
    </row>
    <row r="7011" spans="1:1">
      <c r="A7011"/>
    </row>
    <row r="7012" spans="1:1">
      <c r="A7012"/>
    </row>
    <row r="7013" spans="1:1">
      <c r="A7013"/>
    </row>
    <row r="7014" spans="1:1">
      <c r="A7014"/>
    </row>
    <row r="7015" spans="1:1">
      <c r="A7015"/>
    </row>
    <row r="7016" spans="1:1">
      <c r="A7016"/>
    </row>
    <row r="7017" spans="1:1">
      <c r="A7017"/>
    </row>
    <row r="7018" spans="1:1">
      <c r="A7018"/>
    </row>
    <row r="7019" spans="1:1">
      <c r="A7019"/>
    </row>
    <row r="7020" spans="1:1">
      <c r="A7020"/>
    </row>
    <row r="7021" spans="1:1">
      <c r="A7021"/>
    </row>
    <row r="7022" spans="1:1">
      <c r="A7022"/>
    </row>
    <row r="7023" spans="1:1">
      <c r="A7023"/>
    </row>
    <row r="7024" spans="1:1">
      <c r="A7024"/>
    </row>
    <row r="7025" spans="1:1">
      <c r="A7025"/>
    </row>
    <row r="7026" spans="1:1">
      <c r="A7026"/>
    </row>
    <row r="7027" spans="1:1">
      <c r="A7027"/>
    </row>
    <row r="7028" spans="1:1">
      <c r="A7028"/>
    </row>
    <row r="7029" spans="1:1">
      <c r="A7029"/>
    </row>
    <row r="7030" spans="1:1">
      <c r="A7030"/>
    </row>
    <row r="7031" spans="1:1">
      <c r="A7031"/>
    </row>
    <row r="7032" spans="1:1">
      <c r="A7032"/>
    </row>
    <row r="7033" spans="1:1">
      <c r="A7033"/>
    </row>
    <row r="7034" spans="1:1">
      <c r="A7034"/>
    </row>
    <row r="7035" spans="1:1">
      <c r="A7035"/>
    </row>
    <row r="7036" spans="1:1">
      <c r="A7036"/>
    </row>
    <row r="7037" spans="1:1">
      <c r="A7037"/>
    </row>
    <row r="7038" spans="1:1">
      <c r="A7038"/>
    </row>
    <row r="7039" spans="1:1">
      <c r="A7039"/>
    </row>
    <row r="7040" spans="1:1">
      <c r="A7040"/>
    </row>
    <row r="7041" spans="1:1">
      <c r="A7041"/>
    </row>
    <row r="7042" spans="1:1">
      <c r="A7042"/>
    </row>
    <row r="7043" spans="1:1">
      <c r="A7043"/>
    </row>
    <row r="7044" spans="1:1">
      <c r="A7044"/>
    </row>
    <row r="7045" spans="1:1">
      <c r="A7045"/>
    </row>
    <row r="7046" spans="1:1">
      <c r="A7046"/>
    </row>
    <row r="7047" spans="1:1">
      <c r="A7047"/>
    </row>
    <row r="7048" spans="1:1">
      <c r="A7048"/>
    </row>
    <row r="7049" spans="1:1">
      <c r="A7049"/>
    </row>
    <row r="7050" spans="1:1">
      <c r="A7050"/>
    </row>
    <row r="7051" spans="1:1">
      <c r="A7051"/>
    </row>
    <row r="7052" spans="1:1">
      <c r="A7052"/>
    </row>
    <row r="7053" spans="1:1">
      <c r="A7053"/>
    </row>
    <row r="7054" spans="1:1">
      <c r="A7054"/>
    </row>
    <row r="7055" spans="1:1">
      <c r="A7055"/>
    </row>
    <row r="7056" spans="1:1">
      <c r="A7056"/>
    </row>
    <row r="7057" spans="1:1">
      <c r="A7057"/>
    </row>
    <row r="7058" spans="1:1">
      <c r="A7058"/>
    </row>
    <row r="7059" spans="1:1">
      <c r="A7059"/>
    </row>
    <row r="7060" spans="1:1">
      <c r="A7060"/>
    </row>
    <row r="7061" spans="1:1">
      <c r="A7061"/>
    </row>
    <row r="7062" spans="1:1">
      <c r="A7062"/>
    </row>
    <row r="7063" spans="1:1">
      <c r="A7063"/>
    </row>
    <row r="7064" spans="1:1">
      <c r="A7064"/>
    </row>
    <row r="7065" spans="1:1">
      <c r="A7065"/>
    </row>
    <row r="7066" spans="1:1">
      <c r="A7066"/>
    </row>
    <row r="7067" spans="1:1">
      <c r="A7067"/>
    </row>
    <row r="7068" spans="1:1">
      <c r="A7068"/>
    </row>
    <row r="7069" spans="1:1">
      <c r="A7069"/>
    </row>
    <row r="7070" spans="1:1">
      <c r="A7070"/>
    </row>
    <row r="7071" spans="1:1">
      <c r="A7071"/>
    </row>
    <row r="7072" spans="1:1">
      <c r="A7072"/>
    </row>
    <row r="7073" spans="1:1">
      <c r="A7073"/>
    </row>
    <row r="7074" spans="1:1">
      <c r="A7074"/>
    </row>
    <row r="7075" spans="1:1">
      <c r="A7075"/>
    </row>
    <row r="7076" spans="1:1">
      <c r="A7076"/>
    </row>
    <row r="7077" spans="1:1">
      <c r="A7077"/>
    </row>
    <row r="7078" spans="1:1">
      <c r="A7078"/>
    </row>
    <row r="7079" spans="1:1">
      <c r="A7079"/>
    </row>
    <row r="7080" spans="1:1">
      <c r="A7080"/>
    </row>
    <row r="7081" spans="1:1">
      <c r="A7081"/>
    </row>
    <row r="7082" spans="1:1">
      <c r="A7082"/>
    </row>
    <row r="7083" spans="1:1">
      <c r="A7083"/>
    </row>
    <row r="7084" spans="1:1">
      <c r="A7084"/>
    </row>
    <row r="7085" spans="1:1">
      <c r="A7085"/>
    </row>
    <row r="7086" spans="1:1">
      <c r="A7086"/>
    </row>
    <row r="7087" spans="1:1">
      <c r="A7087"/>
    </row>
    <row r="7088" spans="1:1">
      <c r="A7088"/>
    </row>
    <row r="7089" spans="1:1">
      <c r="A7089"/>
    </row>
    <row r="7090" spans="1:1">
      <c r="A7090"/>
    </row>
    <row r="7091" spans="1:1">
      <c r="A7091"/>
    </row>
    <row r="7092" spans="1:1">
      <c r="A7092"/>
    </row>
    <row r="7093" spans="1:1">
      <c r="A7093"/>
    </row>
    <row r="7094" spans="1:1">
      <c r="A7094"/>
    </row>
    <row r="7095" spans="1:1">
      <c r="A7095"/>
    </row>
    <row r="7096" spans="1:1">
      <c r="A7096"/>
    </row>
    <row r="7097" spans="1:1">
      <c r="A7097"/>
    </row>
    <row r="7098" spans="1:1">
      <c r="A7098"/>
    </row>
    <row r="7099" spans="1:1">
      <c r="A7099"/>
    </row>
    <row r="7100" spans="1:1">
      <c r="A7100"/>
    </row>
    <row r="7101" spans="1:1">
      <c r="A7101"/>
    </row>
    <row r="7102" spans="1:1">
      <c r="A7102"/>
    </row>
    <row r="7103" spans="1:1">
      <c r="A7103"/>
    </row>
    <row r="7104" spans="1:1">
      <c r="A7104"/>
    </row>
    <row r="7105" spans="1:1">
      <c r="A7105"/>
    </row>
    <row r="7106" spans="1:1">
      <c r="A7106"/>
    </row>
    <row r="7107" spans="1:1">
      <c r="A7107"/>
    </row>
    <row r="7108" spans="1:1">
      <c r="A7108"/>
    </row>
    <row r="7109" spans="1:1">
      <c r="A7109"/>
    </row>
    <row r="7110" spans="1:1">
      <c r="A7110"/>
    </row>
    <row r="7111" spans="1:1">
      <c r="A7111"/>
    </row>
    <row r="7112" spans="1:1">
      <c r="A7112"/>
    </row>
    <row r="7113" spans="1:1">
      <c r="A7113"/>
    </row>
    <row r="7114" spans="1:1">
      <c r="A7114"/>
    </row>
    <row r="7115" spans="1:1">
      <c r="A7115"/>
    </row>
    <row r="7116" spans="1:1">
      <c r="A7116"/>
    </row>
    <row r="7117" spans="1:1">
      <c r="A7117"/>
    </row>
    <row r="7118" spans="1:1">
      <c r="A7118"/>
    </row>
    <row r="7119" spans="1:1">
      <c r="A7119"/>
    </row>
    <row r="7120" spans="1:1">
      <c r="A7120"/>
    </row>
    <row r="7121" spans="1:1">
      <c r="A7121"/>
    </row>
    <row r="7122" spans="1:1">
      <c r="A7122"/>
    </row>
    <row r="7123" spans="1:1">
      <c r="A7123"/>
    </row>
    <row r="7124" spans="1:1">
      <c r="A7124"/>
    </row>
    <row r="7125" spans="1:1">
      <c r="A7125"/>
    </row>
    <row r="7126" spans="1:1">
      <c r="A7126"/>
    </row>
    <row r="7127" spans="1:1">
      <c r="A7127"/>
    </row>
    <row r="7128" spans="1:1">
      <c r="A7128"/>
    </row>
    <row r="7129" spans="1:1">
      <c r="A7129"/>
    </row>
    <row r="7130" spans="1:1">
      <c r="A7130"/>
    </row>
    <row r="7131" spans="1:1">
      <c r="A7131"/>
    </row>
    <row r="7132" spans="1:1">
      <c r="A7132"/>
    </row>
    <row r="7133" spans="1:1">
      <c r="A7133"/>
    </row>
    <row r="7134" spans="1:1">
      <c r="A7134"/>
    </row>
    <row r="7135" spans="1:1">
      <c r="A7135"/>
    </row>
    <row r="7136" spans="1:1">
      <c r="A7136"/>
    </row>
    <row r="7137" spans="1:1">
      <c r="A7137"/>
    </row>
    <row r="7138" spans="1:1">
      <c r="A7138"/>
    </row>
    <row r="7139" spans="1:1">
      <c r="A7139"/>
    </row>
    <row r="7140" spans="1:1">
      <c r="A7140"/>
    </row>
    <row r="7141" spans="1:1">
      <c r="A7141"/>
    </row>
    <row r="7142" spans="1:1">
      <c r="A7142"/>
    </row>
    <row r="7143" spans="1:1">
      <c r="A7143"/>
    </row>
    <row r="7144" spans="1:1">
      <c r="A7144"/>
    </row>
    <row r="7145" spans="1:1">
      <c r="A7145"/>
    </row>
    <row r="7146" spans="1:1">
      <c r="A7146"/>
    </row>
    <row r="7147" spans="1:1">
      <c r="A7147"/>
    </row>
    <row r="7148" spans="1:1">
      <c r="A7148"/>
    </row>
    <row r="7149" spans="1:1">
      <c r="A7149"/>
    </row>
    <row r="7150" spans="1:1">
      <c r="A7150"/>
    </row>
    <row r="7151" spans="1:1">
      <c r="A7151"/>
    </row>
    <row r="7152" spans="1:1">
      <c r="A7152"/>
    </row>
    <row r="7153" spans="1:1">
      <c r="A7153"/>
    </row>
    <row r="7154" spans="1:1">
      <c r="A7154"/>
    </row>
    <row r="7155" spans="1:1">
      <c r="A7155"/>
    </row>
    <row r="7156" spans="1:1">
      <c r="A7156"/>
    </row>
    <row r="7157" spans="1:1">
      <c r="A7157"/>
    </row>
    <row r="7158" spans="1:1">
      <c r="A7158"/>
    </row>
    <row r="7159" spans="1:1">
      <c r="A7159"/>
    </row>
    <row r="7160" spans="1:1">
      <c r="A7160"/>
    </row>
    <row r="7161" spans="1:1">
      <c r="A7161"/>
    </row>
    <row r="7162" spans="1:1">
      <c r="A7162"/>
    </row>
    <row r="7163" spans="1:1">
      <c r="A7163"/>
    </row>
    <row r="7164" spans="1:1">
      <c r="A7164"/>
    </row>
    <row r="7165" spans="1:1">
      <c r="A7165"/>
    </row>
    <row r="7166" spans="1:1">
      <c r="A7166"/>
    </row>
    <row r="7167" spans="1:1">
      <c r="A7167"/>
    </row>
    <row r="7168" spans="1:1">
      <c r="A7168"/>
    </row>
    <row r="7169" spans="1:1">
      <c r="A7169"/>
    </row>
    <row r="7170" spans="1:1">
      <c r="A7170"/>
    </row>
    <row r="7171" spans="1:1">
      <c r="A7171"/>
    </row>
    <row r="7172" spans="1:1">
      <c r="A7172"/>
    </row>
    <row r="7173" spans="1:1">
      <c r="A7173"/>
    </row>
    <row r="7174" spans="1:1">
      <c r="A7174"/>
    </row>
    <row r="7175" spans="1:1">
      <c r="A7175"/>
    </row>
    <row r="7176" spans="1:1">
      <c r="A7176"/>
    </row>
    <row r="7177" spans="1:1">
      <c r="A7177"/>
    </row>
    <row r="7178" spans="1:1">
      <c r="A7178"/>
    </row>
    <row r="7179" spans="1:1">
      <c r="A7179"/>
    </row>
    <row r="7180" spans="1:1">
      <c r="A7180"/>
    </row>
    <row r="7181" spans="1:1">
      <c r="A7181"/>
    </row>
    <row r="7182" spans="1:1">
      <c r="A7182"/>
    </row>
    <row r="7183" spans="1:1">
      <c r="A7183"/>
    </row>
    <row r="7184" spans="1:1">
      <c r="A7184"/>
    </row>
    <row r="7185" spans="1:1">
      <c r="A7185"/>
    </row>
    <row r="7186" spans="1:1">
      <c r="A7186"/>
    </row>
    <row r="7187" spans="1:1">
      <c r="A7187"/>
    </row>
    <row r="7188" spans="1:1">
      <c r="A7188"/>
    </row>
    <row r="7189" spans="1:1">
      <c r="A7189"/>
    </row>
    <row r="7190" spans="1:1">
      <c r="A7190"/>
    </row>
    <row r="7191" spans="1:1">
      <c r="A7191"/>
    </row>
    <row r="7192" spans="1:1">
      <c r="A7192"/>
    </row>
    <row r="7193" spans="1:1">
      <c r="A7193"/>
    </row>
    <row r="7194" spans="1:1">
      <c r="A7194"/>
    </row>
    <row r="7195" spans="1:1">
      <c r="A7195"/>
    </row>
    <row r="7196" spans="1:1">
      <c r="A7196"/>
    </row>
    <row r="7197" spans="1:1">
      <c r="A7197"/>
    </row>
    <row r="7198" spans="1:1">
      <c r="A7198"/>
    </row>
    <row r="7199" spans="1:1">
      <c r="A7199"/>
    </row>
    <row r="7200" spans="1:1">
      <c r="A7200"/>
    </row>
    <row r="7201" spans="1:1">
      <c r="A7201"/>
    </row>
    <row r="7202" spans="1:1">
      <c r="A7202"/>
    </row>
    <row r="7203" spans="1:1">
      <c r="A7203"/>
    </row>
    <row r="7204" spans="1:1">
      <c r="A7204"/>
    </row>
    <row r="7205" spans="1:1">
      <c r="A7205"/>
    </row>
    <row r="7206" spans="1:1">
      <c r="A7206"/>
    </row>
    <row r="7207" spans="1:1">
      <c r="A7207"/>
    </row>
    <row r="7208" spans="1:1">
      <c r="A7208"/>
    </row>
    <row r="7209" spans="1:1">
      <c r="A7209"/>
    </row>
    <row r="7210" spans="1:1">
      <c r="A7210"/>
    </row>
    <row r="7211" spans="1:1">
      <c r="A7211"/>
    </row>
    <row r="7212" spans="1:1">
      <c r="A7212"/>
    </row>
    <row r="7213" spans="1:1">
      <c r="A7213"/>
    </row>
    <row r="7214" spans="1:1">
      <c r="A7214"/>
    </row>
    <row r="7215" spans="1:1">
      <c r="A7215"/>
    </row>
    <row r="7216" spans="1:1">
      <c r="A7216"/>
    </row>
    <row r="7217" spans="1:1">
      <c r="A7217"/>
    </row>
    <row r="7218" spans="1:1">
      <c r="A7218"/>
    </row>
    <row r="7219" spans="1:1">
      <c r="A7219"/>
    </row>
    <row r="7220" spans="1:1">
      <c r="A7220"/>
    </row>
    <row r="7221" spans="1:1">
      <c r="A7221"/>
    </row>
    <row r="7222" spans="1:1">
      <c r="A7222"/>
    </row>
    <row r="7223" spans="1:1">
      <c r="A7223"/>
    </row>
    <row r="7224" spans="1:1">
      <c r="A7224"/>
    </row>
    <row r="7225" spans="1:1">
      <c r="A7225"/>
    </row>
    <row r="7226" spans="1:1">
      <c r="A7226"/>
    </row>
    <row r="7227" spans="1:1">
      <c r="A7227"/>
    </row>
    <row r="7228" spans="1:1">
      <c r="A7228"/>
    </row>
    <row r="7229" spans="1:1">
      <c r="A7229"/>
    </row>
    <row r="7230" spans="1:1">
      <c r="A7230"/>
    </row>
    <row r="7231" spans="1:1">
      <c r="A7231"/>
    </row>
    <row r="7232" spans="1:1">
      <c r="A7232"/>
    </row>
    <row r="7233" spans="1:1">
      <c r="A7233"/>
    </row>
    <row r="7234" spans="1:1">
      <c r="A7234"/>
    </row>
    <row r="7235" spans="1:1">
      <c r="A7235"/>
    </row>
    <row r="7236" spans="1:1">
      <c r="A7236"/>
    </row>
    <row r="7237" spans="1:1">
      <c r="A7237"/>
    </row>
    <row r="7238" spans="1:1">
      <c r="A7238"/>
    </row>
    <row r="7239" spans="1:1">
      <c r="A7239"/>
    </row>
    <row r="7240" spans="1:1">
      <c r="A7240"/>
    </row>
    <row r="7241" spans="1:1">
      <c r="A7241"/>
    </row>
    <row r="7242" spans="1:1">
      <c r="A7242"/>
    </row>
    <row r="7243" spans="1:1">
      <c r="A7243"/>
    </row>
    <row r="7244" spans="1:1">
      <c r="A7244"/>
    </row>
    <row r="7245" spans="1:1">
      <c r="A7245"/>
    </row>
    <row r="7246" spans="1:1">
      <c r="A7246"/>
    </row>
    <row r="7247" spans="1:1">
      <c r="A7247"/>
    </row>
    <row r="7248" spans="1:1">
      <c r="A7248"/>
    </row>
    <row r="7249" spans="1:1">
      <c r="A7249"/>
    </row>
    <row r="7250" spans="1:1">
      <c r="A7250"/>
    </row>
    <row r="7251" spans="1:1">
      <c r="A7251"/>
    </row>
    <row r="7252" spans="1:1">
      <c r="A7252"/>
    </row>
    <row r="7253" spans="1:1">
      <c r="A7253"/>
    </row>
    <row r="7254" spans="1:1">
      <c r="A7254"/>
    </row>
    <row r="7255" spans="1:1">
      <c r="A7255"/>
    </row>
    <row r="7256" spans="1:1">
      <c r="A7256"/>
    </row>
    <row r="7257" spans="1:1">
      <c r="A7257"/>
    </row>
    <row r="7258" spans="1:1">
      <c r="A7258"/>
    </row>
    <row r="7259" spans="1:1">
      <c r="A7259"/>
    </row>
    <row r="7260" spans="1:1">
      <c r="A7260"/>
    </row>
    <row r="7261" spans="1:1">
      <c r="A7261"/>
    </row>
    <row r="7262" spans="1:1">
      <c r="A7262"/>
    </row>
    <row r="7263" spans="1:1">
      <c r="A7263"/>
    </row>
    <row r="7264" spans="1:1">
      <c r="A7264"/>
    </row>
    <row r="7265" spans="1:1">
      <c r="A7265"/>
    </row>
    <row r="7266" spans="1:1">
      <c r="A7266"/>
    </row>
    <row r="7267" spans="1:1">
      <c r="A7267"/>
    </row>
    <row r="7268" spans="1:1">
      <c r="A7268"/>
    </row>
    <row r="7269" spans="1:1">
      <c r="A7269"/>
    </row>
    <row r="7270" spans="1:1">
      <c r="A7270"/>
    </row>
    <row r="7271" spans="1:1">
      <c r="A7271"/>
    </row>
    <row r="7272" spans="1:1">
      <c r="A7272"/>
    </row>
    <row r="7273" spans="1:1">
      <c r="A7273"/>
    </row>
    <row r="7274" spans="1:1">
      <c r="A7274"/>
    </row>
    <row r="7275" spans="1:1">
      <c r="A7275"/>
    </row>
    <row r="7276" spans="1:1">
      <c r="A7276"/>
    </row>
    <row r="7277" spans="1:1">
      <c r="A7277"/>
    </row>
    <row r="7278" spans="1:1">
      <c r="A7278"/>
    </row>
    <row r="7279" spans="1:1">
      <c r="A7279"/>
    </row>
    <row r="7280" spans="1:1">
      <c r="A7280"/>
    </row>
    <row r="7281" spans="1:1">
      <c r="A7281"/>
    </row>
    <row r="7282" spans="1:1">
      <c r="A7282"/>
    </row>
    <row r="7283" spans="1:1">
      <c r="A7283"/>
    </row>
    <row r="7284" spans="1:1">
      <c r="A7284"/>
    </row>
    <row r="7285" spans="1:1">
      <c r="A7285"/>
    </row>
    <row r="7286" spans="1:1">
      <c r="A7286"/>
    </row>
    <row r="7287" spans="1:1">
      <c r="A7287"/>
    </row>
    <row r="7288" spans="1:1">
      <c r="A7288"/>
    </row>
    <row r="7289" spans="1:1">
      <c r="A7289"/>
    </row>
    <row r="7290" spans="1:1">
      <c r="A7290"/>
    </row>
    <row r="7291" spans="1:1">
      <c r="A7291"/>
    </row>
    <row r="7292" spans="1:1">
      <c r="A7292"/>
    </row>
    <row r="7293" spans="1:1">
      <c r="A7293"/>
    </row>
    <row r="7294" spans="1:1">
      <c r="A7294"/>
    </row>
    <row r="7295" spans="1:1">
      <c r="A7295"/>
    </row>
    <row r="7296" spans="1:1">
      <c r="A7296"/>
    </row>
    <row r="7297" spans="1:1">
      <c r="A7297"/>
    </row>
    <row r="7298" spans="1:1">
      <c r="A7298"/>
    </row>
    <row r="7299" spans="1:1">
      <c r="A7299"/>
    </row>
    <row r="7300" spans="1:1">
      <c r="A7300"/>
    </row>
    <row r="7301" spans="1:1">
      <c r="A7301"/>
    </row>
    <row r="7302" spans="1:1">
      <c r="A7302"/>
    </row>
    <row r="7303" spans="1:1">
      <c r="A7303"/>
    </row>
    <row r="7304" spans="1:1">
      <c r="A7304"/>
    </row>
    <row r="7305" spans="1:1">
      <c r="A7305"/>
    </row>
    <row r="7306" spans="1:1">
      <c r="A7306"/>
    </row>
    <row r="7307" spans="1:1">
      <c r="A7307"/>
    </row>
    <row r="7308" spans="1:1">
      <c r="A7308"/>
    </row>
    <row r="7309" spans="1:1">
      <c r="A7309"/>
    </row>
    <row r="7310" spans="1:1">
      <c r="A7310"/>
    </row>
    <row r="7311" spans="1:1">
      <c r="A7311"/>
    </row>
    <row r="7312" spans="1:1">
      <c r="A7312"/>
    </row>
    <row r="7313" spans="1:1">
      <c r="A7313"/>
    </row>
    <row r="7314" spans="1:1">
      <c r="A7314"/>
    </row>
    <row r="7315" spans="1:1">
      <c r="A7315"/>
    </row>
    <row r="7316" spans="1:1">
      <c r="A7316"/>
    </row>
    <row r="7317" spans="1:1">
      <c r="A7317"/>
    </row>
    <row r="7318" spans="1:1">
      <c r="A7318"/>
    </row>
    <row r="7319" spans="1:1">
      <c r="A7319"/>
    </row>
    <row r="7320" spans="1:1">
      <c r="A7320"/>
    </row>
    <row r="7321" spans="1:1">
      <c r="A7321"/>
    </row>
    <row r="7322" spans="1:1">
      <c r="A7322"/>
    </row>
    <row r="7323" spans="1:1">
      <c r="A7323"/>
    </row>
    <row r="7324" spans="1:1">
      <c r="A7324"/>
    </row>
    <row r="7325" spans="1:1">
      <c r="A7325"/>
    </row>
    <row r="7326" spans="1:1">
      <c r="A7326"/>
    </row>
    <row r="7327" spans="1:1">
      <c r="A7327"/>
    </row>
    <row r="7328" spans="1:1">
      <c r="A7328"/>
    </row>
    <row r="7329" spans="1:1">
      <c r="A7329"/>
    </row>
    <row r="7330" spans="1:1">
      <c r="A7330"/>
    </row>
    <row r="7331" spans="1:1">
      <c r="A7331"/>
    </row>
    <row r="7332" spans="1:1">
      <c r="A7332"/>
    </row>
    <row r="7333" spans="1:1">
      <c r="A7333"/>
    </row>
    <row r="7334" spans="1:1">
      <c r="A7334"/>
    </row>
    <row r="7335" spans="1:1">
      <c r="A7335"/>
    </row>
    <row r="7336" spans="1:1">
      <c r="A7336"/>
    </row>
    <row r="7337" spans="1:1">
      <c r="A7337"/>
    </row>
    <row r="7338" spans="1:1">
      <c r="A7338"/>
    </row>
    <row r="7339" spans="1:1">
      <c r="A7339"/>
    </row>
    <row r="7340" spans="1:1">
      <c r="A7340"/>
    </row>
    <row r="7341" spans="1:1">
      <c r="A7341"/>
    </row>
    <row r="7342" spans="1:1">
      <c r="A7342"/>
    </row>
    <row r="7343" spans="1:1">
      <c r="A7343"/>
    </row>
    <row r="7344" spans="1:1">
      <c r="A7344"/>
    </row>
    <row r="7345" spans="1:1">
      <c r="A7345"/>
    </row>
    <row r="7346" spans="1:1">
      <c r="A7346"/>
    </row>
    <row r="7347" spans="1:1">
      <c r="A7347"/>
    </row>
    <row r="7348" spans="1:1">
      <c r="A7348"/>
    </row>
    <row r="7349" spans="1:1">
      <c r="A7349"/>
    </row>
    <row r="7350" spans="1:1">
      <c r="A7350"/>
    </row>
    <row r="7351" spans="1:1">
      <c r="A7351"/>
    </row>
    <row r="7352" spans="1:1">
      <c r="A7352"/>
    </row>
    <row r="7353" spans="1:1">
      <c r="A7353"/>
    </row>
    <row r="7354" spans="1:1">
      <c r="A7354"/>
    </row>
    <row r="7355" spans="1:1">
      <c r="A7355"/>
    </row>
    <row r="7356" spans="1:1">
      <c r="A7356"/>
    </row>
    <row r="7357" spans="1:1">
      <c r="A7357"/>
    </row>
    <row r="7358" spans="1:1">
      <c r="A7358"/>
    </row>
    <row r="7359" spans="1:1">
      <c r="A7359"/>
    </row>
    <row r="7360" spans="1:1">
      <c r="A7360"/>
    </row>
    <row r="7361" spans="1:1">
      <c r="A7361"/>
    </row>
    <row r="7362" spans="1:1">
      <c r="A7362"/>
    </row>
    <row r="7363" spans="1:1">
      <c r="A7363"/>
    </row>
    <row r="7364" spans="1:1">
      <c r="A7364"/>
    </row>
    <row r="7365" spans="1:1">
      <c r="A7365"/>
    </row>
    <row r="7366" spans="1:1">
      <c r="A7366"/>
    </row>
    <row r="7367" spans="1:1">
      <c r="A7367"/>
    </row>
    <row r="7368" spans="1:1">
      <c r="A7368"/>
    </row>
    <row r="7369" spans="1:1">
      <c r="A7369"/>
    </row>
    <row r="7370" spans="1:1">
      <c r="A7370"/>
    </row>
    <row r="7371" spans="1:1">
      <c r="A7371"/>
    </row>
    <row r="7372" spans="1:1">
      <c r="A7372"/>
    </row>
    <row r="7373" spans="1:1">
      <c r="A7373"/>
    </row>
    <row r="7374" spans="1:1">
      <c r="A7374"/>
    </row>
    <row r="7375" spans="1:1">
      <c r="A7375"/>
    </row>
    <row r="7376" spans="1:1">
      <c r="A7376"/>
    </row>
    <row r="7377" spans="1:1">
      <c r="A7377"/>
    </row>
    <row r="7378" spans="1:1">
      <c r="A7378"/>
    </row>
    <row r="7379" spans="1:1">
      <c r="A7379"/>
    </row>
    <row r="7380" spans="1:1">
      <c r="A7380"/>
    </row>
    <row r="7381" spans="1:1">
      <c r="A7381"/>
    </row>
    <row r="7382" spans="1:1">
      <c r="A7382"/>
    </row>
    <row r="7383" spans="1:1">
      <c r="A7383"/>
    </row>
    <row r="7384" spans="1:1">
      <c r="A7384"/>
    </row>
    <row r="7385" spans="1:1">
      <c r="A7385"/>
    </row>
    <row r="7386" spans="1:1">
      <c r="A7386"/>
    </row>
    <row r="7387" spans="1:1">
      <c r="A7387"/>
    </row>
    <row r="7388" spans="1:1">
      <c r="A7388"/>
    </row>
    <row r="7389" spans="1:1">
      <c r="A7389"/>
    </row>
    <row r="7390" spans="1:1">
      <c r="A7390"/>
    </row>
    <row r="7391" spans="1:1">
      <c r="A7391"/>
    </row>
    <row r="7392" spans="1:1">
      <c r="A7392"/>
    </row>
    <row r="7393" spans="1:1">
      <c r="A7393"/>
    </row>
    <row r="7394" spans="1:1">
      <c r="A7394"/>
    </row>
    <row r="7395" spans="1:1">
      <c r="A7395"/>
    </row>
    <row r="7396" spans="1:1">
      <c r="A7396"/>
    </row>
    <row r="7397" spans="1:1">
      <c r="A7397"/>
    </row>
    <row r="7398" spans="1:1">
      <c r="A7398"/>
    </row>
    <row r="7399" spans="1:1">
      <c r="A7399"/>
    </row>
    <row r="7400" spans="1:1">
      <c r="A7400"/>
    </row>
    <row r="7401" spans="1:1">
      <c r="A7401"/>
    </row>
    <row r="7402" spans="1:1">
      <c r="A7402"/>
    </row>
    <row r="7403" spans="1:1">
      <c r="A7403"/>
    </row>
    <row r="7404" spans="1:1">
      <c r="A7404"/>
    </row>
    <row r="7405" spans="1:1">
      <c r="A7405"/>
    </row>
    <row r="7406" spans="1:1">
      <c r="A7406"/>
    </row>
    <row r="7407" spans="1:1">
      <c r="A7407"/>
    </row>
    <row r="7408" spans="1:1">
      <c r="A7408"/>
    </row>
    <row r="7409" spans="1:1">
      <c r="A7409"/>
    </row>
    <row r="7410" spans="1:1">
      <c r="A7410"/>
    </row>
    <row r="7411" spans="1:1">
      <c r="A7411"/>
    </row>
    <row r="7412" spans="1:1">
      <c r="A7412"/>
    </row>
    <row r="7413" spans="1:1">
      <c r="A7413"/>
    </row>
    <row r="7414" spans="1:1">
      <c r="A7414"/>
    </row>
    <row r="7415" spans="1:1">
      <c r="A7415"/>
    </row>
    <row r="7416" spans="1:1">
      <c r="A7416"/>
    </row>
    <row r="7417" spans="1:1">
      <c r="A7417"/>
    </row>
    <row r="7418" spans="1:1">
      <c r="A7418"/>
    </row>
    <row r="7419" spans="1:1">
      <c r="A7419"/>
    </row>
    <row r="7420" spans="1:1">
      <c r="A7420"/>
    </row>
    <row r="7421" spans="1:1">
      <c r="A7421"/>
    </row>
    <row r="7422" spans="1:1">
      <c r="A7422"/>
    </row>
    <row r="7423" spans="1:1">
      <c r="A7423"/>
    </row>
    <row r="7424" spans="1:1">
      <c r="A7424"/>
    </row>
    <row r="7425" spans="1:1">
      <c r="A7425"/>
    </row>
    <row r="7426" spans="1:1">
      <c r="A7426"/>
    </row>
    <row r="7427" spans="1:1">
      <c r="A7427"/>
    </row>
    <row r="7428" spans="1:1">
      <c r="A7428"/>
    </row>
    <row r="7429" spans="1:1">
      <c r="A7429"/>
    </row>
    <row r="7430" spans="1:1">
      <c r="A7430"/>
    </row>
    <row r="7431" spans="1:1">
      <c r="A7431"/>
    </row>
    <row r="7432" spans="1:1">
      <c r="A7432"/>
    </row>
    <row r="7433" spans="1:1">
      <c r="A7433"/>
    </row>
    <row r="7434" spans="1:1">
      <c r="A7434"/>
    </row>
    <row r="7435" spans="1:1">
      <c r="A7435"/>
    </row>
    <row r="7436" spans="1:1">
      <c r="A7436"/>
    </row>
    <row r="7437" spans="1:1">
      <c r="A7437"/>
    </row>
    <row r="7438" spans="1:1">
      <c r="A7438"/>
    </row>
    <row r="7439" spans="1:1">
      <c r="A7439"/>
    </row>
    <row r="7440" spans="1:1">
      <c r="A7440"/>
    </row>
    <row r="7441" spans="1:1">
      <c r="A7441"/>
    </row>
    <row r="7442" spans="1:1">
      <c r="A7442"/>
    </row>
    <row r="7443" spans="1:1">
      <c r="A7443"/>
    </row>
    <row r="7444" spans="1:1">
      <c r="A7444"/>
    </row>
    <row r="7445" spans="1:1">
      <c r="A7445"/>
    </row>
    <row r="7446" spans="1:1">
      <c r="A7446"/>
    </row>
    <row r="7447" spans="1:1">
      <c r="A7447"/>
    </row>
    <row r="7448" spans="1:1">
      <c r="A7448"/>
    </row>
    <row r="7449" spans="1:1">
      <c r="A7449"/>
    </row>
    <row r="7450" spans="1:1">
      <c r="A7450"/>
    </row>
    <row r="7451" spans="1:1">
      <c r="A7451"/>
    </row>
    <row r="7452" spans="1:1">
      <c r="A7452"/>
    </row>
    <row r="7453" spans="1:1">
      <c r="A7453"/>
    </row>
    <row r="7454" spans="1:1">
      <c r="A7454"/>
    </row>
    <row r="7455" spans="1:1">
      <c r="A7455"/>
    </row>
    <row r="7456" spans="1:1">
      <c r="A7456"/>
    </row>
    <row r="7457" spans="1:1">
      <c r="A7457"/>
    </row>
    <row r="7458" spans="1:1">
      <c r="A7458"/>
    </row>
    <row r="7459" spans="1:1">
      <c r="A7459"/>
    </row>
    <row r="7460" spans="1:1">
      <c r="A7460"/>
    </row>
    <row r="7461" spans="1:1">
      <c r="A7461"/>
    </row>
    <row r="7462" spans="1:1">
      <c r="A7462"/>
    </row>
    <row r="7463" spans="1:1">
      <c r="A7463"/>
    </row>
    <row r="7464" spans="1:1">
      <c r="A7464"/>
    </row>
    <row r="7465" spans="1:1">
      <c r="A7465"/>
    </row>
    <row r="7466" spans="1:1">
      <c r="A7466"/>
    </row>
    <row r="7467" spans="1:1">
      <c r="A7467"/>
    </row>
    <row r="7468" spans="1:1">
      <c r="A7468"/>
    </row>
    <row r="7469" spans="1:1">
      <c r="A7469"/>
    </row>
    <row r="7470" spans="1:1">
      <c r="A7470"/>
    </row>
    <row r="7471" spans="1:1">
      <c r="A7471"/>
    </row>
    <row r="7472" spans="1:1">
      <c r="A7472"/>
    </row>
    <row r="7473" spans="1:1">
      <c r="A7473"/>
    </row>
    <row r="7474" spans="1:1">
      <c r="A7474"/>
    </row>
    <row r="7475" spans="1:1">
      <c r="A7475"/>
    </row>
    <row r="7476" spans="1:1">
      <c r="A7476"/>
    </row>
    <row r="7477" spans="1:1">
      <c r="A7477"/>
    </row>
    <row r="7478" spans="1:1">
      <c r="A7478"/>
    </row>
    <row r="7479" spans="1:1">
      <c r="A7479"/>
    </row>
    <row r="7480" spans="1:1">
      <c r="A7480"/>
    </row>
    <row r="7481" spans="1:1">
      <c r="A7481"/>
    </row>
    <row r="7482" spans="1:1">
      <c r="A7482"/>
    </row>
    <row r="7483" spans="1:1">
      <c r="A7483"/>
    </row>
    <row r="7484" spans="1:1">
      <c r="A7484"/>
    </row>
    <row r="7485" spans="1:1">
      <c r="A7485"/>
    </row>
    <row r="7486" spans="1:1">
      <c r="A7486"/>
    </row>
    <row r="7487" spans="1:1">
      <c r="A7487"/>
    </row>
    <row r="7488" spans="1:1">
      <c r="A7488"/>
    </row>
    <row r="7489" spans="1:1">
      <c r="A7489"/>
    </row>
    <row r="7490" spans="1:1">
      <c r="A7490"/>
    </row>
    <row r="7491" spans="1:1">
      <c r="A7491"/>
    </row>
    <row r="7492" spans="1:1">
      <c r="A7492"/>
    </row>
    <row r="7493" spans="1:1">
      <c r="A7493"/>
    </row>
    <row r="7494" spans="1:1">
      <c r="A7494"/>
    </row>
    <row r="7495" spans="1:1">
      <c r="A7495"/>
    </row>
    <row r="7496" spans="1:1">
      <c r="A7496"/>
    </row>
    <row r="7497" spans="1:1">
      <c r="A7497"/>
    </row>
    <row r="7498" spans="1:1">
      <c r="A7498"/>
    </row>
    <row r="7499" spans="1:1">
      <c r="A7499"/>
    </row>
    <row r="7500" spans="1:1">
      <c r="A7500"/>
    </row>
    <row r="7501" spans="1:1">
      <c r="A7501"/>
    </row>
    <row r="7502" spans="1:1">
      <c r="A7502"/>
    </row>
    <row r="7503" spans="1:1">
      <c r="A7503"/>
    </row>
    <row r="7504" spans="1:1">
      <c r="A7504"/>
    </row>
    <row r="7505" spans="1:1">
      <c r="A7505"/>
    </row>
    <row r="7506" spans="1:1">
      <c r="A7506"/>
    </row>
    <row r="7507" spans="1:1">
      <c r="A7507"/>
    </row>
    <row r="7508" spans="1:1">
      <c r="A7508"/>
    </row>
    <row r="7509" spans="1:1">
      <c r="A7509"/>
    </row>
    <row r="7510" spans="1:1">
      <c r="A7510"/>
    </row>
    <row r="7511" spans="1:1">
      <c r="A7511"/>
    </row>
    <row r="7512" spans="1:1">
      <c r="A7512"/>
    </row>
    <row r="7513" spans="1:1">
      <c r="A7513"/>
    </row>
    <row r="7514" spans="1:1">
      <c r="A7514"/>
    </row>
    <row r="7515" spans="1:1">
      <c r="A7515"/>
    </row>
    <row r="7516" spans="1:1">
      <c r="A7516"/>
    </row>
    <row r="7517" spans="1:1">
      <c r="A7517"/>
    </row>
    <row r="7518" spans="1:1">
      <c r="A7518"/>
    </row>
    <row r="7519" spans="1:1">
      <c r="A7519"/>
    </row>
    <row r="7520" spans="1:1">
      <c r="A7520"/>
    </row>
    <row r="7521" spans="1:1">
      <c r="A7521"/>
    </row>
    <row r="7522" spans="1:1">
      <c r="A7522"/>
    </row>
    <row r="7523" spans="1:1">
      <c r="A7523"/>
    </row>
    <row r="7524" spans="1:1">
      <c r="A7524"/>
    </row>
    <row r="7525" spans="1:1">
      <c r="A7525"/>
    </row>
    <row r="7526" spans="1:1">
      <c r="A7526"/>
    </row>
    <row r="7527" spans="1:1">
      <c r="A7527"/>
    </row>
    <row r="7528" spans="1:1">
      <c r="A7528"/>
    </row>
    <row r="7529" spans="1:1">
      <c r="A7529"/>
    </row>
    <row r="7530" spans="1:1">
      <c r="A7530"/>
    </row>
    <row r="7531" spans="1:1">
      <c r="A7531"/>
    </row>
    <row r="7532" spans="1:1">
      <c r="A7532"/>
    </row>
    <row r="7533" spans="1:1">
      <c r="A7533"/>
    </row>
    <row r="7534" spans="1:1">
      <c r="A7534"/>
    </row>
    <row r="7535" spans="1:1">
      <c r="A7535"/>
    </row>
    <row r="7536" spans="1:1">
      <c r="A7536"/>
    </row>
    <row r="7537" spans="1:1">
      <c r="A7537"/>
    </row>
    <row r="7538" spans="1:1">
      <c r="A7538"/>
    </row>
    <row r="7539" spans="1:1">
      <c r="A7539"/>
    </row>
    <row r="7540" spans="1:1">
      <c r="A7540"/>
    </row>
    <row r="7541" spans="1:1">
      <c r="A7541"/>
    </row>
    <row r="7542" spans="1:1">
      <c r="A7542"/>
    </row>
    <row r="7543" spans="1:1">
      <c r="A7543"/>
    </row>
    <row r="7544" spans="1:1">
      <c r="A7544"/>
    </row>
    <row r="7545" spans="1:1">
      <c r="A7545"/>
    </row>
    <row r="7546" spans="1:1">
      <c r="A7546"/>
    </row>
    <row r="7547" spans="1:1">
      <c r="A7547"/>
    </row>
    <row r="7548" spans="1:1">
      <c r="A7548"/>
    </row>
    <row r="7549" spans="1:1">
      <c r="A7549"/>
    </row>
    <row r="7550" spans="1:1">
      <c r="A7550"/>
    </row>
    <row r="7551" spans="1:1">
      <c r="A7551"/>
    </row>
    <row r="7552" spans="1:1">
      <c r="A7552"/>
    </row>
    <row r="7553" spans="1:1">
      <c r="A7553"/>
    </row>
    <row r="7554" spans="1:1">
      <c r="A7554"/>
    </row>
    <row r="7555" spans="1:1">
      <c r="A7555"/>
    </row>
    <row r="7556" spans="1:1">
      <c r="A7556"/>
    </row>
    <row r="7557" spans="1:1">
      <c r="A7557"/>
    </row>
    <row r="7558" spans="1:1">
      <c r="A7558"/>
    </row>
    <row r="7559" spans="1:1">
      <c r="A7559"/>
    </row>
    <row r="7560" spans="1:1">
      <c r="A7560"/>
    </row>
    <row r="7561" spans="1:1">
      <c r="A7561"/>
    </row>
    <row r="7562" spans="1:1">
      <c r="A7562"/>
    </row>
    <row r="7563" spans="1:1">
      <c r="A7563"/>
    </row>
    <row r="7564" spans="1:1">
      <c r="A7564"/>
    </row>
    <row r="7565" spans="1:1">
      <c r="A7565"/>
    </row>
    <row r="7566" spans="1:1">
      <c r="A7566"/>
    </row>
    <row r="7567" spans="1:1">
      <c r="A7567"/>
    </row>
    <row r="7568" spans="1:1">
      <c r="A7568"/>
    </row>
    <row r="7569" spans="1:1">
      <c r="A7569"/>
    </row>
    <row r="7570" spans="1:1">
      <c r="A7570"/>
    </row>
    <row r="7571" spans="1:1">
      <c r="A7571"/>
    </row>
    <row r="7572" spans="1:1">
      <c r="A7572"/>
    </row>
    <row r="7573" spans="1:1">
      <c r="A7573"/>
    </row>
    <row r="7574" spans="1:1">
      <c r="A7574"/>
    </row>
    <row r="7575" spans="1:1">
      <c r="A7575"/>
    </row>
    <row r="7576" spans="1:1">
      <c r="A7576"/>
    </row>
    <row r="7577" spans="1:1">
      <c r="A7577"/>
    </row>
    <row r="7578" spans="1:1">
      <c r="A7578"/>
    </row>
    <row r="7579" spans="1:1">
      <c r="A7579"/>
    </row>
    <row r="7580" spans="1:1">
      <c r="A7580"/>
    </row>
    <row r="7581" spans="1:1">
      <c r="A7581"/>
    </row>
    <row r="7582" spans="1:1">
      <c r="A7582"/>
    </row>
    <row r="7583" spans="1:1">
      <c r="A7583"/>
    </row>
    <row r="7584" spans="1:1">
      <c r="A7584"/>
    </row>
    <row r="7585" spans="1:1">
      <c r="A7585"/>
    </row>
    <row r="7586" spans="1:1">
      <c r="A7586"/>
    </row>
    <row r="7587" spans="1:1">
      <c r="A7587"/>
    </row>
    <row r="7588" spans="1:1">
      <c r="A7588"/>
    </row>
    <row r="7589" spans="1:1">
      <c r="A7589"/>
    </row>
    <row r="7590" spans="1:1">
      <c r="A7590"/>
    </row>
    <row r="7591" spans="1:1">
      <c r="A7591"/>
    </row>
    <row r="7592" spans="1:1">
      <c r="A7592"/>
    </row>
    <row r="7593" spans="1:1">
      <c r="A7593"/>
    </row>
    <row r="7594" spans="1:1">
      <c r="A7594"/>
    </row>
    <row r="7595" spans="1:1">
      <c r="A7595"/>
    </row>
    <row r="7596" spans="1:1">
      <c r="A7596"/>
    </row>
    <row r="7597" spans="1:1">
      <c r="A7597"/>
    </row>
    <row r="7598" spans="1:1">
      <c r="A7598"/>
    </row>
    <row r="7599" spans="1:1">
      <c r="A7599"/>
    </row>
    <row r="7600" spans="1:1">
      <c r="A7600"/>
    </row>
    <row r="7601" spans="1:1">
      <c r="A7601"/>
    </row>
    <row r="7602" spans="1:1">
      <c r="A7602"/>
    </row>
    <row r="7603" spans="1:1">
      <c r="A7603"/>
    </row>
    <row r="7604" spans="1:1">
      <c r="A7604"/>
    </row>
    <row r="7605" spans="1:1">
      <c r="A7605"/>
    </row>
    <row r="7606" spans="1:1">
      <c r="A7606"/>
    </row>
    <row r="7607" spans="1:1">
      <c r="A7607"/>
    </row>
    <row r="7608" spans="1:1">
      <c r="A7608"/>
    </row>
    <row r="7609" spans="1:1">
      <c r="A7609"/>
    </row>
    <row r="7610" spans="1:1">
      <c r="A7610"/>
    </row>
    <row r="7611" spans="1:1">
      <c r="A7611"/>
    </row>
    <row r="7612" spans="1:1">
      <c r="A7612"/>
    </row>
    <row r="7613" spans="1:1">
      <c r="A7613"/>
    </row>
    <row r="7614" spans="1:1">
      <c r="A7614"/>
    </row>
    <row r="7615" spans="1:1">
      <c r="A7615"/>
    </row>
    <row r="7616" spans="1:1">
      <c r="A7616"/>
    </row>
    <row r="7617" spans="1:1">
      <c r="A7617"/>
    </row>
    <row r="7618" spans="1:1">
      <c r="A7618"/>
    </row>
    <row r="7619" spans="1:1">
      <c r="A7619"/>
    </row>
    <row r="7620" spans="1:1">
      <c r="A7620"/>
    </row>
    <row r="7621" spans="1:1">
      <c r="A7621"/>
    </row>
    <row r="7622" spans="1:1">
      <c r="A7622"/>
    </row>
    <row r="7623" spans="1:1">
      <c r="A7623"/>
    </row>
    <row r="7624" spans="1:1">
      <c r="A7624"/>
    </row>
    <row r="7625" spans="1:1">
      <c r="A7625"/>
    </row>
    <row r="7626" spans="1:1">
      <c r="A7626"/>
    </row>
    <row r="7627" spans="1:1">
      <c r="A7627"/>
    </row>
    <row r="7628" spans="1:1">
      <c r="A7628"/>
    </row>
    <row r="7629" spans="1:1">
      <c r="A7629"/>
    </row>
    <row r="7630" spans="1:1">
      <c r="A7630"/>
    </row>
    <row r="7631" spans="1:1">
      <c r="A7631"/>
    </row>
    <row r="7632" spans="1:1">
      <c r="A7632"/>
    </row>
    <row r="7633" spans="1:1">
      <c r="A7633"/>
    </row>
    <row r="7634" spans="1:1">
      <c r="A7634"/>
    </row>
    <row r="7635" spans="1:1">
      <c r="A7635"/>
    </row>
    <row r="7636" spans="1:1">
      <c r="A7636"/>
    </row>
    <row r="7637" spans="1:1">
      <c r="A7637"/>
    </row>
    <row r="7638" spans="1:1">
      <c r="A7638"/>
    </row>
    <row r="7639" spans="1:1">
      <c r="A7639"/>
    </row>
    <row r="7640" spans="1:1">
      <c r="A7640"/>
    </row>
    <row r="7641" spans="1:1">
      <c r="A7641"/>
    </row>
    <row r="7642" spans="1:1">
      <c r="A7642"/>
    </row>
    <row r="7643" spans="1:1">
      <c r="A7643"/>
    </row>
    <row r="7644" spans="1:1">
      <c r="A7644"/>
    </row>
    <row r="7645" spans="1:1">
      <c r="A7645"/>
    </row>
    <row r="7646" spans="1:1">
      <c r="A7646"/>
    </row>
    <row r="7647" spans="1:1">
      <c r="A7647"/>
    </row>
    <row r="7648" spans="1:1">
      <c r="A7648"/>
    </row>
    <row r="7649" spans="1:1">
      <c r="A7649"/>
    </row>
    <row r="7650" spans="1:1">
      <c r="A7650"/>
    </row>
    <row r="7651" spans="1:1">
      <c r="A7651"/>
    </row>
    <row r="7652" spans="1:1">
      <c r="A7652"/>
    </row>
    <row r="7653" spans="1:1">
      <c r="A7653"/>
    </row>
    <row r="7654" spans="1:1">
      <c r="A7654"/>
    </row>
    <row r="7655" spans="1:1">
      <c r="A7655"/>
    </row>
    <row r="7656" spans="1:1">
      <c r="A7656"/>
    </row>
    <row r="7657" spans="1:1">
      <c r="A7657"/>
    </row>
    <row r="7658" spans="1:1">
      <c r="A7658"/>
    </row>
    <row r="7659" spans="1:1">
      <c r="A7659"/>
    </row>
    <row r="7660" spans="1:1">
      <c r="A7660"/>
    </row>
    <row r="7661" spans="1:1">
      <c r="A7661"/>
    </row>
    <row r="7662" spans="1:1">
      <c r="A7662"/>
    </row>
    <row r="7663" spans="1:1">
      <c r="A7663"/>
    </row>
    <row r="7664" spans="1:1">
      <c r="A7664"/>
    </row>
    <row r="7665" spans="1:1">
      <c r="A7665"/>
    </row>
    <row r="7666" spans="1:1">
      <c r="A7666"/>
    </row>
    <row r="7667" spans="1:1">
      <c r="A7667"/>
    </row>
    <row r="7668" spans="1:1">
      <c r="A7668"/>
    </row>
    <row r="7669" spans="1:1">
      <c r="A7669"/>
    </row>
    <row r="7670" spans="1:1">
      <c r="A7670"/>
    </row>
    <row r="7671" spans="1:1">
      <c r="A7671"/>
    </row>
    <row r="7672" spans="1:1">
      <c r="A7672"/>
    </row>
    <row r="7673" spans="1:1">
      <c r="A7673"/>
    </row>
    <row r="7674" spans="1:1">
      <c r="A7674"/>
    </row>
    <row r="7675" spans="1:1">
      <c r="A7675"/>
    </row>
    <row r="7676" spans="1:1">
      <c r="A7676"/>
    </row>
    <row r="7677" spans="1:1">
      <c r="A7677"/>
    </row>
    <row r="7678" spans="1:1">
      <c r="A7678"/>
    </row>
    <row r="7679" spans="1:1">
      <c r="A7679"/>
    </row>
    <row r="7680" spans="1:1">
      <c r="A7680"/>
    </row>
    <row r="7681" spans="1:1">
      <c r="A7681"/>
    </row>
    <row r="7682" spans="1:1">
      <c r="A7682"/>
    </row>
    <row r="7683" spans="1:1">
      <c r="A7683"/>
    </row>
    <row r="7684" spans="1:1">
      <c r="A7684"/>
    </row>
    <row r="7685" spans="1:1">
      <c r="A7685"/>
    </row>
    <row r="7686" spans="1:1">
      <c r="A7686"/>
    </row>
    <row r="7687" spans="1:1">
      <c r="A7687"/>
    </row>
    <row r="7688" spans="1:1">
      <c r="A7688"/>
    </row>
    <row r="7689" spans="1:1">
      <c r="A7689"/>
    </row>
    <row r="7690" spans="1:1">
      <c r="A7690"/>
    </row>
    <row r="7691" spans="1:1">
      <c r="A7691"/>
    </row>
    <row r="7692" spans="1:1">
      <c r="A7692"/>
    </row>
    <row r="7693" spans="1:1">
      <c r="A7693"/>
    </row>
    <row r="7694" spans="1:1">
      <c r="A7694"/>
    </row>
    <row r="7695" spans="1:1">
      <c r="A7695"/>
    </row>
    <row r="7696" spans="1:1">
      <c r="A7696"/>
    </row>
    <row r="7697" spans="1:1">
      <c r="A7697"/>
    </row>
    <row r="7698" spans="1:1">
      <c r="A7698"/>
    </row>
    <row r="7699" spans="1:1">
      <c r="A7699"/>
    </row>
    <row r="7700" spans="1:1">
      <c r="A7700"/>
    </row>
    <row r="7701" spans="1:1">
      <c r="A7701"/>
    </row>
    <row r="7702" spans="1:1">
      <c r="A7702"/>
    </row>
    <row r="7703" spans="1:1">
      <c r="A7703"/>
    </row>
    <row r="7704" spans="1:1">
      <c r="A7704"/>
    </row>
    <row r="7705" spans="1:1">
      <c r="A7705"/>
    </row>
    <row r="7706" spans="1:1">
      <c r="A7706"/>
    </row>
    <row r="7707" spans="1:1">
      <c r="A7707"/>
    </row>
    <row r="7708" spans="1:1">
      <c r="A7708"/>
    </row>
    <row r="7709" spans="1:1">
      <c r="A7709"/>
    </row>
    <row r="7710" spans="1:1">
      <c r="A7710"/>
    </row>
    <row r="7711" spans="1:1">
      <c r="A7711"/>
    </row>
    <row r="7712" spans="1:1">
      <c r="A7712"/>
    </row>
    <row r="7713" spans="1:1">
      <c r="A7713"/>
    </row>
    <row r="7714" spans="1:1">
      <c r="A7714"/>
    </row>
    <row r="7715" spans="1:1">
      <c r="A7715"/>
    </row>
    <row r="7716" spans="1:1">
      <c r="A7716"/>
    </row>
    <row r="7717" spans="1:1">
      <c r="A7717"/>
    </row>
    <row r="7718" spans="1:1">
      <c r="A7718"/>
    </row>
    <row r="7719" spans="1:1">
      <c r="A7719"/>
    </row>
    <row r="7720" spans="1:1">
      <c r="A7720"/>
    </row>
    <row r="7721" spans="1:1">
      <c r="A7721"/>
    </row>
    <row r="7722" spans="1:1">
      <c r="A7722"/>
    </row>
    <row r="7723" spans="1:1">
      <c r="A7723"/>
    </row>
    <row r="7724" spans="1:1">
      <c r="A7724"/>
    </row>
    <row r="7725" spans="1:1">
      <c r="A7725"/>
    </row>
    <row r="7726" spans="1:1">
      <c r="A7726"/>
    </row>
    <row r="7727" spans="1:1">
      <c r="A7727"/>
    </row>
    <row r="7728" spans="1:1">
      <c r="A7728"/>
    </row>
    <row r="7729" spans="1:1">
      <c r="A7729"/>
    </row>
    <row r="7730" spans="1:1">
      <c r="A7730"/>
    </row>
    <row r="7731" spans="1:1">
      <c r="A7731"/>
    </row>
    <row r="7732" spans="1:1">
      <c r="A7732"/>
    </row>
    <row r="7733" spans="1:1">
      <c r="A7733"/>
    </row>
    <row r="7734" spans="1:1">
      <c r="A7734"/>
    </row>
    <row r="7735" spans="1:1">
      <c r="A7735"/>
    </row>
    <row r="7736" spans="1:1">
      <c r="A7736"/>
    </row>
    <row r="7737" spans="1:1">
      <c r="A7737"/>
    </row>
    <row r="7738" spans="1:1">
      <c r="A7738"/>
    </row>
    <row r="7739" spans="1:1">
      <c r="A7739"/>
    </row>
    <row r="7740" spans="1:1">
      <c r="A7740"/>
    </row>
    <row r="7741" spans="1:1">
      <c r="A7741"/>
    </row>
    <row r="7742" spans="1:1">
      <c r="A7742"/>
    </row>
    <row r="7743" spans="1:1">
      <c r="A7743"/>
    </row>
    <row r="7744" spans="1:1">
      <c r="A7744"/>
    </row>
    <row r="7745" spans="1:1">
      <c r="A7745"/>
    </row>
    <row r="7746" spans="1:1">
      <c r="A7746"/>
    </row>
    <row r="7747" spans="1:1">
      <c r="A7747"/>
    </row>
    <row r="7748" spans="1:1">
      <c r="A7748"/>
    </row>
    <row r="7749" spans="1:1">
      <c r="A7749"/>
    </row>
    <row r="7750" spans="1:1">
      <c r="A7750"/>
    </row>
    <row r="7751" spans="1:1">
      <c r="A7751"/>
    </row>
    <row r="7752" spans="1:1">
      <c r="A7752"/>
    </row>
    <row r="7753" spans="1:1">
      <c r="A7753"/>
    </row>
    <row r="7754" spans="1:1">
      <c r="A7754"/>
    </row>
    <row r="7755" spans="1:1">
      <c r="A7755"/>
    </row>
    <row r="7756" spans="1:1">
      <c r="A7756"/>
    </row>
    <row r="7757" spans="1:1">
      <c r="A7757"/>
    </row>
    <row r="7758" spans="1:1">
      <c r="A7758"/>
    </row>
    <row r="7759" spans="1:1">
      <c r="A7759"/>
    </row>
    <row r="7760" spans="1:1">
      <c r="A7760"/>
    </row>
    <row r="7761" spans="1:1">
      <c r="A7761"/>
    </row>
    <row r="7762" spans="1:1">
      <c r="A7762"/>
    </row>
    <row r="7763" spans="1:1">
      <c r="A7763"/>
    </row>
    <row r="7764" spans="1:1">
      <c r="A7764"/>
    </row>
    <row r="7765" spans="1:1">
      <c r="A7765"/>
    </row>
    <row r="7766" spans="1:1">
      <c r="A7766"/>
    </row>
    <row r="7767" spans="1:1">
      <c r="A7767"/>
    </row>
    <row r="7768" spans="1:1">
      <c r="A7768"/>
    </row>
    <row r="7769" spans="1:1">
      <c r="A7769"/>
    </row>
    <row r="7770" spans="1:1">
      <c r="A7770"/>
    </row>
    <row r="7771" spans="1:1">
      <c r="A7771"/>
    </row>
    <row r="7772" spans="1:1">
      <c r="A7772"/>
    </row>
    <row r="7773" spans="1:1">
      <c r="A7773"/>
    </row>
    <row r="7774" spans="1:1">
      <c r="A7774"/>
    </row>
    <row r="7775" spans="1:1">
      <c r="A7775"/>
    </row>
    <row r="7776" spans="1:1">
      <c r="A7776"/>
    </row>
    <row r="7777" spans="1:1">
      <c r="A7777"/>
    </row>
    <row r="7778" spans="1:1">
      <c r="A7778"/>
    </row>
    <row r="7779" spans="1:1">
      <c r="A7779"/>
    </row>
    <row r="7780" spans="1:1">
      <c r="A7780"/>
    </row>
    <row r="7781" spans="1:1">
      <c r="A7781"/>
    </row>
    <row r="7782" spans="1:1">
      <c r="A7782"/>
    </row>
    <row r="7783" spans="1:1">
      <c r="A7783"/>
    </row>
    <row r="7784" spans="1:1">
      <c r="A7784"/>
    </row>
    <row r="7785" spans="1:1">
      <c r="A7785"/>
    </row>
    <row r="7786" spans="1:1">
      <c r="A7786"/>
    </row>
    <row r="7787" spans="1:1">
      <c r="A7787"/>
    </row>
    <row r="7788" spans="1:1">
      <c r="A7788"/>
    </row>
    <row r="7789" spans="1:1">
      <c r="A7789"/>
    </row>
    <row r="7790" spans="1:1">
      <c r="A7790"/>
    </row>
    <row r="7791" spans="1:1">
      <c r="A7791"/>
    </row>
    <row r="7792" spans="1:1">
      <c r="A7792"/>
    </row>
    <row r="7793" spans="1:1">
      <c r="A7793"/>
    </row>
    <row r="7794" spans="1:1">
      <c r="A7794"/>
    </row>
    <row r="7795" spans="1:1">
      <c r="A7795"/>
    </row>
    <row r="7796" spans="1:1">
      <c r="A7796"/>
    </row>
    <row r="7797" spans="1:1">
      <c r="A7797"/>
    </row>
    <row r="7798" spans="1:1">
      <c r="A7798"/>
    </row>
    <row r="7799" spans="1:1">
      <c r="A7799"/>
    </row>
    <row r="7800" spans="1:1">
      <c r="A7800"/>
    </row>
    <row r="7801" spans="1:1">
      <c r="A7801"/>
    </row>
    <row r="7802" spans="1:1">
      <c r="A7802"/>
    </row>
    <row r="7803" spans="1:1">
      <c r="A7803"/>
    </row>
    <row r="7804" spans="1:1">
      <c r="A7804"/>
    </row>
    <row r="7805" spans="1:1">
      <c r="A7805"/>
    </row>
    <row r="7806" spans="1:1">
      <c r="A7806"/>
    </row>
    <row r="7807" spans="1:1">
      <c r="A7807"/>
    </row>
    <row r="7808" spans="1:1">
      <c r="A7808"/>
    </row>
    <row r="7809" spans="1:1">
      <c r="A7809"/>
    </row>
    <row r="7810" spans="1:1">
      <c r="A7810"/>
    </row>
    <row r="7811" spans="1:1">
      <c r="A7811"/>
    </row>
    <row r="7812" spans="1:1">
      <c r="A7812"/>
    </row>
    <row r="7813" spans="1:1">
      <c r="A7813"/>
    </row>
    <row r="7814" spans="1:1">
      <c r="A7814"/>
    </row>
    <row r="7815" spans="1:1">
      <c r="A7815"/>
    </row>
    <row r="7816" spans="1:1">
      <c r="A7816"/>
    </row>
    <row r="7817" spans="1:1">
      <c r="A7817"/>
    </row>
    <row r="7818" spans="1:1">
      <c r="A7818"/>
    </row>
    <row r="7819" spans="1:1">
      <c r="A7819"/>
    </row>
    <row r="7820" spans="1:1">
      <c r="A7820"/>
    </row>
    <row r="7821" spans="1:1">
      <c r="A7821"/>
    </row>
    <row r="7822" spans="1:1">
      <c r="A7822"/>
    </row>
    <row r="7823" spans="1:1">
      <c r="A7823"/>
    </row>
    <row r="7824" spans="1:1">
      <c r="A7824"/>
    </row>
    <row r="7825" spans="1:1">
      <c r="A7825"/>
    </row>
    <row r="7826" spans="1:1">
      <c r="A7826"/>
    </row>
    <row r="7827" spans="1:1">
      <c r="A7827"/>
    </row>
    <row r="7828" spans="1:1">
      <c r="A7828"/>
    </row>
    <row r="7829" spans="1:1">
      <c r="A7829"/>
    </row>
    <row r="7830" spans="1:1">
      <c r="A7830"/>
    </row>
    <row r="7831" spans="1:1">
      <c r="A7831"/>
    </row>
    <row r="7832" spans="1:1">
      <c r="A7832"/>
    </row>
    <row r="7833" spans="1:1">
      <c r="A7833"/>
    </row>
    <row r="7834" spans="1:1">
      <c r="A7834"/>
    </row>
    <row r="7835" spans="1:1">
      <c r="A7835"/>
    </row>
    <row r="7836" spans="1:1">
      <c r="A7836"/>
    </row>
    <row r="7837" spans="1:1">
      <c r="A7837"/>
    </row>
    <row r="7838" spans="1:1">
      <c r="A7838"/>
    </row>
    <row r="7839" spans="1:1">
      <c r="A7839"/>
    </row>
    <row r="7840" spans="1:1">
      <c r="A7840"/>
    </row>
    <row r="7841" spans="1:1">
      <c r="A7841"/>
    </row>
    <row r="7842" spans="1:1">
      <c r="A7842"/>
    </row>
    <row r="7843" spans="1:1">
      <c r="A7843"/>
    </row>
    <row r="7844" spans="1:1">
      <c r="A7844"/>
    </row>
    <row r="7845" spans="1:1">
      <c r="A7845"/>
    </row>
    <row r="7846" spans="1:1">
      <c r="A7846"/>
    </row>
    <row r="7847" spans="1:1">
      <c r="A7847"/>
    </row>
    <row r="7848" spans="1:1">
      <c r="A7848"/>
    </row>
    <row r="7849" spans="1:1">
      <c r="A7849"/>
    </row>
    <row r="7850" spans="1:1">
      <c r="A7850"/>
    </row>
    <row r="7851" spans="1:1">
      <c r="A7851"/>
    </row>
    <row r="7852" spans="1:1">
      <c r="A7852"/>
    </row>
    <row r="7853" spans="1:1">
      <c r="A7853"/>
    </row>
    <row r="7854" spans="1:1">
      <c r="A7854"/>
    </row>
    <row r="7855" spans="1:1">
      <c r="A7855"/>
    </row>
    <row r="7856" spans="1:1">
      <c r="A7856"/>
    </row>
    <row r="7857" spans="1:1">
      <c r="A7857"/>
    </row>
    <row r="7858" spans="1:1">
      <c r="A7858"/>
    </row>
    <row r="7859" spans="1:1">
      <c r="A7859"/>
    </row>
    <row r="7860" spans="1:1">
      <c r="A7860"/>
    </row>
    <row r="7861" spans="1:1">
      <c r="A7861"/>
    </row>
    <row r="7862" spans="1:1">
      <c r="A7862"/>
    </row>
    <row r="7863" spans="1:1">
      <c r="A7863"/>
    </row>
    <row r="7864" spans="1:1">
      <c r="A7864"/>
    </row>
    <row r="7865" spans="1:1">
      <c r="A7865"/>
    </row>
    <row r="7866" spans="1:1">
      <c r="A7866"/>
    </row>
    <row r="7867" spans="1:1">
      <c r="A7867"/>
    </row>
    <row r="7868" spans="1:1">
      <c r="A7868"/>
    </row>
    <row r="7869" spans="1:1">
      <c r="A7869"/>
    </row>
    <row r="7870" spans="1:1">
      <c r="A7870"/>
    </row>
    <row r="7871" spans="1:1">
      <c r="A7871"/>
    </row>
    <row r="7872" spans="1:1">
      <c r="A7872"/>
    </row>
    <row r="7873" spans="1:1">
      <c r="A7873"/>
    </row>
    <row r="7874" spans="1:1">
      <c r="A7874"/>
    </row>
    <row r="7875" spans="1:1">
      <c r="A7875"/>
    </row>
    <row r="7876" spans="1:1">
      <c r="A7876"/>
    </row>
    <row r="7877" spans="1:1">
      <c r="A7877"/>
    </row>
    <row r="7878" spans="1:1">
      <c r="A7878"/>
    </row>
    <row r="7879" spans="1:1">
      <c r="A7879"/>
    </row>
    <row r="7880" spans="1:1">
      <c r="A7880"/>
    </row>
    <row r="7881" spans="1:1">
      <c r="A7881"/>
    </row>
    <row r="7882" spans="1:1">
      <c r="A7882"/>
    </row>
    <row r="7883" spans="1:1">
      <c r="A7883"/>
    </row>
    <row r="7884" spans="1:1">
      <c r="A7884"/>
    </row>
    <row r="7885" spans="1:1">
      <c r="A7885"/>
    </row>
    <row r="7886" spans="1:1">
      <c r="A7886"/>
    </row>
    <row r="7887" spans="1:1">
      <c r="A7887"/>
    </row>
    <row r="7888" spans="1:1">
      <c r="A7888"/>
    </row>
    <row r="7889" spans="1:1">
      <c r="A7889"/>
    </row>
    <row r="7890" spans="1:1">
      <c r="A7890"/>
    </row>
    <row r="7891" spans="1:1">
      <c r="A7891"/>
    </row>
    <row r="7892" spans="1:1">
      <c r="A7892"/>
    </row>
    <row r="7893" spans="1:1">
      <c r="A7893"/>
    </row>
    <row r="7894" spans="1:1">
      <c r="A7894"/>
    </row>
    <row r="7895" spans="1:1">
      <c r="A7895"/>
    </row>
    <row r="7896" spans="1:1">
      <c r="A7896"/>
    </row>
    <row r="7897" spans="1:1">
      <c r="A7897"/>
    </row>
    <row r="7898" spans="1:1">
      <c r="A7898"/>
    </row>
    <row r="7899" spans="1:1">
      <c r="A7899"/>
    </row>
    <row r="7900" spans="1:1">
      <c r="A7900"/>
    </row>
    <row r="7901" spans="1:1">
      <c r="A7901"/>
    </row>
    <row r="7902" spans="1:1">
      <c r="A7902"/>
    </row>
    <row r="7903" spans="1:1">
      <c r="A7903"/>
    </row>
    <row r="7904" spans="1:1">
      <c r="A7904"/>
    </row>
    <row r="7905" spans="1:1">
      <c r="A7905"/>
    </row>
    <row r="7906" spans="1:1">
      <c r="A7906"/>
    </row>
    <row r="7907" spans="1:1">
      <c r="A7907"/>
    </row>
    <row r="7908" spans="1:1">
      <c r="A7908"/>
    </row>
    <row r="7909" spans="1:1">
      <c r="A7909"/>
    </row>
    <row r="7910" spans="1:1">
      <c r="A7910"/>
    </row>
    <row r="7911" spans="1:1">
      <c r="A7911"/>
    </row>
    <row r="7912" spans="1:1">
      <c r="A7912"/>
    </row>
    <row r="7913" spans="1:1">
      <c r="A7913"/>
    </row>
    <row r="7914" spans="1:1">
      <c r="A7914"/>
    </row>
    <row r="7915" spans="1:1">
      <c r="A7915"/>
    </row>
    <row r="7916" spans="1:1">
      <c r="A7916"/>
    </row>
    <row r="7917" spans="1:1">
      <c r="A7917"/>
    </row>
    <row r="7918" spans="1:1">
      <c r="A7918"/>
    </row>
    <row r="7919" spans="1:1">
      <c r="A7919"/>
    </row>
    <row r="7920" spans="1:1">
      <c r="A7920"/>
    </row>
    <row r="7921" spans="1:1">
      <c r="A7921"/>
    </row>
    <row r="7922" spans="1:1">
      <c r="A7922"/>
    </row>
    <row r="7923" spans="1:1">
      <c r="A7923"/>
    </row>
    <row r="7924" spans="1:1">
      <c r="A7924"/>
    </row>
    <row r="7925" spans="1:1">
      <c r="A7925"/>
    </row>
    <row r="7926" spans="1:1">
      <c r="A7926"/>
    </row>
    <row r="7927" spans="1:1">
      <c r="A7927"/>
    </row>
    <row r="7928" spans="1:1">
      <c r="A7928"/>
    </row>
    <row r="7929" spans="1:1">
      <c r="A7929"/>
    </row>
    <row r="7930" spans="1:1">
      <c r="A7930"/>
    </row>
    <row r="7931" spans="1:1">
      <c r="A7931"/>
    </row>
    <row r="7932" spans="1:1">
      <c r="A7932"/>
    </row>
    <row r="7933" spans="1:1">
      <c r="A7933"/>
    </row>
    <row r="7934" spans="1:1">
      <c r="A7934"/>
    </row>
    <row r="7935" spans="1:1">
      <c r="A7935"/>
    </row>
    <row r="7936" spans="1:1">
      <c r="A7936"/>
    </row>
    <row r="7937" spans="1:1">
      <c r="A7937"/>
    </row>
    <row r="7938" spans="1:1">
      <c r="A7938"/>
    </row>
    <row r="7939" spans="1:1">
      <c r="A7939"/>
    </row>
    <row r="7940" spans="1:1">
      <c r="A7940"/>
    </row>
    <row r="7941" spans="1:1">
      <c r="A7941"/>
    </row>
    <row r="7942" spans="1:1">
      <c r="A7942"/>
    </row>
    <row r="7943" spans="1:1">
      <c r="A7943"/>
    </row>
    <row r="7944" spans="1:1">
      <c r="A7944"/>
    </row>
    <row r="7945" spans="1:1">
      <c r="A7945"/>
    </row>
    <row r="7946" spans="1:1">
      <c r="A7946"/>
    </row>
    <row r="7947" spans="1:1">
      <c r="A7947"/>
    </row>
    <row r="7948" spans="1:1">
      <c r="A7948"/>
    </row>
    <row r="7949" spans="1:1">
      <c r="A7949"/>
    </row>
    <row r="7950" spans="1:1">
      <c r="A7950"/>
    </row>
    <row r="7951" spans="1:1">
      <c r="A7951"/>
    </row>
    <row r="7952" spans="1:1">
      <c r="A7952"/>
    </row>
    <row r="7953" spans="1:1">
      <c r="A7953"/>
    </row>
    <row r="7954" spans="1:1">
      <c r="A7954"/>
    </row>
    <row r="7955" spans="1:1">
      <c r="A7955"/>
    </row>
    <row r="7956" spans="1:1">
      <c r="A7956"/>
    </row>
    <row r="7957" spans="1:1">
      <c r="A7957"/>
    </row>
    <row r="7958" spans="1:1">
      <c r="A7958"/>
    </row>
    <row r="7959" spans="1:1">
      <c r="A7959"/>
    </row>
    <row r="7960" spans="1:1">
      <c r="A7960"/>
    </row>
    <row r="7961" spans="1:1">
      <c r="A7961"/>
    </row>
    <row r="7962" spans="1:1">
      <c r="A7962"/>
    </row>
    <row r="7963" spans="1:1">
      <c r="A7963"/>
    </row>
    <row r="7964" spans="1:1">
      <c r="A7964"/>
    </row>
    <row r="7965" spans="1:1">
      <c r="A7965"/>
    </row>
    <row r="7966" spans="1:1">
      <c r="A7966"/>
    </row>
    <row r="7967" spans="1:1">
      <c r="A7967"/>
    </row>
    <row r="7968" spans="1:1">
      <c r="A7968"/>
    </row>
    <row r="7969" spans="1:1">
      <c r="A7969"/>
    </row>
    <row r="7970" spans="1:1">
      <c r="A7970"/>
    </row>
    <row r="7971" spans="1:1">
      <c r="A7971"/>
    </row>
    <row r="7972" spans="1:1">
      <c r="A7972"/>
    </row>
    <row r="7973" spans="1:1">
      <c r="A7973"/>
    </row>
    <row r="7974" spans="1:1">
      <c r="A7974"/>
    </row>
    <row r="7975" spans="1:1">
      <c r="A7975"/>
    </row>
    <row r="7976" spans="1:1">
      <c r="A7976"/>
    </row>
    <row r="7977" spans="1:1">
      <c r="A7977"/>
    </row>
    <row r="7978" spans="1:1">
      <c r="A7978"/>
    </row>
    <row r="7979" spans="1:1">
      <c r="A7979"/>
    </row>
    <row r="7980" spans="1:1">
      <c r="A7980"/>
    </row>
    <row r="7981" spans="1:1">
      <c r="A7981"/>
    </row>
    <row r="7982" spans="1:1">
      <c r="A7982"/>
    </row>
    <row r="7983" spans="1:1">
      <c r="A7983"/>
    </row>
    <row r="7984" spans="1:1">
      <c r="A7984"/>
    </row>
    <row r="7985" spans="1:1">
      <c r="A7985"/>
    </row>
    <row r="7986" spans="1:1">
      <c r="A7986"/>
    </row>
    <row r="7987" spans="1:1">
      <c r="A7987"/>
    </row>
    <row r="7988" spans="1:1">
      <c r="A7988"/>
    </row>
    <row r="7989" spans="1:1">
      <c r="A7989"/>
    </row>
    <row r="7990" spans="1:1">
      <c r="A7990"/>
    </row>
    <row r="7991" spans="1:1">
      <c r="A7991"/>
    </row>
    <row r="7992" spans="1:1">
      <c r="A7992"/>
    </row>
    <row r="7993" spans="1:1">
      <c r="A7993"/>
    </row>
    <row r="7994" spans="1:1">
      <c r="A7994"/>
    </row>
    <row r="7995" spans="1:1">
      <c r="A7995"/>
    </row>
    <row r="7996" spans="1:1">
      <c r="A7996"/>
    </row>
    <row r="7997" spans="1:1">
      <c r="A7997"/>
    </row>
    <row r="7998" spans="1:1">
      <c r="A7998"/>
    </row>
    <row r="7999" spans="1:1">
      <c r="A7999"/>
    </row>
    <row r="8000" spans="1:1">
      <c r="A8000"/>
    </row>
    <row r="8001" spans="1:1">
      <c r="A8001"/>
    </row>
    <row r="8002" spans="1:1">
      <c r="A8002"/>
    </row>
    <row r="8003" spans="1:1">
      <c r="A8003"/>
    </row>
    <row r="8004" spans="1:1">
      <c r="A8004"/>
    </row>
    <row r="8005" spans="1:1">
      <c r="A8005"/>
    </row>
    <row r="8006" spans="1:1">
      <c r="A8006"/>
    </row>
    <row r="8007" spans="1:1">
      <c r="A8007"/>
    </row>
    <row r="8008" spans="1:1">
      <c r="A8008"/>
    </row>
    <row r="8009" spans="1:1">
      <c r="A8009"/>
    </row>
    <row r="8010" spans="1:1">
      <c r="A8010"/>
    </row>
    <row r="8011" spans="1:1">
      <c r="A8011"/>
    </row>
    <row r="8012" spans="1:1">
      <c r="A8012"/>
    </row>
    <row r="8013" spans="1:1">
      <c r="A8013"/>
    </row>
    <row r="8014" spans="1:1">
      <c r="A8014"/>
    </row>
    <row r="8015" spans="1:1">
      <c r="A8015"/>
    </row>
    <row r="8016" spans="1:1">
      <c r="A8016"/>
    </row>
    <row r="8017" spans="1:1">
      <c r="A8017"/>
    </row>
    <row r="8018" spans="1:1">
      <c r="A8018"/>
    </row>
    <row r="8019" spans="1:1">
      <c r="A8019"/>
    </row>
    <row r="8020" spans="1:1">
      <c r="A8020"/>
    </row>
    <row r="8021" spans="1:1">
      <c r="A8021"/>
    </row>
    <row r="8022" spans="1:1">
      <c r="A8022"/>
    </row>
    <row r="8023" spans="1:1">
      <c r="A8023"/>
    </row>
    <row r="8024" spans="1:1">
      <c r="A8024"/>
    </row>
    <row r="8025" spans="1:1">
      <c r="A8025"/>
    </row>
    <row r="8026" spans="1:1">
      <c r="A8026"/>
    </row>
    <row r="8027" spans="1:1">
      <c r="A8027"/>
    </row>
    <row r="8028" spans="1:1">
      <c r="A8028"/>
    </row>
    <row r="8029" spans="1:1">
      <c r="A8029"/>
    </row>
    <row r="8030" spans="1:1">
      <c r="A8030"/>
    </row>
    <row r="8031" spans="1:1">
      <c r="A8031"/>
    </row>
    <row r="8032" spans="1:1">
      <c r="A8032"/>
    </row>
    <row r="8033" spans="1:1">
      <c r="A8033"/>
    </row>
    <row r="8034" spans="1:1">
      <c r="A8034"/>
    </row>
    <row r="8035" spans="1:1">
      <c r="A8035"/>
    </row>
    <row r="8036" spans="1:1">
      <c r="A8036"/>
    </row>
    <row r="8037" spans="1:1">
      <c r="A8037"/>
    </row>
    <row r="8038" spans="1:1">
      <c r="A8038"/>
    </row>
    <row r="8039" spans="1:1">
      <c r="A8039"/>
    </row>
    <row r="8040" spans="1:1">
      <c r="A8040"/>
    </row>
    <row r="8041" spans="1:1">
      <c r="A8041"/>
    </row>
    <row r="8042" spans="1:1">
      <c r="A8042"/>
    </row>
    <row r="8043" spans="1:1">
      <c r="A8043"/>
    </row>
    <row r="8044" spans="1:1">
      <c r="A8044"/>
    </row>
    <row r="8045" spans="1:1">
      <c r="A8045"/>
    </row>
    <row r="8046" spans="1:1">
      <c r="A8046"/>
    </row>
    <row r="8047" spans="1:1">
      <c r="A8047"/>
    </row>
    <row r="8048" spans="1:1">
      <c r="A8048"/>
    </row>
    <row r="8049" spans="1:1">
      <c r="A8049"/>
    </row>
    <row r="8050" spans="1:1">
      <c r="A8050"/>
    </row>
    <row r="8051" spans="1:1">
      <c r="A8051"/>
    </row>
    <row r="8052" spans="1:1">
      <c r="A8052"/>
    </row>
    <row r="8053" spans="1:1">
      <c r="A8053"/>
    </row>
    <row r="8054" spans="1:1">
      <c r="A8054"/>
    </row>
    <row r="8055" spans="1:1">
      <c r="A8055"/>
    </row>
    <row r="8056" spans="1:1">
      <c r="A8056"/>
    </row>
    <row r="8057" spans="1:1">
      <c r="A8057"/>
    </row>
    <row r="8058" spans="1:1">
      <c r="A8058"/>
    </row>
    <row r="8059" spans="1:1">
      <c r="A8059"/>
    </row>
    <row r="8060" spans="1:1">
      <c r="A8060"/>
    </row>
    <row r="8061" spans="1:1">
      <c r="A8061"/>
    </row>
    <row r="8062" spans="1:1">
      <c r="A8062"/>
    </row>
    <row r="8063" spans="1:1">
      <c r="A8063"/>
    </row>
    <row r="8064" spans="1:1">
      <c r="A8064"/>
    </row>
    <row r="8065" spans="1:1">
      <c r="A8065"/>
    </row>
    <row r="8066" spans="1:1">
      <c r="A8066"/>
    </row>
    <row r="8067" spans="1:1">
      <c r="A8067"/>
    </row>
    <row r="8068" spans="1:1">
      <c r="A8068"/>
    </row>
    <row r="8069" spans="1:1">
      <c r="A8069"/>
    </row>
    <row r="8070" spans="1:1">
      <c r="A8070"/>
    </row>
    <row r="8071" spans="1:1">
      <c r="A8071"/>
    </row>
    <row r="8072" spans="1:1">
      <c r="A8072"/>
    </row>
    <row r="8073" spans="1:1">
      <c r="A8073"/>
    </row>
    <row r="8074" spans="1:1">
      <c r="A8074"/>
    </row>
    <row r="8075" spans="1:1">
      <c r="A8075"/>
    </row>
    <row r="8076" spans="1:1">
      <c r="A8076"/>
    </row>
    <row r="8077" spans="1:1">
      <c r="A8077"/>
    </row>
    <row r="8078" spans="1:1">
      <c r="A8078"/>
    </row>
    <row r="8079" spans="1:1">
      <c r="A8079"/>
    </row>
    <row r="8080" spans="1:1">
      <c r="A8080"/>
    </row>
    <row r="8081" spans="1:1">
      <c r="A8081"/>
    </row>
    <row r="8082" spans="1:1">
      <c r="A8082"/>
    </row>
    <row r="8083" spans="1:1">
      <c r="A8083"/>
    </row>
    <row r="8084" spans="1:1">
      <c r="A8084"/>
    </row>
    <row r="8085" spans="1:1">
      <c r="A8085"/>
    </row>
    <row r="8086" spans="1:1">
      <c r="A8086"/>
    </row>
    <row r="8087" spans="1:1">
      <c r="A8087"/>
    </row>
    <row r="8088" spans="1:1">
      <c r="A8088"/>
    </row>
    <row r="8089" spans="1:1">
      <c r="A8089"/>
    </row>
    <row r="8090" spans="1:1">
      <c r="A8090"/>
    </row>
    <row r="8091" spans="1:1">
      <c r="A8091"/>
    </row>
    <row r="8092" spans="1:1">
      <c r="A8092"/>
    </row>
    <row r="8093" spans="1:1">
      <c r="A8093"/>
    </row>
    <row r="8094" spans="1:1">
      <c r="A8094"/>
    </row>
    <row r="8095" spans="1:1">
      <c r="A8095"/>
    </row>
    <row r="8096" spans="1:1">
      <c r="A8096"/>
    </row>
    <row r="8097" spans="1:1">
      <c r="A8097"/>
    </row>
    <row r="8098" spans="1:1">
      <c r="A8098"/>
    </row>
    <row r="8099" spans="1:1">
      <c r="A8099"/>
    </row>
    <row r="8100" spans="1:1">
      <c r="A8100"/>
    </row>
    <row r="8101" spans="1:1">
      <c r="A8101"/>
    </row>
    <row r="8102" spans="1:1">
      <c r="A8102"/>
    </row>
    <row r="8103" spans="1:1">
      <c r="A8103"/>
    </row>
    <row r="8104" spans="1:1">
      <c r="A8104"/>
    </row>
    <row r="8105" spans="1:1">
      <c r="A8105"/>
    </row>
    <row r="8106" spans="1:1">
      <c r="A8106"/>
    </row>
    <row r="8107" spans="1:1">
      <c r="A8107"/>
    </row>
    <row r="8108" spans="1:1">
      <c r="A8108"/>
    </row>
    <row r="8109" spans="1:1">
      <c r="A8109"/>
    </row>
    <row r="8110" spans="1:1">
      <c r="A8110"/>
    </row>
    <row r="8111" spans="1:1">
      <c r="A8111"/>
    </row>
    <row r="8112" spans="1:1">
      <c r="A8112"/>
    </row>
    <row r="8113" spans="1:1">
      <c r="A8113"/>
    </row>
    <row r="8114" spans="1:1">
      <c r="A8114"/>
    </row>
    <row r="8115" spans="1:1">
      <c r="A8115"/>
    </row>
    <row r="8116" spans="1:1">
      <c r="A8116"/>
    </row>
    <row r="8117" spans="1:1">
      <c r="A8117"/>
    </row>
    <row r="8118" spans="1:1">
      <c r="A8118"/>
    </row>
    <row r="8119" spans="1:1">
      <c r="A8119"/>
    </row>
    <row r="8120" spans="1:1">
      <c r="A8120"/>
    </row>
    <row r="8121" spans="1:1">
      <c r="A8121"/>
    </row>
    <row r="8122" spans="1:1">
      <c r="A8122"/>
    </row>
    <row r="8123" spans="1:1">
      <c r="A8123"/>
    </row>
    <row r="8124" spans="1:1">
      <c r="A8124"/>
    </row>
    <row r="8125" spans="1:1">
      <c r="A8125"/>
    </row>
    <row r="8126" spans="1:1">
      <c r="A8126"/>
    </row>
    <row r="8127" spans="1:1">
      <c r="A8127"/>
    </row>
    <row r="8128" spans="1:1">
      <c r="A8128"/>
    </row>
    <row r="8129" spans="1:1">
      <c r="A8129"/>
    </row>
    <row r="8130" spans="1:1">
      <c r="A8130"/>
    </row>
    <row r="8131" spans="1:1">
      <c r="A8131"/>
    </row>
    <row r="8132" spans="1:1">
      <c r="A8132"/>
    </row>
    <row r="8133" spans="1:1">
      <c r="A8133"/>
    </row>
    <row r="8134" spans="1:1">
      <c r="A8134"/>
    </row>
    <row r="8135" spans="1:1">
      <c r="A8135"/>
    </row>
    <row r="8136" spans="1:1">
      <c r="A8136"/>
    </row>
    <row r="8137" spans="1:1">
      <c r="A8137"/>
    </row>
    <row r="8138" spans="1:1">
      <c r="A8138"/>
    </row>
    <row r="8139" spans="1:1">
      <c r="A8139"/>
    </row>
    <row r="8140" spans="1:1">
      <c r="A8140"/>
    </row>
    <row r="8141" spans="1:1">
      <c r="A8141"/>
    </row>
    <row r="8142" spans="1:1">
      <c r="A8142"/>
    </row>
    <row r="8143" spans="1:1">
      <c r="A8143"/>
    </row>
    <row r="8144" spans="1:1">
      <c r="A8144"/>
    </row>
    <row r="8145" spans="1:1">
      <c r="A8145"/>
    </row>
    <row r="8146" spans="1:1">
      <c r="A8146"/>
    </row>
    <row r="8147" spans="1:1">
      <c r="A8147"/>
    </row>
    <row r="8148" spans="1:1">
      <c r="A8148"/>
    </row>
    <row r="8149" spans="1:1">
      <c r="A8149"/>
    </row>
    <row r="8150" spans="1:1">
      <c r="A8150"/>
    </row>
    <row r="8151" spans="1:1">
      <c r="A8151"/>
    </row>
    <row r="8152" spans="1:1">
      <c r="A8152"/>
    </row>
    <row r="8153" spans="1:1">
      <c r="A8153"/>
    </row>
    <row r="8154" spans="1:1">
      <c r="A8154"/>
    </row>
    <row r="8155" spans="1:1">
      <c r="A8155"/>
    </row>
    <row r="8156" spans="1:1">
      <c r="A8156"/>
    </row>
    <row r="8157" spans="1:1">
      <c r="A8157"/>
    </row>
    <row r="8158" spans="1:1">
      <c r="A8158"/>
    </row>
    <row r="8159" spans="1:1">
      <c r="A8159"/>
    </row>
    <row r="8160" spans="1:1">
      <c r="A8160"/>
    </row>
    <row r="8161" spans="1:1">
      <c r="A8161"/>
    </row>
    <row r="8162" spans="1:1">
      <c r="A8162"/>
    </row>
    <row r="8163" spans="1:1">
      <c r="A8163"/>
    </row>
    <row r="8164" spans="1:1">
      <c r="A8164"/>
    </row>
    <row r="8165" spans="1:1">
      <c r="A8165"/>
    </row>
    <row r="8166" spans="1:1">
      <c r="A8166"/>
    </row>
    <row r="8167" spans="1:1">
      <c r="A8167"/>
    </row>
    <row r="8168" spans="1:1">
      <c r="A8168"/>
    </row>
    <row r="8169" spans="1:1">
      <c r="A8169"/>
    </row>
    <row r="8170" spans="1:1">
      <c r="A8170"/>
    </row>
    <row r="8171" spans="1:1">
      <c r="A8171"/>
    </row>
    <row r="8172" spans="1:1">
      <c r="A8172"/>
    </row>
    <row r="8173" spans="1:1">
      <c r="A8173"/>
    </row>
    <row r="8174" spans="1:1">
      <c r="A8174"/>
    </row>
    <row r="8175" spans="1:1">
      <c r="A8175"/>
    </row>
    <row r="8176" spans="1:1">
      <c r="A8176"/>
    </row>
    <row r="8177" spans="1:1">
      <c r="A8177"/>
    </row>
    <row r="8178" spans="1:1">
      <c r="A8178"/>
    </row>
    <row r="8179" spans="1:1">
      <c r="A8179"/>
    </row>
    <row r="8180" spans="1:1">
      <c r="A8180"/>
    </row>
    <row r="8181" spans="1:1">
      <c r="A8181"/>
    </row>
    <row r="8182" spans="1:1">
      <c r="A8182"/>
    </row>
    <row r="8183" spans="1:1">
      <c r="A8183"/>
    </row>
    <row r="8184" spans="1:1">
      <c r="A8184"/>
    </row>
    <row r="8185" spans="1:1">
      <c r="A8185"/>
    </row>
    <row r="8186" spans="1:1">
      <c r="A8186"/>
    </row>
    <row r="8187" spans="1:1">
      <c r="A8187"/>
    </row>
    <row r="8188" spans="1:1">
      <c r="A8188"/>
    </row>
    <row r="8189" spans="1:1">
      <c r="A8189"/>
    </row>
    <row r="8190" spans="1:1">
      <c r="A8190"/>
    </row>
    <row r="8191" spans="1:1">
      <c r="A8191"/>
    </row>
    <row r="8192" spans="1:1">
      <c r="A8192"/>
    </row>
    <row r="8193" spans="1:1">
      <c r="A8193"/>
    </row>
    <row r="8194" spans="1:1">
      <c r="A8194"/>
    </row>
    <row r="8195" spans="1:1">
      <c r="A8195"/>
    </row>
    <row r="8196" spans="1:1">
      <c r="A8196"/>
    </row>
    <row r="8197" spans="1:1">
      <c r="A8197"/>
    </row>
    <row r="8198" spans="1:1">
      <c r="A8198"/>
    </row>
    <row r="8199" spans="1:1">
      <c r="A8199"/>
    </row>
    <row r="8200" spans="1:1">
      <c r="A8200"/>
    </row>
    <row r="8201" spans="1:1">
      <c r="A8201"/>
    </row>
    <row r="8202" spans="1:1">
      <c r="A8202"/>
    </row>
    <row r="8203" spans="1:1">
      <c r="A8203"/>
    </row>
    <row r="8204" spans="1:1">
      <c r="A8204"/>
    </row>
    <row r="8205" spans="1:1">
      <c r="A8205"/>
    </row>
    <row r="8206" spans="1:1">
      <c r="A8206"/>
    </row>
    <row r="8207" spans="1:1">
      <c r="A8207"/>
    </row>
    <row r="8208" spans="1:1">
      <c r="A8208"/>
    </row>
    <row r="8209" spans="1:1">
      <c r="A8209"/>
    </row>
    <row r="8210" spans="1:1">
      <c r="A8210"/>
    </row>
    <row r="8211" spans="1:1">
      <c r="A8211"/>
    </row>
    <row r="8212" spans="1:1">
      <c r="A8212"/>
    </row>
    <row r="8213" spans="1:1">
      <c r="A8213"/>
    </row>
    <row r="8214" spans="1:1">
      <c r="A8214"/>
    </row>
    <row r="8215" spans="1:1">
      <c r="A8215"/>
    </row>
    <row r="8216" spans="1:1">
      <c r="A8216"/>
    </row>
    <row r="8217" spans="1:1">
      <c r="A8217"/>
    </row>
    <row r="8218" spans="1:1">
      <c r="A8218"/>
    </row>
    <row r="8219" spans="1:1">
      <c r="A8219"/>
    </row>
    <row r="8220" spans="1:1">
      <c r="A8220"/>
    </row>
  </sheetData>
  <pageMargins left="0.7" right="0.7" top="0.75" bottom="0.75" header="0.3" footer="0.3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9D66-EE5D-45C5-B52A-7764388213E8}">
  <dimension ref="A1:Q64"/>
  <sheetViews>
    <sheetView showGridLines="0" topLeftCell="A38" workbookViewId="0">
      <selection activeCell="L30" sqref="L30"/>
    </sheetView>
  </sheetViews>
  <sheetFormatPr defaultRowHeight="15"/>
  <cols>
    <col min="1" max="1" width="11.7109375" bestFit="1" customWidth="1"/>
    <col min="2" max="3" width="10.28515625" bestFit="1" customWidth="1"/>
    <col min="4" max="4" width="21.85546875" bestFit="1" customWidth="1"/>
    <col min="5" max="5" width="19.5703125" bestFit="1" customWidth="1"/>
    <col min="6" max="6" width="17.140625" bestFit="1" customWidth="1"/>
    <col min="7" max="7" width="11.7109375" bestFit="1" customWidth="1"/>
  </cols>
  <sheetData>
    <row r="1" spans="1:9">
      <c r="A1" t="s">
        <v>4212</v>
      </c>
    </row>
    <row r="2" spans="1:9">
      <c r="A2" s="17">
        <v>2.9820767340481981E-2</v>
      </c>
      <c r="C2" s="17">
        <f>SUM(Data!S2:S2001)/SUM(Data!R2:R2001)</f>
        <v>2.9215391851505842E-2</v>
      </c>
      <c r="E2" t="s">
        <v>4213</v>
      </c>
    </row>
    <row r="3" spans="1:9">
      <c r="E3" s="17">
        <f>SUMIFS(Data!S2:S2001,Data!G2:G2001, "=L2",Data!D2:D2001,"&lt;10", Data!D2:D2001,"&gt;6")/SUMIFS(Data!R2:R2001,Data!G2:G2001, "=L2",Data!D2:D2001,"&lt;10",Data!D2:D2001,"&gt;6")</f>
        <v>6.5029946227941074E-2</v>
      </c>
      <c r="I3" s="17"/>
    </row>
    <row r="4" spans="1:9">
      <c r="A4" t="s">
        <v>4214</v>
      </c>
    </row>
    <row r="5" spans="1:9">
      <c r="A5" s="17">
        <v>0.93456498629083096</v>
      </c>
      <c r="C5" s="17">
        <f>A5</f>
        <v>0.93456498629083096</v>
      </c>
    </row>
    <row r="7" spans="1:9">
      <c r="A7" s="7" t="s">
        <v>12</v>
      </c>
      <c r="B7" s="7" t="s">
        <v>6</v>
      </c>
    </row>
    <row r="8" spans="1:9">
      <c r="A8" t="s">
        <v>67</v>
      </c>
      <c r="B8" t="s">
        <v>2816</v>
      </c>
    </row>
    <row r="9" spans="1:9">
      <c r="B9" t="s">
        <v>2128</v>
      </c>
    </row>
    <row r="10" spans="1:9">
      <c r="B10" t="s">
        <v>64</v>
      </c>
    </row>
    <row r="11" spans="1:9">
      <c r="A11" t="s">
        <v>4215</v>
      </c>
    </row>
    <row r="12" spans="1:9">
      <c r="A12" t="s">
        <v>4142</v>
      </c>
    </row>
    <row r="16" spans="1:9">
      <c r="A16" s="33" cm="1">
        <f t="array" ref="A16">SUM(IF(Data!N2:N2001 ="Packright Industries",Data!AA2:AA2001,0))  -SUM(IF(Data!N2:N2001 = "PackRight Industries",Data!R2:R2001 *Data!Z2:Z2001,0))*0.025</f>
        <v>3180159.75</v>
      </c>
      <c r="B16" t="s">
        <v>4216</v>
      </c>
      <c r="E16" t="s">
        <v>4217</v>
      </c>
      <c r="F16" t="s">
        <v>4218</v>
      </c>
      <c r="G16" t="s">
        <v>4219</v>
      </c>
    </row>
    <row r="17" spans="1:17">
      <c r="E17" s="40" cm="1">
        <f t="array" ref="E17">SUMPRODUCT(--(Data!N2:N2001="Packright Industries"),Data!R2:R2001 *Data!Z2:Z2001)*0.025</f>
        <v>1010847.25</v>
      </c>
      <c r="F17" s="42" cm="1">
        <f t="array" ref="F17">SUM(IF(Data!N2:N2001 ="Packright Industries",Data!AA2:AA2001,0))  -SUM(IF(Data!N2:N2001 = "PackRight Industries",Data!R2:R2001 *Data!Z2:Z2001,0))*0.025</f>
        <v>3180159.75</v>
      </c>
      <c r="G17" s="41">
        <f>SUM(F17,E17)</f>
        <v>4191007</v>
      </c>
    </row>
    <row r="20" spans="1:17">
      <c r="A20" t="s">
        <v>4220</v>
      </c>
    </row>
    <row r="21" spans="1:17">
      <c r="A21">
        <f>COUNTIF(Data!AE2:AE2001,"=0")</f>
        <v>20</v>
      </c>
    </row>
    <row r="24" spans="1:17">
      <c r="A24" s="7" t="s">
        <v>4139</v>
      </c>
      <c r="D24" s="7" t="s">
        <v>26</v>
      </c>
    </row>
    <row r="25" spans="1:17">
      <c r="A25" s="7" t="s">
        <v>12</v>
      </c>
      <c r="B25" s="7" t="s">
        <v>58</v>
      </c>
      <c r="C25" s="7" t="s">
        <v>6</v>
      </c>
      <c r="D25" t="s">
        <v>96</v>
      </c>
      <c r="E25" t="s">
        <v>74</v>
      </c>
      <c r="F25" t="s">
        <v>88</v>
      </c>
      <c r="G25" t="s">
        <v>4142</v>
      </c>
      <c r="Q25" s="42"/>
    </row>
    <row r="26" spans="1:17">
      <c r="A26" t="s">
        <v>67</v>
      </c>
      <c r="B26">
        <v>4</v>
      </c>
      <c r="C26" t="s">
        <v>78</v>
      </c>
      <c r="D26" s="17">
        <v>2.3153439104232718E-2</v>
      </c>
      <c r="E26" s="17"/>
      <c r="F26" s="17">
        <v>2.4527749954919749E-2</v>
      </c>
      <c r="G26" s="17">
        <v>2.3874114306422257E-2</v>
      </c>
    </row>
    <row r="27" spans="1:17">
      <c r="B27" t="s">
        <v>4150</v>
      </c>
      <c r="D27" s="17">
        <v>2.3153439104232718E-2</v>
      </c>
      <c r="E27" s="17"/>
      <c r="F27" s="17">
        <v>2.4527749954919749E-2</v>
      </c>
      <c r="G27" s="17">
        <v>2.3874114306422257E-2</v>
      </c>
    </row>
    <row r="28" spans="1:17">
      <c r="B28">
        <v>5</v>
      </c>
      <c r="C28" t="s">
        <v>790</v>
      </c>
      <c r="D28" s="17">
        <v>2.4570151455190821E-2</v>
      </c>
      <c r="E28" s="17"/>
      <c r="F28" s="17">
        <v>2.6815141515540913E-2</v>
      </c>
      <c r="G28" s="17">
        <v>2.5900515935398289E-2</v>
      </c>
    </row>
    <row r="29" spans="1:17">
      <c r="B29" t="s">
        <v>4151</v>
      </c>
      <c r="D29" s="17">
        <v>2.4570151455190821E-2</v>
      </c>
      <c r="E29" s="17"/>
      <c r="F29" s="17">
        <v>2.6815141515540913E-2</v>
      </c>
      <c r="G29" s="17">
        <v>2.5900515935398289E-2</v>
      </c>
    </row>
    <row r="30" spans="1:17">
      <c r="B30">
        <v>6</v>
      </c>
      <c r="C30" t="s">
        <v>1459</v>
      </c>
      <c r="D30" s="17">
        <v>2.464216170900542E-2</v>
      </c>
      <c r="E30" s="17"/>
      <c r="F30" s="17">
        <v>2.5559198254218679E-2</v>
      </c>
      <c r="G30" s="17">
        <v>2.5052130988041935E-2</v>
      </c>
    </row>
    <row r="31" spans="1:17">
      <c r="B31" t="s">
        <v>4152</v>
      </c>
      <c r="D31" s="17">
        <v>2.464216170900542E-2</v>
      </c>
      <c r="E31" s="17"/>
      <c r="F31" s="17">
        <v>2.5559198254218679E-2</v>
      </c>
      <c r="G31" s="17">
        <v>2.5052130988041935E-2</v>
      </c>
    </row>
    <row r="32" spans="1:17">
      <c r="B32">
        <v>7</v>
      </c>
      <c r="C32" t="s">
        <v>2128</v>
      </c>
      <c r="D32" s="17">
        <v>2.3067955410398473E-2</v>
      </c>
      <c r="E32" s="17">
        <v>0.1032219499203188</v>
      </c>
      <c r="F32" s="17">
        <v>2.4841350016979666E-2</v>
      </c>
      <c r="G32" s="17">
        <v>6.3972517035168097E-2</v>
      </c>
    </row>
    <row r="33" spans="1:7">
      <c r="B33" t="s">
        <v>4153</v>
      </c>
      <c r="D33" s="17">
        <v>2.3067955410398473E-2</v>
      </c>
      <c r="E33" s="17">
        <v>0.1032219499203188</v>
      </c>
      <c r="F33" s="17">
        <v>2.4841350016979666E-2</v>
      </c>
      <c r="G33" s="17">
        <v>6.3972517035168097E-2</v>
      </c>
    </row>
    <row r="34" spans="1:7">
      <c r="B34">
        <v>8</v>
      </c>
      <c r="C34" t="s">
        <v>2816</v>
      </c>
      <c r="D34" s="17">
        <v>2.4909069794841605E-2</v>
      </c>
      <c r="E34" s="17">
        <v>0.10240047808139072</v>
      </c>
      <c r="F34" s="17">
        <v>2.2828847230743549E-2</v>
      </c>
      <c r="G34" s="17">
        <v>6.3035660079753669E-2</v>
      </c>
    </row>
    <row r="35" spans="1:7">
      <c r="B35" t="s">
        <v>4154</v>
      </c>
      <c r="D35" s="17">
        <v>2.4909069794841605E-2</v>
      </c>
      <c r="E35" s="17">
        <v>0.10240047808139072</v>
      </c>
      <c r="F35" s="17">
        <v>2.2828847230743549E-2</v>
      </c>
      <c r="G35" s="17">
        <v>6.3035660079753669E-2</v>
      </c>
    </row>
    <row r="36" spans="1:7">
      <c r="B36">
        <v>9</v>
      </c>
      <c r="C36" t="s">
        <v>64</v>
      </c>
      <c r="D36" s="17">
        <v>2.5659549448325481E-2</v>
      </c>
      <c r="E36" s="17">
        <v>0.10580394405622734</v>
      </c>
      <c r="F36" s="17">
        <v>2.635046565957231E-2</v>
      </c>
      <c r="G36" s="17">
        <v>6.7346625259948528E-2</v>
      </c>
    </row>
    <row r="37" spans="1:7">
      <c r="B37" t="s">
        <v>4155</v>
      </c>
      <c r="D37" s="17">
        <v>2.5659549448325481E-2</v>
      </c>
      <c r="E37" s="17">
        <v>0.10580394405622734</v>
      </c>
      <c r="F37" s="17">
        <v>2.635046565957231E-2</v>
      </c>
      <c r="G37" s="17">
        <v>6.7346625259948528E-2</v>
      </c>
    </row>
    <row r="38" spans="1:7">
      <c r="A38" t="s">
        <v>4215</v>
      </c>
      <c r="D38" s="17">
        <v>2.4228313724576844E-2</v>
      </c>
      <c r="E38" s="17">
        <v>0.10381515868473039</v>
      </c>
      <c r="F38" s="17">
        <v>2.5301793587153579E-2</v>
      </c>
      <c r="G38" s="17">
        <v>4.5090487297235284E-2</v>
      </c>
    </row>
    <row r="39" spans="1:7">
      <c r="A39" t="s">
        <v>4142</v>
      </c>
      <c r="D39" s="17">
        <v>2.4228313724576844E-2</v>
      </c>
      <c r="E39" s="17">
        <v>0.10381515868473039</v>
      </c>
      <c r="F39" s="17">
        <v>2.5301793587153579E-2</v>
      </c>
      <c r="G39" s="17">
        <v>4.5090487297235284E-2</v>
      </c>
    </row>
    <row r="50" spans="1:5">
      <c r="A50" s="7" t="s">
        <v>12</v>
      </c>
      <c r="B50" s="7" t="s">
        <v>58</v>
      </c>
      <c r="C50" s="7" t="s">
        <v>6</v>
      </c>
      <c r="D50" t="s">
        <v>4221</v>
      </c>
      <c r="E50" t="s">
        <v>4222</v>
      </c>
    </row>
    <row r="51" spans="1:5">
      <c r="A51" t="s">
        <v>67</v>
      </c>
      <c r="B51">
        <v>4</v>
      </c>
      <c r="C51" t="s">
        <v>78</v>
      </c>
      <c r="D51" s="6">
        <v>18938.768292682926</v>
      </c>
      <c r="E51" s="6">
        <v>8963.414634146342</v>
      </c>
    </row>
    <row r="52" spans="1:5">
      <c r="B52" t="s">
        <v>4150</v>
      </c>
      <c r="D52" s="6">
        <v>18938.768292682926</v>
      </c>
      <c r="E52" s="6">
        <v>8963.414634146342</v>
      </c>
    </row>
    <row r="53" spans="1:5">
      <c r="B53">
        <v>5</v>
      </c>
      <c r="C53" t="s">
        <v>790</v>
      </c>
      <c r="D53" s="6">
        <v>21451.123456790123</v>
      </c>
      <c r="E53" s="6">
        <v>9009.2592592592591</v>
      </c>
    </row>
    <row r="54" spans="1:5">
      <c r="B54" t="s">
        <v>4151</v>
      </c>
      <c r="D54" s="6">
        <v>21451.123456790123</v>
      </c>
      <c r="E54" s="6">
        <v>9009.2592592592591</v>
      </c>
    </row>
    <row r="55" spans="1:5">
      <c r="B55">
        <v>6</v>
      </c>
      <c r="C55" t="s">
        <v>1459</v>
      </c>
      <c r="D55" s="6">
        <v>24034.882352941175</v>
      </c>
      <c r="E55" s="6">
        <v>8876.4705882352937</v>
      </c>
    </row>
    <row r="56" spans="1:5">
      <c r="B56" t="s">
        <v>4152</v>
      </c>
      <c r="D56" s="6">
        <v>24034.882352941175</v>
      </c>
      <c r="E56" s="6">
        <v>8876.4705882352937</v>
      </c>
    </row>
    <row r="57" spans="1:5">
      <c r="B57">
        <v>7</v>
      </c>
      <c r="C57" t="s">
        <v>2128</v>
      </c>
      <c r="D57" s="6">
        <v>19701.482758620688</v>
      </c>
      <c r="E57" s="6">
        <v>8758.6206896551721</v>
      </c>
    </row>
    <row r="58" spans="1:5">
      <c r="B58" t="s">
        <v>4153</v>
      </c>
      <c r="D58" s="6">
        <v>19701.482758620688</v>
      </c>
      <c r="E58" s="6">
        <v>8758.6206896551721</v>
      </c>
    </row>
    <row r="59" spans="1:5">
      <c r="B59">
        <v>8</v>
      </c>
      <c r="C59" t="s">
        <v>2816</v>
      </c>
      <c r="D59" s="6">
        <v>9887.5</v>
      </c>
      <c r="E59" s="6">
        <v>8580.3571428571431</v>
      </c>
    </row>
    <row r="60" spans="1:5">
      <c r="B60" t="s">
        <v>4154</v>
      </c>
      <c r="D60" s="6">
        <v>9887.5</v>
      </c>
      <c r="E60" s="6">
        <v>8580.3571428571431</v>
      </c>
    </row>
    <row r="61" spans="1:5">
      <c r="B61">
        <v>9</v>
      </c>
      <c r="C61" t="s">
        <v>64</v>
      </c>
      <c r="D61" s="6">
        <v>2818.5301204819275</v>
      </c>
      <c r="E61" s="6">
        <v>8756.0240963855413</v>
      </c>
    </row>
    <row r="62" spans="1:5">
      <c r="B62" t="s">
        <v>4155</v>
      </c>
      <c r="D62" s="6">
        <v>2818.5301204819275</v>
      </c>
      <c r="E62" s="6">
        <v>8756.0240963855413</v>
      </c>
    </row>
    <row r="63" spans="1:5">
      <c r="A63" t="s">
        <v>4215</v>
      </c>
      <c r="D63" s="6">
        <v>16159.366533864542</v>
      </c>
      <c r="E63" s="6">
        <v>8822.2111553784853</v>
      </c>
    </row>
    <row r="64" spans="1:5">
      <c r="A64" t="s">
        <v>4142</v>
      </c>
      <c r="D64" s="6">
        <v>16159.366533864542</v>
      </c>
      <c r="E64" s="6">
        <v>8822.2111553784853</v>
      </c>
    </row>
  </sheetData>
  <pageMargins left="0.7" right="0.7" top="0.75" bottom="0.75" header="0.3" footer="0.3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8357-3B56-4856-B156-47C838FB44DD}">
  <dimension ref="A1:Z37"/>
  <sheetViews>
    <sheetView showGridLines="0" workbookViewId="0">
      <selection activeCell="AD7" sqref="AD7"/>
    </sheetView>
  </sheetViews>
  <sheetFormatPr defaultRowHeight="15"/>
  <sheetData>
    <row r="1" spans="1:24" s="45" customFormat="1"/>
    <row r="2" spans="1:24" s="45" customFormat="1"/>
    <row r="3" spans="1:24" s="45" customFormat="1"/>
    <row r="4" spans="1:24" s="45" customFormat="1"/>
    <row r="5" spans="1:24" s="34" customFormat="1">
      <c r="A5" s="43">
        <f>KPI!C5</f>
        <v>0.93456498629083096</v>
      </c>
      <c r="B5" s="44"/>
      <c r="C5" s="44"/>
      <c r="D5" s="44"/>
      <c r="E5" s="35"/>
      <c r="F5" s="46">
        <f>KPI!C2</f>
        <v>2.9215391851505842E-2</v>
      </c>
      <c r="G5" s="47"/>
      <c r="H5" s="47"/>
      <c r="I5" s="47"/>
      <c r="J5" s="35"/>
      <c r="K5" s="46">
        <f>KPI!E3</f>
        <v>6.5029946227941074E-2</v>
      </c>
      <c r="L5" s="47"/>
      <c r="M5" s="47"/>
      <c r="N5" s="47"/>
      <c r="O5" s="35"/>
      <c r="P5" s="48">
        <f>KPI!A16</f>
        <v>3180159.75</v>
      </c>
      <c r="Q5" s="48"/>
      <c r="R5" s="48"/>
      <c r="S5" s="48"/>
      <c r="T5" s="35"/>
      <c r="U5" s="47">
        <f>KPI!A21</f>
        <v>20</v>
      </c>
      <c r="V5" s="47"/>
      <c r="W5" s="47"/>
      <c r="X5" s="47"/>
    </row>
    <row r="6" spans="1:24" s="34" customFormat="1">
      <c r="A6" s="44"/>
      <c r="B6" s="44"/>
      <c r="C6" s="44"/>
      <c r="D6" s="44"/>
      <c r="E6" s="35"/>
      <c r="F6" s="47"/>
      <c r="G6" s="47"/>
      <c r="H6" s="47"/>
      <c r="I6" s="47"/>
      <c r="J6" s="35"/>
      <c r="K6" s="47"/>
      <c r="L6" s="47"/>
      <c r="M6" s="47"/>
      <c r="N6" s="47"/>
      <c r="O6" s="35"/>
      <c r="P6" s="48"/>
      <c r="Q6" s="48"/>
      <c r="R6" s="48"/>
      <c r="S6" s="48"/>
      <c r="T6" s="35"/>
      <c r="U6" s="47"/>
      <c r="V6" s="47"/>
      <c r="W6" s="47"/>
      <c r="X6" s="47"/>
    </row>
    <row r="7" spans="1:24" s="34" customFormat="1">
      <c r="A7" s="44"/>
      <c r="B7" s="44"/>
      <c r="C7" s="44"/>
      <c r="D7" s="44"/>
      <c r="E7" s="35"/>
      <c r="F7" s="47"/>
      <c r="G7" s="47"/>
      <c r="H7" s="47"/>
      <c r="I7" s="47"/>
      <c r="J7" s="35"/>
      <c r="K7" s="47"/>
      <c r="L7" s="47"/>
      <c r="M7" s="47"/>
      <c r="N7" s="47"/>
      <c r="O7" s="35"/>
      <c r="P7" s="48"/>
      <c r="Q7" s="48"/>
      <c r="R7" s="48"/>
      <c r="S7" s="48"/>
      <c r="T7" s="35"/>
      <c r="U7" s="47"/>
      <c r="V7" s="47"/>
      <c r="W7" s="47"/>
      <c r="X7" s="47"/>
    </row>
    <row r="8" spans="1:24" s="34" customFormat="1">
      <c r="A8" s="44"/>
      <c r="B8" s="44"/>
      <c r="C8" s="44"/>
      <c r="D8" s="44"/>
      <c r="E8" s="35"/>
      <c r="F8" s="47"/>
      <c r="G8" s="47"/>
      <c r="H8" s="47"/>
      <c r="I8" s="47"/>
      <c r="J8" s="35"/>
      <c r="K8" s="47"/>
      <c r="L8" s="47"/>
      <c r="M8" s="47"/>
      <c r="N8" s="47"/>
      <c r="O8" s="35"/>
      <c r="P8" s="48"/>
      <c r="Q8" s="48"/>
      <c r="R8" s="48"/>
      <c r="S8" s="48"/>
      <c r="T8" s="35"/>
      <c r="U8" s="47"/>
      <c r="V8" s="47"/>
      <c r="W8" s="47"/>
      <c r="X8" s="47"/>
    </row>
    <row r="9" spans="1:24">
      <c r="K9" s="23"/>
    </row>
    <row r="11" spans="1:24" ht="14.25" customHeight="1">
      <c r="B11" s="29"/>
    </row>
    <row r="37" spans="26:26">
      <c r="Z37" t="s">
        <v>4223</v>
      </c>
    </row>
  </sheetData>
  <mergeCells count="6">
    <mergeCell ref="A5:D8"/>
    <mergeCell ref="A1:XFD4"/>
    <mergeCell ref="F5:I8"/>
    <mergeCell ref="K5:N8"/>
    <mergeCell ref="P5:S8"/>
    <mergeCell ref="U5:X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2026-10-15T03:42:34Z</dcterms:created>
  <dcterms:modified xsi:type="dcterms:W3CDTF">2026-10-28T11:23:46Z</dcterms:modified>
  <cp:category/>
  <cp:contentStatus/>
</cp:coreProperties>
</file>